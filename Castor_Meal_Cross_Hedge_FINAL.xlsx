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&amp; Sources" sheetId="1" state="visible" r:id="rId3"/>
    <sheet name="Spot Data" sheetId="2" state="visible" r:id="rId4"/>
    <sheet name="Futures Data" sheetId="3" state="visible" r:id="rId5"/>
    <sheet name="Roll Schedule" sheetId="4" state="visible" r:id="rId6"/>
    <sheet name="Daily Analysis" sheetId="5" state="visible" r:id="rId7"/>
    <sheet name="Results &amp; Char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<sst xmlns="http://schemas.openxmlformats.org/spreadsheetml/2006/main" count="15260" uniqueCount="3117">
  <si>
    <t xml:space="preserve">Cross-hedging castor meal with NCDEX castor seed futures: Read Me &amp; Sources</t>
  </si>
  <si>
    <t xml:space="preserve">ASSIGNMENT</t>
  </si>
  <si>
    <t xml:space="preserve">Hedge a castor meal price exposure (Asset A) with NCDEX castor seed futures (Asset B), because no castor meal futures contract exists. Use about three years of daily data; estimate the optimal hedge; measure in-sample hedge effectiveness; test it out of sample; deal with futures roll and data problems using the two course papers.</t>
  </si>
  <si>
    <t xml:space="preserve">DATA SOURCES</t>
  </si>
  <si>
    <t xml:space="preserve">Item</t>
  </si>
  <si>
    <t xml:space="preserve">Publisher</t>
  </si>
  <si>
    <t xml:space="preserve">Source</t>
  </si>
  <si>
    <t xml:space="preserve">Field used</t>
  </si>
  <si>
    <t xml:space="preserve">Unit</t>
  </si>
  <si>
    <t xml:space="preserve">Asset A: castor meal spot</t>
  </si>
  <si>
    <t xml:space="preserve">The Solvent Extractors' Association of India (SEA)</t>
  </si>
  <si>
    <t xml:space="preserve">https://seaofindia.com/seaquotes/ (one page per day; URLs in Spot Data)</t>
  </si>
  <si>
    <t xml:space="preserve">Castormeal Ext (FOR) (Bulk) (Ex-Kandla)</t>
  </si>
  <si>
    <t xml:space="preserve">Rs/MT</t>
  </si>
  <si>
    <t xml:space="preserve">Asset B: castor seed futures</t>
  </si>
  <si>
    <t xml:space="preserve">National Commodity &amp; Derivatives Exchange (NCDEX)</t>
  </si>
  <si>
    <t xml:space="preserve">https://www.ncdex.com/markets/bhavcopy (daily ZIP, FO_DDMMYY_FINAL.csv)</t>
  </si>
  <si>
    <t xml:space="preserve">CASTOR contracts: close, volume, open interest, expiry</t>
  </si>
  <si>
    <t xml:space="preserve">Rs/quintal; MT</t>
  </si>
  <si>
    <t xml:space="preserve">CASTOR contract rules</t>
  </si>
  <si>
    <t xml:space="preserve">NCDEX</t>
  </si>
  <si>
    <t xml:space="preserve">https://www.ncdex.com/public/uploads/downloads/Contract%20Specifications%20Castor%20Futures%20Contract_31082026_1788157717.pdf</t>
  </si>
  <si>
    <t xml:space="preserve">Expiry 20th (or previous trading day); compulsory delivery; tender period last 3 trading days</t>
  </si>
  <si>
    <t xml:space="preserve">Pre-expiry margin (context)</t>
  </si>
  <si>
    <t xml:space="preserve">NCCL (NCDEX clearing)</t>
  </si>
  <si>
    <t xml:space="preserve">https://www.ncdex.com/public/uploads/circulars/Pre_Expiry_Margin_Castor_04082022_1659619001.pdf</t>
  </si>
  <si>
    <t xml:space="preserve">Margin over last 7 trading days (2022 circular)</t>
  </si>
  <si>
    <t xml:space="preserve">Method papers</t>
  </si>
  <si>
    <t xml:space="preserve">Course material</t>
  </si>
  <si>
    <t xml:space="preserve">paper_1.pdf: Continuous Contracts Explained; paper_2.pdf: Buyukkara, Kucukozmen &amp; Uysal (2022), Borsa Istanbul Review 22-1, 92-102</t>
  </si>
  <si>
    <t xml:space="preserve">SAMPLE COVERAGE (live formulas)</t>
  </si>
  <si>
    <t xml:space="preserve">Spot quotes used: first / last / count</t>
  </si>
  <si>
    <t xml:space="preserve">Futures trading days: first / last / count</t>
  </si>
  <si>
    <t xml:space="preserve">Common price dates (NCDEX trading day with a used SEA quote)</t>
  </si>
  <si>
    <t xml:space="preserve">Return dates: first / last / count</t>
  </si>
  <si>
    <t xml:space="preserve">In-sample returns</t>
  </si>
  <si>
    <t xml:space="preserve">Out-of-sample returns</t>
  </si>
  <si>
    <t xml:space="preserve">Calendar coverage is three full years of returns (26 Sep 2023 to 28 Sep 2026), BUT SEA published no castor meal quote from 27 Apr 2024 to 3 Dec 2024 (castor meal marked NQ May-Sep 2024; almost no posts Oct-Nov 2024). No returns exist for that gap; nothing is filled. SEA quotes on non-NCDEX days are listed but not used.</t>
  </si>
  <si>
    <t xml:space="preserve">METHOD AND ITS BASIS</t>
  </si>
  <si>
    <t xml:space="preserve">Step</t>
  </si>
  <si>
    <t xml:space="preserve">What is done</t>
  </si>
  <si>
    <t xml:space="preserve">Basis</t>
  </si>
  <si>
    <t xml:space="preserve">Classification</t>
  </si>
  <si>
    <t xml:space="preserve">Where</t>
  </si>
  <si>
    <t xml:space="preserve">Contracts kept separate</t>
  </si>
  <si>
    <t xml:space="preserve">Every CASTOR contract kept by expiry; continuous series built by an explicit rule</t>
  </si>
  <si>
    <t xml:space="preserve">CCE p.1</t>
  </si>
  <si>
    <t xml:space="preserve">Prescribed in paper</t>
  </si>
  <si>
    <t xml:space="preserve">Futures Data, Roll Schedule</t>
  </si>
  <si>
    <t xml:space="preserve">Roll signal</t>
  </si>
  <si>
    <t xml:space="preserve">Next-month open interest larger than held month's</t>
  </si>
  <si>
    <t xml:space="preserve">CCE p.2 ('volume and/or open interest')</t>
  </si>
  <si>
    <t xml:space="preserve">Prescribed (OI chosen over volume: adaptation)</t>
  </si>
  <si>
    <t xml:space="preserve">Roll Schedule E-H</t>
  </si>
  <si>
    <t xml:space="preserve">Execution timing</t>
  </si>
  <si>
    <t xml:space="preserve">Signal read from the day's published file, acted on at the next close</t>
  </si>
  <si>
    <t xml:space="preserve">Not specified in either paper</t>
  </si>
  <si>
    <t xml:space="preserve">Project adaptation (removes look-ahead)</t>
  </si>
  <si>
    <t xml:space="preserve">Roll Schedule C</t>
  </si>
  <si>
    <t xml:space="preserve">Backstop</t>
  </si>
  <si>
    <t xml:space="preserve">Forced roll when 7 NCDEX trading days remain</t>
  </si>
  <si>
    <t xml:space="preserve">CCE p.1-2 notice-day argument; NCDEX tender period; NCCL pre-expiry margin</t>
  </si>
  <si>
    <t xml:space="preserve">Project adaptation</t>
  </si>
  <si>
    <t xml:space="preserve">Roll Schedule G4</t>
  </si>
  <si>
    <t xml:space="preserve">Roll gap and back-adjustment</t>
  </si>
  <si>
    <t xml:space="preserve">Gap = new close - old close on roll day; back-adjusted = stitched + later gaps</t>
  </si>
  <si>
    <t xml:space="preserve">CCE p.7-8</t>
  </si>
  <si>
    <t xml:space="preserve">Roll Schedule J-N</t>
  </si>
  <si>
    <t xml:space="preserve">Hedge returns</t>
  </si>
  <si>
    <t xml:space="preserve">LN return of the contract actually held, never across two contracts</t>
  </si>
  <si>
    <t xml:space="preserve">BKU eq. (1)-(2); CCE p.9 'trading reality'</t>
  </si>
  <si>
    <t xml:space="preserve">Prescribed returns, applied per held contract (adaptation)</t>
  </si>
  <si>
    <t xml:space="preserve">Roll Schedule O; Daily Analysis I</t>
  </si>
  <si>
    <t xml:space="preserve">OLS hedge ratio</t>
  </si>
  <si>
    <t xml:space="preserve">SLOPE of rA on rF, in-sample only</t>
  </si>
  <si>
    <t xml:space="preserve">BKU eq. (3), p.96</t>
  </si>
  <si>
    <t xml:space="preserve">Prescribed</t>
  </si>
  <si>
    <t xml:space="preserve">Results Table 1</t>
  </si>
  <si>
    <t xml:space="preserve">Naive hedge</t>
  </si>
  <si>
    <t xml:space="preserve">h = 1</t>
  </si>
  <si>
    <t xml:space="preserve">BKU p.95</t>
  </si>
  <si>
    <t xml:space="preserve">Results Table 2</t>
  </si>
  <si>
    <t xml:space="preserve">Dynamic hedge</t>
  </si>
  <si>
    <t xml:space="preserve">Diagonal VECH GARCH(1,1), h_t = H12/H22</t>
  </si>
  <si>
    <t xml:space="preserve">BKU eq. (4)-(8), p.96</t>
  </si>
  <si>
    <t xml:space="preserve">Prescribed (estimated in-sample, fixed out-of-sample: adaptation)</t>
  </si>
  <si>
    <t xml:space="preserve">Results Table 4</t>
  </si>
  <si>
    <t xml:space="preserve">Hedge effectiveness</t>
  </si>
  <si>
    <t xml:space="preserve">1 - Var(hedged)/Var(unhedged)</t>
  </si>
  <si>
    <t xml:space="preserve">BKU eq. (11)-(13), p.97</t>
  </si>
  <si>
    <t xml:space="preserve">Prescribed (eq. 10 printed sign inconsistent with eq. 12; eq. 12 used)</t>
  </si>
  <si>
    <t xml:space="preserve">Out-of-sample test</t>
  </si>
  <si>
    <t xml:space="preserve">Chronological split at 30 Sep 2025</t>
  </si>
  <si>
    <t xml:space="preserve">Assignment brief (paper uses sub-periods, not out-of-sample)</t>
  </si>
  <si>
    <t xml:space="preserve">Additional to papers</t>
  </si>
  <si>
    <t xml:space="preserve">Diagnostics</t>
  </si>
  <si>
    <t xml:space="preserve">JB, Ljung-Box, ADF, Engle-Granger</t>
  </si>
  <si>
    <t xml:space="preserve">BKU Tables 2-3; eq. (4) error-correction term</t>
  </si>
  <si>
    <t xml:space="preserve">Prescribed (Engle-Granger: adaptation to decide on the ECT)</t>
  </si>
  <si>
    <t xml:space="preserve">Results Table 5</t>
  </si>
  <si>
    <t xml:space="preserve">Roll comparison</t>
  </si>
  <si>
    <t xml:space="preserve">Five rules on identical dates</t>
  </si>
  <si>
    <t xml:space="preserve">CCE p.2 (compare roll schedules)</t>
  </si>
  <si>
    <t xml:space="preserve">Prescribed idea; rules are adaptations</t>
  </si>
  <si>
    <t xml:space="preserve">Results Table 6</t>
  </si>
  <si>
    <t xml:space="preserve">CCE = Continuous Contracts Explained (paper_1.pdf, PDF page numbers). BKU = Buyukkara, Kucukozmen &amp; Uysal (2022) (journal page numbers).</t>
  </si>
  <si>
    <t xml:space="preserve">DEFINITIONS AND TREATMENT OF DATA</t>
  </si>
  <si>
    <t xml:space="preserve">- Return pair: two consecutive NCDEX trading days, both with a used SEA quote. Weekends and holidays are skipped naturally (a Monday return spans Friday-Monday).</t>
  </si>
  <si>
    <t xml:space="preserve">- Missing SEA quote (NQ, row absent, excluded post): no return is formed for the pairs touching that date. Nothing is interpolated or carried forward.</t>
  </si>
  <si>
    <t xml:space="preserve">- Unchanged SEA quote: a genuine zero return; kept.</t>
  </si>
  <si>
    <t xml:space="preserve">- SEA quote on a non-NCDEX day: listed in Spot Data; not used.</t>
  </si>
  <si>
    <t xml:space="preserve">- Futures price: NCDEX closing price. Settlement price is absent from files before 8 Jul 2024, so close is used throughout.</t>
  </si>
  <si>
    <t xml:space="preserve">- Colour key: blue = source value or Python output; black = formula; green = link; yellow = input.</t>
  </si>
  <si>
    <t xml:space="preserve">KEY ASSUMPTIONS AND LIMITATIONS: see 'Results &amp; Charts' (bottom) and the separate results_and_limitations.md.</t>
  </si>
  <si>
    <t xml:space="preserve">Supporting files (not needed to audit the workbook): full paper-method matrix, audit and change log, Python scripts, raw exchange ZIPs and SEA pages.</t>
  </si>
  <si>
    <t xml:space="preserve">Spot Data: castor meal quotes published by The Solvent Extractors' Association of India (SEA). NOT NCDEX data.</t>
  </si>
  <si>
    <t xml:space="preserve">Quote: 'Castormeal Ext (FOR) (Bulk) (Ex-Kandla)', Rs per metric tonne. One SEA post per day; every post in the window is listed, including excluded ones. Values unchanged from the source.</t>
  </si>
  <si>
    <t xml:space="preserve">Quote date</t>
  </si>
  <si>
    <t xml:space="preserve">Post title</t>
  </si>
  <si>
    <t xml:space="preserve">Published (IST)</t>
  </si>
  <si>
    <t xml:space="preserve">Castor meal cell as published</t>
  </si>
  <si>
    <t xml:space="preserve">Price (Rs/MT)</t>
  </si>
  <si>
    <t xml:space="preserve">Date rule</t>
  </si>
  <si>
    <t xml:space="preserve">Status</t>
  </si>
  <si>
    <t xml:space="preserve">Used in analysis</t>
  </si>
  <si>
    <t xml:space="preserve">NCDEX trading day?</t>
  </si>
  <si>
    <t xml:space="preserve">Live check</t>
  </si>
  <si>
    <t xml:space="preserve">Source URL</t>
  </si>
  <si>
    <t xml:space="preserve">25th September 23</t>
  </si>
  <si>
    <t xml:space="preserve">2023-09-25T17:32:41</t>
  </si>
  <si>
    <t xml:space="preserve">Rs./ MT 9575</t>
  </si>
  <si>
    <t xml:space="preserve">A_title</t>
  </si>
  <si>
    <t xml:space="preserve">OK</t>
  </si>
  <si>
    <t xml:space="preserve">fetched 29 Sep 2026 (new post)</t>
  </si>
  <si>
    <t xml:space="preserve">https://seaofindia.com/seaquotes/25th-september-23/</t>
  </si>
  <si>
    <t xml:space="preserve">26th September 23</t>
  </si>
  <si>
    <t xml:space="preserve">2023-09-26T17:23:30</t>
  </si>
  <si>
    <t xml:space="preserve">Rs./ MT 9500</t>
  </si>
  <si>
    <t xml:space="preserve">https://seaofindia.com/seaquotes/26th-september-23/</t>
  </si>
  <si>
    <t xml:space="preserve">28th September 2023</t>
  </si>
  <si>
    <t xml:space="preserve">2023-09-27T16:59:38</t>
  </si>
  <si>
    <t xml:space="preserve">Rs./ MT 9450</t>
  </si>
  <si>
    <t xml:space="preserve">B_pub_title_implausible</t>
  </si>
  <si>
    <t xml:space="preserve">EXCLUDED: uncertain publication date</t>
  </si>
  <si>
    <t xml:space="preserve">https://seaofindia.com/seaquotes/28th-september-2023/</t>
  </si>
  <si>
    <t xml:space="preserve">29th September 23</t>
  </si>
  <si>
    <t xml:space="preserve">2023-09-29T17:34:34</t>
  </si>
  <si>
    <t xml:space="preserve">https://seaofindia.com/seaquotes/29th-september-23/</t>
  </si>
  <si>
    <t xml:space="preserve">3rd October 23</t>
  </si>
  <si>
    <t xml:space="preserve">2023-10-03T17:25:44</t>
  </si>
  <si>
    <t xml:space="preserve">Rs./ MT 9350</t>
  </si>
  <si>
    <t xml:space="preserve">matches live page 29 Sep 2026</t>
  </si>
  <si>
    <t xml:space="preserve">https://seaofindia.com/seaquotes/3rd-october-23/</t>
  </si>
  <si>
    <t xml:space="preserve">4th October 23</t>
  </si>
  <si>
    <t xml:space="preserve">2023-10-04T17:33:09</t>
  </si>
  <si>
    <t xml:space="preserve">Rs./ MT 9150</t>
  </si>
  <si>
    <t xml:space="preserve">https://seaofindia.com/seaquotes/4th-october-23/</t>
  </si>
  <si>
    <t xml:space="preserve">5th October 23</t>
  </si>
  <si>
    <t xml:space="preserve">2023-10-05T17:17:31</t>
  </si>
  <si>
    <t xml:space="preserve">Rs./ MT 9000</t>
  </si>
  <si>
    <t xml:space="preserve">https://seaofindia.com/seaquotes/5th-october-23/</t>
  </si>
  <si>
    <t xml:space="preserve">6th October 23</t>
  </si>
  <si>
    <t xml:space="preserve">2023-10-06T17:43:33</t>
  </si>
  <si>
    <t xml:space="preserve">Rs./ MT 8950</t>
  </si>
  <si>
    <t xml:space="preserve">https://seaofindia.com/seaquotes/6th-october-23/</t>
  </si>
  <si>
    <t xml:space="preserve">9th October 23</t>
  </si>
  <si>
    <t xml:space="preserve">2023-10-09T17:28:05</t>
  </si>
  <si>
    <t xml:space="preserve">Rs./ MT 8875</t>
  </si>
  <si>
    <t xml:space="preserve">https://seaofindia.com/seaquotes/9th-october-23/</t>
  </si>
  <si>
    <t xml:space="preserve">10th October 23</t>
  </si>
  <si>
    <t xml:space="preserve">2023-10-10T17:25:14</t>
  </si>
  <si>
    <t xml:space="preserve">https://seaofindia.com/seaquotes/10th-october-23/</t>
  </si>
  <si>
    <t xml:space="preserve">11th October 23</t>
  </si>
  <si>
    <t xml:space="preserve">2023-10-11T17:25:49</t>
  </si>
  <si>
    <t xml:space="preserve">Rs./ MT 8800</t>
  </si>
  <si>
    <t xml:space="preserve">https://seaofindia.com/seaquotes/11th-october-23/</t>
  </si>
  <si>
    <t xml:space="preserve">12th October 23</t>
  </si>
  <si>
    <t xml:space="preserve">2023-10-12T17:35:08</t>
  </si>
  <si>
    <t xml:space="preserve">Rs./ MT 8700</t>
  </si>
  <si>
    <t xml:space="preserve">https://seaofindia.com/seaquotes/12th-october-23/</t>
  </si>
  <si>
    <t xml:space="preserve">13th October 23</t>
  </si>
  <si>
    <t xml:space="preserve">2023-10-13T17:49:12</t>
  </si>
  <si>
    <t xml:space="preserve">https://seaofindia.com/seaquotes/13th-october-23/</t>
  </si>
  <si>
    <t xml:space="preserve">16thOctober 23</t>
  </si>
  <si>
    <t xml:space="preserve">2023-10-16T17:22:15</t>
  </si>
  <si>
    <t xml:space="preserve">Rs./ MT 8650</t>
  </si>
  <si>
    <t xml:space="preserve">https://seaofindia.com/seaquotes/16thoctober-23/</t>
  </si>
  <si>
    <t xml:space="preserve">18th October 23</t>
  </si>
  <si>
    <t xml:space="preserve">2023-10-18T18:24:33</t>
  </si>
  <si>
    <t xml:space="preserve">Rs./ MT 8600</t>
  </si>
  <si>
    <t xml:space="preserve">https://seaofindia.com/seaquotes/18th-october-23/</t>
  </si>
  <si>
    <t xml:space="preserve">19th october 2023</t>
  </si>
  <si>
    <t xml:space="preserve">2023-10-19T17:29:00</t>
  </si>
  <si>
    <t xml:space="preserve">Rs./ MT 8550</t>
  </si>
  <si>
    <t xml:space="preserve">https://seaofindia.com/seaquotes/19th-october-2023/</t>
  </si>
  <si>
    <t xml:space="preserve">20th Oct 23</t>
  </si>
  <si>
    <t xml:space="preserve">2023-10-20T17:38:48</t>
  </si>
  <si>
    <t xml:space="preserve">Rs./ MT 8450</t>
  </si>
  <si>
    <t xml:space="preserve">https://seaofindia.com/seaquotes/20th-oct-23/</t>
  </si>
  <si>
    <t xml:space="preserve">23rd October 23</t>
  </si>
  <si>
    <t xml:space="preserve">2023-10-23T17:29:11</t>
  </si>
  <si>
    <t xml:space="preserve">https://seaofindia.com/seaquotes/23rd-october-23/</t>
  </si>
  <si>
    <t xml:space="preserve">25th October 23</t>
  </si>
  <si>
    <t xml:space="preserve">2023-10-25T17:49:39</t>
  </si>
  <si>
    <t xml:space="preserve">Rs./ MT 8400</t>
  </si>
  <si>
    <t xml:space="preserve">https://seaofindia.com/seaquotes/25th-october-23/</t>
  </si>
  <si>
    <t xml:space="preserve">26th October 23</t>
  </si>
  <si>
    <t xml:space="preserve">2023-10-26T17:04:45</t>
  </si>
  <si>
    <t xml:space="preserve">Rs./ MT 8150</t>
  </si>
  <si>
    <t xml:space="preserve">https://seaofindia.com/seaquotes/26th-october-23/</t>
  </si>
  <si>
    <t xml:space="preserve">27th October 23</t>
  </si>
  <si>
    <t xml:space="preserve">2023-10-27T17:45:20</t>
  </si>
  <si>
    <t xml:space="preserve">Rs./ MT 8050</t>
  </si>
  <si>
    <t xml:space="preserve">https://seaofindia.com/seaquotes/27th-october-23/</t>
  </si>
  <si>
    <t xml:space="preserve">30th October 23</t>
  </si>
  <si>
    <t xml:space="preserve">2023-10-30T17:09:22</t>
  </si>
  <si>
    <t xml:space="preserve">Rs./ MT 7950</t>
  </si>
  <si>
    <t xml:space="preserve">https://seaofindia.com/seaquotes/30th-october-23/</t>
  </si>
  <si>
    <t xml:space="preserve">31st October 23</t>
  </si>
  <si>
    <t xml:space="preserve">2023-10-31T17:14:15</t>
  </si>
  <si>
    <t xml:space="preserve">Rs./ MT 7850</t>
  </si>
  <si>
    <t xml:space="preserve">https://seaofindia.com/seaquotes/31st-october-23/</t>
  </si>
  <si>
    <t xml:space="preserve">1st Novmber 23</t>
  </si>
  <si>
    <t xml:space="preserve">2023-11-01T17:20:25</t>
  </si>
  <si>
    <t xml:space="preserve">Rs./ MT 7750</t>
  </si>
  <si>
    <t xml:space="preserve">https://seaofindia.com/seaquotes/1st-novmber-23/</t>
  </si>
  <si>
    <t xml:space="preserve">2nd Nov 23</t>
  </si>
  <si>
    <t xml:space="preserve">2023-11-02T17:33:07</t>
  </si>
  <si>
    <t xml:space="preserve">Rs./ MT 7800</t>
  </si>
  <si>
    <t xml:space="preserve">https://seaofindia.com/seaquotes/2nd-nov-23/</t>
  </si>
  <si>
    <t xml:space="preserve">2023-11-03T17:26:11</t>
  </si>
  <si>
    <t xml:space="preserve">Rs./ M T 7950</t>
  </si>
  <si>
    <t xml:space="preserve">D_pub_no_usable_title</t>
  </si>
  <si>
    <t xml:space="preserve">https://seaofindia.com/seaquotes/11726-2/</t>
  </si>
  <si>
    <t xml:space="preserve">7th November 23</t>
  </si>
  <si>
    <t xml:space="preserve">2023-11-07T17:19:39</t>
  </si>
  <si>
    <t xml:space="preserve">https://seaofindia.com/seaquotes/7th-november-23/</t>
  </si>
  <si>
    <t xml:space="preserve">9th November 23</t>
  </si>
  <si>
    <t xml:space="preserve">2023-11-09T17:19:49</t>
  </si>
  <si>
    <t xml:space="preserve">https://seaofindia.com/seaquotes/9th-november-23/</t>
  </si>
  <si>
    <t xml:space="preserve">2023-11-10T17:30:39</t>
  </si>
  <si>
    <t xml:space="preserve">https://seaofindia.com/seaquotes/11740-2/</t>
  </si>
  <si>
    <t xml:space="preserve">16th November 23</t>
  </si>
  <si>
    <t xml:space="preserve">2023-11-16T17:31:27</t>
  </si>
  <si>
    <t xml:space="preserve">Rs./ MT NQ</t>
  </si>
  <si>
    <t xml:space="preserve">NQ (not quoted by SEA)</t>
  </si>
  <si>
    <t xml:space="preserve">https://seaofindia.com/seaquotes/16th-november-23/</t>
  </si>
  <si>
    <t xml:space="preserve">17th November 23</t>
  </si>
  <si>
    <t xml:space="preserve">2023-11-17T17:47:56</t>
  </si>
  <si>
    <t xml:space="preserve">https://seaofindia.com/seaquotes/17th-november-23/</t>
  </si>
  <si>
    <t xml:space="preserve">2023-11-17T17:49:15</t>
  </si>
  <si>
    <t xml:space="preserve">EXCLUDED: duplicate post (identical values, earlier post kept)</t>
  </si>
  <si>
    <t xml:space="preserve">https://seaofindia.com/seaquotes/17th-november-23-2/</t>
  </si>
  <si>
    <t xml:space="preserve">20th November 23</t>
  </si>
  <si>
    <t xml:space="preserve">2023-11-20T17:54:16</t>
  </si>
  <si>
    <t xml:space="preserve">https://seaofindia.com/seaquotes/20th-november-23/</t>
  </si>
  <si>
    <t xml:space="preserve">21st November 23</t>
  </si>
  <si>
    <t xml:space="preserve">2023-11-21T17:25:15</t>
  </si>
  <si>
    <t xml:space="preserve">https://seaofindia.com/seaquotes/21st-november-23/</t>
  </si>
  <si>
    <t xml:space="preserve">22nd November 23</t>
  </si>
  <si>
    <t xml:space="preserve">2023-11-22T17:26:44</t>
  </si>
  <si>
    <t xml:space="preserve">https://seaofindia.com/seaquotes/22nd-november-23/</t>
  </si>
  <si>
    <t xml:space="preserve">23rd November 23</t>
  </si>
  <si>
    <t xml:space="preserve">2023-11-23T17:33:47</t>
  </si>
  <si>
    <t xml:space="preserve">https://seaofindia.com/seaquotes/23rd-november-23/</t>
  </si>
  <si>
    <t xml:space="preserve">24thNovember 23</t>
  </si>
  <si>
    <t xml:space="preserve">2023-11-24T17:54:15</t>
  </si>
  <si>
    <t xml:space="preserve">Rs./ MT 8900</t>
  </si>
  <si>
    <t xml:space="preserve">https://seaofindia.com/seaquotes/24thnovember-23/</t>
  </si>
  <si>
    <t xml:space="preserve">28th November 23</t>
  </si>
  <si>
    <t xml:space="preserve">2023-11-28T17:00:57</t>
  </si>
  <si>
    <t xml:space="preserve">Rs./ MT 9050</t>
  </si>
  <si>
    <t xml:space="preserve">https://seaofindia.com/seaquotes/28th-november-23/</t>
  </si>
  <si>
    <t xml:space="preserve">29th Novembr 2023</t>
  </si>
  <si>
    <t xml:space="preserve">2023-11-29T17:15:46</t>
  </si>
  <si>
    <t xml:space="preserve">https://seaofindia.com/seaquotes/29th-novembr-2023/</t>
  </si>
  <si>
    <t xml:space="preserve">30th Nov 23</t>
  </si>
  <si>
    <t xml:space="preserve">2023-11-30T17:28:18</t>
  </si>
  <si>
    <t xml:space="preserve">https://seaofindia.com/seaquotes/30th-nov-23/</t>
  </si>
  <si>
    <t xml:space="preserve">1st Dec 23</t>
  </si>
  <si>
    <t xml:space="preserve">2023-12-01T17:54:57</t>
  </si>
  <si>
    <t xml:space="preserve">Rs./ MT 8850</t>
  </si>
  <si>
    <t xml:space="preserve">https://seaofindia.com/seaquotes/1st-dec-23/</t>
  </si>
  <si>
    <t xml:space="preserve">4th Dec 23</t>
  </si>
  <si>
    <t xml:space="preserve">2023-12-04T17:40:01</t>
  </si>
  <si>
    <t xml:space="preserve">Rs./ MT 8750</t>
  </si>
  <si>
    <t xml:space="preserve">https://seaofindia.com/seaquotes/4th-dec-23-2/</t>
  </si>
  <si>
    <t xml:space="preserve">6th Dec 23</t>
  </si>
  <si>
    <t xml:space="preserve">2023-12-06T17:35:23</t>
  </si>
  <si>
    <t xml:space="preserve">https://seaofindia.com/seaquotes/6th-dec-23/</t>
  </si>
  <si>
    <t xml:space="preserve">7th Dec 23</t>
  </si>
  <si>
    <t xml:space="preserve">2023-12-07T17:42:02</t>
  </si>
  <si>
    <t xml:space="preserve">https://seaofindia.com/seaquotes/7th-dec-23/</t>
  </si>
  <si>
    <t xml:space="preserve">11th Dec 23</t>
  </si>
  <si>
    <t xml:space="preserve">2023-12-11T17:03:50</t>
  </si>
  <si>
    <t xml:space="preserve">https://seaofindia.com/seaquotes/11th-dec-23/</t>
  </si>
  <si>
    <t xml:space="preserve">12th Dec 23</t>
  </si>
  <si>
    <t xml:space="preserve">2023-12-12T17:09:52</t>
  </si>
  <si>
    <t xml:space="preserve">https://seaofindia.com/seaquotes/12th-dec-23/</t>
  </si>
  <si>
    <t xml:space="preserve">14th Dec 23</t>
  </si>
  <si>
    <t xml:space="preserve">2023-12-14T17:27:08</t>
  </si>
  <si>
    <t xml:space="preserve">https://seaofindia.com/seaquotes/14th-dec-23/</t>
  </si>
  <si>
    <t xml:space="preserve">15th Dec 23</t>
  </si>
  <si>
    <t xml:space="preserve">2023-12-15T17:53:55</t>
  </si>
  <si>
    <t xml:space="preserve">https://seaofindia.com/seaquotes/15th-dec-23/</t>
  </si>
  <si>
    <t xml:space="preserve">26th Dec 2023</t>
  </si>
  <si>
    <t xml:space="preserve">2023-12-27T12:35:58</t>
  </si>
  <si>
    <t xml:space="preserve">https://seaofindia.com/seaquotes/26th-dec-2023/</t>
  </si>
  <si>
    <t xml:space="preserve">27th Dec 2023</t>
  </si>
  <si>
    <t xml:space="preserve">2023-12-28T16:03:33</t>
  </si>
  <si>
    <t xml:space="preserve">Rs./ MT 7900</t>
  </si>
  <si>
    <t xml:space="preserve">https://seaofindia.com/seaquotes/27th-dec-2023/</t>
  </si>
  <si>
    <t xml:space="preserve">27th DEC 23</t>
  </si>
  <si>
    <t xml:space="preserve">2023-12-28T16:04:25</t>
  </si>
  <si>
    <t xml:space="preserve">https://seaofindia.com/seaquotes/27th-dec-23/</t>
  </si>
  <si>
    <t xml:space="preserve">4th January 2024</t>
  </si>
  <si>
    <t xml:space="preserve">2024-01-04T10:00:25</t>
  </si>
  <si>
    <t xml:space="preserve">Rs./ MT 7650</t>
  </si>
  <si>
    <t xml:space="preserve">https://seaofindia.com/seaquotes/11811-2/</t>
  </si>
  <si>
    <t xml:space="preserve">5th Jan 24</t>
  </si>
  <si>
    <t xml:space="preserve">2024-01-05T17:56:38</t>
  </si>
  <si>
    <t xml:space="preserve">Rs./ MT 7600</t>
  </si>
  <si>
    <t xml:space="preserve">https://seaofindia.com/seaquotes/5th-jan-24/</t>
  </si>
  <si>
    <t xml:space="preserve">8h Jan 24</t>
  </si>
  <si>
    <t xml:space="preserve">2024-01-08T17:27:23</t>
  </si>
  <si>
    <t xml:space="preserve">Rs./ MT 7150</t>
  </si>
  <si>
    <t xml:space="preserve">C_title_lenient</t>
  </si>
  <si>
    <t xml:space="preserve">https://seaofindia.com/seaquotes/8h-jan-24/</t>
  </si>
  <si>
    <t xml:space="preserve">9th January 24</t>
  </si>
  <si>
    <t xml:space="preserve">2024-01-09T17:20:18</t>
  </si>
  <si>
    <t xml:space="preserve">Rs./MT 7400</t>
  </si>
  <si>
    <t xml:space="preserve">https://seaofindia.com/seaquotes/9th-january-24/</t>
  </si>
  <si>
    <t xml:space="preserve">10th January 24</t>
  </si>
  <si>
    <t xml:space="preserve">2024-01-10T17:12:10</t>
  </si>
  <si>
    <t xml:space="preserve">Rs./MT 7200</t>
  </si>
  <si>
    <t xml:space="preserve">https://seaofindia.com/seaquotes/10th-january-24/</t>
  </si>
  <si>
    <t xml:space="preserve">11th January 24</t>
  </si>
  <si>
    <t xml:space="preserve">2024-01-11T17:40:10</t>
  </si>
  <si>
    <t xml:space="preserve">Rs./MT 7100</t>
  </si>
  <si>
    <t xml:space="preserve">https://seaofindia.com/seaquotes/11th-january-24/</t>
  </si>
  <si>
    <t xml:space="preserve">12th January 24</t>
  </si>
  <si>
    <t xml:space="preserve">2024-01-12T17:29:56</t>
  </si>
  <si>
    <t xml:space="preserve">Rs./MT 70500</t>
  </si>
  <si>
    <t xml:space="preserve">EXCLUDED: factor-of-10 publication error</t>
  </si>
  <si>
    <t xml:space="preserve">https://seaofindia.com/seaquotes/12th-january-24/</t>
  </si>
  <si>
    <t xml:space="preserve">15th January 24</t>
  </si>
  <si>
    <t xml:space="preserve">2024-01-15T17:13:11</t>
  </si>
  <si>
    <t xml:space="preserve">Rs./MT 69500</t>
  </si>
  <si>
    <t xml:space="preserve">https://seaofindia.com/seaquotes/15th-january-24/</t>
  </si>
  <si>
    <t xml:space="preserve">16h Jan 24</t>
  </si>
  <si>
    <t xml:space="preserve">2024-01-16T17:09:49</t>
  </si>
  <si>
    <t xml:space="preserve">Rs./MT 6950</t>
  </si>
  <si>
    <t xml:space="preserve">https://seaofindia.com/seaquotes/16h-jan-24/</t>
  </si>
  <si>
    <t xml:space="preserve">17th January 24</t>
  </si>
  <si>
    <t xml:space="preserve">2024-01-17T17:10:42</t>
  </si>
  <si>
    <t xml:space="preserve">https://seaofindia.com/seaquotes/17th-january-24/</t>
  </si>
  <si>
    <t xml:space="preserve">18th January 24</t>
  </si>
  <si>
    <t xml:space="preserve">2024-01-18T17:32:36</t>
  </si>
  <si>
    <t xml:space="preserve">Rs./MT 6850</t>
  </si>
  <si>
    <t xml:space="preserve">https://seaofindia.com/seaquotes/18th-january-24/</t>
  </si>
  <si>
    <t xml:space="preserve">24th Jan 24</t>
  </si>
  <si>
    <t xml:space="preserve">2024-01-24T17:28:25</t>
  </si>
  <si>
    <t xml:space="preserve">https://seaofindia.com/seaquotes/24th-jan-24/</t>
  </si>
  <si>
    <t xml:space="preserve">25th Jan 24</t>
  </si>
  <si>
    <t xml:space="preserve">2024-01-25T17:49:23</t>
  </si>
  <si>
    <t xml:space="preserve">https://seaofindia.com/seaquotes/25th-jan-24/</t>
  </si>
  <si>
    <t xml:space="preserve">29th Jan 24</t>
  </si>
  <si>
    <t xml:space="preserve">2024-01-29T17:12:36</t>
  </si>
  <si>
    <t xml:space="preserve">Rs./MT 6750</t>
  </si>
  <si>
    <t xml:space="preserve">https://seaofindia.com/seaquotes/29th-jan-24/</t>
  </si>
  <si>
    <t xml:space="preserve">30th Jan 24</t>
  </si>
  <si>
    <t xml:space="preserve">2024-01-30T17:30:38</t>
  </si>
  <si>
    <t xml:space="preserve">Rs./MT 6700</t>
  </si>
  <si>
    <t xml:space="preserve">https://seaofindia.com/seaquotes/30th-jan-24/</t>
  </si>
  <si>
    <t xml:space="preserve">31st Jan 24</t>
  </si>
  <si>
    <t xml:space="preserve">2024-01-31T17:26:34</t>
  </si>
  <si>
    <t xml:space="preserve">Rs./MT 6650</t>
  </si>
  <si>
    <t xml:space="preserve">https://seaofindia.com/seaquotes/31st-jan-24/</t>
  </si>
  <si>
    <t xml:space="preserve">1st Feb 24</t>
  </si>
  <si>
    <t xml:space="preserve">2024-02-01T17:05:31</t>
  </si>
  <si>
    <t xml:space="preserve">Rs./MT 6550</t>
  </si>
  <si>
    <t xml:space="preserve">https://seaofindia.com/seaquotes/1st-feb-24/</t>
  </si>
  <si>
    <t xml:space="preserve">2nd Feb 24</t>
  </si>
  <si>
    <t xml:space="preserve">2024-02-02T17:40:00</t>
  </si>
  <si>
    <t xml:space="preserve">Rs./MT 6350</t>
  </si>
  <si>
    <t xml:space="preserve">https://seaofindia.com/seaquotes/2nd-feb-24/</t>
  </si>
  <si>
    <t xml:space="preserve">5th Feb 24</t>
  </si>
  <si>
    <t xml:space="preserve">2024-02-05T17:02:49</t>
  </si>
  <si>
    <t xml:space="preserve">Rs./MT 6050</t>
  </si>
  <si>
    <t xml:space="preserve">https://seaofindia.com/seaquotes/5th-feb-24/</t>
  </si>
  <si>
    <t xml:space="preserve">6th Feb 24</t>
  </si>
  <si>
    <t xml:space="preserve">2024-02-06T17:20:52</t>
  </si>
  <si>
    <t xml:space="preserve">https://seaofindia.com/seaquotes/6th-feb-24/</t>
  </si>
  <si>
    <t xml:space="preserve">7th Feb 24</t>
  </si>
  <si>
    <t xml:space="preserve">2024-02-07T17:05:15</t>
  </si>
  <si>
    <t xml:space="preserve">Rs./MT 6250</t>
  </si>
  <si>
    <t xml:space="preserve">https://seaofindia.com/seaquotes/7th-feb-24/</t>
  </si>
  <si>
    <t xml:space="preserve">8th Feb 24</t>
  </si>
  <si>
    <t xml:space="preserve">2024-02-08T17:02:13</t>
  </si>
  <si>
    <t xml:space="preserve">Rs./MT 6150</t>
  </si>
  <si>
    <t xml:space="preserve">https://seaofindia.com/seaquotes/8th-feb-24/</t>
  </si>
  <si>
    <t xml:space="preserve">9th Feb 24</t>
  </si>
  <si>
    <t xml:space="preserve">2024-02-09T17:21:58</t>
  </si>
  <si>
    <t xml:space="preserve">https://seaofindia.com/seaquotes/9th-feb-24/</t>
  </si>
  <si>
    <t xml:space="preserve">12th Feb 24</t>
  </si>
  <si>
    <t xml:space="preserve">2024-02-12T17:13:57</t>
  </si>
  <si>
    <t xml:space="preserve">https://seaofindia.com/seaquotes/12th-feb-24/</t>
  </si>
  <si>
    <t xml:space="preserve">14th Feb 24</t>
  </si>
  <si>
    <t xml:space="preserve">2024-02-14T17:02:09</t>
  </si>
  <si>
    <t xml:space="preserve">https://seaofindia.com/seaquotes/14th-feb-24/</t>
  </si>
  <si>
    <t xml:space="preserve">15th Feb 24</t>
  </si>
  <si>
    <t xml:space="preserve">2024-02-15T17:46:57</t>
  </si>
  <si>
    <t xml:space="preserve">https://seaofindia.com/seaquotes/15th-feb-24/</t>
  </si>
  <si>
    <t xml:space="preserve">16th Feb 24</t>
  </si>
  <si>
    <t xml:space="preserve">2024-02-16T17:41:07</t>
  </si>
  <si>
    <t xml:space="preserve">Rs./MT 6450</t>
  </si>
  <si>
    <t xml:space="preserve">https://seaofindia.com/seaquotes/16th-feb-24/</t>
  </si>
  <si>
    <t xml:space="preserve">19th Feb 24</t>
  </si>
  <si>
    <t xml:space="preserve">2024-02-19T17:34:39</t>
  </si>
  <si>
    <t xml:space="preserve">https://seaofindia.com/seaquotes/19th-feb-24/</t>
  </si>
  <si>
    <t xml:space="preserve">20th February 24</t>
  </si>
  <si>
    <t xml:space="preserve">2024-02-20T16:56:48</t>
  </si>
  <si>
    <t xml:space="preserve">Rs./MT 6500</t>
  </si>
  <si>
    <t xml:space="preserve">https://seaofindia.com/seaquotes/20th-february-24/</t>
  </si>
  <si>
    <t xml:space="preserve">21st Fb 24</t>
  </si>
  <si>
    <t xml:space="preserve">2024-02-21T17:23:26</t>
  </si>
  <si>
    <t xml:space="preserve">https://seaofindia.com/seaquotes/21st-fb-24/</t>
  </si>
  <si>
    <t xml:space="preserve">22nd Feb 24</t>
  </si>
  <si>
    <t xml:space="preserve">2024-02-22T17:19:36</t>
  </si>
  <si>
    <t xml:space="preserve">https://seaofindia.com/seaquotes/22nd-feb-24/</t>
  </si>
  <si>
    <t xml:space="preserve">23rd Feb 24</t>
  </si>
  <si>
    <t xml:space="preserve">2024-02-23T17:32:25</t>
  </si>
  <si>
    <t xml:space="preserve">https://seaofindia.com/seaquotes/23rd-feb-24/</t>
  </si>
  <si>
    <t xml:space="preserve">26th Feb 24</t>
  </si>
  <si>
    <t xml:space="preserve">2024-02-26T17:08:05</t>
  </si>
  <si>
    <t xml:space="preserve">https://seaofindia.com/seaquotes/26th-feb-24/</t>
  </si>
  <si>
    <t xml:space="preserve">27th Feb 24</t>
  </si>
  <si>
    <t xml:space="preserve">2024-02-27T17:23:20</t>
  </si>
  <si>
    <t xml:space="preserve">https://seaofindia.com/seaquotes/27th-feb-24/</t>
  </si>
  <si>
    <t xml:space="preserve">28th Feb 24</t>
  </si>
  <si>
    <t xml:space="preserve">2024-02-28T17:39:26</t>
  </si>
  <si>
    <t xml:space="preserve">https://seaofindia.com/seaquotes/28th-feb-24/</t>
  </si>
  <si>
    <t xml:space="preserve">4th March 24</t>
  </si>
  <si>
    <t xml:space="preserve">2024-03-04T17:17:39</t>
  </si>
  <si>
    <t xml:space="preserve">https://seaofindia.com/seaquotes/4th-march-24/</t>
  </si>
  <si>
    <t xml:space="preserve">5th March 24</t>
  </si>
  <si>
    <t xml:space="preserve">2024-03-05T17:06:15</t>
  </si>
  <si>
    <t xml:space="preserve">https://seaofindia.com/seaquotes/5th-march-24/</t>
  </si>
  <si>
    <t xml:space="preserve">7th March 24</t>
  </si>
  <si>
    <t xml:space="preserve">2024-03-07T17:16:21</t>
  </si>
  <si>
    <t xml:space="preserve">Rs./MT 6600</t>
  </si>
  <si>
    <t xml:space="preserve">https://seaofindia.com/seaquotes/7th-march-24/</t>
  </si>
  <si>
    <t xml:space="preserve">11th March 24</t>
  </si>
  <si>
    <t xml:space="preserve">2024-03-11T16:47:17</t>
  </si>
  <si>
    <t xml:space="preserve">https://seaofindia.com/seaquotes/11th-march-24/</t>
  </si>
  <si>
    <t xml:space="preserve">12h March 24</t>
  </si>
  <si>
    <t xml:space="preserve">2024-03-12T17:23:49</t>
  </si>
  <si>
    <t xml:space="preserve">https://seaofindia.com/seaquotes/12h-march-24/</t>
  </si>
  <si>
    <t xml:space="preserve">12th March 24</t>
  </si>
  <si>
    <t xml:space="preserve">2024-03-12T17:32:47</t>
  </si>
  <si>
    <t xml:space="preserve">https://seaofindia.com/seaquotes/12th-march-24/</t>
  </si>
  <si>
    <t xml:space="preserve">13th March 24</t>
  </si>
  <si>
    <t xml:space="preserve">2024-03-13T17:20:57</t>
  </si>
  <si>
    <t xml:space="preserve">https://seaofindia.com/seaquotes/13th-march-24/</t>
  </si>
  <si>
    <t xml:space="preserve">14th March 24</t>
  </si>
  <si>
    <t xml:space="preserve">2024-03-14T16:59:40</t>
  </si>
  <si>
    <t xml:space="preserve">https://seaofindia.com/seaquotes/14th-march-24/</t>
  </si>
  <si>
    <t xml:space="preserve">15th March 24</t>
  </si>
  <si>
    <t xml:space="preserve">2024-03-15T17:45:04</t>
  </si>
  <si>
    <t xml:space="preserve">https://seaofindia.com/seaquotes/15th-march-24/</t>
  </si>
  <si>
    <t xml:space="preserve">18th March 24</t>
  </si>
  <si>
    <t xml:space="preserve">2024-03-18T17:09:57</t>
  </si>
  <si>
    <t xml:space="preserve">https://seaofindia.com/seaquotes/18th-march-24/</t>
  </si>
  <si>
    <t xml:space="preserve">19th March 24</t>
  </si>
  <si>
    <t xml:space="preserve">2024-03-19T17:29:28</t>
  </si>
  <si>
    <t xml:space="preserve">https://seaofindia.com/seaquotes/19th-march-24/</t>
  </si>
  <si>
    <t xml:space="preserve">20th Jan 24</t>
  </si>
  <si>
    <t xml:space="preserve">2024-03-20T17:11:20</t>
  </si>
  <si>
    <t xml:space="preserve">https://seaofindia.com/seaquotes/20th-jan-24/</t>
  </si>
  <si>
    <t xml:space="preserve">21st March 24</t>
  </si>
  <si>
    <t xml:space="preserve">2024-03-21T17:13:33</t>
  </si>
  <si>
    <t xml:space="preserve">https://seaofindia.com/seaquotes/21st-march-24/</t>
  </si>
  <si>
    <t xml:space="preserve">22nd March 24</t>
  </si>
  <si>
    <t xml:space="preserve">2024-03-22T17:28:08</t>
  </si>
  <si>
    <t xml:space="preserve">https://seaofindia.com/seaquotes/22nd-march-24/</t>
  </si>
  <si>
    <t xml:space="preserve">27th March 24</t>
  </si>
  <si>
    <t xml:space="preserve">2024-03-27T17:39:05</t>
  </si>
  <si>
    <t xml:space="preserve">https://seaofindia.com/seaquotes/27th-march-24/</t>
  </si>
  <si>
    <t xml:space="preserve">28th March 24</t>
  </si>
  <si>
    <t xml:space="preserve">2024-03-28T17:42:59</t>
  </si>
  <si>
    <t xml:space="preserve">https://seaofindia.com/seaquotes/28th-march-24/</t>
  </si>
  <si>
    <t xml:space="preserve">1st April 24</t>
  </si>
  <si>
    <t xml:space="preserve">2024-04-01T17:26:46</t>
  </si>
  <si>
    <t xml:space="preserve">https://seaofindia.com/seaquotes/1st-april-24/</t>
  </si>
  <si>
    <t xml:space="preserve">2nd April 24</t>
  </si>
  <si>
    <t xml:space="preserve">2024-04-02T17:20:10</t>
  </si>
  <si>
    <t xml:space="preserve">https://seaofindia.com/seaquotes/2nd-april-24/</t>
  </si>
  <si>
    <t xml:space="preserve">3rd April 24</t>
  </si>
  <si>
    <t xml:space="preserve">2024-04-03T17:36:33</t>
  </si>
  <si>
    <t xml:space="preserve">https://seaofindia.com/seaquotes/3rd-april-24/</t>
  </si>
  <si>
    <t xml:space="preserve">4th April 24</t>
  </si>
  <si>
    <t xml:space="preserve">2024-04-04T16:32:45</t>
  </si>
  <si>
    <t xml:space="preserve">https://seaofindia.com/seaquotes/4th-april-24/</t>
  </si>
  <si>
    <t xml:space="preserve">5th April 24</t>
  </si>
  <si>
    <t xml:space="preserve">2024-04-05T17:38:16</t>
  </si>
  <si>
    <t xml:space="preserve">https://seaofindia.com/seaquotes/5th-april-24/</t>
  </si>
  <si>
    <t xml:space="preserve">8th April 24</t>
  </si>
  <si>
    <t xml:space="preserve">2024-04-08T17:32:10</t>
  </si>
  <si>
    <t xml:space="preserve">https://seaofindia.com/seaquotes/8th-april-24/</t>
  </si>
  <si>
    <t xml:space="preserve">10th Aprl 24</t>
  </si>
  <si>
    <t xml:space="preserve">2024-04-10T17:33:57</t>
  </si>
  <si>
    <t xml:space="preserve">Rs./MT 63000</t>
  </si>
  <si>
    <t xml:space="preserve">https://seaofindia.com/seaquotes/10th-aprl-24/</t>
  </si>
  <si>
    <t xml:space="preserve">12th Aprl 24</t>
  </si>
  <si>
    <t xml:space="preserve">2024-04-12T17:34:02</t>
  </si>
  <si>
    <t xml:space="preserve">https://seaofindia.com/seaquotes/12th-aprl-24/</t>
  </si>
  <si>
    <t xml:space="preserve">15th April 24</t>
  </si>
  <si>
    <t xml:space="preserve">2024-04-15T17:20:12</t>
  </si>
  <si>
    <t xml:space="preserve">https://seaofindia.com/seaquotes/15th-april-24/</t>
  </si>
  <si>
    <t xml:space="preserve">16th April 24</t>
  </si>
  <si>
    <t xml:space="preserve">2024-04-16T17:28:31</t>
  </si>
  <si>
    <t xml:space="preserve">https://seaofindia.com/seaquotes/16th-april-24/</t>
  </si>
  <si>
    <t xml:space="preserve">17th April 24</t>
  </si>
  <si>
    <t xml:space="preserve">2024-04-17T16:56:23</t>
  </si>
  <si>
    <t xml:space="preserve">https://seaofindia.com/seaquotes/17th-april-24/</t>
  </si>
  <si>
    <t xml:space="preserve">18th April 24</t>
  </si>
  <si>
    <t xml:space="preserve">2024-04-18T17:28:25</t>
  </si>
  <si>
    <t xml:space="preserve">https://seaofindia.com/seaquotes/18th-april-24/</t>
  </si>
  <si>
    <t xml:space="preserve">22nd April 24</t>
  </si>
  <si>
    <t xml:space="preserve">2024-04-22T17:03:37</t>
  </si>
  <si>
    <t xml:space="preserve">https://seaofindia.com/seaquotes/22nd-april-24/</t>
  </si>
  <si>
    <t xml:space="preserve">23rd April 24</t>
  </si>
  <si>
    <t xml:space="preserve">2024-04-23T16:33:19</t>
  </si>
  <si>
    <t xml:space="preserve">https://seaofindia.com/seaquotes/23rd-april-24/</t>
  </si>
  <si>
    <t xml:space="preserve">24th April 24</t>
  </si>
  <si>
    <t xml:space="preserve">2024-04-24T17:03:45</t>
  </si>
  <si>
    <t xml:space="preserve">https://seaofindia.com/seaquotes/24th-april-24/</t>
  </si>
  <si>
    <t xml:space="preserve">25th April 24</t>
  </si>
  <si>
    <t xml:space="preserve">2024-04-25T17:14:51</t>
  </si>
  <si>
    <t xml:space="preserve">https://seaofindia.com/seaquotes/25th-april-24/</t>
  </si>
  <si>
    <t xml:space="preserve">26th April 24</t>
  </si>
  <si>
    <t xml:space="preserve">2024-04-26T17:24:33</t>
  </si>
  <si>
    <t xml:space="preserve">https://seaofindia.com/seaquotes/26th-april-24/</t>
  </si>
  <si>
    <t xml:space="preserve">2024-04-29T17:24:33</t>
  </si>
  <si>
    <t xml:space="preserve">https://seaofindia.com/seaquotes/29th-jan-24-2/</t>
  </si>
  <si>
    <t xml:space="preserve">30th April 24</t>
  </si>
  <si>
    <t xml:space="preserve">2024-04-30T16:55:28</t>
  </si>
  <si>
    <t xml:space="preserve">(row absent)</t>
  </si>
  <si>
    <t xml:space="preserve">https://seaofindia.com/seaquotes/30th-april-24/</t>
  </si>
  <si>
    <t xml:space="preserve">2nd May 24</t>
  </si>
  <si>
    <t xml:space="preserve">2024-05-02T17:03:58</t>
  </si>
  <si>
    <t xml:space="preserve">https://seaofindia.com/seaquotes/2nd-may-24/</t>
  </si>
  <si>
    <t xml:space="preserve">3rd May 24</t>
  </si>
  <si>
    <t xml:space="preserve">2024-05-03T18:08:31</t>
  </si>
  <si>
    <t xml:space="preserve">https://seaofindia.com/seaquotes/3rd-may-24/</t>
  </si>
  <si>
    <t xml:space="preserve">6th May 24</t>
  </si>
  <si>
    <t xml:space="preserve">2024-05-06T17:11:21</t>
  </si>
  <si>
    <t xml:space="preserve">https://seaofindia.com/seaquotes/6th-may-24/</t>
  </si>
  <si>
    <t xml:space="preserve">8th May 24</t>
  </si>
  <si>
    <t xml:space="preserve">2024-05-08T17:23:21</t>
  </si>
  <si>
    <t xml:space="preserve">https://seaofindia.com/seaquotes/8th-may-24/</t>
  </si>
  <si>
    <t xml:space="preserve">9th May 24</t>
  </si>
  <si>
    <t xml:space="preserve">2024-05-09T17:46:24</t>
  </si>
  <si>
    <t xml:space="preserve">https://seaofindia.com/seaquotes/9th-may-24/</t>
  </si>
  <si>
    <t xml:space="preserve">13th May 24</t>
  </si>
  <si>
    <t xml:space="preserve">2024-05-10T17:57:44</t>
  </si>
  <si>
    <t xml:space="preserve">https://seaofindia.com/seaquotes/10th-may-24/</t>
  </si>
  <si>
    <t xml:space="preserve">2024-05-13T17:22:23</t>
  </si>
  <si>
    <t xml:space="preserve">https://seaofindia.com/seaquotes/13th-may-24/</t>
  </si>
  <si>
    <t xml:space="preserve">14th May 24</t>
  </si>
  <si>
    <t xml:space="preserve">2024-05-14T17:57:09</t>
  </si>
  <si>
    <t xml:space="preserve">https://seaofindia.com/seaquotes/14th-may-24/</t>
  </si>
  <si>
    <t xml:space="preserve">15th May 24</t>
  </si>
  <si>
    <t xml:space="preserve">2024-05-15T17:21:00</t>
  </si>
  <si>
    <t xml:space="preserve">https://seaofindia.com/seaquotes/15th-may-24/</t>
  </si>
  <si>
    <t xml:space="preserve">16th May 24</t>
  </si>
  <si>
    <t xml:space="preserve">2024-05-16T17:15:37</t>
  </si>
  <si>
    <t xml:space="preserve">https://seaofindia.com/seaquotes/16th-may-24/</t>
  </si>
  <si>
    <t xml:space="preserve">20th June 24</t>
  </si>
  <si>
    <t xml:space="preserve">2024-06-20T05:00:34</t>
  </si>
  <si>
    <t xml:space="preserve">https://seaofindia.com/seaquotes/21st-may-24/</t>
  </si>
  <si>
    <t xml:space="preserve">24th June 24</t>
  </si>
  <si>
    <t xml:space="preserve">2024-06-24T17:05:51</t>
  </si>
  <si>
    <t xml:space="preserve">https://seaofindia.com/seaquotes/24th-june-24/</t>
  </si>
  <si>
    <t xml:space="preserve">25th June 24</t>
  </si>
  <si>
    <t xml:space="preserve">2024-06-25T17:18:29</t>
  </si>
  <si>
    <t xml:space="preserve">https://seaofindia.com/seaquotes/25th-june-24/</t>
  </si>
  <si>
    <t xml:space="preserve">26thJune 24</t>
  </si>
  <si>
    <t xml:space="preserve">2024-06-26T17:21:25</t>
  </si>
  <si>
    <t xml:space="preserve">https://seaofindia.com/seaquotes/26thjune-24/</t>
  </si>
  <si>
    <t xml:space="preserve">27th June 24</t>
  </si>
  <si>
    <t xml:space="preserve">2024-06-27T17:20:12</t>
  </si>
  <si>
    <t xml:space="preserve">https://seaofindia.com/seaquotes/27th-june-24/</t>
  </si>
  <si>
    <t xml:space="preserve">1st July 24</t>
  </si>
  <si>
    <t xml:space="preserve">2024-07-01T17:18:02</t>
  </si>
  <si>
    <t xml:space="preserve">https://seaofindia.com/seaquotes/1st-july-24/</t>
  </si>
  <si>
    <t xml:space="preserve">2024-07-01T17:18:57</t>
  </si>
  <si>
    <t xml:space="preserve">https://seaofindia.com/seaquotes/1st-july-24-2/</t>
  </si>
  <si>
    <t xml:space="preserve">2nd July. 24</t>
  </si>
  <si>
    <t xml:space="preserve">2024-07-02T17:09:26</t>
  </si>
  <si>
    <t xml:space="preserve">https://seaofindia.com/seaquotes/2nd-july-24/</t>
  </si>
  <si>
    <t xml:space="preserve">3rd July 24</t>
  </si>
  <si>
    <t xml:space="preserve">2024-07-03T17:23:50</t>
  </si>
  <si>
    <t xml:space="preserve">https://seaofindia.com/seaquotes/3rd-july-24/</t>
  </si>
  <si>
    <t xml:space="preserve">4th July 24</t>
  </si>
  <si>
    <t xml:space="preserve">2024-07-04T17:08:49</t>
  </si>
  <si>
    <t xml:space="preserve">https://seaofindia.com/seaquotes/4th-july-24/</t>
  </si>
  <si>
    <t xml:space="preserve">5th July 24</t>
  </si>
  <si>
    <t xml:space="preserve">2024-07-05T17:31:28</t>
  </si>
  <si>
    <t xml:space="preserve">https://seaofindia.com/seaquotes/5th-july-24/</t>
  </si>
  <si>
    <t xml:space="preserve">8th July 24</t>
  </si>
  <si>
    <t xml:space="preserve">2024-07-08T16:55:28</t>
  </si>
  <si>
    <t xml:space="preserve">https://seaofindia.com/seaquotes/8th-july-24/</t>
  </si>
  <si>
    <t xml:space="preserve">9th july 24</t>
  </si>
  <si>
    <t xml:space="preserve">2024-07-09T18:00:39</t>
  </si>
  <si>
    <t xml:space="preserve">https://seaofindia.com/seaquotes/9th-july-24/</t>
  </si>
  <si>
    <t xml:space="preserve">10th July 24</t>
  </si>
  <si>
    <t xml:space="preserve">2024-07-10T17:28:17</t>
  </si>
  <si>
    <t xml:space="preserve">https://seaofindia.com/seaquotes/10th-july-24/</t>
  </si>
  <si>
    <t xml:space="preserve">11th July 24</t>
  </si>
  <si>
    <t xml:space="preserve">2024-07-11T16:59:09</t>
  </si>
  <si>
    <t xml:space="preserve">https://seaofindia.com/seaquotes/11th-july-24/</t>
  </si>
  <si>
    <t xml:space="preserve">12th July 24</t>
  </si>
  <si>
    <t xml:space="preserve">2024-07-12T17:14:03</t>
  </si>
  <si>
    <t xml:space="preserve">https://seaofindia.com/seaquotes/12th-july-24/</t>
  </si>
  <si>
    <t xml:space="preserve">15th July 24</t>
  </si>
  <si>
    <t xml:space="preserve">2024-07-15T17:10:57</t>
  </si>
  <si>
    <t xml:space="preserve">https://seaofindia.com/seaquotes/15th-july-24/</t>
  </si>
  <si>
    <t xml:space="preserve">16th July 24</t>
  </si>
  <si>
    <t xml:space="preserve">2024-07-16T16:54:28</t>
  </si>
  <si>
    <t xml:space="preserve">https://seaofindia.com/seaquotes/16th-july-24/</t>
  </si>
  <si>
    <t xml:space="preserve">17th July 24</t>
  </si>
  <si>
    <t xml:space="preserve">2024-07-17T16:54:53</t>
  </si>
  <si>
    <t xml:space="preserve">https://seaofindia.com/seaquotes/17th-july-24/</t>
  </si>
  <si>
    <t xml:space="preserve">18th July 24</t>
  </si>
  <si>
    <t xml:space="preserve">2024-07-18T17:00:46</t>
  </si>
  <si>
    <t xml:space="preserve">https://seaofindia.com/seaquotes/18th-july-24/</t>
  </si>
  <si>
    <t xml:space="preserve">19th July 24</t>
  </si>
  <si>
    <t xml:space="preserve">2024-07-19T17:22:07</t>
  </si>
  <si>
    <t xml:space="preserve">https://seaofindia.com/seaquotes/19th-july-24/</t>
  </si>
  <si>
    <t xml:space="preserve">23rd July 24</t>
  </si>
  <si>
    <t xml:space="preserve">2024-07-23T17:01:34</t>
  </si>
  <si>
    <t xml:space="preserve">https://seaofindia.com/seaquotes/23rd-july-24/</t>
  </si>
  <si>
    <t xml:space="preserve">24th July 24</t>
  </si>
  <si>
    <t xml:space="preserve">2024-07-24T17:15:51</t>
  </si>
  <si>
    <t xml:space="preserve">https://seaofindia.com/seaquotes/24th-july-24/</t>
  </si>
  <si>
    <t xml:space="preserve">25th July 25</t>
  </si>
  <si>
    <t xml:space="preserve">2024-07-25T17:11:50</t>
  </si>
  <si>
    <t xml:space="preserve">https://seaofindia.com/seaquotes/25th-july-25/</t>
  </si>
  <si>
    <t xml:space="preserve">26th July 24</t>
  </si>
  <si>
    <t xml:space="preserve">2024-07-26T18:02:34</t>
  </si>
  <si>
    <t xml:space="preserve">https://seaofindia.com/seaquotes/26th-july-24/</t>
  </si>
  <si>
    <t xml:space="preserve">29th July 24</t>
  </si>
  <si>
    <t xml:space="preserve">2024-07-29T17:21:47</t>
  </si>
  <si>
    <t xml:space="preserve">https://seaofindia.com/seaquotes/29th-july-24/</t>
  </si>
  <si>
    <t xml:space="preserve">30th July 24</t>
  </si>
  <si>
    <t xml:space="preserve">2024-07-30T17:38:26</t>
  </si>
  <si>
    <t xml:space="preserve">https://seaofindia.com/seaquotes/30th-july-24/</t>
  </si>
  <si>
    <t xml:space="preserve">31st July 24</t>
  </si>
  <si>
    <t xml:space="preserve">2024-07-31T17:28:36</t>
  </si>
  <si>
    <t xml:space="preserve">https://seaofindia.com/seaquotes/31st-july-24/</t>
  </si>
  <si>
    <t xml:space="preserve">1st August 24</t>
  </si>
  <si>
    <t xml:space="preserve">2024-08-01T17:15:55</t>
  </si>
  <si>
    <t xml:space="preserve">https://seaofindia.com/seaquotes/1st-august-24/</t>
  </si>
  <si>
    <t xml:space="preserve">2nd August 24</t>
  </si>
  <si>
    <t xml:space="preserve">2024-08-02T17:48:23</t>
  </si>
  <si>
    <t xml:space="preserve">https://seaofindia.com/seaquotes/2nd-august-24/</t>
  </si>
  <si>
    <t xml:space="preserve">5th August 24</t>
  </si>
  <si>
    <t xml:space="preserve">2024-08-05T17:37:08</t>
  </si>
  <si>
    <t xml:space="preserve">https://seaofindia.com/seaquotes/5th-august-24/</t>
  </si>
  <si>
    <t xml:space="preserve">6th August 24</t>
  </si>
  <si>
    <t xml:space="preserve">2024-08-06T17:29:36</t>
  </si>
  <si>
    <t xml:space="preserve">https://seaofindia.com/seaquotes/6th-august-24/</t>
  </si>
  <si>
    <t xml:space="preserve">7th August 24</t>
  </si>
  <si>
    <t xml:space="preserve">2024-08-07T17:25:11</t>
  </si>
  <si>
    <t xml:space="preserve">https://seaofindia.com/seaquotes/7th-august-24/</t>
  </si>
  <si>
    <t xml:space="preserve">8th August 24</t>
  </si>
  <si>
    <t xml:space="preserve">2024-08-08T17:51:55</t>
  </si>
  <si>
    <t xml:space="preserve">https://seaofindia.com/seaquotes/8th-august-24/</t>
  </si>
  <si>
    <t xml:space="preserve">9th August 24</t>
  </si>
  <si>
    <t xml:space="preserve">2024-08-09T17:09:09</t>
  </si>
  <si>
    <t xml:space="preserve">https://seaofindia.com/seaquotes/9th-august-24/</t>
  </si>
  <si>
    <t xml:space="preserve">12th August 24</t>
  </si>
  <si>
    <t xml:space="preserve">2024-08-12T17:39:44</t>
  </si>
  <si>
    <t xml:space="preserve">https://seaofindia.com/seaquotes/12th-august-24/</t>
  </si>
  <si>
    <t xml:space="preserve">13th August 24</t>
  </si>
  <si>
    <t xml:space="preserve">2024-08-13T17:34:09</t>
  </si>
  <si>
    <t xml:space="preserve">https://seaofindia.com/seaquotes/13th-august-24/</t>
  </si>
  <si>
    <t xml:space="preserve">14th August 24</t>
  </si>
  <si>
    <t xml:space="preserve">2024-08-14T17:36:17</t>
  </si>
  <si>
    <t xml:space="preserve">https://seaofindia.com/seaquotes/14th-august-24/</t>
  </si>
  <si>
    <t xml:space="preserve">16th Aug 24</t>
  </si>
  <si>
    <t xml:space="preserve">2024-08-16T17:19:46</t>
  </si>
  <si>
    <t xml:space="preserve">https://seaofindia.com/seaquotes/16th-aug-24/</t>
  </si>
  <si>
    <t xml:space="preserve">20th August 24</t>
  </si>
  <si>
    <t xml:space="preserve">2024-08-20T17:29:04</t>
  </si>
  <si>
    <t xml:space="preserve">https://seaofindia.com/seaquotes/20th-august-24/</t>
  </si>
  <si>
    <t xml:space="preserve">21st August 24</t>
  </si>
  <si>
    <t xml:space="preserve">2024-08-21T17:25:05</t>
  </si>
  <si>
    <t xml:space="preserve">https://seaofindia.com/seaquotes/21st-august-24/</t>
  </si>
  <si>
    <t xml:space="preserve">23rd August 24</t>
  </si>
  <si>
    <t xml:space="preserve">2024-08-23T17:52:09</t>
  </si>
  <si>
    <t xml:space="preserve">https://seaofindia.com/seaquotes/23rd-august-24/</t>
  </si>
  <si>
    <t xml:space="preserve">26th August 24</t>
  </si>
  <si>
    <t xml:space="preserve">2024-08-26T17:07:14</t>
  </si>
  <si>
    <t xml:space="preserve">https://seaofindia.com/seaquotes/26th-august-24/</t>
  </si>
  <si>
    <t xml:space="preserve">27th August 24</t>
  </si>
  <si>
    <t xml:space="preserve">2024-08-27T17:07:53</t>
  </si>
  <si>
    <t xml:space="preserve">https://seaofindia.com/seaquotes/27th-august-24/</t>
  </si>
  <si>
    <t xml:space="preserve">28th August 24</t>
  </si>
  <si>
    <t xml:space="preserve">2024-08-28T17:30:14</t>
  </si>
  <si>
    <t xml:space="preserve">https://seaofindia.com/seaquotes/28th-august-24/</t>
  </si>
  <si>
    <t xml:space="preserve">29th August 24</t>
  </si>
  <si>
    <t xml:space="preserve">2024-08-29T17:25:42</t>
  </si>
  <si>
    <t xml:space="preserve">https://seaofindia.com/seaquotes/29th-august-24/</t>
  </si>
  <si>
    <t xml:space="preserve">30th August 24</t>
  </si>
  <si>
    <t xml:space="preserve">2024-08-30T17:27:53</t>
  </si>
  <si>
    <t xml:space="preserve">https://seaofindia.com/seaquotes/30th-august-24/</t>
  </si>
  <si>
    <t xml:space="preserve">4th September 24</t>
  </si>
  <si>
    <t xml:space="preserve">2024-09-02T17:17:44</t>
  </si>
  <si>
    <t xml:space="preserve">https://seaofindia.com/seaquotes/2nd-september-24/</t>
  </si>
  <si>
    <t xml:space="preserve">3rd Sept 24</t>
  </si>
  <si>
    <t xml:space="preserve">2024-09-03T17:50:46</t>
  </si>
  <si>
    <t xml:space="preserve">https://seaofindia.com/seaquotes/3rd-sept-24/</t>
  </si>
  <si>
    <t xml:space="preserve">4th Sept 24</t>
  </si>
  <si>
    <t xml:space="preserve">2024-09-04T17:23:39</t>
  </si>
  <si>
    <t xml:space="preserve">https://seaofindia.com/seaquotes/4th-sept-24/</t>
  </si>
  <si>
    <t xml:space="preserve">5th Sept 24</t>
  </si>
  <si>
    <t xml:space="preserve">2024-09-05T17:17:51</t>
  </si>
  <si>
    <t xml:space="preserve">https://seaofindia.com/seaquotes/5th-sept-24/</t>
  </si>
  <si>
    <t xml:space="preserve">6th Sept 24</t>
  </si>
  <si>
    <t xml:space="preserve">2024-09-06T17:36:09</t>
  </si>
  <si>
    <t xml:space="preserve">https://seaofindia.com/seaquotes/6th-sept-24/</t>
  </si>
  <si>
    <t xml:space="preserve">9th Sept 24</t>
  </si>
  <si>
    <t xml:space="preserve">2024-09-09T17:36:15</t>
  </si>
  <si>
    <t xml:space="preserve">https://seaofindia.com/seaquotes/9th-sept-24/</t>
  </si>
  <si>
    <t xml:space="preserve">10th Sept 24</t>
  </si>
  <si>
    <t xml:space="preserve">2024-09-10T17:20:21</t>
  </si>
  <si>
    <t xml:space="preserve">https://seaofindia.com/seaquotes/10th-sept-24/</t>
  </si>
  <si>
    <t xml:space="preserve">11th Sept 24</t>
  </si>
  <si>
    <t xml:space="preserve">2024-09-11T17:33:45</t>
  </si>
  <si>
    <t xml:space="preserve">https://seaofindia.com/seaquotes/11th-sept-24/</t>
  </si>
  <si>
    <t xml:space="preserve">12th Sept 24</t>
  </si>
  <si>
    <t xml:space="preserve">2024-09-12T17:24:37</t>
  </si>
  <si>
    <t xml:space="preserve">https://seaofindia.com/seaquotes/12th-sept-24/</t>
  </si>
  <si>
    <t xml:space="preserve">13th Sept 24</t>
  </si>
  <si>
    <t xml:space="preserve">2024-09-13T17:35:45</t>
  </si>
  <si>
    <t xml:space="preserve">https://seaofindia.com/seaquotes/13th-sept-24/</t>
  </si>
  <si>
    <t xml:space="preserve">16th Sept 24</t>
  </si>
  <si>
    <t xml:space="preserve">2024-09-16T17:14:03</t>
  </si>
  <si>
    <t xml:space="preserve">https://seaofindia.com/seaquotes/16th-sept-24/</t>
  </si>
  <si>
    <t xml:space="preserve">19th Sept 24</t>
  </si>
  <si>
    <t xml:space="preserve">2024-09-19T17:34:10</t>
  </si>
  <si>
    <t xml:space="preserve">https://seaofindia.com/seaquotes/19th-sept-24/</t>
  </si>
  <si>
    <t xml:space="preserve">23rd Sept 24</t>
  </si>
  <si>
    <t xml:space="preserve">2024-09-23T17:49:51</t>
  </si>
  <si>
    <t xml:space="preserve">https://seaofindia.com/seaquotes/23rd-sept-24/</t>
  </si>
  <si>
    <t xml:space="preserve">24th Sept 24</t>
  </si>
  <si>
    <t xml:space="preserve">2024-09-24T17:22:48</t>
  </si>
  <si>
    <t xml:space="preserve">https://seaofindia.com/seaquotes/24th-sept-24/</t>
  </si>
  <si>
    <t xml:space="preserve">25th Sept. 24</t>
  </si>
  <si>
    <t xml:space="preserve">2024-09-25T17:41:11</t>
  </si>
  <si>
    <t xml:space="preserve">https://seaofindia.com/seaquotes/25th-sept-24/</t>
  </si>
  <si>
    <t xml:space="preserve">2024-09-27T18:07:34</t>
  </si>
  <si>
    <t xml:space="preserve">https://seaofindia.com/seaquotes/13016-2/</t>
  </si>
  <si>
    <t xml:space="preserve">4th Nov2024</t>
  </si>
  <si>
    <t xml:space="preserve">2024-10-01T18:05:12</t>
  </si>
  <si>
    <t xml:space="preserve">https://seaofindia.com/seaquotes/1sr-oct-2024/</t>
  </si>
  <si>
    <t xml:space="preserve">2nd December</t>
  </si>
  <si>
    <t xml:space="preserve">2024-11-05T17:51:20</t>
  </si>
  <si>
    <t xml:space="preserve">https://seaofindia.com/seaquotes/4th-november/</t>
  </si>
  <si>
    <t xml:space="preserve">3rd December 2024</t>
  </si>
  <si>
    <t xml:space="preserve">2024-12-03T09:46:51</t>
  </si>
  <si>
    <t xml:space="preserve">https://seaofindia.com/seaquotes/december-2024/</t>
  </si>
  <si>
    <t xml:space="preserve">3rd Dec 2024</t>
  </si>
  <si>
    <t xml:space="preserve">2024-12-04T10:26:52</t>
  </si>
  <si>
    <t xml:space="preserve">https://seaofindia.com/seaquotes/3rd-dec-2024/</t>
  </si>
  <si>
    <t xml:space="preserve">4th Dec 2024</t>
  </si>
  <si>
    <t xml:space="preserve">2024-12-04T17:26:22</t>
  </si>
  <si>
    <t xml:space="preserve">Rs./MT 6800</t>
  </si>
  <si>
    <t xml:space="preserve">https://seaofindia.com/seaquotes/4th-dec-2024/</t>
  </si>
  <si>
    <t xml:space="preserve">5th Dec 2024</t>
  </si>
  <si>
    <t xml:space="preserve">2024-12-05T17:19:13</t>
  </si>
  <si>
    <t xml:space="preserve">https://seaofindia.com/seaquotes/5th-dec-2024/</t>
  </si>
  <si>
    <t xml:space="preserve">6th Dec 24</t>
  </si>
  <si>
    <t xml:space="preserve">2024-12-06T17:38:55</t>
  </si>
  <si>
    <t xml:space="preserve">https://seaofindia.com/seaquotes/6th-dec-24/</t>
  </si>
  <si>
    <t xml:space="preserve">9th Dec 2024</t>
  </si>
  <si>
    <t xml:space="preserve">2024-12-09T17:49:40</t>
  </si>
  <si>
    <t xml:space="preserve">https://seaofindia.com/seaquotes/9th-dec-24/</t>
  </si>
  <si>
    <t xml:space="preserve">10th Dec 2024</t>
  </si>
  <si>
    <t xml:space="preserve">2024-12-10T17:26:35</t>
  </si>
  <si>
    <t xml:space="preserve">https://seaofindia.com/seaquotes/10-dec-2024/</t>
  </si>
  <si>
    <t xml:space="preserve">11th Dec 2024</t>
  </si>
  <si>
    <t xml:space="preserve">2024-12-11T17:48:00</t>
  </si>
  <si>
    <t xml:space="preserve">https://seaofindia.com/seaquotes/11-dec-2024/</t>
  </si>
  <si>
    <t xml:space="preserve">12th Dec 2024</t>
  </si>
  <si>
    <t xml:space="preserve">2024-12-12T17:24:00</t>
  </si>
  <si>
    <t xml:space="preserve">https://seaofindia.com/seaquotes/12th-dec-2024/</t>
  </si>
  <si>
    <t xml:space="preserve">13th Dec 2024</t>
  </si>
  <si>
    <t xml:space="preserve">2024-12-13T17:53:39</t>
  </si>
  <si>
    <t xml:space="preserve">https://seaofindia.com/seaquotes/13th-dec-2024/</t>
  </si>
  <si>
    <t xml:space="preserve">16th Dec 2024</t>
  </si>
  <si>
    <t xml:space="preserve">2024-12-16T17:50:11</t>
  </si>
  <si>
    <t xml:space="preserve">https://seaofindia.com/seaquotes/16t-dec-2024/</t>
  </si>
  <si>
    <t xml:space="preserve">17th Dec 2024</t>
  </si>
  <si>
    <t xml:space="preserve">2024-12-17T17:34:02</t>
  </si>
  <si>
    <t xml:space="preserve">https://seaofindia.com/seaquotes/17th-dec-2024/</t>
  </si>
  <si>
    <t xml:space="preserve">18th Dec 2024</t>
  </si>
  <si>
    <t xml:space="preserve">2024-12-18T17:40:32</t>
  </si>
  <si>
    <t xml:space="preserve">https://seaofindia.com/seaquotes/18th-dec-2024/</t>
  </si>
  <si>
    <t xml:space="preserve">19th Dec 2024</t>
  </si>
  <si>
    <t xml:space="preserve">2024-12-19T17:45:00</t>
  </si>
  <si>
    <t xml:space="preserve">https://seaofindia.com/seaquotes/19th-dec-2024/</t>
  </si>
  <si>
    <t xml:space="preserve">20th Dec 2024</t>
  </si>
  <si>
    <t xml:space="preserve">2024-12-23T17:31:34</t>
  </si>
  <si>
    <t xml:space="preserve">https://seaofindia.com/seaquotes/20th-dec-2024/</t>
  </si>
  <si>
    <t xml:space="preserve">23rd Dec 2024</t>
  </si>
  <si>
    <t xml:space="preserve">2024-12-23T17:37:45</t>
  </si>
  <si>
    <t xml:space="preserve">https://seaofindia.com/seaquotes/23rd-dec-2024/</t>
  </si>
  <si>
    <t xml:space="preserve">24th Dec 2024</t>
  </si>
  <si>
    <t xml:space="preserve">2024-12-24T17:53:09</t>
  </si>
  <si>
    <t xml:space="preserve">https://seaofindia.com/seaquotes/24th-dec-2024/</t>
  </si>
  <si>
    <t xml:space="preserve">25th Dec 2024</t>
  </si>
  <si>
    <t xml:space="preserve">2024-12-25T16:28:29</t>
  </si>
  <si>
    <t xml:space="preserve">https://seaofindia.com/seaquotes/25th-dec-2024/</t>
  </si>
  <si>
    <t xml:space="preserve">26th Dec 2024</t>
  </si>
  <si>
    <t xml:space="preserve">2024-12-26T17:28:46</t>
  </si>
  <si>
    <t xml:space="preserve">https://seaofindia.com/seaquotes/26th-dec-2024/</t>
  </si>
  <si>
    <t xml:space="preserve">27th Dec 2024</t>
  </si>
  <si>
    <t xml:space="preserve">2024-12-27T17:46:37</t>
  </si>
  <si>
    <t xml:space="preserve">https://seaofindia.com/seaquotes/27th-dec-2024/</t>
  </si>
  <si>
    <t xml:space="preserve">30th Dec 2024</t>
  </si>
  <si>
    <t xml:space="preserve">2024-12-30T17:47:19</t>
  </si>
  <si>
    <t xml:space="preserve">https://seaofindia.com/seaquotes/30th-dec-2024/</t>
  </si>
  <si>
    <t xml:space="preserve">31st Dec 2024</t>
  </si>
  <si>
    <t xml:space="preserve">2024-12-31T17:42:52</t>
  </si>
  <si>
    <t xml:space="preserve">https://seaofindia.com/seaquotes/31st-dec-2025/</t>
  </si>
  <si>
    <t xml:space="preserve">1st January 2025</t>
  </si>
  <si>
    <t xml:space="preserve">2025-01-01T17:27:25</t>
  </si>
  <si>
    <t xml:space="preserve">https://seaofindia.com/seaquotes/january-2025/</t>
  </si>
  <si>
    <t xml:space="preserve">2nd Jan 2025</t>
  </si>
  <si>
    <t xml:space="preserve">2025-01-02T17:44:18</t>
  </si>
  <si>
    <t xml:space="preserve">https://seaofindia.com/seaquotes/2nd-jan2025/</t>
  </si>
  <si>
    <t xml:space="preserve">3rd Jan 2025</t>
  </si>
  <si>
    <t xml:space="preserve">2025-01-03T17:52:13</t>
  </si>
  <si>
    <t xml:space="preserve">Rs./MT 6300</t>
  </si>
  <si>
    <t xml:space="preserve">https://seaofindia.com/seaquotes/3rd-jan-2025/</t>
  </si>
  <si>
    <t xml:space="preserve">6th Jan 2025</t>
  </si>
  <si>
    <t xml:space="preserve">2025-01-06T17:25:49</t>
  </si>
  <si>
    <t xml:space="preserve">https://seaofindia.com/seaquotes/6th-jan-2025/</t>
  </si>
  <si>
    <t xml:space="preserve">7th Jan 2025</t>
  </si>
  <si>
    <t xml:space="preserve">2025-01-07T17:36:58</t>
  </si>
  <si>
    <t xml:space="preserve">https://seaofindia.com/seaquotes/7th-jan-2025/</t>
  </si>
  <si>
    <t xml:space="preserve">8th Jan 2025</t>
  </si>
  <si>
    <t xml:space="preserve">2025-01-08T17:16:12</t>
  </si>
  <si>
    <t xml:space="preserve">https://seaofindia.com/seaquotes/8th-jan-2025/</t>
  </si>
  <si>
    <t xml:space="preserve">9th Jan 2025</t>
  </si>
  <si>
    <t xml:space="preserve">2025-01-09T17:23:06</t>
  </si>
  <si>
    <t xml:space="preserve">https://seaofindia.com/seaquotes/9th-jan-2025/</t>
  </si>
  <si>
    <t xml:space="preserve">10th Jan 2025</t>
  </si>
  <si>
    <t xml:space="preserve">2025-01-10T17:23:59</t>
  </si>
  <si>
    <t xml:space="preserve">Rs./MT 6400</t>
  </si>
  <si>
    <t xml:space="preserve">https://seaofindia.com/seaquotes/10th-jan-2025/</t>
  </si>
  <si>
    <t xml:space="preserve">13th Jan 2025</t>
  </si>
  <si>
    <t xml:space="preserve">2025-01-13T17:32:21</t>
  </si>
  <si>
    <t xml:space="preserve">https://seaofindia.com/seaquotes/13th-jan-2025/</t>
  </si>
  <si>
    <t xml:space="preserve">14th Jan 2025</t>
  </si>
  <si>
    <t xml:space="preserve">2025-01-14T17:14:08</t>
  </si>
  <si>
    <t xml:space="preserve">Rs./MT NQ</t>
  </si>
  <si>
    <t xml:space="preserve">https://seaofindia.com/seaquotes/14th-jan-2025/</t>
  </si>
  <si>
    <t xml:space="preserve">15th Jan 2025</t>
  </si>
  <si>
    <t xml:space="preserve">2025-01-15T17:40:17</t>
  </si>
  <si>
    <t xml:space="preserve">https://seaofindia.com/seaquotes/15th-jan-2025/</t>
  </si>
  <si>
    <t xml:space="preserve">16th Jan 2025</t>
  </si>
  <si>
    <t xml:space="preserve">2025-01-16T17:50:16</t>
  </si>
  <si>
    <t xml:space="preserve">https://seaofindia.com/seaquotes/16th-jan-2025/</t>
  </si>
  <si>
    <t xml:space="preserve">17th Jan 2025</t>
  </si>
  <si>
    <t xml:space="preserve">2025-01-17T17:29:01</t>
  </si>
  <si>
    <t xml:space="preserve">https://seaofindia.com/seaquotes/17th-jan-2025/</t>
  </si>
  <si>
    <t xml:space="preserve">20th Jan 2025</t>
  </si>
  <si>
    <t xml:space="preserve">2025-01-20T17:48:42</t>
  </si>
  <si>
    <t xml:space="preserve">https://seaofindia.com/seaquotes/20th-jan-2025/</t>
  </si>
  <si>
    <t xml:space="preserve">21st Jan 2025</t>
  </si>
  <si>
    <t xml:space="preserve">2025-01-21T17:36:48</t>
  </si>
  <si>
    <t xml:space="preserve">Rs./MT 6900</t>
  </si>
  <si>
    <t xml:space="preserve">https://seaofindia.com/seaquotes/21st-jan-2025/</t>
  </si>
  <si>
    <t xml:space="preserve">22nd Jan 2025</t>
  </si>
  <si>
    <t xml:space="preserve">2025-01-22T17:30:18</t>
  </si>
  <si>
    <t xml:space="preserve">Rs./MT 7000</t>
  </si>
  <si>
    <t xml:space="preserve">https://seaofindia.com/seaquotes/22nd-jan-2025/</t>
  </si>
  <si>
    <t xml:space="preserve">23rd Jan 2025</t>
  </si>
  <si>
    <t xml:space="preserve">2025-01-23T17:47:41</t>
  </si>
  <si>
    <t xml:space="preserve">Rs./MT 7050</t>
  </si>
  <si>
    <t xml:space="preserve">https://seaofindia.com/seaquotes/23rd-jan-2025/</t>
  </si>
  <si>
    <t xml:space="preserve">24th Jan 2025</t>
  </si>
  <si>
    <t xml:space="preserve">2025-01-24T17:48:25</t>
  </si>
  <si>
    <t xml:space="preserve">https://seaofindia.com/seaquotes/24th-jan-2025/</t>
  </si>
  <si>
    <t xml:space="preserve">27th Jan 2025</t>
  </si>
  <si>
    <t xml:space="preserve">2025-01-27T17:38:53</t>
  </si>
  <si>
    <t xml:space="preserve">https://seaofindia.com/seaquotes/27th-jan-2025/</t>
  </si>
  <si>
    <t xml:space="preserve">28th Jan 2025</t>
  </si>
  <si>
    <t xml:space="preserve">2025-01-28T17:03:50</t>
  </si>
  <si>
    <t xml:space="preserve">Rs./MT 7250</t>
  </si>
  <si>
    <t xml:space="preserve">https://seaofindia.com/seaquotes/28th-jan-2025/</t>
  </si>
  <si>
    <t xml:space="preserve">29th Jan 2025</t>
  </si>
  <si>
    <t xml:space="preserve">2025-01-29T17:43:36</t>
  </si>
  <si>
    <t xml:space="preserve">Rs./MT 7150</t>
  </si>
  <si>
    <t xml:space="preserve">https://seaofindia.com/seaquotes/29th-jan-2025/</t>
  </si>
  <si>
    <t xml:space="preserve">30th Jan 2025</t>
  </si>
  <si>
    <t xml:space="preserve">2025-01-30T17:26:54</t>
  </si>
  <si>
    <t xml:space="preserve">Rs./MT 7300</t>
  </si>
  <si>
    <t xml:space="preserve">https://seaofindia.com/seaquotes/30th-jan-2025/</t>
  </si>
  <si>
    <t xml:space="preserve">31st Jan 2025</t>
  </si>
  <si>
    <t xml:space="preserve">2025-01-31T17:49:25</t>
  </si>
  <si>
    <t xml:space="preserve">https://seaofindia.com/seaquotes/31st-jan-2025/</t>
  </si>
  <si>
    <t xml:space="preserve">3rd Feb 2025</t>
  </si>
  <si>
    <t xml:space="preserve">2025-02-03T17:51:13</t>
  </si>
  <si>
    <t xml:space="preserve">https://seaofindia.com/seaquotes/3rd-feb-2025/</t>
  </si>
  <si>
    <t xml:space="preserve">4th Feb 2025</t>
  </si>
  <si>
    <t xml:space="preserve">2025-02-04T17:13:39</t>
  </si>
  <si>
    <t xml:space="preserve">https://seaofindia.com/seaquotes/4th-feb-2025/</t>
  </si>
  <si>
    <t xml:space="preserve">5th Feb 2025</t>
  </si>
  <si>
    <t xml:space="preserve">2025-02-05T17:32:34</t>
  </si>
  <si>
    <t xml:space="preserve">https://seaofindia.com/seaquotes/5th-feb-2025/</t>
  </si>
  <si>
    <t xml:space="preserve">6th Feb 2025</t>
  </si>
  <si>
    <t xml:space="preserve">2025-02-06T17:36:16</t>
  </si>
  <si>
    <t xml:space="preserve">https://seaofindia.com/seaquotes/6th-feb-2025/</t>
  </si>
  <si>
    <t xml:space="preserve">7th Feb 2025</t>
  </si>
  <si>
    <t xml:space="preserve">2025-02-07T17:47:01</t>
  </si>
  <si>
    <t xml:space="preserve">https://seaofindia.com/seaquotes/7th-feb-2025/</t>
  </si>
  <si>
    <t xml:space="preserve">10th Feb 2025</t>
  </si>
  <si>
    <t xml:space="preserve">2025-02-10T17:57:23</t>
  </si>
  <si>
    <t xml:space="preserve">https://seaofindia.com/seaquotes/10th-feb-2025/</t>
  </si>
  <si>
    <t xml:space="preserve">11th Feb 2025</t>
  </si>
  <si>
    <t xml:space="preserve">2025-02-11T17:57:22</t>
  </si>
  <si>
    <t xml:space="preserve">https://seaofindia.com/seaquotes/11th-feb-2025/</t>
  </si>
  <si>
    <t xml:space="preserve">12th Feb 2025</t>
  </si>
  <si>
    <t xml:space="preserve">2025-02-12T17:45:05</t>
  </si>
  <si>
    <t xml:space="preserve">https://seaofindia.com/seaquotes/12th-feb-2025/</t>
  </si>
  <si>
    <t xml:space="preserve">13th Feb 2025</t>
  </si>
  <si>
    <t xml:space="preserve">2025-02-13T17:51:56</t>
  </si>
  <si>
    <t xml:space="preserve">https://seaofindia.com/seaquotes/13th-feb-2025/</t>
  </si>
  <si>
    <t xml:space="preserve">14th Feb 2025</t>
  </si>
  <si>
    <t xml:space="preserve">2025-02-17T10:37:48</t>
  </si>
  <si>
    <t xml:space="preserve">https://seaofindia.com/seaquotes/14th-feb-2025/</t>
  </si>
  <si>
    <t xml:space="preserve">17th Feb 2025</t>
  </si>
  <si>
    <t xml:space="preserve">2025-02-17T17:34:28</t>
  </si>
  <si>
    <t xml:space="preserve">Rs./MT 6875</t>
  </si>
  <si>
    <t xml:space="preserve">https://seaofindia.com/seaquotes/17th-feb-2025/</t>
  </si>
  <si>
    <t xml:space="preserve">18th Feb 2025</t>
  </si>
  <si>
    <t xml:space="preserve">2025-02-18T17:41:06</t>
  </si>
  <si>
    <t xml:space="preserve">https://seaofindia.com/seaquotes/18th-feb-2025/</t>
  </si>
  <si>
    <t xml:space="preserve">19th Feb 2025</t>
  </si>
  <si>
    <t xml:space="preserve">2025-02-19T17:48:19</t>
  </si>
  <si>
    <t xml:space="preserve">https://seaofindia.com/seaquotes/19th-feb-2025/</t>
  </si>
  <si>
    <t xml:space="preserve">20th Feb 2025</t>
  </si>
  <si>
    <t xml:space="preserve">2025-02-20T17:45:31</t>
  </si>
  <si>
    <t xml:space="preserve">https://seaofindia.com/seaquotes/20th-feb-2025/</t>
  </si>
  <si>
    <t xml:space="preserve">21st Feb 2025</t>
  </si>
  <si>
    <t xml:space="preserve">2025-02-21T17:46:27</t>
  </si>
  <si>
    <t xml:space="preserve">https://seaofindia.com/seaquotes/21st-feb-2025/</t>
  </si>
  <si>
    <t xml:space="preserve">24th Feb 2024</t>
  </si>
  <si>
    <t xml:space="preserve">2025-02-24T17:45:16</t>
  </si>
  <si>
    <t xml:space="preserve">https://seaofindia.com/seaquotes/24th-feb-2024/</t>
  </si>
  <si>
    <t xml:space="preserve">25th Feb 2025</t>
  </si>
  <si>
    <t xml:space="preserve">2025-02-25T17:47:21</t>
  </si>
  <si>
    <t xml:space="preserve">https://seaofindia.com/seaquotes/25th-feb-2025/</t>
  </si>
  <si>
    <t xml:space="preserve">27th Feb 2025</t>
  </si>
  <si>
    <t xml:space="preserve">2025-02-27T18:02:40</t>
  </si>
  <si>
    <t xml:space="preserve">https://seaofindia.com/seaquotes/27th-feb-2025/</t>
  </si>
  <si>
    <t xml:space="preserve">28th Feb 2025</t>
  </si>
  <si>
    <t xml:space="preserve">2025-02-28T17:57:12</t>
  </si>
  <si>
    <t xml:space="preserve">https://seaofindia.com/seaquotes/28th-feb-2025/</t>
  </si>
  <si>
    <t xml:space="preserve">3rd March 2025</t>
  </si>
  <si>
    <t xml:space="preserve">2025-03-03T17:38:31</t>
  </si>
  <si>
    <t xml:space="preserve">https://seaofindia.com/seaquotes/3rd-march-2025/</t>
  </si>
  <si>
    <t xml:space="preserve">4th Mar 2025</t>
  </si>
  <si>
    <t xml:space="preserve">2025-03-04T17:33:15</t>
  </si>
  <si>
    <t xml:space="preserve">https://seaofindia.com/seaquotes/4th-march-2025/</t>
  </si>
  <si>
    <t xml:space="preserve">5th Mar 2025</t>
  </si>
  <si>
    <t xml:space="preserve">2025-03-05T17:45:35</t>
  </si>
  <si>
    <t xml:space="preserve">https://seaofindia.com/seaquotes/5th-mar-2025/</t>
  </si>
  <si>
    <t xml:space="preserve">6th Mar 2025</t>
  </si>
  <si>
    <t xml:space="preserve">2025-03-06T17:45:23</t>
  </si>
  <si>
    <t xml:space="preserve">https://seaofindia.com/seaquotes/6th-mar-2025/</t>
  </si>
  <si>
    <t xml:space="preserve">7th Mar 2025</t>
  </si>
  <si>
    <t xml:space="preserve">2025-03-07T18:05:43</t>
  </si>
  <si>
    <t xml:space="preserve">https://seaofindia.com/seaquotes/7th-mar-2025/</t>
  </si>
  <si>
    <t xml:space="preserve">10th Mar 2025</t>
  </si>
  <si>
    <t xml:space="preserve">2025-03-10T17:57:22</t>
  </si>
  <si>
    <t xml:space="preserve">https://seaofindia.com/seaquotes/10th-mar-2025/</t>
  </si>
  <si>
    <t xml:space="preserve">11th Mar 2025</t>
  </si>
  <si>
    <t xml:space="preserve">2025-03-11T17:34:02</t>
  </si>
  <si>
    <t xml:space="preserve">https://seaofindia.com/seaquotes/11th-march-2025/</t>
  </si>
  <si>
    <t xml:space="preserve">12th Mar 2025</t>
  </si>
  <si>
    <t xml:space="preserve">2025-03-12T17:54:51</t>
  </si>
  <si>
    <t xml:space="preserve">https://seaofindia.com/seaquotes/12th-mar-2025/</t>
  </si>
  <si>
    <t xml:space="preserve">13th Mar 2025</t>
  </si>
  <si>
    <t xml:space="preserve">2025-03-13T17:51:36</t>
  </si>
  <si>
    <t xml:space="preserve">https://seaofindia.com/seaquotes/13th-mar-2025/</t>
  </si>
  <si>
    <t xml:space="preserve">17th Mar 2025</t>
  </si>
  <si>
    <t xml:space="preserve">2025-03-17T17:47:46</t>
  </si>
  <si>
    <t xml:space="preserve">https://seaofindia.com/seaquotes/17th-mar-2025/</t>
  </si>
  <si>
    <t xml:space="preserve">18th Mar 2025</t>
  </si>
  <si>
    <t xml:space="preserve">2025-03-18T17:50:09</t>
  </si>
  <si>
    <t xml:space="preserve">https://seaofindia.com/seaquotes/18th-mar-2025/</t>
  </si>
  <si>
    <t xml:space="preserve">19th Mar 2025</t>
  </si>
  <si>
    <t xml:space="preserve">2025-03-19T17:40:59</t>
  </si>
  <si>
    <t xml:space="preserve">https://seaofindia.com/seaquotes/19th-march-2025/</t>
  </si>
  <si>
    <t xml:space="preserve">20th Mar 2025</t>
  </si>
  <si>
    <t xml:space="preserve">2025-03-20T17:09:32</t>
  </si>
  <si>
    <t xml:space="preserve">https://seaofindia.com/seaquotes/20th-mar-2025/</t>
  </si>
  <si>
    <t xml:space="preserve">21st Mar 25</t>
  </si>
  <si>
    <t xml:space="preserve">2025-03-21T17:56:12</t>
  </si>
  <si>
    <t xml:space="preserve">https://seaofindia.com/seaquotes/21st-mar-25/</t>
  </si>
  <si>
    <t xml:space="preserve">24th Mar 2025</t>
  </si>
  <si>
    <t xml:space="preserve">2025-03-24T17:53:04</t>
  </si>
  <si>
    <t xml:space="preserve">https://seaofindia.com/seaquotes/24th-mar-2025/</t>
  </si>
  <si>
    <t xml:space="preserve">25th Mar 2025</t>
  </si>
  <si>
    <t xml:space="preserve">2025-03-25T17:46:08</t>
  </si>
  <si>
    <t xml:space="preserve">https://seaofindia.com/seaquotes/25th-mar-2025/</t>
  </si>
  <si>
    <t xml:space="preserve">26th Mar 2025</t>
  </si>
  <si>
    <t xml:space="preserve">2025-03-26T17:44:42</t>
  </si>
  <si>
    <t xml:space="preserve">https://seaofindia.com/seaquotes/26th-mar-2025/</t>
  </si>
  <si>
    <t xml:space="preserve">27th Mar 2025</t>
  </si>
  <si>
    <t xml:space="preserve">2025-03-27T17:40:32</t>
  </si>
  <si>
    <t xml:space="preserve">https://seaofindia.com/seaquotes/27th-mar-2025/</t>
  </si>
  <si>
    <t xml:space="preserve">1st Apr 25</t>
  </si>
  <si>
    <t xml:space="preserve">2025-04-03T17:36:15</t>
  </si>
  <si>
    <t xml:space="preserve">https://seaofindia.com/seaquotes/1st-apr-25/</t>
  </si>
  <si>
    <t xml:space="preserve">2nd Apr 25</t>
  </si>
  <si>
    <t xml:space="preserve">2025-04-02T17:52:58</t>
  </si>
  <si>
    <t xml:space="preserve">https://seaofindia.com/seaquotes/2nd-apr-25/</t>
  </si>
  <si>
    <t xml:space="preserve">3rd Apr 25</t>
  </si>
  <si>
    <t xml:space="preserve">2025-04-03T17:34:13</t>
  </si>
  <si>
    <t xml:space="preserve">https://seaofindia.com/seaquotes/3rd-apr-25/</t>
  </si>
  <si>
    <t xml:space="preserve">4th Apr 25</t>
  </si>
  <si>
    <t xml:space="preserve">2025-04-04T17:58:19</t>
  </si>
  <si>
    <t xml:space="preserve">https://seaofindia.com/seaquotes/4th-apr-25/</t>
  </si>
  <si>
    <t xml:space="preserve">7th Apr 25</t>
  </si>
  <si>
    <t xml:space="preserve">2025-04-07T17:47:13</t>
  </si>
  <si>
    <t xml:space="preserve">https://seaofindia.com/seaquotes/7th-apr-25/</t>
  </si>
  <si>
    <t xml:space="preserve">8th Apr 25</t>
  </si>
  <si>
    <t xml:space="preserve">2025-04-08T17:58:46</t>
  </si>
  <si>
    <t xml:space="preserve">https://seaofindia.com/seaquotes/8th-apr-25/</t>
  </si>
  <si>
    <t xml:space="preserve">10th Apr 25</t>
  </si>
  <si>
    <t xml:space="preserve">2025-04-09T17:44:28</t>
  </si>
  <si>
    <t xml:space="preserve">https://seaofindia.com/seaquotes/9th-apr-25/</t>
  </si>
  <si>
    <t xml:space="preserve">9th Apr 25</t>
  </si>
  <si>
    <t xml:space="preserve">2025-04-10T17:37:46</t>
  </si>
  <si>
    <t xml:space="preserve">https://seaofindia.com/seaquotes/10th-apr-25/</t>
  </si>
  <si>
    <t xml:space="preserve">11th Apr 25</t>
  </si>
  <si>
    <t xml:space="preserve">2025-04-11T17:55:22</t>
  </si>
  <si>
    <t xml:space="preserve">https://seaofindia.com/seaquotes/11th-apr-25/</t>
  </si>
  <si>
    <t xml:space="preserve">14th Apr 25</t>
  </si>
  <si>
    <t xml:space="preserve">2025-04-23T17:38:50</t>
  </si>
  <si>
    <t xml:space="preserve">https://seaofindia.com/seaquotes/14th-apr-25/</t>
  </si>
  <si>
    <t xml:space="preserve">15th Apr 25</t>
  </si>
  <si>
    <t xml:space="preserve">2025-04-23T17:45:06</t>
  </si>
  <si>
    <t xml:space="preserve">https://seaofindia.com/seaquotes/15th-apr-25/</t>
  </si>
  <si>
    <t xml:space="preserve">16th Apr 25</t>
  </si>
  <si>
    <t xml:space="preserve">2025-04-16T17:44:05</t>
  </si>
  <si>
    <t xml:space="preserve">https://seaofindia.com/seaquotes/16th-apr-25/</t>
  </si>
  <si>
    <t xml:space="preserve">17th Apr 25</t>
  </si>
  <si>
    <t xml:space="preserve">2025-04-17T17:48:15</t>
  </si>
  <si>
    <t xml:space="preserve">https://seaofindia.com/seaquotes/17th-apr-25/</t>
  </si>
  <si>
    <t xml:space="preserve">18th Apr 25</t>
  </si>
  <si>
    <t xml:space="preserve">2025-04-21T10:13:24</t>
  </si>
  <si>
    <t xml:space="preserve">https://seaofindia.com/seaquotes/18th-apr-25/</t>
  </si>
  <si>
    <t xml:space="preserve">21st Apr 25</t>
  </si>
  <si>
    <t xml:space="preserve">2025-04-21T17:48:15</t>
  </si>
  <si>
    <t xml:space="preserve">https://seaofindia.com/seaquotes/21st-apr-25/</t>
  </si>
  <si>
    <t xml:space="preserve">22nd Apr 25</t>
  </si>
  <si>
    <t xml:space="preserve">2025-04-22T17:49:05</t>
  </si>
  <si>
    <t xml:space="preserve">https://seaofindia.com/seaquotes/22nd-apr-25/</t>
  </si>
  <si>
    <t xml:space="preserve">23rd Apr 25</t>
  </si>
  <si>
    <t xml:space="preserve">2025-04-23T18:00:12</t>
  </si>
  <si>
    <t xml:space="preserve">https://seaofindia.com/seaquotes/23rd-apr-25/</t>
  </si>
  <si>
    <t xml:space="preserve">24th Apr 25</t>
  </si>
  <si>
    <t xml:space="preserve">2025-04-24T17:29:36</t>
  </si>
  <si>
    <t xml:space="preserve">https://seaofindia.com/seaquotes/24th-apr-25/</t>
  </si>
  <si>
    <t xml:space="preserve">25th Apr 25</t>
  </si>
  <si>
    <t xml:space="preserve">2025-04-25T17:32:46</t>
  </si>
  <si>
    <t xml:space="preserve">https://seaofindia.com/seaquotes/25th-apr-25/</t>
  </si>
  <si>
    <t xml:space="preserve">28th Apr 25</t>
  </si>
  <si>
    <t xml:space="preserve">2025-04-28T17:32:08</t>
  </si>
  <si>
    <t xml:space="preserve">https://seaofindia.com/seaquotes/28th-apr-25/</t>
  </si>
  <si>
    <t xml:space="preserve">29th Apr 25</t>
  </si>
  <si>
    <t xml:space="preserve">2025-04-29T17:56:28</t>
  </si>
  <si>
    <t xml:space="preserve">https://seaofindia.com/seaquotes/29th-apr-25/</t>
  </si>
  <si>
    <t xml:space="preserve">30th Apr 25</t>
  </si>
  <si>
    <t xml:space="preserve">2025-04-30T17:57:37</t>
  </si>
  <si>
    <t xml:space="preserve">https://seaofindia.com/seaquotes/30th-apr-25/</t>
  </si>
  <si>
    <t xml:space="preserve">02 May 25</t>
  </si>
  <si>
    <t xml:space="preserve">2025-05-05T10:09:23</t>
  </si>
  <si>
    <t xml:space="preserve">https://seaofindia.com/seaquotes/02-may-25/</t>
  </si>
  <si>
    <t xml:space="preserve">5th May 25</t>
  </si>
  <si>
    <t xml:space="preserve">2025-05-05T17:57:48</t>
  </si>
  <si>
    <t xml:space="preserve">https://seaofindia.com/seaquotes/5th-may-25/</t>
  </si>
  <si>
    <t xml:space="preserve">6th May 25</t>
  </si>
  <si>
    <t xml:space="preserve">2025-05-06T17:53:45</t>
  </si>
  <si>
    <t xml:space="preserve">https://seaofindia.com/seaquotes/6th-may-25/</t>
  </si>
  <si>
    <t xml:space="preserve">7th May 25</t>
  </si>
  <si>
    <t xml:space="preserve">2025-05-08T16:10:12</t>
  </si>
  <si>
    <t xml:space="preserve">Rs./MT 6375</t>
  </si>
  <si>
    <t xml:space="preserve">https://seaofindia.com/seaquotes/7th-may-25/</t>
  </si>
  <si>
    <t xml:space="preserve">8th May 25</t>
  </si>
  <si>
    <t xml:space="preserve">2025-05-08T17:47:16</t>
  </si>
  <si>
    <t xml:space="preserve">https://seaofindia.com/seaquotes/8th-may-25/</t>
  </si>
  <si>
    <t xml:space="preserve">9th May 25</t>
  </si>
  <si>
    <t xml:space="preserve">2025-05-09T17:47:06</t>
  </si>
  <si>
    <t xml:space="preserve">https://seaofindia.com/seaquotes/9th-may-25/</t>
  </si>
  <si>
    <t xml:space="preserve">12th May 25</t>
  </si>
  <si>
    <t xml:space="preserve">2025-05-12T17:39:08</t>
  </si>
  <si>
    <t xml:space="preserve">https://seaofindia.com/seaquotes/12th-may-25/</t>
  </si>
  <si>
    <t xml:space="preserve">13th May 25</t>
  </si>
  <si>
    <t xml:space="preserve">2025-05-13T17:57:32</t>
  </si>
  <si>
    <t xml:space="preserve">https://seaofindia.com/seaquotes/13th-may-25/</t>
  </si>
  <si>
    <t xml:space="preserve">14th May 25</t>
  </si>
  <si>
    <t xml:space="preserve">2025-05-14T17:37:50</t>
  </si>
  <si>
    <t xml:space="preserve">Rs./MT 6325</t>
  </si>
  <si>
    <t xml:space="preserve">https://seaofindia.com/seaquotes/14th-may-25/</t>
  </si>
  <si>
    <t xml:space="preserve">15th May 25</t>
  </si>
  <si>
    <t xml:space="preserve">2025-05-16T10:02:55</t>
  </si>
  <si>
    <t xml:space="preserve">https://seaofindia.com/seaquotes/15th-may-25/</t>
  </si>
  <si>
    <t xml:space="preserve">16th May 25</t>
  </si>
  <si>
    <t xml:space="preserve">2025-05-16T17:49:49</t>
  </si>
  <si>
    <t xml:space="preserve">https://seaofindia.com/seaquotes/16th-may-25/</t>
  </si>
  <si>
    <t xml:space="preserve">19th May 25</t>
  </si>
  <si>
    <t xml:space="preserve">2025-05-19T17:33:34</t>
  </si>
  <si>
    <t xml:space="preserve">https://seaofindia.com/seaquotes/19th-may-25/</t>
  </si>
  <si>
    <t xml:space="preserve">20th May 25</t>
  </si>
  <si>
    <t xml:space="preserve">2025-05-20T17:24:00</t>
  </si>
  <si>
    <t xml:space="preserve">Rs./MT 6200</t>
  </si>
  <si>
    <t xml:space="preserve">https://seaofindia.com/seaquotes/20th-may-25/</t>
  </si>
  <si>
    <t xml:space="preserve">21st May 25</t>
  </si>
  <si>
    <t xml:space="preserve">2025-05-21T17:22:13</t>
  </si>
  <si>
    <t xml:space="preserve">https://seaofindia.com/seaquotes/21st-may-25/</t>
  </si>
  <si>
    <t xml:space="preserve">22nd May 25</t>
  </si>
  <si>
    <t xml:space="preserve">2025-05-22T17:04:58</t>
  </si>
  <si>
    <t xml:space="preserve">https://seaofindia.com/seaquotes/22nd-may-25/</t>
  </si>
  <si>
    <t xml:space="preserve">23rd May 25</t>
  </si>
  <si>
    <t xml:space="preserve">2025-05-23T17:21:43</t>
  </si>
  <si>
    <t xml:space="preserve">Rs./MT 6225</t>
  </si>
  <si>
    <t xml:space="preserve">https://seaofindia.com/seaquotes/23rd-may-25/</t>
  </si>
  <si>
    <t xml:space="preserve">26th May 25</t>
  </si>
  <si>
    <t xml:space="preserve">2025-05-26T16:50:35</t>
  </si>
  <si>
    <t xml:space="preserve">Rs./MT 6175</t>
  </si>
  <si>
    <t xml:space="preserve">https://seaofindia.com/seaquotes/26th-may-25/</t>
  </si>
  <si>
    <t xml:space="preserve">27th May 25</t>
  </si>
  <si>
    <t xml:space="preserve">2025-05-27T17:43:19</t>
  </si>
  <si>
    <t xml:space="preserve">https://seaofindia.com/seaquotes/27th-may-25/</t>
  </si>
  <si>
    <t xml:space="preserve">28th May 25</t>
  </si>
  <si>
    <t xml:space="preserve">2025-05-28T17:31:42</t>
  </si>
  <si>
    <t xml:space="preserve">https://seaofindia.com/seaquotes/28th-may-25/</t>
  </si>
  <si>
    <t xml:space="preserve">29th May 25</t>
  </si>
  <si>
    <t xml:space="preserve">2025-05-29T17:30:31</t>
  </si>
  <si>
    <t xml:space="preserve">Rs./MT 6275</t>
  </si>
  <si>
    <t xml:space="preserve">https://seaofindia.com/seaquotes/29th-may-25/</t>
  </si>
  <si>
    <t xml:space="preserve">30th May 25</t>
  </si>
  <si>
    <t xml:space="preserve">2025-05-30T17:18:53</t>
  </si>
  <si>
    <t xml:space="preserve">https://seaofindia.com/seaquotes/30th-may-25/</t>
  </si>
  <si>
    <t xml:space="preserve">2nd Jun 25</t>
  </si>
  <si>
    <t xml:space="preserve">2025-06-02T17:37:53</t>
  </si>
  <si>
    <t xml:space="preserve">https://seaofindia.com/seaquotes/2nd-jun-25/</t>
  </si>
  <si>
    <t xml:space="preserve">3rd Jun 25</t>
  </si>
  <si>
    <t xml:space="preserve">2025-06-03T17:30:47</t>
  </si>
  <si>
    <t xml:space="preserve">https://seaofindia.com/seaquotes/3rd-jun-25/</t>
  </si>
  <si>
    <t xml:space="preserve">4th Jun 25</t>
  </si>
  <si>
    <t xml:space="preserve">2025-06-04T17:28:53</t>
  </si>
  <si>
    <t xml:space="preserve">https://seaofindia.com/seaquotes/4th-jun-25/</t>
  </si>
  <si>
    <t xml:space="preserve">5th Jun 25</t>
  </si>
  <si>
    <t xml:space="preserve">2025-06-05T17:20:04</t>
  </si>
  <si>
    <t xml:space="preserve">https://seaofindia.com/seaquotes/5th-jun-25/</t>
  </si>
  <si>
    <t xml:space="preserve">6th Jun 25</t>
  </si>
  <si>
    <t xml:space="preserve">2025-06-06T17:41:41</t>
  </si>
  <si>
    <t xml:space="preserve">https://seaofindia.com/seaquotes/6th-jun-25/</t>
  </si>
  <si>
    <t xml:space="preserve">9th June 25</t>
  </si>
  <si>
    <t xml:space="preserve">2025-06-09T17:22:48</t>
  </si>
  <si>
    <t xml:space="preserve">https://seaofindia.com/seaquotes/9th-june-25/</t>
  </si>
  <si>
    <t xml:space="preserve">10 Jun 25</t>
  </si>
  <si>
    <t xml:space="preserve">2025-06-10T17:40:46</t>
  </si>
  <si>
    <t xml:space="preserve">https://seaofindia.com/seaquotes/10-jun-25/</t>
  </si>
  <si>
    <t xml:space="preserve">11Jun 25</t>
  </si>
  <si>
    <t xml:space="preserve">2025-06-11T17:27:36</t>
  </si>
  <si>
    <t xml:space="preserve">Rs./MT 6425</t>
  </si>
  <si>
    <t xml:space="preserve">https://seaofindia.com/seaquotes/11jun-25/</t>
  </si>
  <si>
    <t xml:space="preserve">12 Jun 25</t>
  </si>
  <si>
    <t xml:space="preserve">2025-06-12T17:42:48</t>
  </si>
  <si>
    <t xml:space="preserve">https://seaofindia.com/seaquotes/12-jun-25/</t>
  </si>
  <si>
    <t xml:space="preserve">13th Jun 25</t>
  </si>
  <si>
    <t xml:space="preserve">2025-06-13T17:23:04</t>
  </si>
  <si>
    <t xml:space="preserve">https://seaofindia.com/seaquotes/13th-jun-25/</t>
  </si>
  <si>
    <t xml:space="preserve">16th Jun 25</t>
  </si>
  <si>
    <t xml:space="preserve">2025-06-17T11:58:04</t>
  </si>
  <si>
    <t xml:space="preserve">https://seaofindia.com/seaquotes/16th-jun-25/</t>
  </si>
  <si>
    <t xml:space="preserve">17th Jun 25</t>
  </si>
  <si>
    <t xml:space="preserve">2025-06-17T17:18:55</t>
  </si>
  <si>
    <t xml:space="preserve">https://seaofindia.com/seaquotes/17th-jun-25/</t>
  </si>
  <si>
    <t xml:space="preserve">18th Jun 25</t>
  </si>
  <si>
    <t xml:space="preserve">2025-06-18T17:35:12</t>
  </si>
  <si>
    <t xml:space="preserve">https://seaofindia.com/seaquotes/18th-jun-25/</t>
  </si>
  <si>
    <t xml:space="preserve">19th Jun 25</t>
  </si>
  <si>
    <t xml:space="preserve">2025-06-19T17:29:23</t>
  </si>
  <si>
    <t xml:space="preserve">https://seaofindia.com/seaquotes/19th-jun-25/</t>
  </si>
  <si>
    <t xml:space="preserve">20th Jun 25</t>
  </si>
  <si>
    <t xml:space="preserve">2025-06-20T17:30:17</t>
  </si>
  <si>
    <t xml:space="preserve">https://seaofindia.com/seaquotes/20th-jun-25/</t>
  </si>
  <si>
    <t xml:space="preserve">23rd Jun 25</t>
  </si>
  <si>
    <t xml:space="preserve">2025-06-23T17:41:55</t>
  </si>
  <si>
    <t xml:space="preserve">https://seaofindia.com/seaquotes/23rd-jun-25/</t>
  </si>
  <si>
    <t xml:space="preserve">24th Jun 25</t>
  </si>
  <si>
    <t xml:space="preserve">2025-06-24T17:23:21</t>
  </si>
  <si>
    <t xml:space="preserve">https://seaofindia.com/seaquotes/24th-jun-25/</t>
  </si>
  <si>
    <t xml:space="preserve">25th June 25</t>
  </si>
  <si>
    <t xml:space="preserve">2025-06-25T17:38:29</t>
  </si>
  <si>
    <t xml:space="preserve">https://seaofindia.com/seaquotes/25th-june-25/</t>
  </si>
  <si>
    <t xml:space="preserve">26th Jun 25</t>
  </si>
  <si>
    <t xml:space="preserve">2025-06-26T17:42:20</t>
  </si>
  <si>
    <t xml:space="preserve">https://seaofindia.com/seaquotes/26th-jun-25/</t>
  </si>
  <si>
    <t xml:space="preserve">27th Jun 25</t>
  </si>
  <si>
    <t xml:space="preserve">2025-06-27T17:22:44</t>
  </si>
  <si>
    <t xml:space="preserve">https://seaofindia.com/seaquotes/27th-jun-25/</t>
  </si>
  <si>
    <t xml:space="preserve">30th Jun 25</t>
  </si>
  <si>
    <t xml:space="preserve">2025-06-30T17:38:09</t>
  </si>
  <si>
    <t xml:space="preserve">https://seaofindia.com/seaquotes/30th-jun-25/</t>
  </si>
  <si>
    <t xml:space="preserve">1st Jul 25</t>
  </si>
  <si>
    <t xml:space="preserve">2025-07-02T14:03:46</t>
  </si>
  <si>
    <t xml:space="preserve">https://seaofindia.com/seaquotes/1st-jul-25/</t>
  </si>
  <si>
    <t xml:space="preserve">2nd Jul 25</t>
  </si>
  <si>
    <t xml:space="preserve">2025-07-02T17:32:53</t>
  </si>
  <si>
    <t xml:space="preserve">https://seaofindia.com/seaquotes/2nd-jul-25/</t>
  </si>
  <si>
    <t xml:space="preserve">3rd July 25</t>
  </si>
  <si>
    <t xml:space="preserve">2025-07-03T17:18:30</t>
  </si>
  <si>
    <t xml:space="preserve">https://seaofindia.com/seaquotes/3rd-july-25/</t>
  </si>
  <si>
    <t xml:space="preserve">4th Jul 25</t>
  </si>
  <si>
    <t xml:space="preserve">2025-07-04T17:39:07</t>
  </si>
  <si>
    <t xml:space="preserve">https://seaofindia.com/seaquotes/4th-jul-25/</t>
  </si>
  <si>
    <t xml:space="preserve">7th Jul 25</t>
  </si>
  <si>
    <t xml:space="preserve">2025-07-07T17:55:18</t>
  </si>
  <si>
    <t xml:space="preserve">https://seaofindia.com/seaquotes/7th-jul-25/</t>
  </si>
  <si>
    <t xml:space="preserve">8th Jul 25</t>
  </si>
  <si>
    <t xml:space="preserve">2025-07-08T17:32:31</t>
  </si>
  <si>
    <t xml:space="preserve">https://seaofindia.com/seaquotes/8th-jul-25/</t>
  </si>
  <si>
    <t xml:space="preserve">9th Jul 25</t>
  </si>
  <si>
    <t xml:space="preserve">2025-07-09T17:58:52</t>
  </si>
  <si>
    <t xml:space="preserve">https://seaofindia.com/seaquotes/9th-jul-25/</t>
  </si>
  <si>
    <t xml:space="preserve">10th Jul 25</t>
  </si>
  <si>
    <t xml:space="preserve">2025-07-10T17:36:20</t>
  </si>
  <si>
    <t xml:space="preserve">https://seaofindia.com/seaquotes/10th-jul-25/</t>
  </si>
  <si>
    <t xml:space="preserve">11th Jul 25</t>
  </si>
  <si>
    <t xml:space="preserve">2025-07-11T17:35:02</t>
  </si>
  <si>
    <t xml:space="preserve">https://seaofindia.com/seaquotes/11th-jul-25/</t>
  </si>
  <si>
    <t xml:space="preserve">14th Jul 25</t>
  </si>
  <si>
    <t xml:space="preserve">2025-07-14T17:53:20</t>
  </si>
  <si>
    <t xml:space="preserve">https://seaofindia.com/seaquotes/14th-jul-25/</t>
  </si>
  <si>
    <t xml:space="preserve">15th Jul 25</t>
  </si>
  <si>
    <t xml:space="preserve">2025-07-15T17:40:36</t>
  </si>
  <si>
    <t xml:space="preserve">Rs./MT 7500</t>
  </si>
  <si>
    <t xml:space="preserve">https://seaofindia.com/seaquotes/15th-jul-25/</t>
  </si>
  <si>
    <t xml:space="preserve">16th Jul 25</t>
  </si>
  <si>
    <t xml:space="preserve">2025-07-16T17:38:07</t>
  </si>
  <si>
    <t xml:space="preserve">https://seaofindia.com/seaquotes/16th-jul-25/</t>
  </si>
  <si>
    <t xml:space="preserve">17th Jul 25</t>
  </si>
  <si>
    <t xml:space="preserve">2025-07-17T17:32:25</t>
  </si>
  <si>
    <t xml:space="preserve">https://seaofindia.com/seaquotes/17th-jul-25/</t>
  </si>
  <si>
    <t xml:space="preserve">18th Jul 25</t>
  </si>
  <si>
    <t xml:space="preserve">2025-07-18T17:35:06</t>
  </si>
  <si>
    <t xml:space="preserve">Rs./MT 7550</t>
  </si>
  <si>
    <t xml:space="preserve">https://seaofindia.com/seaquotes/18th-jul-25/</t>
  </si>
  <si>
    <t xml:space="preserve">21st Jul 25</t>
  </si>
  <si>
    <t xml:space="preserve">2025-07-21T17:33:13</t>
  </si>
  <si>
    <t xml:space="preserve">https://seaofindia.com/seaquotes/21st-jul-25/</t>
  </si>
  <si>
    <t xml:space="preserve">22nd Jul 25</t>
  </si>
  <si>
    <t xml:space="preserve">2025-07-22T17:08:14</t>
  </si>
  <si>
    <t xml:space="preserve">https://seaofindia.com/seaquotes/22nd-jul-25/</t>
  </si>
  <si>
    <t xml:space="preserve">23rd Jul 25</t>
  </si>
  <si>
    <t xml:space="preserve">2025-07-23T17:45:48</t>
  </si>
  <si>
    <t xml:space="preserve">Rs./MT 7650</t>
  </si>
  <si>
    <t xml:space="preserve">https://seaofindia.com/seaquotes/23rd-jul-25/</t>
  </si>
  <si>
    <t xml:space="preserve">24th Jul 25</t>
  </si>
  <si>
    <t xml:space="preserve">2025-07-24T17:28:21</t>
  </si>
  <si>
    <t xml:space="preserve">Rs./MT 7700</t>
  </si>
  <si>
    <t xml:space="preserve">https://seaofindia.com/seaquotes/24th-jul-25/</t>
  </si>
  <si>
    <t xml:space="preserve">25th Jul 25</t>
  </si>
  <si>
    <t xml:space="preserve">2025-07-25T17:27:30</t>
  </si>
  <si>
    <t xml:space="preserve">https://seaofindia.com/seaquotes/25th-jul-25/</t>
  </si>
  <si>
    <t xml:space="preserve">28th Jul 25</t>
  </si>
  <si>
    <t xml:space="preserve">2025-07-29T10:35:50</t>
  </si>
  <si>
    <t xml:space="preserve">https://seaofindia.com/seaquotes/28th-jul-25/</t>
  </si>
  <si>
    <t xml:space="preserve">29th Jul 25</t>
  </si>
  <si>
    <t xml:space="preserve">2025-07-29T17:16:23</t>
  </si>
  <si>
    <t xml:space="preserve">https://seaofindia.com/seaquotes/29th-jul-25/</t>
  </si>
  <si>
    <t xml:space="preserve">30th Jul 25</t>
  </si>
  <si>
    <t xml:space="preserve">2025-07-30T17:25:10</t>
  </si>
  <si>
    <t xml:space="preserve">Rs./MT 7600</t>
  </si>
  <si>
    <t xml:space="preserve">https://seaofindia.com/seaquotes/30th-jul-25/</t>
  </si>
  <si>
    <t xml:space="preserve">31st Jul 25</t>
  </si>
  <si>
    <t xml:space="preserve">2025-07-31T17:16:07</t>
  </si>
  <si>
    <t xml:space="preserve">https://seaofindia.com/seaquotes/31st-jul-25/</t>
  </si>
  <si>
    <t xml:space="preserve">1st Aug 25</t>
  </si>
  <si>
    <t xml:space="preserve">2025-08-01T17:16:08</t>
  </si>
  <si>
    <t xml:space="preserve">https://seaofindia.com/seaquotes/1st-aug-25/</t>
  </si>
  <si>
    <t xml:space="preserve">4th Aug 25</t>
  </si>
  <si>
    <t xml:space="preserve">2025-08-04T17:38:09</t>
  </si>
  <si>
    <t xml:space="preserve">https://seaofindia.com/seaquotes/4th-aug-25/</t>
  </si>
  <si>
    <t xml:space="preserve">5th Aug 25</t>
  </si>
  <si>
    <t xml:space="preserve">2025-08-05T17:19:13</t>
  </si>
  <si>
    <t xml:space="preserve">https://seaofindia.com/seaquotes/5th-aug-25/</t>
  </si>
  <si>
    <t xml:space="preserve">6th Aug 25</t>
  </si>
  <si>
    <t xml:space="preserve">2025-08-06T17:30:12</t>
  </si>
  <si>
    <t xml:space="preserve">https://seaofindia.com/seaquotes/6th-aug-25/</t>
  </si>
  <si>
    <t xml:space="preserve">7th Aug 25</t>
  </si>
  <si>
    <t xml:space="preserve">2025-08-07T17:51:28</t>
  </si>
  <si>
    <t xml:space="preserve">https://seaofindia.com/seaquotes/7th-aug-25/</t>
  </si>
  <si>
    <t xml:space="preserve">8th Aug 25</t>
  </si>
  <si>
    <t xml:space="preserve">2025-08-11T11:37:33</t>
  </si>
  <si>
    <t xml:space="preserve">https://seaofindia.com/seaquotes/8th-aug-25/</t>
  </si>
  <si>
    <t xml:space="preserve">11th Aug 25</t>
  </si>
  <si>
    <t xml:space="preserve">2025-08-11T17:49:39</t>
  </si>
  <si>
    <t xml:space="preserve">Rs./MT 7750</t>
  </si>
  <si>
    <t xml:space="preserve">https://seaofindia.com/seaquotes/11th-aug-25/</t>
  </si>
  <si>
    <t xml:space="preserve">12th Aug 25</t>
  </si>
  <si>
    <t xml:space="preserve">2025-08-12T17:58:23</t>
  </si>
  <si>
    <t xml:space="preserve">https://seaofindia.com/seaquotes/12th-aug-25/</t>
  </si>
  <si>
    <t xml:space="preserve">13th Aug 25</t>
  </si>
  <si>
    <t xml:space="preserve">2025-08-13T17:31:30</t>
  </si>
  <si>
    <t xml:space="preserve">Rs./MT 7625</t>
  </si>
  <si>
    <t xml:space="preserve">https://seaofindia.com/seaquotes/13th-aug-25/</t>
  </si>
  <si>
    <t xml:space="preserve">14th Aug 25</t>
  </si>
  <si>
    <t xml:space="preserve">2025-08-14T17:44:18</t>
  </si>
  <si>
    <t xml:space="preserve">https://seaofindia.com/seaquotes/14th-aug-25/</t>
  </si>
  <si>
    <t xml:space="preserve">18th Aug 25</t>
  </si>
  <si>
    <t xml:space="preserve">2025-08-18T16:42:23</t>
  </si>
  <si>
    <t xml:space="preserve">Rs./MT 8000</t>
  </si>
  <si>
    <t xml:space="preserve">https://seaofindia.com/seaquotes/18th-aug-25/</t>
  </si>
  <si>
    <t xml:space="preserve">20th Aug 25</t>
  </si>
  <si>
    <t xml:space="preserve">2025-08-20T17:40:15</t>
  </si>
  <si>
    <t xml:space="preserve">Rs./MT 8150</t>
  </si>
  <si>
    <t xml:space="preserve">https://seaofindia.com/seaquotes/20th-aug-25/</t>
  </si>
  <si>
    <t xml:space="preserve">21st Aug 25</t>
  </si>
  <si>
    <t xml:space="preserve">2025-08-21T17:57:43</t>
  </si>
  <si>
    <t xml:space="preserve">https://seaofindia.com/seaquotes/21st-aug-25/</t>
  </si>
  <si>
    <t xml:space="preserve">22nd Aug 25</t>
  </si>
  <si>
    <t xml:space="preserve">2025-08-22T17:54:09</t>
  </si>
  <si>
    <t xml:space="preserve">https://seaofindia.com/seaquotes/22nd-aug-25/</t>
  </si>
  <si>
    <t xml:space="preserve">25th Aug 25</t>
  </si>
  <si>
    <t xml:space="preserve">2025-08-25T17:25:06</t>
  </si>
  <si>
    <t xml:space="preserve">Rs./MT 8300</t>
  </si>
  <si>
    <t xml:space="preserve">https://seaofindia.com/seaquotes/25th-aug-25/</t>
  </si>
  <si>
    <t xml:space="preserve">26th Aug 25</t>
  </si>
  <si>
    <t xml:space="preserve">2025-08-26T17:25:04</t>
  </si>
  <si>
    <t xml:space="preserve">Rs./MT 8250</t>
  </si>
  <si>
    <t xml:space="preserve">https://seaofindia.com/seaquotes/26th-aug-25/</t>
  </si>
  <si>
    <t xml:space="preserve">28th Aug 25</t>
  </si>
  <si>
    <t xml:space="preserve">2025-08-28T17:23:04</t>
  </si>
  <si>
    <t xml:space="preserve">https://seaofindia.com/seaquotes/28th-aug-25/</t>
  </si>
  <si>
    <t xml:space="preserve">29th Aug 25</t>
  </si>
  <si>
    <t xml:space="preserve">2025-08-29T17:58:00</t>
  </si>
  <si>
    <t xml:space="preserve">Rs./MT 8500</t>
  </si>
  <si>
    <t xml:space="preserve">https://seaofindia.com/seaquotes/29th-aug-25/</t>
  </si>
  <si>
    <t xml:space="preserve">1st Sept 25</t>
  </si>
  <si>
    <t xml:space="preserve">2025-09-01T17:29:54</t>
  </si>
  <si>
    <t xml:space="preserve">Rs./MT 8650</t>
  </si>
  <si>
    <t xml:space="preserve">https://seaofindia.com/seaquotes/1st-sept-25/</t>
  </si>
  <si>
    <t xml:space="preserve">2nd Sept 25</t>
  </si>
  <si>
    <t xml:space="preserve">2025-09-02T17:33:00</t>
  </si>
  <si>
    <t xml:space="preserve">https://seaofindia.com/seaquotes/2nd-sept-25/</t>
  </si>
  <si>
    <t xml:space="preserve">3rd Sept 25</t>
  </si>
  <si>
    <t xml:space="preserve">2025-09-03T17:45:10</t>
  </si>
  <si>
    <t xml:space="preserve">https://seaofindia.com/seaquotes/3rd-sept-25/</t>
  </si>
  <si>
    <t xml:space="preserve">4th Sept 25</t>
  </si>
  <si>
    <t xml:space="preserve">2025-09-04T17:37:30</t>
  </si>
  <si>
    <t xml:space="preserve">https://seaofindia.com/seaquotes/4th-sept-25/</t>
  </si>
  <si>
    <t xml:space="preserve">8th Sept 25</t>
  </si>
  <si>
    <t xml:space="preserve">2025-09-08T17:31:43</t>
  </si>
  <si>
    <t xml:space="preserve">Rs./MT 9050</t>
  </si>
  <si>
    <t xml:space="preserve">https://seaofindia.com/seaquotes/8th-sept-25/</t>
  </si>
  <si>
    <t xml:space="preserve">9th Sept 25</t>
  </si>
  <si>
    <t xml:space="preserve">2025-09-09T17:43:13</t>
  </si>
  <si>
    <t xml:space="preserve">https://seaofindia.com/seaquotes/9th-sept-25/</t>
  </si>
  <si>
    <t xml:space="preserve">10th Sept 25</t>
  </si>
  <si>
    <t xml:space="preserve">2025-09-10T17:18:33</t>
  </si>
  <si>
    <t xml:space="preserve">https://seaofindia.com/seaquotes/10th-sept-25/</t>
  </si>
  <si>
    <t xml:space="preserve">11th Sept 25</t>
  </si>
  <si>
    <t xml:space="preserve">2025-09-11T17:43:08</t>
  </si>
  <si>
    <t xml:space="preserve">Rs./MT 8950</t>
  </si>
  <si>
    <t xml:space="preserve">https://seaofindia.com/seaquotes/11th-sept-25/</t>
  </si>
  <si>
    <t xml:space="preserve">12th Sept 25</t>
  </si>
  <si>
    <t xml:space="preserve">2025-09-12T17:35:34</t>
  </si>
  <si>
    <t xml:space="preserve">Rs./MT 8900</t>
  </si>
  <si>
    <t xml:space="preserve">https://seaofindia.com/seaquotes/12th-sept-25/</t>
  </si>
  <si>
    <t xml:space="preserve">15th Sept 25</t>
  </si>
  <si>
    <t xml:space="preserve">2025-09-15T17:21:00</t>
  </si>
  <si>
    <t xml:space="preserve">Rs./MT 8800</t>
  </si>
  <si>
    <t xml:space="preserve">https://seaofindia.com/seaquotes/15th-sept-25/</t>
  </si>
  <si>
    <t xml:space="preserve">16th Sept 25</t>
  </si>
  <si>
    <t xml:space="preserve">2025-09-16T17:34:59</t>
  </si>
  <si>
    <t xml:space="preserve">Rs./MT 8775</t>
  </si>
  <si>
    <t xml:space="preserve">https://seaofindia.com/seaquotes/16th-sept-25/</t>
  </si>
  <si>
    <t xml:space="preserve">17th Sept 25</t>
  </si>
  <si>
    <t xml:space="preserve">2025-09-17T17:35:40</t>
  </si>
  <si>
    <t xml:space="preserve">https://seaofindia.com/seaquotes/17th-sept-25/</t>
  </si>
  <si>
    <t xml:space="preserve">18th Sept 25</t>
  </si>
  <si>
    <t xml:space="preserve">2025-09-18T17:46:26</t>
  </si>
  <si>
    <t xml:space="preserve">Rs./MT 8750</t>
  </si>
  <si>
    <t xml:space="preserve">https://seaofindia.com/seaquotes/18th-sept-25/</t>
  </si>
  <si>
    <t xml:space="preserve">19th Sept 25</t>
  </si>
  <si>
    <t xml:space="preserve">2025-09-22T17:35:51</t>
  </si>
  <si>
    <t xml:space="preserve">Rs./MT 8700</t>
  </si>
  <si>
    <t xml:space="preserve">https://seaofindia.com/seaquotes/19th-sept-25/</t>
  </si>
  <si>
    <t xml:space="preserve">22nd Sept 25</t>
  </si>
  <si>
    <t xml:space="preserve">2025-09-22T17:40:44</t>
  </si>
  <si>
    <t xml:space="preserve">https://seaofindia.com/seaquotes/22nd-sept-25/</t>
  </si>
  <si>
    <t xml:space="preserve">23rd Sept 25</t>
  </si>
  <si>
    <t xml:space="preserve">2025-09-23T17:29:57</t>
  </si>
  <si>
    <t xml:space="preserve">Rs./MT 8600</t>
  </si>
  <si>
    <t xml:space="preserve">https://seaofindia.com/seaquotes/23rd-sept-25/</t>
  </si>
  <si>
    <t xml:space="preserve">25th Sept 25</t>
  </si>
  <si>
    <t xml:space="preserve">2025-09-25T15:05:56</t>
  </si>
  <si>
    <t xml:space="preserve">Rs./MT 8475</t>
  </si>
  <si>
    <t xml:space="preserve">https://seaofindia.com/seaquotes/25th-sept-25/</t>
  </si>
  <si>
    <t xml:space="preserve">26th Sept 25</t>
  </si>
  <si>
    <t xml:space="preserve">2025-09-26T17:48:56</t>
  </si>
  <si>
    <t xml:space="preserve">https://seaofindia.com/seaquotes/26th-sept-25/</t>
  </si>
  <si>
    <t xml:space="preserve">30th Sept 25</t>
  </si>
  <si>
    <t xml:space="preserve">2025-09-30T17:35:00</t>
  </si>
  <si>
    <t xml:space="preserve">Rs./MT 8450</t>
  </si>
  <si>
    <t xml:space="preserve">https://seaofindia.com/seaquotes/30th-sept-25/</t>
  </si>
  <si>
    <t xml:space="preserve">1st Oct 25</t>
  </si>
  <si>
    <t xml:space="preserve">2025-10-03T10:36:57</t>
  </si>
  <si>
    <t xml:space="preserve">https://seaofindia.com/seaquotes/29th-sept-25/</t>
  </si>
  <si>
    <t xml:space="preserve">3rd Oct.25</t>
  </si>
  <si>
    <t xml:space="preserve">2025-10-06T11:03:30</t>
  </si>
  <si>
    <t xml:space="preserve">https://seaofindia.com/seaquotes/3rd-oct-25/</t>
  </si>
  <si>
    <t xml:space="preserve">6th Oct 25</t>
  </si>
  <si>
    <t xml:space="preserve">2025-10-07T09:56:34</t>
  </si>
  <si>
    <t xml:space="preserve">https://seaofindia.com/seaquotes/6th-oct-25/</t>
  </si>
  <si>
    <t xml:space="preserve">7th Oct 25</t>
  </si>
  <si>
    <t xml:space="preserve">2025-10-07T17:38:45</t>
  </si>
  <si>
    <t xml:space="preserve">https://seaofindia.com/seaquotes/7th-oct-25/</t>
  </si>
  <si>
    <t xml:space="preserve">8th Oct 25</t>
  </si>
  <si>
    <t xml:space="preserve">2025-10-08T17:50:02</t>
  </si>
  <si>
    <t xml:space="preserve">https://seaofindia.com/seaquotes/8th-oct-25/</t>
  </si>
  <si>
    <t xml:space="preserve">9th Oct 25</t>
  </si>
  <si>
    <t xml:space="preserve">2025-10-09T17:53:23</t>
  </si>
  <si>
    <t xml:space="preserve">https://seaofindia.com/seaquotes/9th-oct-25/</t>
  </si>
  <si>
    <t xml:space="preserve">10th Oct 25</t>
  </si>
  <si>
    <t xml:space="preserve">2025-10-10T17:50:58</t>
  </si>
  <si>
    <t xml:space="preserve">https://seaofindia.com/seaquotes/10th-oct-25/</t>
  </si>
  <si>
    <t xml:space="preserve">13th Oct 25</t>
  </si>
  <si>
    <t xml:space="preserve">2025-10-14T10:57:26</t>
  </si>
  <si>
    <t xml:space="preserve">Rs./MT 8350</t>
  </si>
  <si>
    <t xml:space="preserve">https://seaofindia.com/seaquotes/13th-oct-25/</t>
  </si>
  <si>
    <t xml:space="preserve">14th Oct 25</t>
  </si>
  <si>
    <t xml:space="preserve">2025-10-15T12:23:02</t>
  </si>
  <si>
    <t xml:space="preserve">https://seaofindia.com/seaquotes/14th-oct-25/</t>
  </si>
  <si>
    <t xml:space="preserve">15th Oct 25</t>
  </si>
  <si>
    <t xml:space="preserve">2025-10-15T17:40:11</t>
  </si>
  <si>
    <t xml:space="preserve">Rs./MT 8200</t>
  </si>
  <si>
    <t xml:space="preserve">https://seaofindia.com/seaquotes/15th-oct-25/</t>
  </si>
  <si>
    <t xml:space="preserve">16th Oct 25</t>
  </si>
  <si>
    <t xml:space="preserve">2025-10-16T17:58:15</t>
  </si>
  <si>
    <t xml:space="preserve">Rs./MT 8400</t>
  </si>
  <si>
    <t xml:space="preserve">https://seaofindia.com/seaquotes/16th-oct-25/</t>
  </si>
  <si>
    <t xml:space="preserve">17th Oct 25</t>
  </si>
  <si>
    <t xml:space="preserve">2025-10-17T17:59:52</t>
  </si>
  <si>
    <t xml:space="preserve">Rs./MT 8550</t>
  </si>
  <si>
    <t xml:space="preserve">https://seaofindia.com/seaquotes/17th-oct-25/</t>
  </si>
  <si>
    <t xml:space="preserve">20th Oct 25</t>
  </si>
  <si>
    <t xml:space="preserve">2025-10-20T17:38:19</t>
  </si>
  <si>
    <t xml:space="preserve">https://seaofindia.com/seaquotes/20th-oct-25/</t>
  </si>
  <si>
    <t xml:space="preserve">23rd Oct 25</t>
  </si>
  <si>
    <t xml:space="preserve">2025-10-24T10:14:38</t>
  </si>
  <si>
    <t xml:space="preserve">https://seaofindia.com/seaquotes/23rd-oct-25/</t>
  </si>
  <si>
    <t xml:space="preserve">24th Oct 25</t>
  </si>
  <si>
    <t xml:space="preserve">2025-10-27T10:39:39</t>
  </si>
  <si>
    <t xml:space="preserve">https://seaofindia.com/seaquotes/24th-oct-25/</t>
  </si>
  <si>
    <t xml:space="preserve">27th Oct 25</t>
  </si>
  <si>
    <t xml:space="preserve">2025-10-27T17:46:36</t>
  </si>
  <si>
    <t xml:space="preserve">https://seaofindia.com/seaquotes/27th-oct-25/</t>
  </si>
  <si>
    <t xml:space="preserve">28th Oct 25</t>
  </si>
  <si>
    <t xml:space="preserve">2025-10-29T10:30:12</t>
  </si>
  <si>
    <t xml:space="preserve">https://seaofindia.com/seaquotes/28th-oct-25/</t>
  </si>
  <si>
    <t xml:space="preserve">29th Oct 25</t>
  </si>
  <si>
    <t xml:space="preserve">2025-10-29T17:48:18</t>
  </si>
  <si>
    <t xml:space="preserve">https://seaofindia.com/seaquotes/29th-oct-25/</t>
  </si>
  <si>
    <t xml:space="preserve">30th Oct 25</t>
  </si>
  <si>
    <t xml:space="preserve">2025-10-30T17:45:53</t>
  </si>
  <si>
    <t xml:space="preserve">https://seaofindia.com/seaquotes/30th-oct-25/</t>
  </si>
  <si>
    <t xml:space="preserve">31st Oct 25</t>
  </si>
  <si>
    <t xml:space="preserve">2025-10-31T17:20:13</t>
  </si>
  <si>
    <t xml:space="preserve">https://seaofindia.com/seaquotes/31st-oct-25/</t>
  </si>
  <si>
    <t xml:space="preserve">3rd Nov 25</t>
  </si>
  <si>
    <t xml:space="preserve">2025-11-04T11:45:27</t>
  </si>
  <si>
    <t xml:space="preserve">https://seaofindia.com/seaquotes/3rd-nov-25/</t>
  </si>
  <si>
    <t xml:space="preserve">4th Nov 25</t>
  </si>
  <si>
    <t xml:space="preserve">2025-11-04T17:47:56</t>
  </si>
  <si>
    <t xml:space="preserve">https://seaofindia.com/seaquotes/4th-nov-25/</t>
  </si>
  <si>
    <t xml:space="preserve">5th Nov 25</t>
  </si>
  <si>
    <t xml:space="preserve">2025-11-05T17:32:25</t>
  </si>
  <si>
    <t xml:space="preserve">https://seaofindia.com/seaquotes/5th-nov-25/</t>
  </si>
  <si>
    <t xml:space="preserve">6th Nov 25</t>
  </si>
  <si>
    <t xml:space="preserve">2025-11-06T17:24:48</t>
  </si>
  <si>
    <t xml:space="preserve">https://seaofindia.com/seaquotes/6th-nov-25/</t>
  </si>
  <si>
    <t xml:space="preserve">7th Nov 25</t>
  </si>
  <si>
    <t xml:space="preserve">2025-11-07T17:27:54</t>
  </si>
  <si>
    <t xml:space="preserve">https://seaofindia.com/seaquotes/7th-nov-25/</t>
  </si>
  <si>
    <t xml:space="preserve">10th Nov 25</t>
  </si>
  <si>
    <t xml:space="preserve">2025-11-10T17:12:57</t>
  </si>
  <si>
    <t xml:space="preserve">https://seaofindia.com/seaquotes/10th-nov-25/</t>
  </si>
  <si>
    <t xml:space="preserve">11 Nov 25</t>
  </si>
  <si>
    <t xml:space="preserve">2025-11-12T16:04:19</t>
  </si>
  <si>
    <t xml:space="preserve">https://seaofindia.com/seaquotes/11-nov-25/</t>
  </si>
  <si>
    <t xml:space="preserve">12 Nov 25</t>
  </si>
  <si>
    <t xml:space="preserve">2025-11-12T17:01:20</t>
  </si>
  <si>
    <t xml:space="preserve">Rs./MT 9000</t>
  </si>
  <si>
    <t xml:space="preserve">https://seaofindia.com/seaquotes/12-nov-25/</t>
  </si>
  <si>
    <t xml:space="preserve">13th Nov 25</t>
  </si>
  <si>
    <t xml:space="preserve">2025-11-13T17:37:56</t>
  </si>
  <si>
    <t xml:space="preserve">https://seaofindia.com/seaquotes/13th-nov-25/</t>
  </si>
  <si>
    <t xml:space="preserve">14th Nov 2025</t>
  </si>
  <si>
    <t xml:space="preserve">2025-11-14T17:36:01</t>
  </si>
  <si>
    <t xml:space="preserve">https://seaofindia.com/seaquotes/14th-nov-2025/</t>
  </si>
  <si>
    <t xml:space="preserve">17th Nov 2025</t>
  </si>
  <si>
    <t xml:space="preserve">2025-11-18T14:46:42</t>
  </si>
  <si>
    <t xml:space="preserve">https://seaofindia.com/seaquotes/17th-nov-2025/</t>
  </si>
  <si>
    <t xml:space="preserve">18th Nov 2025</t>
  </si>
  <si>
    <t xml:space="preserve">2025-11-19T12:18:27</t>
  </si>
  <si>
    <t xml:space="preserve">https://seaofindia.com/seaquotes/18th-nov-2025/</t>
  </si>
  <si>
    <t xml:space="preserve">19th Nov 2025</t>
  </si>
  <si>
    <t xml:space="preserve">2025-11-19T17:24:23</t>
  </si>
  <si>
    <t xml:space="preserve">https://seaofindia.com/seaquotes/19th-nov-2025/</t>
  </si>
  <si>
    <t xml:space="preserve">20th Nov 2025</t>
  </si>
  <si>
    <t xml:space="preserve">2025-11-20T17:39:40</t>
  </si>
  <si>
    <t xml:space="preserve">https://seaofindia.com/seaquotes/20th-nov-2025/</t>
  </si>
  <si>
    <t xml:space="preserve">21st Nov 2025</t>
  </si>
  <si>
    <t xml:space="preserve">2025-11-21T17:52:30</t>
  </si>
  <si>
    <t xml:space="preserve">https://seaofindia.com/seaquotes/21st-nov-2025/</t>
  </si>
  <si>
    <t xml:space="preserve">24th Nov 2025</t>
  </si>
  <si>
    <t xml:space="preserve">2025-11-24T17:49:38</t>
  </si>
  <si>
    <t xml:space="preserve">https://seaofindia.com/seaquotes/24th-nov-2025/</t>
  </si>
  <si>
    <t xml:space="preserve">25th Nov 25</t>
  </si>
  <si>
    <t xml:space="preserve">2025-11-27T16:25:33</t>
  </si>
  <si>
    <t xml:space="preserve">https://seaofindia.com/seaquotes/25th-nov-25/</t>
  </si>
  <si>
    <t xml:space="preserve">26th Nov 25</t>
  </si>
  <si>
    <t xml:space="preserve">2025-11-27T16:29:37</t>
  </si>
  <si>
    <t xml:space="preserve">https://seaofindia.com/seaquotes/26th-nov-25/</t>
  </si>
  <si>
    <t xml:space="preserve">27th Nov 25</t>
  </si>
  <si>
    <t xml:space="preserve">2025-11-27T17:33:31</t>
  </si>
  <si>
    <t xml:space="preserve">https://seaofindia.com/seaquotes/27th-nov-25/</t>
  </si>
  <si>
    <t xml:space="preserve">28th Nov 25</t>
  </si>
  <si>
    <t xml:space="preserve">2025-11-28T17:42:01</t>
  </si>
  <si>
    <t xml:space="preserve">https://seaofindia.com/seaquotes/28th-nov-25/</t>
  </si>
  <si>
    <t xml:space="preserve">1st Dec 25</t>
  </si>
  <si>
    <t xml:space="preserve">2025-12-01T17:50:21</t>
  </si>
  <si>
    <t xml:space="preserve">https://seaofindia.com/seaquotes/1st-dec-25/</t>
  </si>
  <si>
    <t xml:space="preserve">2nd Dec 25</t>
  </si>
  <si>
    <t xml:space="preserve">2025-12-03T17:14:17</t>
  </si>
  <si>
    <t xml:space="preserve">https://seaofindia.com/seaquotes/2nd-dec/</t>
  </si>
  <si>
    <t xml:space="preserve">3rd Dec25</t>
  </si>
  <si>
    <t xml:space="preserve">2025-12-03T17:24:49</t>
  </si>
  <si>
    <t xml:space="preserve">https://seaofindia.com/seaquotes/3rd-dec25/</t>
  </si>
  <si>
    <t xml:space="preserve">4th Dec 25</t>
  </si>
  <si>
    <t xml:space="preserve">2025-12-04T17:51:28</t>
  </si>
  <si>
    <t xml:space="preserve">https://seaofindia.com/seaquotes/4th-dec/</t>
  </si>
  <si>
    <t xml:space="preserve">5th Dec 25</t>
  </si>
  <si>
    <t xml:space="preserve">2025-12-05T17:49:55</t>
  </si>
  <si>
    <t xml:space="preserve">https://seaofindia.com/seaquotes/5th-dec-25/</t>
  </si>
  <si>
    <t xml:space="preserve">8th Dec 25</t>
  </si>
  <si>
    <t xml:space="preserve">2025-12-10T10:19:11</t>
  </si>
  <si>
    <t xml:space="preserve">https://seaofindia.com/seaquotes/8th-dec-25/</t>
  </si>
  <si>
    <t xml:space="preserve">9th Dec 25</t>
  </si>
  <si>
    <t xml:space="preserve">2025-12-10T10:28:46</t>
  </si>
  <si>
    <t xml:space="preserve">Rs./MT 8777</t>
  </si>
  <si>
    <t xml:space="preserve">https://seaofindia.com/seaquotes/9th-dec-25/</t>
  </si>
  <si>
    <t xml:space="preserve">10th Dec 25</t>
  </si>
  <si>
    <t xml:space="preserve">2025-12-12T10:26:02</t>
  </si>
  <si>
    <t xml:space="preserve">https://seaofindia.com/seaquotes/10th-dec-25/</t>
  </si>
  <si>
    <t xml:space="preserve">11th Dec 25</t>
  </si>
  <si>
    <t xml:space="preserve">2025-12-12T10:39:20</t>
  </si>
  <si>
    <t xml:space="preserve">https://seaofindia.com/seaquotes/11th-dec-25/</t>
  </si>
  <si>
    <t xml:space="preserve">12th Dec 25</t>
  </si>
  <si>
    <t xml:space="preserve">2025-12-16T14:21:48</t>
  </si>
  <si>
    <t xml:space="preserve">https://seaofindia.com/seaquotes/12th-dec-25/</t>
  </si>
  <si>
    <t xml:space="preserve">15th Dec 25</t>
  </si>
  <si>
    <t xml:space="preserve">2025-12-16T15:03:54</t>
  </si>
  <si>
    <t xml:space="preserve">https://seaofindia.com/seaquotes/15th-dec-25/</t>
  </si>
  <si>
    <t xml:space="preserve">16th Dec 25</t>
  </si>
  <si>
    <t xml:space="preserve">2025-12-17T17:39:54</t>
  </si>
  <si>
    <t xml:space="preserve">https://seaofindia.com/seaquotes/16th-dec-25/</t>
  </si>
  <si>
    <t xml:space="preserve">17th Dec 25</t>
  </si>
  <si>
    <t xml:space="preserve">2025-12-17T17:47:15</t>
  </si>
  <si>
    <t xml:space="preserve">https://seaofindia.com/seaquotes/17th-dec-25/</t>
  </si>
  <si>
    <t xml:space="preserve">18th Dec25</t>
  </si>
  <si>
    <t xml:space="preserve">2025-12-18T17:28:23</t>
  </si>
  <si>
    <t xml:space="preserve">https://seaofindia.com/seaquotes/18th-dec25/</t>
  </si>
  <si>
    <t xml:space="preserve">19th Dec 25</t>
  </si>
  <si>
    <t xml:space="preserve">2025-12-22T10:12:04</t>
  </si>
  <si>
    <t xml:space="preserve">https://seaofindia.com/seaquotes/19th-dec-25/</t>
  </si>
  <si>
    <t xml:space="preserve">22nd Dec 25</t>
  </si>
  <si>
    <t xml:space="preserve">2025-12-24T10:03:24</t>
  </si>
  <si>
    <t xml:space="preserve">https://seaofindia.com/seaquotes/22nd-dec-25/</t>
  </si>
  <si>
    <t xml:space="preserve">23rd Dec 25</t>
  </si>
  <si>
    <t xml:space="preserve">2025-12-24T10:13:31</t>
  </si>
  <si>
    <t xml:space="preserve">https://seaofindia.com/seaquotes/23rd-dec-25/</t>
  </si>
  <si>
    <t xml:space="preserve">24th Dec 2025</t>
  </si>
  <si>
    <t xml:space="preserve">2025-12-26T14:44:41</t>
  </si>
  <si>
    <t xml:space="preserve">https://seaofindia.com/seaquotes/24th-dec-2025/</t>
  </si>
  <si>
    <t xml:space="preserve">26th Dec 25</t>
  </si>
  <si>
    <t xml:space="preserve">2025-12-29T10:14:38</t>
  </si>
  <si>
    <t xml:space="preserve">Rs./MT 7950</t>
  </si>
  <si>
    <t xml:space="preserve">https://seaofindia.com/seaquotes/26th-dec-25/</t>
  </si>
  <si>
    <t xml:space="preserve">29th Dec 25</t>
  </si>
  <si>
    <t xml:space="preserve">2025-12-29T17:38:03</t>
  </si>
  <si>
    <t xml:space="preserve">Rs./MT 7800</t>
  </si>
  <si>
    <t xml:space="preserve">https://seaofindia.com/seaquotes/29th-dec-25/</t>
  </si>
  <si>
    <t xml:space="preserve">30th Dec 25</t>
  </si>
  <si>
    <t xml:space="preserve">2025-12-31T11:44:16</t>
  </si>
  <si>
    <t xml:space="preserve">Rs./MT 7850</t>
  </si>
  <si>
    <t xml:space="preserve">https://seaofindia.com/seaquotes/30th-dec-25/</t>
  </si>
  <si>
    <t xml:space="preserve">31st Dec 25</t>
  </si>
  <si>
    <t xml:space="preserve">2026-01-01T17:22:00</t>
  </si>
  <si>
    <t xml:space="preserve">https://seaofindia.com/seaquotes/31st-dec-25/</t>
  </si>
  <si>
    <t xml:space="preserve">31 Dec 25</t>
  </si>
  <si>
    <t xml:space="preserve">2026-01-09T11:21:12</t>
  </si>
  <si>
    <t xml:space="preserve">https://seaofindia.com/seaquotes/31-dec-25/</t>
  </si>
  <si>
    <t xml:space="preserve">1st Jan 26</t>
  </si>
  <si>
    <t xml:space="preserve">2026-01-01T17:26:15</t>
  </si>
  <si>
    <t xml:space="preserve">https://seaofindia.com/seaquotes/1st-jan-26/</t>
  </si>
  <si>
    <t xml:space="preserve">2nd Jan26</t>
  </si>
  <si>
    <t xml:space="preserve">2026-01-06T11:31:23</t>
  </si>
  <si>
    <t xml:space="preserve">https://seaofindia.com/seaquotes/2nd-jan26/</t>
  </si>
  <si>
    <t xml:space="preserve">5th Jan 26</t>
  </si>
  <si>
    <t xml:space="preserve">2026-01-06T11:35:10</t>
  </si>
  <si>
    <t xml:space="preserve">https://seaofindia.com/seaquotes/5th-jan-26/</t>
  </si>
  <si>
    <t xml:space="preserve">6th Jan 26</t>
  </si>
  <si>
    <t xml:space="preserve">2026-01-06T17:38:46</t>
  </si>
  <si>
    <t xml:space="preserve">https://seaofindia.com/seaquotes/6th-jan-26/</t>
  </si>
  <si>
    <t xml:space="preserve">7th Jan 26</t>
  </si>
  <si>
    <t xml:space="preserve">2026-01-07T17:44:08</t>
  </si>
  <si>
    <t xml:space="preserve">https://seaofindia.com/seaquotes/7th-jan-26/</t>
  </si>
  <si>
    <t xml:space="preserve">8 Jan 26</t>
  </si>
  <si>
    <t xml:space="preserve">2026-01-09T11:23:29</t>
  </si>
  <si>
    <t xml:space="preserve">https://seaofindia.com/seaquotes/8-dec-2026/</t>
  </si>
  <si>
    <t xml:space="preserve">9th Jan 26</t>
  </si>
  <si>
    <t xml:space="preserve">2026-01-09T17:56:06</t>
  </si>
  <si>
    <t xml:space="preserve">https://seaofindia.com/seaquotes/9th-jan-26/</t>
  </si>
  <si>
    <t xml:space="preserve">12 Jan 26</t>
  </si>
  <si>
    <t xml:space="preserve">2026-01-12T17:12:52</t>
  </si>
  <si>
    <t xml:space="preserve">Rs./MT 7450</t>
  </si>
  <si>
    <t xml:space="preserve">https://seaofindia.com/seaquotes/12-jan-26/</t>
  </si>
  <si>
    <t xml:space="preserve">13 Jan 26</t>
  </si>
  <si>
    <t xml:space="preserve">2026-01-13T17:48:05</t>
  </si>
  <si>
    <t xml:space="preserve">https://seaofindia.com/seaquotes/13-jan-26/</t>
  </si>
  <si>
    <t xml:space="preserve">14 Jan 26</t>
  </si>
  <si>
    <t xml:space="preserve">2026-01-14T17:20:33</t>
  </si>
  <si>
    <t xml:space="preserve">https://seaofindia.com/seaquotes/14-jan-26/</t>
  </si>
  <si>
    <t xml:space="preserve">16 Jan 26</t>
  </si>
  <si>
    <t xml:space="preserve">2026-01-19T10:09:58</t>
  </si>
  <si>
    <t xml:space="preserve">Rs./MT 7350</t>
  </si>
  <si>
    <t xml:space="preserve">https://seaofindia.com/seaquotes/16-jan-26/</t>
  </si>
  <si>
    <t xml:space="preserve">19 Jan 26</t>
  </si>
  <si>
    <t xml:space="preserve">2026-01-19T17:40:39</t>
  </si>
  <si>
    <t xml:space="preserve">https://seaofindia.com/seaquotes/19-jan-26/</t>
  </si>
  <si>
    <t xml:space="preserve">20th Jan 26</t>
  </si>
  <si>
    <t xml:space="preserve">2026-01-21T16:46:42</t>
  </si>
  <si>
    <t xml:space="preserve">https://seaofindia.com/seaquotes/20th-jan-26/</t>
  </si>
  <si>
    <t xml:space="preserve">21st Jan 26</t>
  </si>
  <si>
    <t xml:space="preserve">2026-01-21T17:34:31</t>
  </si>
  <si>
    <t xml:space="preserve">https://seaofindia.com/seaquotes/21st-jan-26/</t>
  </si>
  <si>
    <t xml:space="preserve">22nd Jan 26</t>
  </si>
  <si>
    <t xml:space="preserve">2026-01-22T17:46:57</t>
  </si>
  <si>
    <t xml:space="preserve">https://seaofindia.com/seaquotes/22nd-jan-26/</t>
  </si>
  <si>
    <t xml:space="preserve">23rd Jan 26</t>
  </si>
  <si>
    <t xml:space="preserve">2026-01-23T17:52:25</t>
  </si>
  <si>
    <t xml:space="preserve">https://seaofindia.com/seaquotes/23rd-jan-26/</t>
  </si>
  <si>
    <t xml:space="preserve">27 Jan 26</t>
  </si>
  <si>
    <t xml:space="preserve">2026-01-27T17:38:16</t>
  </si>
  <si>
    <t xml:space="preserve">https://seaofindia.com/seaquotes/27-jan-26/</t>
  </si>
  <si>
    <t xml:space="preserve">28th Jan 26</t>
  </si>
  <si>
    <t xml:space="preserve">2026-01-28T17:47:35</t>
  </si>
  <si>
    <t xml:space="preserve">https://seaofindia.com/seaquotes/28th-jan-26/</t>
  </si>
  <si>
    <t xml:space="preserve">29 Jan 26</t>
  </si>
  <si>
    <t xml:space="preserve">2026-01-29T17:47:39</t>
  </si>
  <si>
    <t xml:space="preserve">https://seaofindia.com/seaquotes/29-jan-26/</t>
  </si>
  <si>
    <t xml:space="preserve">30th Jan 26</t>
  </si>
  <si>
    <t xml:space="preserve">2026-01-30T17:37:26</t>
  </si>
  <si>
    <t xml:space="preserve">https://seaofindia.com/seaquotes/30th-jan-26/</t>
  </si>
  <si>
    <t xml:space="preserve">03 Feb 26</t>
  </si>
  <si>
    <t xml:space="preserve">2026-02-03T10:26:14</t>
  </si>
  <si>
    <t xml:space="preserve">https://seaofindia.com/seaquotes/03-feb-26/</t>
  </si>
  <si>
    <t xml:space="preserve">4th Feb 26</t>
  </si>
  <si>
    <t xml:space="preserve">2026-02-05T09:50:28</t>
  </si>
  <si>
    <t xml:space="preserve">https://seaofindia.com/seaquotes/4th-feb-26/</t>
  </si>
  <si>
    <t xml:space="preserve">5th Feb 26</t>
  </si>
  <si>
    <t xml:space="preserve">2026-02-05T17:49:47</t>
  </si>
  <si>
    <t xml:space="preserve">https://seaofindia.com/seaquotes/5th-feb-26/</t>
  </si>
  <si>
    <t xml:space="preserve">6th Feb 26</t>
  </si>
  <si>
    <t xml:space="preserve">2026-02-09T10:50:33</t>
  </si>
  <si>
    <t xml:space="preserve">https://seaofindia.com/seaquotes/6th-feb-26/</t>
  </si>
  <si>
    <t xml:space="preserve">9th Feb 2026</t>
  </si>
  <si>
    <t xml:space="preserve">2026-02-10T17:51:57</t>
  </si>
  <si>
    <t xml:space="preserve">https://seaofindia.com/seaquotes/9th-feb-2026/</t>
  </si>
  <si>
    <t xml:space="preserve">10th Feb 26</t>
  </si>
  <si>
    <t xml:space="preserve">2026-02-10T17:57:03</t>
  </si>
  <si>
    <t xml:space="preserve">https://seaofindia.com/seaquotes/10th-feb-26/</t>
  </si>
  <si>
    <t xml:space="preserve">11 Feb 2026</t>
  </si>
  <si>
    <t xml:space="preserve">2026-02-11T17:34:06</t>
  </si>
  <si>
    <t xml:space="preserve">https://seaofindia.com/seaquotes/11-feb-2026/</t>
  </si>
  <si>
    <t xml:space="preserve">12 Feb 26</t>
  </si>
  <si>
    <t xml:space="preserve">2026-02-12T17:12:41</t>
  </si>
  <si>
    <t xml:space="preserve">https://seaofindia.com/seaquotes/12-feb-26/</t>
  </si>
  <si>
    <t xml:space="preserve">13th Feb 26</t>
  </si>
  <si>
    <t xml:space="preserve">2026-02-13T17:40:59</t>
  </si>
  <si>
    <t xml:space="preserve">https://seaofindia.com/seaquotes/13th-feb-26/</t>
  </si>
  <si>
    <t xml:space="preserve">16th Feb 26</t>
  </si>
  <si>
    <t xml:space="preserve">2026-02-16T17:51:20</t>
  </si>
  <si>
    <t xml:space="preserve">https://seaofindia.com/seaquotes/16th-feb-26/</t>
  </si>
  <si>
    <t xml:space="preserve">16 Feb 26</t>
  </si>
  <si>
    <t xml:space="preserve">2026-02-17T15:36:41</t>
  </si>
  <si>
    <t xml:space="preserve">https://seaofindia.com/seaquotes/16-feb-26/</t>
  </si>
  <si>
    <t xml:space="preserve">17th Feb 26</t>
  </si>
  <si>
    <t xml:space="preserve">2026-02-17T17:39:03</t>
  </si>
  <si>
    <t xml:space="preserve">https://seaofindia.com/seaquotes/17th-feb-26/</t>
  </si>
  <si>
    <t xml:space="preserve">18th Feb 26</t>
  </si>
  <si>
    <t xml:space="preserve">2026-02-18T17:38:38</t>
  </si>
  <si>
    <t xml:space="preserve">https://seaofindia.com/seaquotes/18th-feb-26/</t>
  </si>
  <si>
    <t xml:space="preserve">19th Feb 26</t>
  </si>
  <si>
    <t xml:space="preserve">2026-02-19T17:30:37</t>
  </si>
  <si>
    <t xml:space="preserve">https://seaofindia.com/seaquotes/19th-feb-26/</t>
  </si>
  <si>
    <t xml:space="preserve">20th Feb 26</t>
  </si>
  <si>
    <t xml:space="preserve">2026-02-20T17:54:00</t>
  </si>
  <si>
    <t xml:space="preserve">https://seaofindia.com/seaquotes/20th-feb-26/</t>
  </si>
  <si>
    <t xml:space="preserve">23rd Feb 26</t>
  </si>
  <si>
    <t xml:space="preserve">2026-02-23T17:37:41</t>
  </si>
  <si>
    <t xml:space="preserve">https://seaofindia.com/seaquotes/23rd-feb-26/</t>
  </si>
  <si>
    <t xml:space="preserve">24th Feb 26</t>
  </si>
  <si>
    <t xml:space="preserve">2026-02-25T14:44:22</t>
  </si>
  <si>
    <t xml:space="preserve">https://seaofindia.com/seaquotes/24th-feb-26/</t>
  </si>
  <si>
    <t xml:space="preserve">25th Feb 26</t>
  </si>
  <si>
    <t xml:space="preserve">2026-02-25T17:53:18</t>
  </si>
  <si>
    <t xml:space="preserve">https://seaofindia.com/seaquotes/25th-feb-26/</t>
  </si>
  <si>
    <t xml:space="preserve">26th Feb 26</t>
  </si>
  <si>
    <t xml:space="preserve">2026-02-26T17:36:30</t>
  </si>
  <si>
    <t xml:space="preserve">https://seaofindia.com/seaquotes/26th-feb-26/</t>
  </si>
  <si>
    <t xml:space="preserve">27 Feb 26</t>
  </si>
  <si>
    <t xml:space="preserve">2026-02-27T17:38:42</t>
  </si>
  <si>
    <t xml:space="preserve">https://seaofindia.com/seaquotes/27-feb-26/</t>
  </si>
  <si>
    <t xml:space="preserve">2nd March 26</t>
  </si>
  <si>
    <t xml:space="preserve">2026-03-02T17:46:57</t>
  </si>
  <si>
    <t xml:space="preserve">https://seaofindia.com/seaquotes/2nd-march-26/</t>
  </si>
  <si>
    <t xml:space="preserve">4th Mar 26</t>
  </si>
  <si>
    <t xml:space="preserve">2026-03-04T17:28:08</t>
  </si>
  <si>
    <t xml:space="preserve">https://seaofindia.com/seaquotes/4th-mar-26/</t>
  </si>
  <si>
    <t xml:space="preserve">5th Mar 26</t>
  </si>
  <si>
    <t xml:space="preserve">2026-03-05T17:35:34</t>
  </si>
  <si>
    <t xml:space="preserve">https://seaofindia.com/seaquotes/5th-mar-26/</t>
  </si>
  <si>
    <t xml:space="preserve">6th Mar 26</t>
  </si>
  <si>
    <t xml:space="preserve">2026-03-06T17:45:21</t>
  </si>
  <si>
    <t xml:space="preserve">https://seaofindia.com/seaquotes/6th-mar-26/</t>
  </si>
  <si>
    <t xml:space="preserve">9th Mar 2026</t>
  </si>
  <si>
    <t xml:space="preserve">2026-03-09T17:53:39</t>
  </si>
  <si>
    <t xml:space="preserve">https://seaofindia.com/seaquotes/9th-mar-2026/</t>
  </si>
  <si>
    <t xml:space="preserve">10th Mar 26</t>
  </si>
  <si>
    <t xml:space="preserve">2026-03-10T17:01:44</t>
  </si>
  <si>
    <t xml:space="preserve">https://seaofindia.com/seaquotes/10th-mar-26/</t>
  </si>
  <si>
    <t xml:space="preserve">11 Mar 26</t>
  </si>
  <si>
    <t xml:space="preserve">2026-03-11T17:36:48</t>
  </si>
  <si>
    <t xml:space="preserve">https://seaofindia.com/seaquotes/11-mar-26/</t>
  </si>
  <si>
    <t xml:space="preserve">12 Mar 26</t>
  </si>
  <si>
    <t xml:space="preserve">2026-03-12T17:39:38</t>
  </si>
  <si>
    <t xml:space="preserve">https://seaofindia.com/seaquotes/12-mar-26/</t>
  </si>
  <si>
    <t xml:space="preserve">13 Mar 26</t>
  </si>
  <si>
    <t xml:space="preserve">2026-03-13T17:32:55</t>
  </si>
  <si>
    <t xml:space="preserve">https://seaofindia.com/seaquotes/13-mar-26/</t>
  </si>
  <si>
    <t xml:space="preserve">16th Mar 26</t>
  </si>
  <si>
    <t xml:space="preserve">2026-03-16T17:31:40</t>
  </si>
  <si>
    <t xml:space="preserve">https://seaofindia.com/seaquotes/16th-mar-26/</t>
  </si>
  <si>
    <t xml:space="preserve">17 Mar 26</t>
  </si>
  <si>
    <t xml:space="preserve">2026-03-17T17:35:02</t>
  </si>
  <si>
    <t xml:space="preserve">https://seaofindia.com/seaquotes/17-mar-26/</t>
  </si>
  <si>
    <t xml:space="preserve">18th Mar 26</t>
  </si>
  <si>
    <t xml:space="preserve">2026-03-18T17:44:25</t>
  </si>
  <si>
    <t xml:space="preserve">https://seaofindia.com/seaquotes/18th-mar-26/</t>
  </si>
  <si>
    <t xml:space="preserve">20th Mar 26</t>
  </si>
  <si>
    <t xml:space="preserve">2026-03-20T17:32:44</t>
  </si>
  <si>
    <t xml:space="preserve">https://seaofindia.com/seaquotes/20th-mar-26/</t>
  </si>
  <si>
    <t xml:space="preserve">23rd Mar 26</t>
  </si>
  <si>
    <t xml:space="preserve">2026-03-23T17:52:12</t>
  </si>
  <si>
    <t xml:space="preserve">https://seaofindia.com/seaquotes/23rd-mar-26/</t>
  </si>
  <si>
    <t xml:space="preserve">24th Mar 26</t>
  </si>
  <si>
    <t xml:space="preserve">2026-03-24T17:24:43</t>
  </si>
  <si>
    <t xml:space="preserve">https://seaofindia.com/seaquotes/24th-mar-26/</t>
  </si>
  <si>
    <t xml:space="preserve">25th Mar 26</t>
  </si>
  <si>
    <t xml:space="preserve">2026-03-25T17:39:00</t>
  </si>
  <si>
    <t xml:space="preserve">https://seaofindia.com/seaquotes/25th-mar-26/</t>
  </si>
  <si>
    <t xml:space="preserve">26 Mar 26</t>
  </si>
  <si>
    <t xml:space="preserve">2026-03-26T17:38:33</t>
  </si>
  <si>
    <t xml:space="preserve">https://seaofindia.com/seaquotes/26-mar-26/</t>
  </si>
  <si>
    <t xml:space="preserve">27 Mar 26</t>
  </si>
  <si>
    <t xml:space="preserve">2026-03-27T17:55:25</t>
  </si>
  <si>
    <t xml:space="preserve">https://seaofindia.com/seaquotes/27-mar-26/</t>
  </si>
  <si>
    <t xml:space="preserve">30th Mar 26</t>
  </si>
  <si>
    <t xml:space="preserve">2026-03-30T17:49:37</t>
  </si>
  <si>
    <t xml:space="preserve">https://seaofindia.com/seaquotes/30-mar-26/</t>
  </si>
  <si>
    <t xml:space="preserve">31st Mar 26</t>
  </si>
  <si>
    <t xml:space="preserve">2026-03-31T17:38:51</t>
  </si>
  <si>
    <t xml:space="preserve">https://seaofindia.com/seaquotes/31st-mar-26/</t>
  </si>
  <si>
    <t xml:space="preserve">1st April 26</t>
  </si>
  <si>
    <t xml:space="preserve">2026-04-01T17:46:52</t>
  </si>
  <si>
    <t xml:space="preserve">https://seaofindia.com/seaquotes/1st-april-26/</t>
  </si>
  <si>
    <t xml:space="preserve">2nd Apr 26</t>
  </si>
  <si>
    <t xml:space="preserve">2026-04-02T17:46:18</t>
  </si>
  <si>
    <t xml:space="preserve">https://seaofindia.com/seaquotes/2nd-apr-26/</t>
  </si>
  <si>
    <t xml:space="preserve">3rd Apr 26</t>
  </si>
  <si>
    <t xml:space="preserve">2026-04-03T17:37:32</t>
  </si>
  <si>
    <t xml:space="preserve">https://seaofindia.com/seaquotes/3rd-apr-26/</t>
  </si>
  <si>
    <t xml:space="preserve">6th Apr 26</t>
  </si>
  <si>
    <t xml:space="preserve">2026-04-06T17:34:36</t>
  </si>
  <si>
    <t xml:space="preserve">https://seaofindia.com/seaquotes/6th-apr-26/</t>
  </si>
  <si>
    <t xml:space="preserve">8th Apr 26</t>
  </si>
  <si>
    <t xml:space="preserve">2026-04-08T16:43:38</t>
  </si>
  <si>
    <t xml:space="preserve">https://seaofindia.com/seaquotes/8th-apr-26/</t>
  </si>
  <si>
    <t xml:space="preserve">9th Apr 26</t>
  </si>
  <si>
    <t xml:space="preserve">2026-04-09T17:33:02</t>
  </si>
  <si>
    <t xml:space="preserve">https://seaofindia.com/seaquotes/9th-apr-26/</t>
  </si>
  <si>
    <t xml:space="preserve">10th Apr 26</t>
  </si>
  <si>
    <t xml:space="preserve">2026-04-10T17:36:20</t>
  </si>
  <si>
    <t xml:space="preserve">https://seaofindia.com/seaquotes/10th-apr-26/</t>
  </si>
  <si>
    <t xml:space="preserve">13th Apr 26</t>
  </si>
  <si>
    <t xml:space="preserve">2026-04-13T17:14:27</t>
  </si>
  <si>
    <t xml:space="preserve">https://seaofindia.com/seaquotes/13th-apr-26/</t>
  </si>
  <si>
    <t xml:space="preserve">14th Apr 26</t>
  </si>
  <si>
    <t xml:space="preserve">2026-04-14T17:20:11</t>
  </si>
  <si>
    <t xml:space="preserve">https://seaofindia.com/seaquotes/14th-apr-26/</t>
  </si>
  <si>
    <t xml:space="preserve">15th Apr 26</t>
  </si>
  <si>
    <t xml:space="preserve">2026-04-15T17:46:05</t>
  </si>
  <si>
    <t xml:space="preserve">https://seaofindia.com/seaquotes/15th-apr-26/</t>
  </si>
  <si>
    <t xml:space="preserve">16th Apr 26</t>
  </si>
  <si>
    <t xml:space="preserve">2026-04-16T17:19:59</t>
  </si>
  <si>
    <t xml:space="preserve">https://seaofindia.com/seaquotes/16th-apr-26/</t>
  </si>
  <si>
    <t xml:space="preserve">17th Apr 26</t>
  </si>
  <si>
    <t xml:space="preserve">2026-04-17T17:30:15</t>
  </si>
  <si>
    <t xml:space="preserve">https://seaofindia.com/seaquotes/17th-apr-26/</t>
  </si>
  <si>
    <t xml:space="preserve">20th Apr 26</t>
  </si>
  <si>
    <t xml:space="preserve">2026-04-20T17:57:20</t>
  </si>
  <si>
    <t xml:space="preserve">https://seaofindia.com/seaquotes/20th-apr-26/</t>
  </si>
  <si>
    <t xml:space="preserve">21st Apr 26</t>
  </si>
  <si>
    <t xml:space="preserve">2026-04-21T17:51:51</t>
  </si>
  <si>
    <t xml:space="preserve">https://seaofindia.com/seaquotes/21st-apr-26/</t>
  </si>
  <si>
    <t xml:space="preserve">22nd Apr 26</t>
  </si>
  <si>
    <t xml:space="preserve">2026-04-22T17:54:49</t>
  </si>
  <si>
    <t xml:space="preserve">https://seaofindia.com/seaquotes/22nd-apr-26/</t>
  </si>
  <si>
    <t xml:space="preserve">23rd Apr 26</t>
  </si>
  <si>
    <t xml:space="preserve">2026-04-23T17:38:46</t>
  </si>
  <si>
    <t xml:space="preserve">https://seaofindia.com/seaquotes/23rd-apr-26/</t>
  </si>
  <si>
    <t xml:space="preserve">24th Apr 26</t>
  </si>
  <si>
    <t xml:space="preserve">2026-04-24T17:40:50</t>
  </si>
  <si>
    <t xml:space="preserve">https://seaofindia.com/seaquotes/24th-apr-26/</t>
  </si>
  <si>
    <t xml:space="preserve">27th Apr 26</t>
  </si>
  <si>
    <t xml:space="preserve">2026-04-27T17:37:50</t>
  </si>
  <si>
    <t xml:space="preserve">https://seaofindia.com/seaquotes/27th-apr-26/</t>
  </si>
  <si>
    <t xml:space="preserve">28th Apr 26</t>
  </si>
  <si>
    <t xml:space="preserve">2026-04-28T17:45:16</t>
  </si>
  <si>
    <t xml:space="preserve">https://seaofindia.com/seaquotes/28th-apr-26/</t>
  </si>
  <si>
    <t xml:space="preserve">29th Apr 26</t>
  </si>
  <si>
    <t xml:space="preserve">2026-04-29T17:40:46</t>
  </si>
  <si>
    <t xml:space="preserve">https://seaofindia.com/seaquotes/29th-apr-26/</t>
  </si>
  <si>
    <t xml:space="preserve">30th Apr 26</t>
  </si>
  <si>
    <t xml:space="preserve">2026-04-30T16:50:58</t>
  </si>
  <si>
    <t xml:space="preserve">https://seaofindia.com/seaquotes/30th-apr-26/</t>
  </si>
  <si>
    <t xml:space="preserve">4th May 26</t>
  </si>
  <si>
    <t xml:space="preserve">2026-05-04T17:47:16</t>
  </si>
  <si>
    <t xml:space="preserve">https://seaofindia.com/seaquotes/4th-may-26/</t>
  </si>
  <si>
    <t xml:space="preserve">5th May 26</t>
  </si>
  <si>
    <t xml:space="preserve">2026-05-05T17:46:28</t>
  </si>
  <si>
    <t xml:space="preserve">https://seaofindia.com/seaquotes/5th-may-26/</t>
  </si>
  <si>
    <t xml:space="preserve">6th May 26</t>
  </si>
  <si>
    <t xml:space="preserve">2026-05-07T11:44:06</t>
  </si>
  <si>
    <t xml:space="preserve">Rs./MT 7520</t>
  </si>
  <si>
    <t xml:space="preserve">https://seaofindia.com/seaquotes/6th-may-26/</t>
  </si>
  <si>
    <t xml:space="preserve">7th May 26</t>
  </si>
  <si>
    <t xml:space="preserve">2026-05-07T17:10:47</t>
  </si>
  <si>
    <t xml:space="preserve">https://seaofindia.com/seaquotes/7th-may-26/</t>
  </si>
  <si>
    <t xml:space="preserve">8th May 26</t>
  </si>
  <si>
    <t xml:space="preserve">2026-05-08T17:35:28</t>
  </si>
  <si>
    <t xml:space="preserve">https://seaofindia.com/seaquotes/8th-may-26/</t>
  </si>
  <si>
    <t xml:space="preserve">11 May 26</t>
  </si>
  <si>
    <t xml:space="preserve">2026-05-11T17:40:35</t>
  </si>
  <si>
    <t xml:space="preserve">Rs./MT 7475</t>
  </si>
  <si>
    <t xml:space="preserve">https://seaofindia.com/seaquotes/11-may-26/</t>
  </si>
  <si>
    <t xml:space="preserve">12 May 26</t>
  </si>
  <si>
    <t xml:space="preserve">2026-05-12T17:41:42</t>
  </si>
  <si>
    <t xml:space="preserve">https://seaofindia.com/seaquotes/12-may-26/</t>
  </si>
  <si>
    <t xml:space="preserve">13 May 26</t>
  </si>
  <si>
    <t xml:space="preserve">2026-05-13T17:39:31</t>
  </si>
  <si>
    <t xml:space="preserve">https://seaofindia.com/seaquotes/13-may-26/</t>
  </si>
  <si>
    <t xml:space="preserve">14 May 26</t>
  </si>
  <si>
    <t xml:space="preserve">2026-05-14T17:36:01</t>
  </si>
  <si>
    <t xml:space="preserve">https://seaofindia.com/seaquotes/14-may-26/</t>
  </si>
  <si>
    <t xml:space="preserve">15 May 26</t>
  </si>
  <si>
    <t xml:space="preserve">2026-05-15T17:04:51</t>
  </si>
  <si>
    <t xml:space="preserve">https://seaofindia.com/seaquotes/15-may-26/</t>
  </si>
  <si>
    <t xml:space="preserve">18 May 26</t>
  </si>
  <si>
    <t xml:space="preserve">2026-05-19T10:16:00</t>
  </si>
  <si>
    <t xml:space="preserve">https://seaofindia.com/seaquotes/18-may-26/</t>
  </si>
  <si>
    <t xml:space="preserve">19th May 26</t>
  </si>
  <si>
    <t xml:space="preserve">2026-05-19T17:36:55</t>
  </si>
  <si>
    <t xml:space="preserve">https://seaofindia.com/seaquotes/19th-may-26/</t>
  </si>
  <si>
    <t xml:space="preserve">20th May 26</t>
  </si>
  <si>
    <t xml:space="preserve">2026-05-21T10:11:57</t>
  </si>
  <si>
    <t xml:space="preserve">Rs./MT 8050</t>
  </si>
  <si>
    <t xml:space="preserve">https://seaofindia.com/seaquotes/20-may-26/</t>
  </si>
  <si>
    <t xml:space="preserve">21st May 26</t>
  </si>
  <si>
    <t xml:space="preserve">2026-05-21T17:48:00</t>
  </si>
  <si>
    <t xml:space="preserve">https://seaofindia.com/seaquotes/21st-may-26/</t>
  </si>
  <si>
    <t xml:space="preserve">22nd May 26</t>
  </si>
  <si>
    <t xml:space="preserve">2026-05-22T17:35:36</t>
  </si>
  <si>
    <t xml:space="preserve">https://seaofindia.com/seaquotes/22nd-may-26/</t>
  </si>
  <si>
    <t xml:space="preserve">25th May 26</t>
  </si>
  <si>
    <t xml:space="preserve">2026-05-25T17:43:03</t>
  </si>
  <si>
    <t xml:space="preserve">https://seaofindia.com/seaquotes/25th-may-26/</t>
  </si>
  <si>
    <t xml:space="preserve">26th May 26</t>
  </si>
  <si>
    <t xml:space="preserve">2026-05-26T17:28:37</t>
  </si>
  <si>
    <t xml:space="preserve">https://seaofindia.com/seaquotes/26th-may-26/</t>
  </si>
  <si>
    <t xml:space="preserve">27th May 26</t>
  </si>
  <si>
    <t xml:space="preserve">2026-05-27T17:45:06</t>
  </si>
  <si>
    <t xml:space="preserve">Rs./MT 8100</t>
  </si>
  <si>
    <t xml:space="preserve">https://seaofindia.com/seaquotes/27th-may-26/</t>
  </si>
  <si>
    <t xml:space="preserve">28th May 26</t>
  </si>
  <si>
    <t xml:space="preserve">2026-05-28T17:29:56</t>
  </si>
  <si>
    <t xml:space="preserve">https://seaofindia.com/seaquotes/28th-may-26/</t>
  </si>
  <si>
    <t xml:space="preserve">29th May 26</t>
  </si>
  <si>
    <t xml:space="preserve">2026-05-29T17:22:23</t>
  </si>
  <si>
    <t xml:space="preserve">https://seaofindia.com/seaquotes/29th-may-26/</t>
  </si>
  <si>
    <t xml:space="preserve">1st Jun 26</t>
  </si>
  <si>
    <t xml:space="preserve">2026-06-01T17:37:31</t>
  </si>
  <si>
    <t xml:space="preserve">https://seaofindia.com/seaquotes/1st-jun-26/</t>
  </si>
  <si>
    <t xml:space="preserve">2nd Jun 26</t>
  </si>
  <si>
    <t xml:space="preserve">2026-06-02T16:51:45</t>
  </si>
  <si>
    <t xml:space="preserve">https://seaofindia.com/seaquotes/2nd-jun-26/</t>
  </si>
  <si>
    <t xml:space="preserve">3rd Jun 26</t>
  </si>
  <si>
    <t xml:space="preserve">2026-06-03T16:48:43</t>
  </si>
  <si>
    <t xml:space="preserve">https://seaofindia.com/seaquotes/3rd-jun-26/</t>
  </si>
  <si>
    <t xml:space="preserve">4th Jun 26</t>
  </si>
  <si>
    <t xml:space="preserve">2026-06-04T17:02:35</t>
  </si>
  <si>
    <t xml:space="preserve">https://seaofindia.com/seaquotes/4th-jun-26/</t>
  </si>
  <si>
    <t xml:space="preserve">5th June 26</t>
  </si>
  <si>
    <t xml:space="preserve">2026-06-05T17:43:44</t>
  </si>
  <si>
    <t xml:space="preserve">https://seaofindia.com/seaquotes/5th-june-26/</t>
  </si>
  <si>
    <t xml:space="preserve">8th June 26</t>
  </si>
  <si>
    <t xml:space="preserve">2026-06-08T16:56:37</t>
  </si>
  <si>
    <t xml:space="preserve">https://seaofindia.com/seaquotes/6th-june-26/</t>
  </si>
  <si>
    <t xml:space="preserve">9th June 26</t>
  </si>
  <si>
    <t xml:space="preserve">2026-06-09T17:27:57</t>
  </si>
  <si>
    <t xml:space="preserve">https://seaofindia.com/seaquotes/9th-june-26/</t>
  </si>
  <si>
    <t xml:space="preserve">10th June 26</t>
  </si>
  <si>
    <t xml:space="preserve">2026-06-10T17:04:09</t>
  </si>
  <si>
    <t xml:space="preserve">https://seaofindia.com/seaquotes/10th-june-26/</t>
  </si>
  <si>
    <t xml:space="preserve">11th June 26</t>
  </si>
  <si>
    <t xml:space="preserve">2026-06-11T17:24:43</t>
  </si>
  <si>
    <t xml:space="preserve">https://seaofindia.com/seaquotes/11th-june-26/</t>
  </si>
  <si>
    <t xml:space="preserve">12th June 26</t>
  </si>
  <si>
    <t xml:space="preserve">2026-06-12T17:13:09</t>
  </si>
  <si>
    <t xml:space="preserve">https://seaofindia.com/seaquotes/12th-june-26/</t>
  </si>
  <si>
    <t xml:space="preserve">15th June 26</t>
  </si>
  <si>
    <t xml:space="preserve">2026-06-15T17:42:32</t>
  </si>
  <si>
    <t xml:space="preserve">https://seaofindia.com/seaquotes/15th-june-26/</t>
  </si>
  <si>
    <t xml:space="preserve">16th June 26</t>
  </si>
  <si>
    <t xml:space="preserve">2026-06-16T17:12:41</t>
  </si>
  <si>
    <t xml:space="preserve">https://seaofindia.com/seaquotes/16th-june-26/</t>
  </si>
  <si>
    <t xml:space="preserve">17th June 26</t>
  </si>
  <si>
    <t xml:space="preserve">2026-06-18T15:31:36</t>
  </si>
  <si>
    <t xml:space="preserve">https://seaofindia.com/seaquotes/17th-june-26/</t>
  </si>
  <si>
    <t xml:space="preserve">18th June 26</t>
  </si>
  <si>
    <t xml:space="preserve">2026-06-18T16:43:17</t>
  </si>
  <si>
    <t xml:space="preserve">Rs./MT 8850</t>
  </si>
  <si>
    <t xml:space="preserve">https://seaofindia.com/seaquotes/18th-june-26/</t>
  </si>
  <si>
    <t xml:space="preserve">19th June. 26</t>
  </si>
  <si>
    <t xml:space="preserve">2026-06-22T10:03:10</t>
  </si>
  <si>
    <t xml:space="preserve">https://seaofindia.com/seaquotes/19th-june-26/</t>
  </si>
  <si>
    <t xml:space="preserve">22nd June 26</t>
  </si>
  <si>
    <t xml:space="preserve">2026-06-22T17:15:06</t>
  </si>
  <si>
    <t xml:space="preserve">https://seaofindia.com/seaquotes/22nd-june-26/</t>
  </si>
  <si>
    <t xml:space="preserve">23rd Jun 26</t>
  </si>
  <si>
    <t xml:space="preserve">2026-06-23T17:18:55</t>
  </si>
  <si>
    <t xml:space="preserve">https://seaofindia.com/seaquotes/23rd-jun-26/</t>
  </si>
  <si>
    <t xml:space="preserve">24th June 26</t>
  </si>
  <si>
    <t xml:space="preserve">2026-06-24T17:26:14</t>
  </si>
  <si>
    <t xml:space="preserve">https://seaofindia.com/seaquotes/24th-june-26/</t>
  </si>
  <si>
    <t xml:space="preserve">25th June 26</t>
  </si>
  <si>
    <t xml:space="preserve">2026-06-25T17:38:37</t>
  </si>
  <si>
    <t xml:space="preserve">https://seaofindia.com/seaquotes/25th-june-26/</t>
  </si>
  <si>
    <t xml:space="preserve">26 June 26</t>
  </si>
  <si>
    <t xml:space="preserve">2026-06-29T10:07:40</t>
  </si>
  <si>
    <t xml:space="preserve">https://seaofindia.com/seaquotes/26-june-26/</t>
  </si>
  <si>
    <t xml:space="preserve">29 June 26</t>
  </si>
  <si>
    <t xml:space="preserve">2026-06-30T10:36:15</t>
  </si>
  <si>
    <t xml:space="preserve">https://seaofindia.com/seaquotes/29-june-26/</t>
  </si>
  <si>
    <t xml:space="preserve">30 June 26</t>
  </si>
  <si>
    <t xml:space="preserve">2026-06-30T17:54:33</t>
  </si>
  <si>
    <t xml:space="preserve">Rs./MT 9250</t>
  </si>
  <si>
    <t xml:space="preserve">https://seaofindia.com/seaquotes/30-june-26/</t>
  </si>
  <si>
    <t xml:space="preserve">1st July 26</t>
  </si>
  <si>
    <t xml:space="preserve">2026-07-01T17:35:05</t>
  </si>
  <si>
    <t xml:space="preserve">Rs./MT 10150</t>
  </si>
  <si>
    <t xml:space="preserve">https://seaofindia.com/seaquotes/1st-july-26/</t>
  </si>
  <si>
    <t xml:space="preserve">2nd July 26</t>
  </si>
  <si>
    <t xml:space="preserve">2026-07-02T17:44:10</t>
  </si>
  <si>
    <t xml:space="preserve">Rs./MT 10100</t>
  </si>
  <si>
    <t xml:space="preserve">https://seaofindia.com/seaquotes/2nd-july-26/</t>
  </si>
  <si>
    <t xml:space="preserve">3rd July 2026</t>
  </si>
  <si>
    <t xml:space="preserve">2026-07-03T17:32:55</t>
  </si>
  <si>
    <t xml:space="preserve">Rs./MT 10050</t>
  </si>
  <si>
    <t xml:space="preserve">https://seaofindia.com/seaquotes/3rd-july-2026/</t>
  </si>
  <si>
    <t xml:space="preserve">7th July 26</t>
  </si>
  <si>
    <t xml:space="preserve">2026-07-07T14:18:13</t>
  </si>
  <si>
    <t xml:space="preserve">https://seaofindia.com/seaquotes/7th-july-26/</t>
  </si>
  <si>
    <t xml:space="preserve">8th July 26</t>
  </si>
  <si>
    <t xml:space="preserve">2026-07-09T17:33:15</t>
  </si>
  <si>
    <t xml:space="preserve">Rs./MT 10250</t>
  </si>
  <si>
    <t xml:space="preserve">https://seaofindia.com/seaquotes/8th-july-26/</t>
  </si>
  <si>
    <t xml:space="preserve">10th July 26</t>
  </si>
  <si>
    <t xml:space="preserve">2026-07-10T17:32:18</t>
  </si>
  <si>
    <t xml:space="preserve">https://seaofindia.com/seaquotes/10th-july-26/</t>
  </si>
  <si>
    <t xml:space="preserve">13th July 26</t>
  </si>
  <si>
    <t xml:space="preserve">2026-07-14T16:02:07</t>
  </si>
  <si>
    <t xml:space="preserve">https://seaofindia.com/seaquotes/13th-july-26/</t>
  </si>
  <si>
    <t xml:space="preserve">14 July 26</t>
  </si>
  <si>
    <t xml:space="preserve">2026-07-14T17:27:44</t>
  </si>
  <si>
    <t xml:space="preserve">https://seaofindia.com/seaquotes/14-july-26/</t>
  </si>
  <si>
    <t xml:space="preserve">15July 26</t>
  </si>
  <si>
    <t xml:space="preserve">2026-07-15T17:50:00</t>
  </si>
  <si>
    <t xml:space="preserve">https://seaofindia.com/seaquotes/15july-26/</t>
  </si>
  <si>
    <t xml:space="preserve">16th July 26</t>
  </si>
  <si>
    <t xml:space="preserve">2026-07-16T17:41:05</t>
  </si>
  <si>
    <t xml:space="preserve">https://seaofindia.com/seaquotes/16th-july-26/</t>
  </si>
  <si>
    <t xml:space="preserve">17th July 26</t>
  </si>
  <si>
    <t xml:space="preserve">2026-07-17T17:37:31</t>
  </si>
  <si>
    <t xml:space="preserve">https://seaofindia.com/seaquotes/17th-july-26/</t>
  </si>
  <si>
    <t xml:space="preserve">20th July 26</t>
  </si>
  <si>
    <t xml:space="preserve">2026-07-20T17:23:00</t>
  </si>
  <si>
    <t xml:space="preserve">https://seaofindia.com/seaquotes/20th-july-26/</t>
  </si>
  <si>
    <t xml:space="preserve">21st July 26</t>
  </si>
  <si>
    <t xml:space="preserve">2026-07-21T17:18:55</t>
  </si>
  <si>
    <t xml:space="preserve">https://seaofindia.com/seaquotes/21st-july-26/</t>
  </si>
  <si>
    <t xml:space="preserve">22nd July 26</t>
  </si>
  <si>
    <t xml:space="preserve">2026-07-22T17:00:40</t>
  </si>
  <si>
    <t xml:space="preserve">https://seaofindia.com/seaquotes/22nd-july-26/</t>
  </si>
  <si>
    <t xml:space="preserve">23rd July 26</t>
  </si>
  <si>
    <t xml:space="preserve">2026-07-23T17:29:15</t>
  </si>
  <si>
    <t xml:space="preserve">https://seaofindia.com/seaquotes/23rd-july-26/</t>
  </si>
  <si>
    <t xml:space="preserve">24th July 26</t>
  </si>
  <si>
    <t xml:space="preserve">2026-07-24T17:11:47</t>
  </si>
  <si>
    <t xml:space="preserve">https://seaofindia.com/seaquotes/24th-july-26/</t>
  </si>
  <si>
    <t xml:space="preserve">27th July 2026</t>
  </si>
  <si>
    <t xml:space="preserve">2026-07-27T17:33:35</t>
  </si>
  <si>
    <t xml:space="preserve">https://seaofindia.com/seaquotes/27th-july-2026/</t>
  </si>
  <si>
    <t xml:space="preserve">28th July 26</t>
  </si>
  <si>
    <t xml:space="preserve">2026-07-28T17:34:58</t>
  </si>
  <si>
    <t xml:space="preserve">https://seaofindia.com/seaquotes/28th-july-26/</t>
  </si>
  <si>
    <t xml:space="preserve">29th July 26</t>
  </si>
  <si>
    <t xml:space="preserve">2026-07-29T17:18:42</t>
  </si>
  <si>
    <t xml:space="preserve">https://seaofindia.com/seaquotes/29th-july-26/</t>
  </si>
  <si>
    <t xml:space="preserve">30th July 26</t>
  </si>
  <si>
    <t xml:space="preserve">2026-07-30T17:49:05</t>
  </si>
  <si>
    <t xml:space="preserve">https://seaofindia.com/seaquotes/30th-july-26/</t>
  </si>
  <si>
    <t xml:space="preserve">31st Jul 26</t>
  </si>
  <si>
    <t xml:space="preserve">2026-07-31T17:44:03</t>
  </si>
  <si>
    <t xml:space="preserve">https://seaofindia.com/seaquotes/31st-jul-26/</t>
  </si>
  <si>
    <t xml:space="preserve">3rd Aug 26</t>
  </si>
  <si>
    <t xml:space="preserve">2026-08-03T17:36:01</t>
  </si>
  <si>
    <t xml:space="preserve">https://seaofindia.com/seaquotes/3rd-aug-26/</t>
  </si>
  <si>
    <t xml:space="preserve">4th Aug 26</t>
  </si>
  <si>
    <t xml:space="preserve">2026-08-04T17:31:49</t>
  </si>
  <si>
    <t xml:space="preserve">https://seaofindia.com/seaquotes/4th-aug-26/</t>
  </si>
  <si>
    <t xml:space="preserve">5th Aug 26</t>
  </si>
  <si>
    <t xml:space="preserve">2026-08-05T17:16:13</t>
  </si>
  <si>
    <t xml:space="preserve">https://seaofindia.com/seaquotes/5th-aug-26/</t>
  </si>
  <si>
    <t xml:space="preserve">6th Aug 26</t>
  </si>
  <si>
    <t xml:space="preserve">2026-08-06T17:29:03</t>
  </si>
  <si>
    <t xml:space="preserve">https://seaofindia.com/seaquotes/6th-aug-26/</t>
  </si>
  <si>
    <t xml:space="preserve">7th Aug 26</t>
  </si>
  <si>
    <t xml:space="preserve">2026-08-07T17:50:24</t>
  </si>
  <si>
    <t xml:space="preserve">https://seaofindia.com/seaquotes/7th-aug-26/</t>
  </si>
  <si>
    <t xml:space="preserve">10th Aug 26</t>
  </si>
  <si>
    <t xml:space="preserve">2026-08-10T17:27:18</t>
  </si>
  <si>
    <t xml:space="preserve">https://seaofindia.com/seaquotes/10th-aug-26/</t>
  </si>
  <si>
    <t xml:space="preserve">11th Aug 26</t>
  </si>
  <si>
    <t xml:space="preserve">2026-08-11T17:27:53</t>
  </si>
  <si>
    <t xml:space="preserve">https://seaofindia.com/seaquotes/11th-aug-26/</t>
  </si>
  <si>
    <t xml:space="preserve">12th Aug 26</t>
  </si>
  <si>
    <t xml:space="preserve">2026-08-12T17:43:13</t>
  </si>
  <si>
    <t xml:space="preserve">Rs./MT 10200</t>
  </si>
  <si>
    <t xml:space="preserve">https://seaofindia.com/seaquotes/12th-aug-26/</t>
  </si>
  <si>
    <t xml:space="preserve">13th Aug 26</t>
  </si>
  <si>
    <t xml:space="preserve">2026-08-13T17:29:36</t>
  </si>
  <si>
    <t xml:space="preserve">https://seaofindia.com/seaquotes/13th-aug-26/</t>
  </si>
  <si>
    <t xml:space="preserve">14th Aug 26</t>
  </si>
  <si>
    <t xml:space="preserve">2026-08-14T17:28:20</t>
  </si>
  <si>
    <t xml:space="preserve">https://seaofindia.com/seaquotes/14th-aug-26/</t>
  </si>
  <si>
    <t xml:space="preserve">17th Aug 26</t>
  </si>
  <si>
    <t xml:space="preserve">2026-08-17T17:07:38</t>
  </si>
  <si>
    <t xml:space="preserve">https://seaofindia.com/seaquotes/17th-aug-26/</t>
  </si>
  <si>
    <t xml:space="preserve">18th Aug 26</t>
  </si>
  <si>
    <t xml:space="preserve">2026-08-19T10:26:06</t>
  </si>
  <si>
    <t xml:space="preserve">https://seaofindia.com/seaquotes/18th-aug-26/</t>
  </si>
  <si>
    <t xml:space="preserve">19th Aug 26</t>
  </si>
  <si>
    <t xml:space="preserve">2026-08-19T17:14:09</t>
  </si>
  <si>
    <t xml:space="preserve">https://seaofindia.com/seaquotes/19th-aug-26/</t>
  </si>
  <si>
    <t xml:space="preserve">20th Aug 26</t>
  </si>
  <si>
    <t xml:space="preserve">2026-08-20T16:54:09</t>
  </si>
  <si>
    <t xml:space="preserve">https://seaofindia.com/seaquotes/20th-aug-26/</t>
  </si>
  <si>
    <t xml:space="preserve">21st Aug 26</t>
  </si>
  <si>
    <t xml:space="preserve">2026-08-21T17:29:11</t>
  </si>
  <si>
    <t xml:space="preserve">https://seaofindia.com/seaquotes/21st-aug-26/</t>
  </si>
  <si>
    <t xml:space="preserve">24th Aug 26</t>
  </si>
  <si>
    <t xml:space="preserve">2026-08-24T16:56:36</t>
  </si>
  <si>
    <t xml:space="preserve">https://seaofindia.com/seaquotes/24th-aug-26/</t>
  </si>
  <si>
    <t xml:space="preserve">25th Aug 26</t>
  </si>
  <si>
    <t xml:space="preserve">2026-08-25T17:25:21</t>
  </si>
  <si>
    <t xml:space="preserve">https://seaofindia.com/seaquotes/25th-aug-26/</t>
  </si>
  <si>
    <t xml:space="preserve">26th Aug 26</t>
  </si>
  <si>
    <t xml:space="preserve">2026-08-26T17:02:14</t>
  </si>
  <si>
    <t xml:space="preserve">https://seaofindia.com/seaquotes/26th-aug-26/</t>
  </si>
  <si>
    <t xml:space="preserve">27th Aug 26</t>
  </si>
  <si>
    <t xml:space="preserve">2026-08-27T17:11:53</t>
  </si>
  <si>
    <t xml:space="preserve">https://seaofindia.com/seaquotes/27th-aug-26/</t>
  </si>
  <si>
    <t xml:space="preserve">31st Aug 26</t>
  </si>
  <si>
    <t xml:space="preserve">2026-09-02T10:14:39</t>
  </si>
  <si>
    <t xml:space="preserve">https://seaofindia.com/seaquotes/31st-aug-26/</t>
  </si>
  <si>
    <t xml:space="preserve">1st Sept 26</t>
  </si>
  <si>
    <t xml:space="preserve">2026-09-02T10:20:40</t>
  </si>
  <si>
    <t xml:space="preserve">https://seaofindia.com/seaquotes/1st-sept-26/</t>
  </si>
  <si>
    <t xml:space="preserve">2nd Sep 26</t>
  </si>
  <si>
    <t xml:space="preserve">2026-09-02T17:27:09</t>
  </si>
  <si>
    <t xml:space="preserve">https://seaofindia.com/seaquotes/2nd-sep-26/</t>
  </si>
  <si>
    <t xml:space="preserve">3rd Sep 26</t>
  </si>
  <si>
    <t xml:space="preserve">2026-09-03T17:46:58</t>
  </si>
  <si>
    <t xml:space="preserve">https://seaofindia.com/seaquotes/3rd-sep-26/</t>
  </si>
  <si>
    <t xml:space="preserve">4th Sep 26</t>
  </si>
  <si>
    <t xml:space="preserve">2026-09-04T17:39:39</t>
  </si>
  <si>
    <t xml:space="preserve">https://seaofindia.com/seaquotes/4th-sep-26/</t>
  </si>
  <si>
    <t xml:space="preserve">7th Sep 26</t>
  </si>
  <si>
    <t xml:space="preserve">2026-09-08T17:20:34</t>
  </si>
  <si>
    <t xml:space="preserve">https://seaofindia.com/seaquotes/7th-sep-26/</t>
  </si>
  <si>
    <t xml:space="preserve">8th Sep 26</t>
  </si>
  <si>
    <t xml:space="preserve">2026-09-08T17:25:29</t>
  </si>
  <si>
    <t xml:space="preserve">https://seaofindia.com/seaquotes/8th-sep-26/</t>
  </si>
  <si>
    <t xml:space="preserve">9th Sep 26</t>
  </si>
  <si>
    <t xml:space="preserve">2026-09-09T17:25:07</t>
  </si>
  <si>
    <t xml:space="preserve">https://seaofindia.com/seaquotes/9th-sep-26/</t>
  </si>
  <si>
    <t xml:space="preserve">10th Sep 26</t>
  </si>
  <si>
    <t xml:space="preserve">2026-09-10T17:24:18</t>
  </si>
  <si>
    <t xml:space="preserve">https://seaofindia.com/seaquotes/10th-sep-26/</t>
  </si>
  <si>
    <t xml:space="preserve">11th Sep 26</t>
  </si>
  <si>
    <t xml:space="preserve">2026-09-11T17:24:51</t>
  </si>
  <si>
    <t xml:space="preserve">Rs./MT 10450</t>
  </si>
  <si>
    <t xml:space="preserve">https://seaofindia.com/seaquotes/11th-sep-26/</t>
  </si>
  <si>
    <t xml:space="preserve">15th Sept 26</t>
  </si>
  <si>
    <t xml:space="preserve">2026-09-15T17:41:08</t>
  </si>
  <si>
    <t xml:space="preserve">https://seaofindia.com/seaquotes/15th-sept-26/</t>
  </si>
  <si>
    <t xml:space="preserve">16th Sep 26</t>
  </si>
  <si>
    <t xml:space="preserve">2026-09-16T17:36:02</t>
  </si>
  <si>
    <t xml:space="preserve">Rs./MT 10350</t>
  </si>
  <si>
    <t xml:space="preserve">https://seaofindia.com/seaquotes/16th-sep-26/</t>
  </si>
  <si>
    <t xml:space="preserve">17th Sep 26</t>
  </si>
  <si>
    <t xml:space="preserve">2026-09-17T17:34:46</t>
  </si>
  <si>
    <t xml:space="preserve">Rs./MT 10550</t>
  </si>
  <si>
    <t xml:space="preserve">https://seaofindia.com/seaquotes/17th-sep-26/</t>
  </si>
  <si>
    <t xml:space="preserve">18th Sep 26</t>
  </si>
  <si>
    <t xml:space="preserve">2026-09-18T17:03:38</t>
  </si>
  <si>
    <t xml:space="preserve">https://seaofindia.com/seaquotes/18th-sep-26/</t>
  </si>
  <si>
    <t xml:space="preserve">21st Sep 26</t>
  </si>
  <si>
    <t xml:space="preserve">2026-09-21T16:41:11</t>
  </si>
  <si>
    <t xml:space="preserve">https://seaofindia.com/seaquotes/21st-sep-26/</t>
  </si>
  <si>
    <t xml:space="preserve">23rd Sep 26</t>
  </si>
  <si>
    <t xml:space="preserve">2026-09-23T17:49:24</t>
  </si>
  <si>
    <t xml:space="preserve">https://seaofindia.com/seaquotes/23rd-sep-26/</t>
  </si>
  <si>
    <t xml:space="preserve">24th Sep 26</t>
  </si>
  <si>
    <t xml:space="preserve">2026-09-24T17:41:48</t>
  </si>
  <si>
    <t xml:space="preserve">https://seaofindia.com/seaquotes/24th-sep-26/</t>
  </si>
  <si>
    <t xml:space="preserve">25th Sep 26</t>
  </si>
  <si>
    <t xml:space="preserve">2026-09-25T17:08:22</t>
  </si>
  <si>
    <t xml:space="preserve">https://seaofindia.com/seaquotes/25th-sep-26/</t>
  </si>
  <si>
    <t xml:space="preserve">28th Sep 26</t>
  </si>
  <si>
    <t xml:space="preserve">2026-09-28T17:26:35</t>
  </si>
  <si>
    <t xml:space="preserve">https://seaofindia.com/seaquotes/28th-sep-26/</t>
  </si>
  <si>
    <t xml:space="preserve">Futures Data: NCDEX castor seed futures (symbol CASTOR), every contract on every trading day. Source: NCDEX daily final bhavcopy.</t>
  </si>
  <si>
    <t xml:space="preserve">File FO_DDMMYY_FINAL.csv in each daily ZIP from https://www.ncdex.com/markets/bhavcopy, rows with Instrument Type FUTCOM. Close in Rs per quintal; volume and open interest in MT. Values unchanged.</t>
  </si>
  <si>
    <t xml:space="preserve">Trade date</t>
  </si>
  <si>
    <t xml:space="preserve">Contract expiry</t>
  </si>
  <si>
    <t xml:space="preserve">Close (Rs/qtl)</t>
  </si>
  <si>
    <t xml:space="preserve">Volume (MT)</t>
  </si>
  <si>
    <t xml:space="preserve">Open interest (MT)</t>
  </si>
  <si>
    <t xml:space="preserve">Price unit</t>
  </si>
  <si>
    <t xml:space="preserve">Delivery centre</t>
  </si>
  <si>
    <t xml:space="preserve">Source file</t>
  </si>
  <si>
    <t xml:space="preserve">RS/QUINTAL</t>
  </si>
  <si>
    <t xml:space="preserve">DEESA</t>
  </si>
  <si>
    <t xml:space="preserve">ncdex_bhavcopy_20230925.zip::FO_250923_FINAL.csv</t>
  </si>
  <si>
    <t xml:space="preserve">ncdex_bhavcopy_20230926.zip::FO_260923_FINAL.csv</t>
  </si>
  <si>
    <t xml:space="preserve">ncdex_bhavcopy_20230927.zip::FO_270923_FINAL.csv</t>
  </si>
  <si>
    <t xml:space="preserve">ncdex_bhavcopy_20230928.zip::FO_280923_FINAL.csv</t>
  </si>
  <si>
    <t xml:space="preserve">ncdex_bhavcopy_20230929.zip::FO_290923_FINAL.csv</t>
  </si>
  <si>
    <t xml:space="preserve">ncdex_bhavcopy_20231003.zip::FO_031023_FINAL.csv</t>
  </si>
  <si>
    <t xml:space="preserve">ncdex_bhavcopy_20231004.zip::FO_041023_FINAL.csv</t>
  </si>
  <si>
    <t xml:space="preserve">ncdex_bhavcopy_20231005.zip::FO_051023_FINAL.csv</t>
  </si>
  <si>
    <t xml:space="preserve">ncdex_bhavcopy_20231006.zip::FO_061023_FINAL.csv</t>
  </si>
  <si>
    <t xml:space="preserve">ncdex_bhavcopy_20231009.zip::FO_091023_FINAL.csv</t>
  </si>
  <si>
    <t xml:space="preserve">ncdex_bhavcopy_20231010.zip::FO_101023_FINAL.csv</t>
  </si>
  <si>
    <t xml:space="preserve">ncdex_bhavcopy_20231011.zip::FO_111023_FINAL.csv</t>
  </si>
  <si>
    <t xml:space="preserve">ncdex_bhavcopy_20231012.zip::FO_121023_FINAL.csv</t>
  </si>
  <si>
    <t xml:space="preserve">ncdex_bhavcopy_20231013.zip::FO_131023_FINAL.csv</t>
  </si>
  <si>
    <t xml:space="preserve">ncdex_bhavcopy_20231016.zip::FO_161023_FINAL.csv</t>
  </si>
  <si>
    <t xml:space="preserve">ncdex_bhavcopy_20231017.zip::FO_171023_FINAL.csv</t>
  </si>
  <si>
    <t xml:space="preserve">ncdex_bhavcopy_20231018.zip::FO_181023_FINAL.csv</t>
  </si>
  <si>
    <t xml:space="preserve">ncdex_bhavcopy_20231019.zip::FO_191023_FINAL.csv</t>
  </si>
  <si>
    <t xml:space="preserve">ncdex_bhavcopy_20231020.zip::FO_201023_FINAL.csv</t>
  </si>
  <si>
    <t xml:space="preserve">ncdex_bhavcopy_20231023.zip::FO_231023_FINAL.csv</t>
  </si>
  <si>
    <t xml:space="preserve">ncdex_bhavcopy_20231025.zip::FO_251023_FINAL.csv</t>
  </si>
  <si>
    <t xml:space="preserve">ncdex_bhavcopy_20231026.zip::FO_261023_FINAL.csv</t>
  </si>
  <si>
    <t xml:space="preserve">ncdex_bhavcopy_20231027.zip::FO_271023_FINAL.csv</t>
  </si>
  <si>
    <t xml:space="preserve">ncdex_bhavcopy_20231030.zip::FO_301023_FINAL.csv</t>
  </si>
  <si>
    <t xml:space="preserve">ncdex_bhavcopy_20231031.zip::FO_311023_FINAL.csv</t>
  </si>
  <si>
    <t xml:space="preserve">ncdex_bhavcopy_20231101.zip::FO_011123_FINAL.csv</t>
  </si>
  <si>
    <t xml:space="preserve">ncdex_bhavcopy_20231102.zip::FO_021123_FINAL.csv</t>
  </si>
  <si>
    <t xml:space="preserve">ncdex_bhavcopy_20231103.zip::FO_031123_FINAL.csv</t>
  </si>
  <si>
    <t xml:space="preserve">ncdex_bhavcopy_20231106.zip::FO_061123_FINAL.csv</t>
  </si>
  <si>
    <t xml:space="preserve">ncdex_bhavcopy_20231107.zip::FO_071123_FINAL.csv</t>
  </si>
  <si>
    <t xml:space="preserve">ncdex_bhavcopy_20231108.zip::FO_081123_FINAL.csv</t>
  </si>
  <si>
    <t xml:space="preserve">ncdex_bhavcopy_20231109.zip::FO_091123_FINAL.csv</t>
  </si>
  <si>
    <t xml:space="preserve">ncdex_bhavcopy_20231110.zip::FO_101123_FINAL.csv</t>
  </si>
  <si>
    <t xml:space="preserve">ncdex_bhavcopy_20231112.zip::FO_121123_FINAL.csv</t>
  </si>
  <si>
    <t xml:space="preserve">ncdex_bhavcopy_20231113.zip::FO_131123_FINAL.csv</t>
  </si>
  <si>
    <t xml:space="preserve">ncdex_bhavcopy_20231115.zip::FO_151123_FINAL.csv</t>
  </si>
  <si>
    <t xml:space="preserve">ncdex_bhavcopy_20231116.zip::FO_161123_FINAL.csv</t>
  </si>
  <si>
    <t xml:space="preserve">ncdex_bhavcopy_20231117.zip::FO_171123_FINAL.csv</t>
  </si>
  <si>
    <t xml:space="preserve">ncdex_bhavcopy_20231120.zip::FO_201123_FINAL.csv</t>
  </si>
  <si>
    <t xml:space="preserve">ncdex_bhavcopy_20231121.zip::FO_211123_FINAL.csv</t>
  </si>
  <si>
    <t xml:space="preserve">ncdex_bhavcopy_20231122.zip::FO_221123_FINAL.csv</t>
  </si>
  <si>
    <t xml:space="preserve">ncdex_bhavcopy_20231123.zip::FO_231123_FINAL.csv</t>
  </si>
  <si>
    <t xml:space="preserve">ncdex_bhavcopy_20231124.zip::FO_241123_FINAL.csv</t>
  </si>
  <si>
    <t xml:space="preserve">ncdex_bhavcopy_20231128.zip::FO_281123_FINAL.csv</t>
  </si>
  <si>
    <t xml:space="preserve">ncdex_bhavcopy_20231129.zip::FO_291123_FINAL.csv</t>
  </si>
  <si>
    <t xml:space="preserve">ncdex_bhavcopy_20231130.zip::FO_301123_FINAL.csv</t>
  </si>
  <si>
    <t xml:space="preserve">ncdex_bhavcopy_20231201.zip::FO_011223_FINAL.csv</t>
  </si>
  <si>
    <t xml:space="preserve">ncdex_bhavcopy_20231204.zip::FO_041223_FINAL.csv</t>
  </si>
  <si>
    <t xml:space="preserve">ncdex_bhavcopy_20231205.zip::FO_051223_FINAL.csv</t>
  </si>
  <si>
    <t xml:space="preserve">ncdex_bhavcopy_20231206.zip::FO_061223_FINAL.csv</t>
  </si>
  <si>
    <t xml:space="preserve">ncdex_bhavcopy_20231207.zip::FO_071223_FINAL.csv</t>
  </si>
  <si>
    <t xml:space="preserve">ncdex_bhavcopy_20231208.zip::FO_081223_FINAL.csv</t>
  </si>
  <si>
    <t xml:space="preserve">ncdex_bhavcopy_20231211.zip::FO_111223_FINAL.csv</t>
  </si>
  <si>
    <t xml:space="preserve">ncdex_bhavcopy_20231212.zip::FO_121223_FINAL.csv</t>
  </si>
  <si>
    <t xml:space="preserve">ncdex_bhavcopy_20231213.zip::FO_131223_FINAL.csv</t>
  </si>
  <si>
    <t xml:space="preserve">ncdex_bhavcopy_20231214.zip::FO_141223_FINAL.csv</t>
  </si>
  <si>
    <t xml:space="preserve">ncdex_bhavcopy_20231215.zip::FO_151223_FINAL.csv</t>
  </si>
  <si>
    <t xml:space="preserve">ncdex_bhavcopy_20231218.zip::FO_181223_FINAL.csv</t>
  </si>
  <si>
    <t xml:space="preserve">ncdex_bhavcopy_20231219.zip::FO_191223_FINAL.csv</t>
  </si>
  <si>
    <t xml:space="preserve">ncdex_bhavcopy_20231220.zip::FO_201223_FINAL.csv</t>
  </si>
  <si>
    <t xml:space="preserve">ncdex_bhavcopy_20231221.zip::FO_211223_FINAL.csv</t>
  </si>
  <si>
    <t xml:space="preserve">ncdex_bhavcopy_20231222.zip::FO_221223_FINAL.csv</t>
  </si>
  <si>
    <t xml:space="preserve">ncdex_bhavcopy_20231226.zip::FO_261223_FINAL.csv</t>
  </si>
  <si>
    <t xml:space="preserve">ncdex_bhavcopy_20231227.zip::FO_271223_FINAL.csv</t>
  </si>
  <si>
    <t xml:space="preserve">ncdex_bhavcopy_20231228.zip::FO_281223_FINAL.csv</t>
  </si>
  <si>
    <t xml:space="preserve">ncdex_bhavcopy_20231229.zip::FO_291223_FINAL.csv</t>
  </si>
  <si>
    <t xml:space="preserve">ncdex_bhavcopy_20240101.zip::FO_010124_FINAL.csv</t>
  </si>
  <si>
    <t xml:space="preserve">ncdex_bhavcopy_20240102.zip::FO_020124_FINAL.csv</t>
  </si>
  <si>
    <t xml:space="preserve">ncdex_bhavcopy_20240103.zip::FO_030124_FINAL.csv</t>
  </si>
  <si>
    <t xml:space="preserve">ncdex_bhavcopy_20240104.zip::FO_040124_FINAL.csv</t>
  </si>
  <si>
    <t xml:space="preserve">ncdex_bhavcopy_20240105.zip::FO_050124_FINAL.csv</t>
  </si>
  <si>
    <t xml:space="preserve">ncdex_bhavcopy_20240108.zip::FO_080124_FINAL.csv</t>
  </si>
  <si>
    <t xml:space="preserve">ncdex_bhavcopy_20240109.zip::FO_090124_FINAL.csv</t>
  </si>
  <si>
    <t xml:space="preserve">ncdex_bhavcopy_20240110.zip::FO_100124_FINAL.csv</t>
  </si>
  <si>
    <t xml:space="preserve">ncdex_bhavcopy_20240111.zip::FO_110124_FINAL.csv</t>
  </si>
  <si>
    <t xml:space="preserve">ncdex_bhavcopy_20240112.zip::FO_120124_FINAL.csv</t>
  </si>
  <si>
    <t xml:space="preserve">ncdex_bhavcopy_20240115.zip::FO_150124_FINAL.csv</t>
  </si>
  <si>
    <t xml:space="preserve">ncdex_bhavcopy_20240116.zip::FO_160124_FINAL.csv</t>
  </si>
  <si>
    <t xml:space="preserve">ncdex_bhavcopy_20240117.zip::FO_170124_FINAL.csv</t>
  </si>
  <si>
    <t xml:space="preserve">ncdex_bhavcopy_20240118.zip::FO_180124_FINAL.csv</t>
  </si>
  <si>
    <t xml:space="preserve">ncdex_bhavcopy_20240119.zip::FO_190124_FINAL.csv</t>
  </si>
  <si>
    <t xml:space="preserve">ncdex_bhavcopy_20240123.zip::FO_230124_FINAL.csv</t>
  </si>
  <si>
    <t xml:space="preserve">ncdex_bhavcopy_20240124.zip::FO_240124_FINAL.csv</t>
  </si>
  <si>
    <t xml:space="preserve">ncdex_bhavcopy_20240125.zip::FO_250124_FINAL.csv</t>
  </si>
  <si>
    <t xml:space="preserve">ncdex_bhavcopy_20240129.zip::FO_290124_FINAL.csv</t>
  </si>
  <si>
    <t xml:space="preserve">ncdex_bhavcopy_20240130.zip::FO_300124_FINAL.csv</t>
  </si>
  <si>
    <t xml:space="preserve">ncdex_bhavcopy_20240131.zip::FO_310124_FINAL.csv</t>
  </si>
  <si>
    <t xml:space="preserve">ncdex_bhavcopy_20240201.zip::FO_010224_FINAL.csv</t>
  </si>
  <si>
    <t xml:space="preserve">ncdex_bhavcopy_20240202.zip::FO_020224_FINAL.csv</t>
  </si>
  <si>
    <t xml:space="preserve">ncdex_bhavcopy_20240205.zip::FO_050224_FINAL.csv</t>
  </si>
  <si>
    <t xml:space="preserve">ncdex_bhavcopy_20240206.zip::FO_060224_FINAL.csv</t>
  </si>
  <si>
    <t xml:space="preserve">ncdex_bhavcopy_20240207.zip::FO_070224_FINAL.csv</t>
  </si>
  <si>
    <t xml:space="preserve">ncdex_bhavcopy_20240208.zip::FO_080224_FINAL.csv</t>
  </si>
  <si>
    <t xml:space="preserve">ncdex_bhavcopy_20240209.zip::FO_090224_FINAL.csv</t>
  </si>
  <si>
    <t xml:space="preserve">ncdex_bhavcopy_20240212.zip::FO_120224_FINAL.csv</t>
  </si>
  <si>
    <t xml:space="preserve">ncdex_bhavcopy_20240213.zip::FO_130224_FINAL.csv</t>
  </si>
  <si>
    <t xml:space="preserve">ncdex_bhavcopy_20240214.zip::FO_140224_FINAL.csv</t>
  </si>
  <si>
    <t xml:space="preserve">ncdex_bhavcopy_20240215.zip::FO_150224_FINAL.csv</t>
  </si>
  <si>
    <t xml:space="preserve">ncdex_bhavcopy_20240216.zip::FO_160224_FINAL.csv</t>
  </si>
  <si>
    <t xml:space="preserve">ncdex_bhavcopy_20240219.zip::FO_190224_FINAL.csv</t>
  </si>
  <si>
    <t xml:space="preserve">ncdex_bhavcopy_20240220.zip::FO_200224_FINAL.csv</t>
  </si>
  <si>
    <t xml:space="preserve">ncdex_bhavcopy_20240221.zip::FO_210224_FINAL.csv</t>
  </si>
  <si>
    <t xml:space="preserve">ncdex_bhavcopy_20240222.zip::FO_220224_FINAL.csv</t>
  </si>
  <si>
    <t xml:space="preserve">ncdex_bhavcopy_20240223.zip::FO_230224_FINAL.csv</t>
  </si>
  <si>
    <t xml:space="preserve">ncdex_bhavcopy_20240226.zip::FO_260224_FINAL.csv</t>
  </si>
  <si>
    <t xml:space="preserve">ncdex_bhavcopy_20240227.zip::FO_270224_FINAL.csv</t>
  </si>
  <si>
    <t xml:space="preserve">ncdex_bhavcopy_20240228.zip::FO_280224_FINAL.csv</t>
  </si>
  <si>
    <t xml:space="preserve">ncdex_bhavcopy_20240229.zip::FO_290224_FINAL.csv</t>
  </si>
  <si>
    <t xml:space="preserve">ncdex_bhavcopy_20240301.zip::FO_010324_FINAL.csv</t>
  </si>
  <si>
    <t xml:space="preserve">ncdex_bhavcopy_20240304.zip::FO_040324_FINAL.csv</t>
  </si>
  <si>
    <t xml:space="preserve">ncdex_bhavcopy_20240305.zip::FO_050324_FINAL.csv</t>
  </si>
  <si>
    <t xml:space="preserve">ncdex_bhavcopy_20240306.zip::FO_060324_FINAL.csv</t>
  </si>
  <si>
    <t xml:space="preserve">ncdex_bhavcopy_20240307.zip::FO_070324_FINAL.csv</t>
  </si>
  <si>
    <t xml:space="preserve">ncdex_bhavcopy_20240311.zip::FO_110324_FINAL.csv</t>
  </si>
  <si>
    <t xml:space="preserve">ncdex_bhavcopy_20240312.zip::FO_120324_FINAL.csv</t>
  </si>
  <si>
    <t xml:space="preserve">ncdex_bhavcopy_20240313.zip::FO_130324_FINAL.csv</t>
  </si>
  <si>
    <t xml:space="preserve">ncdex_bhavcopy_20240314.zip::FO_140324_FINAL.csv</t>
  </si>
  <si>
    <t xml:space="preserve">ncdex_bhavcopy_20240315.zip::FO_150324_FINAL.csv</t>
  </si>
  <si>
    <t xml:space="preserve">ncdex_bhavcopy_20240318.zip::FO_180324_FINAL.csv</t>
  </si>
  <si>
    <t xml:space="preserve">ncdex_bhavcopy_20240319.zip::FO_190324_FINAL.csv</t>
  </si>
  <si>
    <t xml:space="preserve">ncdex_bhavcopy_20240320.zip::FO_200324_FINAL.csv</t>
  </si>
  <si>
    <t xml:space="preserve">ncdex_bhavcopy_20240321.zip::FO_210324_FINAL.csv</t>
  </si>
  <si>
    <t xml:space="preserve">ncdex_bhavcopy_20240322.zip::FO_220324_FINAL.csv</t>
  </si>
  <si>
    <t xml:space="preserve">ncdex_bhavcopy_20240326.zip::FO_260324_FINAL.csv</t>
  </si>
  <si>
    <t xml:space="preserve">ncdex_bhavcopy_20240327.zip::FO_270324_FINAL.csv</t>
  </si>
  <si>
    <t xml:space="preserve">ncdex_bhavcopy_20240328.zip::FO_280324_FINAL.csv</t>
  </si>
  <si>
    <t xml:space="preserve">ncdex_bhavcopy_20240401.zip::FO_010424_FINAL.csv</t>
  </si>
  <si>
    <t xml:space="preserve">ncdex_bhavcopy_20240402.zip::FO_020424_FINAL.csv</t>
  </si>
  <si>
    <t xml:space="preserve">ncdex_bhavcopy_20240403.zip::FO_030424_FINAL.csv</t>
  </si>
  <si>
    <t xml:space="preserve">ncdex_bhavcopy_20240404.zip::FO_040424_FINAL.csv</t>
  </si>
  <si>
    <t xml:space="preserve">ncdex_bhavcopy_20240405.zip::FO_050424_FINAL.csv</t>
  </si>
  <si>
    <t xml:space="preserve">ncdex_bhavcopy_20240408.zip::FO_080424_FINAL.csv</t>
  </si>
  <si>
    <t xml:space="preserve">ncdex_bhavcopy_20240409.zip::FO_090424_FINAL.csv</t>
  </si>
  <si>
    <t xml:space="preserve">ncdex_bhavcopy_20240410.zip::FO_100424_FINAL.csv</t>
  </si>
  <si>
    <t xml:space="preserve">ncdex_bhavcopy_20240412.zip::FO_120424_FINAL.csv</t>
  </si>
  <si>
    <t xml:space="preserve">ncdex_bhavcopy_20240415.zip::FO_150424_FINAL.csv</t>
  </si>
  <si>
    <t xml:space="preserve">ncdex_bhavcopy_20240416.zip::FO_160424_FINAL.csv</t>
  </si>
  <si>
    <t xml:space="preserve">ncdex_bhavcopy_20240418.zip::FO_180424_FINAL.csv</t>
  </si>
  <si>
    <t xml:space="preserve">ncdex_bhavcopy_20240419.zip::FO_190424_FINAL.csv</t>
  </si>
  <si>
    <t xml:space="preserve">ncdex_bhavcopy_20240422.zip::FO_220424_FINAL.csv</t>
  </si>
  <si>
    <t xml:space="preserve">ncdex_bhavcopy_20240423.zip::FO_230424_FINAL.csv</t>
  </si>
  <si>
    <t xml:space="preserve">ncdex_bhavcopy_20240424.zip::FO_240424_FINAL.csv</t>
  </si>
  <si>
    <t xml:space="preserve">ncdex_bhavcopy_20240425.zip::FO_250424_FINAL.csv</t>
  </si>
  <si>
    <t xml:space="preserve">ncdex_bhavcopy_20240426.zip::FO_260424_FINAL.csv</t>
  </si>
  <si>
    <t xml:space="preserve">ncdex_bhavcopy_20240429.zip::FO_290424_FINAL.csv</t>
  </si>
  <si>
    <t xml:space="preserve">ncdex_bhavcopy_20240430.zip::FO_300424_FINAL.csv</t>
  </si>
  <si>
    <t xml:space="preserve">ncdex_bhavcopy_20240502.zip::FO_020524_FINAL.csv</t>
  </si>
  <si>
    <t xml:space="preserve">ncdex_bhavcopy_20240503.zip::FO_030524_FINAL.csv</t>
  </si>
  <si>
    <t xml:space="preserve">ncdex_bhavcopy_20240506.zip::FO_060524_FINAL.csv</t>
  </si>
  <si>
    <t xml:space="preserve">ncdex_bhavcopy_20240507.zip::FO_070524_FINAL.csv</t>
  </si>
  <si>
    <t xml:space="preserve">ncdex_bhavcopy_20240508.zip::FO_080524_FINAL.csv</t>
  </si>
  <si>
    <t xml:space="preserve">ncdex_bhavcopy_20240509.zip::FO_090524_FINAL.csv</t>
  </si>
  <si>
    <t xml:space="preserve">ncdex_bhavcopy_20240510.zip::FO_100524_FINAL.csv</t>
  </si>
  <si>
    <t xml:space="preserve">ncdex_bhavcopy_20240513.zip::FO_130524_FINAL.csv</t>
  </si>
  <si>
    <t xml:space="preserve">ncdex_bhavcopy_20240514.zip::FO_140524_FINAL.csv</t>
  </si>
  <si>
    <t xml:space="preserve">ncdex_bhavcopy_20240515.zip::FO_150524_FINAL.csv</t>
  </si>
  <si>
    <t xml:space="preserve">ncdex_bhavcopy_20240516.zip::FO_160524_FINAL.csv</t>
  </si>
  <si>
    <t xml:space="preserve">ncdex_bhavcopy_20240517.zip::FO_170524_FINAL.csv</t>
  </si>
  <si>
    <t xml:space="preserve">ncdex_bhavcopy_20240521.zip::FO_210524_FINAL.csv</t>
  </si>
  <si>
    <t xml:space="preserve">ncdex_bhavcopy_20240522.zip::FO_220524_FINAL.csv</t>
  </si>
  <si>
    <t xml:space="preserve">ncdex_bhavcopy_20240523.zip::FO_230524_FINAL.csv</t>
  </si>
  <si>
    <t xml:space="preserve">ncdex_bhavcopy_20240524.zip::FO_240524_FINAL.csv</t>
  </si>
  <si>
    <t xml:space="preserve">ncdex_bhavcopy_20240527.zip::FO_270524_FINAL.csv</t>
  </si>
  <si>
    <t xml:space="preserve">ncdex_bhavcopy_20240528.zip::FO_280524_FINAL.csv</t>
  </si>
  <si>
    <t xml:space="preserve">ncdex_bhavcopy_20240529.zip::FO_290524_FINAL.csv</t>
  </si>
  <si>
    <t xml:space="preserve">ncdex_bhavcopy_20240530.zip::FO_300524_FINAL.csv</t>
  </si>
  <si>
    <t xml:space="preserve">ncdex_bhavcopy_20240531.zip::FO_310524_FINAL.csv</t>
  </si>
  <si>
    <t xml:space="preserve">ncdex_bhavcopy_20240603.zip::FO_030624_FINAL.csv</t>
  </si>
  <si>
    <t xml:space="preserve">ncdex_bhavcopy_20240604.zip::FO_040624_FINAL.csv</t>
  </si>
  <si>
    <t xml:space="preserve">ncdex_bhavcopy_20240605.zip::FO_050624_FINAL.csv</t>
  </si>
  <si>
    <t xml:space="preserve">ncdex_bhavcopy_20240606.zip::FO_060624_FINAL.csv</t>
  </si>
  <si>
    <t xml:space="preserve">ncdex_bhavcopy_20240607.zip::FO_070624_FINAL.csv</t>
  </si>
  <si>
    <t xml:space="preserve">ncdex_bhavcopy_20240610.zip::FO_100624_FINAL.csv</t>
  </si>
  <si>
    <t xml:space="preserve">ncdex_bhavcopy_20240611.zip::FO_110624_FINAL.csv</t>
  </si>
  <si>
    <t xml:space="preserve">ncdex_bhavcopy_20240612.zip::FO_120624_FINAL.csv</t>
  </si>
  <si>
    <t xml:space="preserve">ncdex_bhavcopy_20240613.zip::FO_130624_FINAL.csv</t>
  </si>
  <si>
    <t xml:space="preserve">ncdex_bhavcopy_20240614.zip::FO_140624_FINAL.csv</t>
  </si>
  <si>
    <t xml:space="preserve">ncdex_bhavcopy_20240618.zip::FO_180624_FINAL.csv</t>
  </si>
  <si>
    <t xml:space="preserve">ncdex_bhavcopy_20240619.zip::FO_190624_FINAL.csv</t>
  </si>
  <si>
    <t xml:space="preserve">ncdex_bhavcopy_20240620.zip::FO_200624_FINAL.csv</t>
  </si>
  <si>
    <t xml:space="preserve">ncdex_bhavcopy_20240621.zip::FO_210624_FINAL.csv</t>
  </si>
  <si>
    <t xml:space="preserve">ncdex_bhavcopy_20240624.zip::FO_240624_FINAL.csv</t>
  </si>
  <si>
    <t xml:space="preserve">ncdex_bhavcopy_20240625.zip::FO_250624_FINAL.csv</t>
  </si>
  <si>
    <t xml:space="preserve">ncdex_bhavcopy_20240626.zip::FO_260624_FINAL.csv</t>
  </si>
  <si>
    <t xml:space="preserve">ncdex_bhavcopy_20240627.zip::FO_270624_FINAL.csv</t>
  </si>
  <si>
    <t xml:space="preserve">ncdex_bhavcopy_20240628.zip::FO_280624_FINAL.csv</t>
  </si>
  <si>
    <t xml:space="preserve">ncdex_bhavcopy_20240701.zip::FO_010724_FINAL.csv</t>
  </si>
  <si>
    <t xml:space="preserve">ncdex_bhavcopy_20240702.zip::FO_020724_FINAL.csv</t>
  </si>
  <si>
    <t xml:space="preserve">ncdex_bhavcopy_20240703.zip::FO_030724_FINAL.csv</t>
  </si>
  <si>
    <t xml:space="preserve">ncdex_bhavcopy_20240704.zip::FO_040724_FINAL.csv</t>
  </si>
  <si>
    <t xml:space="preserve">ncdex_bhavcopy_20240705.zip::FO_050724_FINAL.csv</t>
  </si>
  <si>
    <t xml:space="preserve">ncdex_bhavcopy_20240708.zip::FO_080724_FINAL.csv</t>
  </si>
  <si>
    <t xml:space="preserve">ncdex_bhavcopy_20240709.zip::FO_090724_FINAL.csv</t>
  </si>
  <si>
    <t xml:space="preserve">ncdex_bhavcopy_20240710.zip::FO_100724_FINAL.csv</t>
  </si>
  <si>
    <t xml:space="preserve">ncdex_bhavcopy_20240711.zip::FO_110724_FINAL.csv</t>
  </si>
  <si>
    <t xml:space="preserve">ncdex_bhavcopy_20240712.zip::FO_120724_FINAL.csv</t>
  </si>
  <si>
    <t xml:space="preserve">ncdex_bhavcopy_20240715.zip::FO_150724_FINAL.csv</t>
  </si>
  <si>
    <t xml:space="preserve">ncdex_bhavcopy_20240716.zip::FO_160724_FINAL.csv</t>
  </si>
  <si>
    <t xml:space="preserve">ncdex_bhavcopy_20240718.zip::FO_180724_FINAL.csv</t>
  </si>
  <si>
    <t xml:space="preserve">ncdex_bhavcopy_20240719.zip::FO_190724_FINAL.csv</t>
  </si>
  <si>
    <t xml:space="preserve">ncdex_bhavcopy_20240722.zip::FO_220724_FINAL.csv</t>
  </si>
  <si>
    <t xml:space="preserve">ncdex_bhavcopy_20240723.zip::FO_230724_FINAL.csv</t>
  </si>
  <si>
    <t xml:space="preserve">ncdex_bhavcopy_20240724.zip::FO_240724_FINAL.csv</t>
  </si>
  <si>
    <t xml:space="preserve">ncdex_bhavcopy_20240725.zip::FO_250724_FINAL.csv</t>
  </si>
  <si>
    <t xml:space="preserve">ncdex_bhavcopy_20240726.zip::FO_260724_FINAL.csv</t>
  </si>
  <si>
    <t xml:space="preserve">ncdex_bhavcopy_20240729.zip::FO_290724_FINAL.csv</t>
  </si>
  <si>
    <t xml:space="preserve">ncdex_bhavcopy_20240730.zip::FO_300724_FINAL.csv</t>
  </si>
  <si>
    <t xml:space="preserve">ncdex_bhavcopy_20240731.zip::FO_310724_FINAL.csv</t>
  </si>
  <si>
    <t xml:space="preserve">ncdex_bhavcopy_20240801.zip::FO_010824_FINAL.csv</t>
  </si>
  <si>
    <t xml:space="preserve">ncdex_bhavcopy_20240802.zip::FO_020824_FINAL.csv</t>
  </si>
  <si>
    <t xml:space="preserve">ncdex_bhavcopy_20240805.zip::FO_050824_FINAL.csv</t>
  </si>
  <si>
    <t xml:space="preserve">ncdex_bhavcopy_20240806.zip::FO_060824_FINAL.csv</t>
  </si>
  <si>
    <t xml:space="preserve">ncdex_bhavcopy_20240807.zip::FO_070824_FINAL.csv</t>
  </si>
  <si>
    <t xml:space="preserve">ncdex_bhavcopy_20240808.zip::FO_080824_FINAL.csv</t>
  </si>
  <si>
    <t xml:space="preserve">ncdex_bhavcopy_20240809.zip::FO_090824_FINAL.csv</t>
  </si>
  <si>
    <t xml:space="preserve">ncdex_bhavcopy_20240812.zip::FO_120824_FINAL.csv</t>
  </si>
  <si>
    <t xml:space="preserve">ncdex_bhavcopy_20240813.zip::FO_130824_FINAL.csv</t>
  </si>
  <si>
    <t xml:space="preserve">ncdex_bhavcopy_20240814.zip::FO_140824_FINAL.csv</t>
  </si>
  <si>
    <t xml:space="preserve">ncdex_bhavcopy_20240816.zip::FO_160824_FINAL.csv</t>
  </si>
  <si>
    <t xml:space="preserve">ncdex_bhavcopy_20240819.zip::FO_190824_FINAL.csv</t>
  </si>
  <si>
    <t xml:space="preserve">ncdex_bhavcopy_20240820.zip::FO_200824_FINAL.csv</t>
  </si>
  <si>
    <t xml:space="preserve">ncdex_bhavcopy_20240821.zip::FO_210824_FINAL.csv</t>
  </si>
  <si>
    <t xml:space="preserve">ncdex_bhavcopy_20240822.zip::FO_220824_FINAL.csv</t>
  </si>
  <si>
    <t xml:space="preserve">ncdex_bhavcopy_20240823.zip::FO_230824_FINAL.csv</t>
  </si>
  <si>
    <t xml:space="preserve">ncdex_bhavcopy_20240826.zip::FO_260824_FINAL.csv</t>
  </si>
  <si>
    <t xml:space="preserve">ncdex_bhavcopy_20240827.zip::FO_270824_FINAL.csv</t>
  </si>
  <si>
    <t xml:space="preserve">ncdex_bhavcopy_20240828.zip::FO_280824_FINAL.csv</t>
  </si>
  <si>
    <t xml:space="preserve">ncdex_bhavcopy_20240829.zip::FO_290824_FINAL.csv</t>
  </si>
  <si>
    <t xml:space="preserve">ncdex_bhavcopy_20240830.zip::FO_300824_FINAL.csv</t>
  </si>
  <si>
    <t xml:space="preserve">ncdex_bhavcopy_20240902.zip::FO_020924_FINAL.csv</t>
  </si>
  <si>
    <t xml:space="preserve">ncdex_bhavcopy_20240903.zip::FO_030924_FINAL.csv</t>
  </si>
  <si>
    <t xml:space="preserve">ncdex_bhavcopy_20240904.zip::FO_040924_FINAL.csv</t>
  </si>
  <si>
    <t xml:space="preserve">ncdex_bhavcopy_20240905.zip::FO_050924_FINAL.csv</t>
  </si>
  <si>
    <t xml:space="preserve">ncdex_bhavcopy_20240906.zip::FO_060924_FINAL.csv</t>
  </si>
  <si>
    <t xml:space="preserve">ncdex_bhavcopy_20240909.zip::FO_090924_FINAL.csv</t>
  </si>
  <si>
    <t xml:space="preserve">ncdex_bhavcopy_20240910.zip::FO_100924_FINAL.csv</t>
  </si>
  <si>
    <t xml:space="preserve">ncdex_bhavcopy_20240911.zip::FO_110924_FINAL.csv</t>
  </si>
  <si>
    <t xml:space="preserve">ncdex_bhavcopy_20240912.zip::FO_120924_FINAL.csv</t>
  </si>
  <si>
    <t xml:space="preserve">ncdex_bhavcopy_20240913.zip::FO_130924_FINAL.csv</t>
  </si>
  <si>
    <t xml:space="preserve">ncdex_bhavcopy_20240916.zip::FO_160924_FINAL.csv</t>
  </si>
  <si>
    <t xml:space="preserve">ncdex_bhavcopy_20240917.zip::FO_170924_FINAL.csv</t>
  </si>
  <si>
    <t xml:space="preserve">ncdex_bhavcopy_20240918.zip::FO_180924_FINAL.csv</t>
  </si>
  <si>
    <t xml:space="preserve">ncdex_bhavcopy_20240919.zip::FO_190924_FINAL.csv</t>
  </si>
  <si>
    <t xml:space="preserve">ncdex_bhavcopy_20240920.zip::FO_200924_FINAL.csv</t>
  </si>
  <si>
    <t xml:space="preserve">ncdex_bhavcopy_20240923.zip::FO_230924_FINAL.csv</t>
  </si>
  <si>
    <t xml:space="preserve">ncdex_bhavcopy_20240924.zip::FO_240924_FINAL.csv</t>
  </si>
  <si>
    <t xml:space="preserve">ncdex_bhavcopy_20240925.zip::FO_250924_FINAL.csv</t>
  </si>
  <si>
    <t xml:space="preserve">ncdex_bhavcopy_20240926.zip::FO_260924_FINAL.csv</t>
  </si>
  <si>
    <t xml:space="preserve">ncdex_bhavcopy_20240927.zip::FO_270924_FINAL.csv</t>
  </si>
  <si>
    <t xml:space="preserve">ncdex_bhavcopy_20240930.zip::FO_300924_FINAL.csv</t>
  </si>
  <si>
    <t xml:space="preserve">ncdex_bhavcopy_20241001.zip::FO_011024_FINAL.csv</t>
  </si>
  <si>
    <t xml:space="preserve">ncdex_bhavcopy_20241003.zip::FO_031024_FINAL.csv</t>
  </si>
  <si>
    <t xml:space="preserve">ncdex_bhavcopy_20241004.zip::FO_041024_FINAL.csv</t>
  </si>
  <si>
    <t xml:space="preserve">ncdex_bhavcopy_20241007.zip::FO_071024_FINAL.csv</t>
  </si>
  <si>
    <t xml:space="preserve">ncdex_bhavcopy_20241008.zip::FO_081024_FINAL.csv</t>
  </si>
  <si>
    <t xml:space="preserve">ncdex_bhavcopy_20241009.zip::FO_091024_FINAL.csv</t>
  </si>
  <si>
    <t xml:space="preserve">ncdex_bhavcopy_20241010.zip::FO_101024_FINAL.csv</t>
  </si>
  <si>
    <t xml:space="preserve">ncdex_bhavcopy_20241011.zip::FO_111024_FINAL.csv</t>
  </si>
  <si>
    <t xml:space="preserve">ncdex_bhavcopy_20241014.zip::FO_141024_FINAL.csv</t>
  </si>
  <si>
    <t xml:space="preserve">ncdex_bhavcopy_20241015.zip::FO_151024_FINAL.csv</t>
  </si>
  <si>
    <t xml:space="preserve">ncdex_bhavcopy_20241016.zip::FO_161024_FINAL.csv</t>
  </si>
  <si>
    <t xml:space="preserve">ncdex_bhavcopy_20241017.zip::FO_171024_FINAL.csv</t>
  </si>
  <si>
    <t xml:space="preserve">ncdex_bhavcopy_20241018.zip::FO_181024_FINAL.csv</t>
  </si>
  <si>
    <t xml:space="preserve">ncdex_bhavcopy_20241021.zip::FO_211024_FINAL.csv</t>
  </si>
  <si>
    <t xml:space="preserve">ncdex_bhavcopy_20241022.zip::FO_221024_FINAL.csv</t>
  </si>
  <si>
    <t xml:space="preserve">ncdex_bhavcopy_20241023.zip::FO_231024_FINAL.csv</t>
  </si>
  <si>
    <t xml:space="preserve">ncdex_bhavcopy_20241024.zip::FO_241024_FINAL.csv</t>
  </si>
  <si>
    <t xml:space="preserve">ncdex_bhavcopy_20241025.zip::FO_251024_FINAL.csv</t>
  </si>
  <si>
    <t xml:space="preserve">ncdex_bhavcopy_20241028.zip::FO_281024_FINAL.csv</t>
  </si>
  <si>
    <t xml:space="preserve">ncdex_bhavcopy_20241029.zip::FO_291024_FINAL.csv</t>
  </si>
  <si>
    <t xml:space="preserve">ncdex_bhavcopy_20241030.zip::FO_301024_FINAL.csv</t>
  </si>
  <si>
    <t xml:space="preserve">ncdex_bhavcopy_20241031.zip::FO_311024_FINAL.csv</t>
  </si>
  <si>
    <t xml:space="preserve">ncdex_bhavcopy_20241101.zip::FO_011124_FINAL.csv</t>
  </si>
  <si>
    <t xml:space="preserve">ncdex_bhavcopy_20241104.zip::FO_041124_FINAL.csv</t>
  </si>
  <si>
    <t xml:space="preserve">ncdex_bhavcopy_20241105.zip::FO_051124_FINAL.csv</t>
  </si>
  <si>
    <t xml:space="preserve">ncdex_bhavcopy_20241106.zip::FO_061124_FINAL.csv</t>
  </si>
  <si>
    <t xml:space="preserve">ncdex_bhavcopy_20241107.zip::FO_071124_FINAL.csv</t>
  </si>
  <si>
    <t xml:space="preserve">ncdex_bhavcopy_20241108.zip::FO_081124_FINAL.csv</t>
  </si>
  <si>
    <t xml:space="preserve">ncdex_bhavcopy_20241111.zip::FO_111124_FINAL.csv</t>
  </si>
  <si>
    <t xml:space="preserve">ncdex_bhavcopy_20241112.zip::FO_121124_FINAL.csv</t>
  </si>
  <si>
    <t xml:space="preserve">ncdex_bhavcopy_20241113.zip::FO_131124_FINAL.csv</t>
  </si>
  <si>
    <t xml:space="preserve">ncdex_bhavcopy_20241114.zip::FO_141124_FINAL.csv</t>
  </si>
  <si>
    <t xml:space="preserve">ncdex_bhavcopy_20241118.zip::FO_181124_FINAL.csv</t>
  </si>
  <si>
    <t xml:space="preserve">ncdex_bhavcopy_20241119.zip::FO_191124_FINAL.csv</t>
  </si>
  <si>
    <t xml:space="preserve">ncdex_bhavcopy_20241121.zip::FO_211124_FINAL.csv</t>
  </si>
  <si>
    <t xml:space="preserve">ncdex_bhavcopy_20241122.zip::FO_221124_FINAL.csv</t>
  </si>
  <si>
    <t xml:space="preserve">ncdex_bhavcopy_20241125.zip::FO_251124_FINAL.csv</t>
  </si>
  <si>
    <t xml:space="preserve">ncdex_bhavcopy_20241126.zip::FO_261124_FINAL.csv</t>
  </si>
  <si>
    <t xml:space="preserve">ncdex_bhavcopy_20241127.zip::FO_271124_FINAL.csv</t>
  </si>
  <si>
    <t xml:space="preserve">ncdex_bhavcopy_20241128.zip::FO_281124_FINAL.csv</t>
  </si>
  <si>
    <t xml:space="preserve">ncdex_bhavcopy_20241129.zip::FO_291124_FINAL.csv</t>
  </si>
  <si>
    <t xml:space="preserve">ncdex_bhavcopy_20241202.zip::FO_021224_FINAL.csv</t>
  </si>
  <si>
    <t xml:space="preserve">ncdex_bhavcopy_20241203.zip::FO_031224_FINAL.csv</t>
  </si>
  <si>
    <t xml:space="preserve">ncdex_bhavcopy_20241204.zip::FO_041224_FINAL.csv</t>
  </si>
  <si>
    <t xml:space="preserve">ncdex_bhavcopy_20241205.zip::FO_051224_FINAL.csv</t>
  </si>
  <si>
    <t xml:space="preserve">ncdex_bhavcopy_20241206.zip::FO_061224_FINAL.csv</t>
  </si>
  <si>
    <t xml:space="preserve">ncdex_bhavcopy_20241209.zip::FO_091224_FINAL.csv</t>
  </si>
  <si>
    <t xml:space="preserve">ncdex_bhavcopy_20241210.zip::FO_101224_FINAL.csv</t>
  </si>
  <si>
    <t xml:space="preserve">ncdex_bhavcopy_20241211.zip::FO_111224_FINAL.csv</t>
  </si>
  <si>
    <t xml:space="preserve">ncdex_bhavcopy_20241212.zip::FO_121224_FINAL.csv</t>
  </si>
  <si>
    <t xml:space="preserve">ncdex_bhavcopy_20241213.zip::FO_131224_FINAL.csv</t>
  </si>
  <si>
    <t xml:space="preserve">ncdex_bhavcopy_20241216.zip::FO_161224_FINAL.csv</t>
  </si>
  <si>
    <t xml:space="preserve">ncdex_bhavcopy_20241217.zip::FO_171224_FINAL.csv</t>
  </si>
  <si>
    <t xml:space="preserve">ncdex_bhavcopy_20241218.zip::FO_181224_FINAL.csv</t>
  </si>
  <si>
    <t xml:space="preserve">ncdex_bhavcopy_20241219.zip::FO_191224_FINAL.csv</t>
  </si>
  <si>
    <t xml:space="preserve">ncdex_bhavcopy_20241220.zip::FO_201224_FINAL.csv</t>
  </si>
  <si>
    <t xml:space="preserve">ncdex_bhavcopy_20241223.zip::FO_231224_FINAL.csv</t>
  </si>
  <si>
    <t xml:space="preserve">ncdex_bhavcopy_20241224.zip::FO_241224_FINAL.csv</t>
  </si>
  <si>
    <t xml:space="preserve">ncdex_bhavcopy_20241226.zip::FO_261224_FINAL.csv</t>
  </si>
  <si>
    <t xml:space="preserve">ncdex_bhavcopy_20241227.zip::FO_271224_FINAL.csv</t>
  </si>
  <si>
    <t xml:space="preserve">ncdex_bhavcopy_20241230.zip::FO_301224_FINAL.csv</t>
  </si>
  <si>
    <t xml:space="preserve">ncdex_bhavcopy_20241231.zip::FO_311224_FINAL.csv</t>
  </si>
  <si>
    <t xml:space="preserve">ncdex_bhavcopy_20250101.zip::FO_010125_FINAL.csv</t>
  </si>
  <si>
    <t xml:space="preserve">ncdex_bhavcopy_20250102.zip::FO_020125_FINAL.csv</t>
  </si>
  <si>
    <t xml:space="preserve">ncdex_bhavcopy_20250103.zip::FO_030125_FINAL.csv</t>
  </si>
  <si>
    <t xml:space="preserve">ncdex_bhavcopy_20250106.zip::FO_060125_FINAL.csv</t>
  </si>
  <si>
    <t xml:space="preserve">ncdex_bhavcopy_20250107.zip::FO_070125_FINAL.csv</t>
  </si>
  <si>
    <t xml:space="preserve">ncdex_bhavcopy_20250108.zip::FO_080125_FINAL.csv</t>
  </si>
  <si>
    <t xml:space="preserve">ncdex_bhavcopy_20250109.zip::FO_090125_FINAL.csv</t>
  </si>
  <si>
    <t xml:space="preserve">ncdex_bhavcopy_20250110.zip::FO_100125_FINAL.csv</t>
  </si>
  <si>
    <t xml:space="preserve">ncdex_bhavcopy_20250113.zip::FO_130125_FINAL.csv</t>
  </si>
  <si>
    <t xml:space="preserve">ncdex_bhavcopy_20250114.zip::FO_140125_FINAL.csv</t>
  </si>
  <si>
    <t xml:space="preserve">ncdex_bhavcopy_20250115.zip::FO_150125_FINAL.csv</t>
  </si>
  <si>
    <t xml:space="preserve">ncdex_bhavcopy_20250116.zip::FO_160125_FINAL.csv</t>
  </si>
  <si>
    <t xml:space="preserve">ncdex_bhavcopy_20250117.zip::FO_170125_FINAL.csv</t>
  </si>
  <si>
    <t xml:space="preserve">ncdex_bhavcopy_20250120.zip::FO_200125_FINAL.csv</t>
  </si>
  <si>
    <t xml:space="preserve">ncdex_bhavcopy_20250121.zip::FO_210125_FINAL.csv</t>
  </si>
  <si>
    <t xml:space="preserve">ncdex_bhavcopy_20250122.zip::FO_220125_FINAL.csv</t>
  </si>
  <si>
    <t xml:space="preserve">ncdex_bhavcopy_20250123.zip::FO_230125_FINAL.csv</t>
  </si>
  <si>
    <t xml:space="preserve">ncdex_bhavcopy_20250124.zip::FO_240125_FINAL.csv</t>
  </si>
  <si>
    <t xml:space="preserve">ncdex_bhavcopy_20250127.zip::FO_270125_FINAL.csv</t>
  </si>
  <si>
    <t xml:space="preserve">ncdex_bhavcopy_20250128.zip::FO_280125_FINAL.csv</t>
  </si>
  <si>
    <t xml:space="preserve">ncdex_bhavcopy_20250129.zip::FO_290125_FINAL.csv</t>
  </si>
  <si>
    <t xml:space="preserve">ncdex_bhavcopy_20250130.zip::FO_300125_FINAL.csv</t>
  </si>
  <si>
    <t xml:space="preserve">ncdex_bhavcopy_20250131.zip::FO_310125_FINAL.csv</t>
  </si>
  <si>
    <t xml:space="preserve">ncdex_bhavcopy_20250201.zip::FO_010225_FINAL.csv</t>
  </si>
  <si>
    <t xml:space="preserve">ncdex_bhavcopy_20250203.zip::FO_030225_FINAL.csv</t>
  </si>
  <si>
    <t xml:space="preserve">ncdex_bhavcopy_20250204.zip::FO_040225_FINAL.csv</t>
  </si>
  <si>
    <t xml:space="preserve">ncdex_bhavcopy_20250205.zip::FO_050225_FINAL.csv</t>
  </si>
  <si>
    <t xml:space="preserve">ncdex_bhavcopy_20250206.zip::FO_060225_FINAL.csv</t>
  </si>
  <si>
    <t xml:space="preserve">ncdex_bhavcopy_20250207.zip::FO_070225_FINAL.csv</t>
  </si>
  <si>
    <t xml:space="preserve">ncdex_bhavcopy_20250210.zip::FO_100225_FINAL.csv</t>
  </si>
  <si>
    <t xml:space="preserve">ncdex_bhavcopy_20250211.zip::FO_110225_FINAL.csv</t>
  </si>
  <si>
    <t xml:space="preserve">ncdex_bhavcopy_20250212.zip::FO_120225_FINAL.csv</t>
  </si>
  <si>
    <t xml:space="preserve">ncdex_bhavcopy_20250213.zip::FO_130225_FINAL.csv</t>
  </si>
  <si>
    <t xml:space="preserve">ncdex_bhavcopy_20250214.zip::FO_140225_FINAL.csv</t>
  </si>
  <si>
    <t xml:space="preserve">ncdex_bhavcopy_20250217.zip::FO_170225_FINAL.csv</t>
  </si>
  <si>
    <t xml:space="preserve">ncdex_bhavcopy_20250218.zip::FO_180225_FINAL.csv</t>
  </si>
  <si>
    <t xml:space="preserve">ncdex_bhavcopy_20250219.zip::FO_190225_FINAL.csv</t>
  </si>
  <si>
    <t xml:space="preserve">ncdex_bhavcopy_20250220.zip::FO_200225_FINAL.csv</t>
  </si>
  <si>
    <t xml:space="preserve">ncdex_bhavcopy_20250221.zip::FO_210225_FINAL.csv</t>
  </si>
  <si>
    <t xml:space="preserve">ncdex_bhavcopy_20250224.zip::FO_240225_FINAL.csv</t>
  </si>
  <si>
    <t xml:space="preserve">ncdex_bhavcopy_20250225.zip::FO_250225_FINAL.csv</t>
  </si>
  <si>
    <t xml:space="preserve">ncdex_bhavcopy_20250227.zip::FO_270225_FINAL.csv</t>
  </si>
  <si>
    <t xml:space="preserve">ncdex_bhavcopy_20250228.zip::FO_280225_FINAL.csv</t>
  </si>
  <si>
    <t xml:space="preserve">ncdex_bhavcopy_20250303.zip::FO_030325_FINAL.csv</t>
  </si>
  <si>
    <t xml:space="preserve">ncdex_bhavcopy_20250304.zip::FO_040325_FINAL.csv</t>
  </si>
  <si>
    <t xml:space="preserve">ncdex_bhavcopy_20250305.zip::FO_050325_FINAL.csv</t>
  </si>
  <si>
    <t xml:space="preserve">ncdex_bhavcopy_20250306.zip::FO_060325_FINAL.csv</t>
  </si>
  <si>
    <t xml:space="preserve">ncdex_bhavcopy_20250307.zip::FO_070325_FINAL.csv</t>
  </si>
  <si>
    <t xml:space="preserve">ncdex_bhavcopy_20250310.zip::FO_100325_FINAL.csv</t>
  </si>
  <si>
    <t xml:space="preserve">ncdex_bhavcopy_20250311.zip::FO_110325_FINAL.csv</t>
  </si>
  <si>
    <t xml:space="preserve">ncdex_bhavcopy_20250312.zip::FO_120325_FINAL.csv</t>
  </si>
  <si>
    <t xml:space="preserve">ncdex_bhavcopy_20250313.zip::FO_130325_FINAL.csv</t>
  </si>
  <si>
    <t xml:space="preserve">ncdex_bhavcopy_20250317.zip::FO_170325_FINAL.csv</t>
  </si>
  <si>
    <t xml:space="preserve">ncdex_bhavcopy_20250318.zip::FO_180325_FINAL.csv</t>
  </si>
  <si>
    <t xml:space="preserve">ncdex_bhavcopy_20250319.zip::FO_190325_FINAL.csv</t>
  </si>
  <si>
    <t xml:space="preserve">ncdex_bhavcopy_20250320.zip::FO_200325_FINAL.csv</t>
  </si>
  <si>
    <t xml:space="preserve">ncdex_bhavcopy_20250321.zip::FO_210325_FINAL.csv</t>
  </si>
  <si>
    <t xml:space="preserve">ncdex_bhavcopy_20250324.zip::FO_240325_FINAL.csv</t>
  </si>
  <si>
    <t xml:space="preserve">ncdex_bhavcopy_20250325.zip::FO_250325_FINAL.csv</t>
  </si>
  <si>
    <t xml:space="preserve">ncdex_bhavcopy_20250326.zip::FO_260325_FINAL.csv</t>
  </si>
  <si>
    <t xml:space="preserve">ncdex_bhavcopy_20250327.zip::FO_270325_FINAL.csv</t>
  </si>
  <si>
    <t xml:space="preserve">ncdex_bhavcopy_20250328.zip::FO_280325_FINAL.csv</t>
  </si>
  <si>
    <t xml:space="preserve">ncdex_bhavcopy_20250401.zip::FO_010425_FINAL.csv</t>
  </si>
  <si>
    <t xml:space="preserve">ncdex_bhavcopy_20250402.zip::FO_020425_FINAL.csv</t>
  </si>
  <si>
    <t xml:space="preserve">ncdex_bhavcopy_20250403.zip::FO_030425_FINAL.csv</t>
  </si>
  <si>
    <t xml:space="preserve">ncdex_bhavcopy_20250404.zip::FO_040425_FINAL.csv</t>
  </si>
  <si>
    <t xml:space="preserve">ncdex_bhavcopy_20250407.zip::FO_070425_FINAL.csv</t>
  </si>
  <si>
    <t xml:space="preserve">ncdex_bhavcopy_20250408.zip::FO_080425_FINAL.csv</t>
  </si>
  <si>
    <t xml:space="preserve">ncdex_bhavcopy_20250409.zip::FO_090425_FINAL.csv</t>
  </si>
  <si>
    <t xml:space="preserve">ncdex_bhavcopy_20250411.zip::FO_110425_FINAL.csv</t>
  </si>
  <si>
    <t xml:space="preserve">ncdex_bhavcopy_20250415.zip::FO_150425_FINAL.csv</t>
  </si>
  <si>
    <t xml:space="preserve">ncdex_bhavcopy_20250416.zip::FO_160425_FINAL.csv</t>
  </si>
  <si>
    <t xml:space="preserve">ncdex_bhavcopy_20250417.zip::FO_170425_FINAL.csv</t>
  </si>
  <si>
    <t xml:space="preserve">ncdex_bhavcopy_20250421.zip::FO_210425_FINAL.csv</t>
  </si>
  <si>
    <t xml:space="preserve">ncdex_bhavcopy_20250422.zip::FO_220425_FINAL.csv</t>
  </si>
  <si>
    <t xml:space="preserve">ncdex_bhavcopy_20250423.zip::FO_230425_FINAL.csv</t>
  </si>
  <si>
    <t xml:space="preserve">ncdex_bhavcopy_20250424.zip::FO_240425_FINAL.csv</t>
  </si>
  <si>
    <t xml:space="preserve">ncdex_bhavcopy_20250425.zip::FO_250425_FINAL.csv</t>
  </si>
  <si>
    <t xml:space="preserve">ncdex_bhavcopy_20250428.zip::FO_280425_FINAL.csv</t>
  </si>
  <si>
    <t xml:space="preserve">ncdex_bhavcopy_20250429.zip::FO_290425_FINAL.csv</t>
  </si>
  <si>
    <t xml:space="preserve">ncdex_bhavcopy_20250430.zip::FO_300425_FINAL.csv</t>
  </si>
  <si>
    <t xml:space="preserve">ncdex_bhavcopy_20250502.zip::FO_020525_FINAL.csv</t>
  </si>
  <si>
    <t xml:space="preserve">ncdex_bhavcopy_20250505.zip::FO_050525_FINAL.csv</t>
  </si>
  <si>
    <t xml:space="preserve">ncdex_bhavcopy_20250506.zip::FO_060525_FINAL.csv</t>
  </si>
  <si>
    <t xml:space="preserve">ncdex_bhavcopy_20250507.zip::FO_070525_FINAL.csv</t>
  </si>
  <si>
    <t xml:space="preserve">ncdex_bhavcopy_20250508.zip::FO_080525_FINAL.csv</t>
  </si>
  <si>
    <t xml:space="preserve">ncdex_bhavcopy_20250509.zip::FO_090525_FINAL.csv</t>
  </si>
  <si>
    <t xml:space="preserve">ncdex_bhavcopy_20250512.zip::FO_120525_FINAL.csv</t>
  </si>
  <si>
    <t xml:space="preserve">ncdex_bhavcopy_20250513.zip::FO_130525_FINAL.csv</t>
  </si>
  <si>
    <t xml:space="preserve">ncdex_bhavcopy_20250514.zip::FO_140525_FINAL.csv</t>
  </si>
  <si>
    <t xml:space="preserve">ncdex_bhavcopy_20250515.zip::FO_150525_FINAL.csv</t>
  </si>
  <si>
    <t xml:space="preserve">ncdex_bhavcopy_20250516.zip::FO_160525_FINAL.csv</t>
  </si>
  <si>
    <t xml:space="preserve">ncdex_bhavcopy_20250519.zip::FO_190525_FINAL.csv</t>
  </si>
  <si>
    <t xml:space="preserve">ncdex_bhavcopy_20250520.zip::FO_200525_FINAL.csv</t>
  </si>
  <si>
    <t xml:space="preserve">ncdex_bhavcopy_20250521.zip::FO_210525_FINAL.csv</t>
  </si>
  <si>
    <t xml:space="preserve">ncdex_bhavcopy_20250522.zip::FO_220525_FINAL.csv</t>
  </si>
  <si>
    <t xml:space="preserve">ncdex_bhavcopy_20250523.zip::FO_230525_FINAL.csv</t>
  </si>
  <si>
    <t xml:space="preserve">ncdex_bhavcopy_20250526.zip::FO_260525_FINAL.csv</t>
  </si>
  <si>
    <t xml:space="preserve">ncdex_bhavcopy_20250527.zip::FO_270525_FINAL.csv</t>
  </si>
  <si>
    <t xml:space="preserve">ncdex_bhavcopy_20250528.zip::FO_280525_FINAL.csv</t>
  </si>
  <si>
    <t xml:space="preserve">ncdex_bhavcopy_20250529.zip::FO_290525_FINAL.csv</t>
  </si>
  <si>
    <t xml:space="preserve">ncdex_bhavcopy_20250530.zip::FO_300525_FINAL.csv</t>
  </si>
  <si>
    <t xml:space="preserve">ncdex_bhavcopy_20250602.zip::FO_020625_FINAL.csv</t>
  </si>
  <si>
    <t xml:space="preserve">ncdex_bhavcopy_20250603.zip::FO_030625_FINAL.csv</t>
  </si>
  <si>
    <t xml:space="preserve">ncdex_bhavcopy_20250604.zip::FO_040625_FINAL.csv</t>
  </si>
  <si>
    <t xml:space="preserve">ncdex_bhavcopy_20250605.zip::FO_050625_FINAL.csv</t>
  </si>
  <si>
    <t xml:space="preserve">ncdex_bhavcopy_20250606.zip::FO_060625_FINAL.csv</t>
  </si>
  <si>
    <t xml:space="preserve">ncdex_bhavcopy_20250609.zip::FO_090625_FINAL.csv</t>
  </si>
  <si>
    <t xml:space="preserve">ncdex_bhavcopy_20250610.zip::FO_100625_FINAL.csv</t>
  </si>
  <si>
    <t xml:space="preserve">ncdex_bhavcopy_20250611.zip::FO_110625_FINAL.csv</t>
  </si>
  <si>
    <t xml:space="preserve">ncdex_bhavcopy_20250612.zip::FO_120625_FINAL.csv</t>
  </si>
  <si>
    <t xml:space="preserve">ncdex_bhavcopy_20250613.zip::FO_130625_FINAL.csv</t>
  </si>
  <si>
    <t xml:space="preserve">ncdex_bhavcopy_20250616.zip::FO_160625_FINAL.csv</t>
  </si>
  <si>
    <t xml:space="preserve">ncdex_bhavcopy_20250617.zip::FO_170625_FINAL.csv</t>
  </si>
  <si>
    <t xml:space="preserve">ncdex_bhavcopy_20250618.zip::FO_180625_FINAL.csv</t>
  </si>
  <si>
    <t xml:space="preserve">ncdex_bhavcopy_20250619.zip::FO_190625_FINAL.csv</t>
  </si>
  <si>
    <t xml:space="preserve">ncdex_bhavcopy_20250620.zip::FO_200625_FINAL.csv</t>
  </si>
  <si>
    <t xml:space="preserve">ncdex_bhavcopy_20250623.zip::FO_230625_FINAL.csv</t>
  </si>
  <si>
    <t xml:space="preserve">ncdex_bhavcopy_20250624.zip::FO_240625_FINAL.csv</t>
  </si>
  <si>
    <t xml:space="preserve">ncdex_bhavcopy_20250625.zip::FO_250625_FINAL.csv</t>
  </si>
  <si>
    <t xml:space="preserve">ncdex_bhavcopy_20250626.zip::FO_260625_FINAL.csv</t>
  </si>
  <si>
    <t xml:space="preserve">ncdex_bhavcopy_20250627.zip::FO_270625_FINAL.csv</t>
  </si>
  <si>
    <t xml:space="preserve">ncdex_bhavcopy_20250630.zip::FO_300625_FINAL.csv</t>
  </si>
  <si>
    <t xml:space="preserve">ncdex_bhavcopy_20250701.zip::FO_010725_FINAL.csv</t>
  </si>
  <si>
    <t xml:space="preserve">ncdex_bhavcopy_20250702.zip::FO_020725_FINAL.csv</t>
  </si>
  <si>
    <t xml:space="preserve">ncdex_bhavcopy_20250703.zip::FO_030725_FINAL.csv</t>
  </si>
  <si>
    <t xml:space="preserve">ncdex_bhavcopy_20250704.zip::FO_040725_FINAL.csv</t>
  </si>
  <si>
    <t xml:space="preserve">ncdex_bhavcopy_20250707.zip::FO_070725_FINAL.csv</t>
  </si>
  <si>
    <t xml:space="preserve">ncdex_bhavcopy_20250708.zip::FO_080725_FINAL.csv</t>
  </si>
  <si>
    <t xml:space="preserve">ncdex_bhavcopy_20250709.zip::FO_090725_FINAL.csv</t>
  </si>
  <si>
    <t xml:space="preserve">ncdex_bhavcopy_20250710.zip::FO_100725_FINAL.csv</t>
  </si>
  <si>
    <t xml:space="preserve">ncdex_bhavcopy_20250711.zip::FO_110725_FINAL.csv</t>
  </si>
  <si>
    <t xml:space="preserve">ncdex_bhavcopy_20250714.zip::FO_140725_FINAL.csv</t>
  </si>
  <si>
    <t xml:space="preserve">ncdex_bhavcopy_20250715.zip::FO_150725_FINAL.csv</t>
  </si>
  <si>
    <t xml:space="preserve">ncdex_bhavcopy_20250716.zip::FO_160725_FINAL.csv</t>
  </si>
  <si>
    <t xml:space="preserve">ncdex_bhavcopy_20250717.zip::FO_170725_FINAL.csv</t>
  </si>
  <si>
    <t xml:space="preserve">ncdex_bhavcopy_20250718.zip::FO_180725_FINAL.csv</t>
  </si>
  <si>
    <t xml:space="preserve">ncdex_bhavcopy_20250721.zip::FO_210725_FINAL.csv</t>
  </si>
  <si>
    <t xml:space="preserve">ncdex_bhavcopy_20250722.zip::FO_220725_FINAL.csv</t>
  </si>
  <si>
    <t xml:space="preserve">ncdex_bhavcopy_20250723.zip::FO_230725_FINAL.csv</t>
  </si>
  <si>
    <t xml:space="preserve">ncdex_bhavcopy_20250724.zip::FO_240725_FINAL.csv</t>
  </si>
  <si>
    <t xml:space="preserve">ncdex_bhavcopy_20250725.zip::FO_250725_FINAL.csv</t>
  </si>
  <si>
    <t xml:space="preserve">ncdex_bhavcopy_20250728.zip::FO_280725_FINAL.csv</t>
  </si>
  <si>
    <t xml:space="preserve">ncdex_bhavcopy_20250729.zip::FO_290725_FINAL.csv</t>
  </si>
  <si>
    <t xml:space="preserve">ncdex_bhavcopy_20250730.zip::FO_300725_FINAL.csv</t>
  </si>
  <si>
    <t xml:space="preserve">ncdex_bhavcopy_20250731.zip::FO_310725_FINAL.csv</t>
  </si>
  <si>
    <t xml:space="preserve">ncdex_bhavcopy_20250801.zip::FO_010825_FINAL.csv</t>
  </si>
  <si>
    <t xml:space="preserve">ncdex_bhavcopy_20250804.zip::FO_040825_FINAL.csv</t>
  </si>
  <si>
    <t xml:space="preserve">ncdex_bhavcopy_20250805.zip::FO_050825_FINAL.csv</t>
  </si>
  <si>
    <t xml:space="preserve">ncdex_bhavcopy_20250806.zip::FO_060825_FINAL.csv</t>
  </si>
  <si>
    <t xml:space="preserve">ncdex_bhavcopy_20250807.zip::FO_070825_FINAL.csv</t>
  </si>
  <si>
    <t xml:space="preserve">ncdex_bhavcopy_20250808.zip::FO_080825_FINAL.csv</t>
  </si>
  <si>
    <t xml:space="preserve">ncdex_bhavcopy_20250811.zip::FO_110825_FINAL.csv</t>
  </si>
  <si>
    <t xml:space="preserve">ncdex_bhavcopy_20250812.zip::FO_120825_FINAL.csv</t>
  </si>
  <si>
    <t xml:space="preserve">ncdex_bhavcopy_20250813.zip::FO_130825_FINAL.csv</t>
  </si>
  <si>
    <t xml:space="preserve">ncdex_bhavcopy_20250814.zip::FO_140825_FINAL.csv</t>
  </si>
  <si>
    <t xml:space="preserve">ncdex_bhavcopy_20250818.zip::FO_180825_FINAL.csv</t>
  </si>
  <si>
    <t xml:space="preserve">ncdex_bhavcopy_20250819.zip::FO_190825_FINAL.csv</t>
  </si>
  <si>
    <t xml:space="preserve">ncdex_bhavcopy_20250820.zip::FO_200825_FINAL.csv</t>
  </si>
  <si>
    <t xml:space="preserve">ncdex_bhavcopy_20250821.zip::FO_210825_FINAL.csv</t>
  </si>
  <si>
    <t xml:space="preserve">ncdex_bhavcopy_20250822.zip::FO_220825_FINAL.csv</t>
  </si>
  <si>
    <t xml:space="preserve">ncdex_bhavcopy_20250825.zip::FO_250825_FINAL.csv</t>
  </si>
  <si>
    <t xml:space="preserve">ncdex_bhavcopy_20250826.zip::FO_260825_FINAL.csv</t>
  </si>
  <si>
    <t xml:space="preserve">ncdex_bhavcopy_20250828.zip::FO_280825_FINAL.csv</t>
  </si>
  <si>
    <t xml:space="preserve">ncdex_bhavcopy_20250829.zip::FO_290825_FINAL.csv</t>
  </si>
  <si>
    <t xml:space="preserve">ncdex_bhavcopy_20250901.zip::FO_010925_FINAL.csv</t>
  </si>
  <si>
    <t xml:space="preserve">ncdex_bhavcopy_20250902.zip::FO_020925_FINAL.csv</t>
  </si>
  <si>
    <t xml:space="preserve">ncdex_bhavcopy_20250903.zip::FO_030925_FINAL.csv</t>
  </si>
  <si>
    <t xml:space="preserve">ncdex_bhavcopy_20250904.zip::FO_040925_FINAL.csv</t>
  </si>
  <si>
    <t xml:space="preserve">ncdex_bhavcopy_20250905.zip::FO_050925_FINAL.csv</t>
  </si>
  <si>
    <t xml:space="preserve">ncdex_bhavcopy_20250908.zip::FO_080925_FINAL.csv</t>
  </si>
  <si>
    <t xml:space="preserve">ncdex_bhavcopy_20250909.zip::FO_090925_FINAL.csv</t>
  </si>
  <si>
    <t xml:space="preserve">ncdex_bhavcopy_20250910.zip::FO_100925_FINAL.csv</t>
  </si>
  <si>
    <t xml:space="preserve">ncdex_bhavcopy_20250911.zip::FO_110925_FINAL.csv</t>
  </si>
  <si>
    <t xml:space="preserve">ncdex_bhavcopy_20250912.zip::FO_120925_FINAL.csv</t>
  </si>
  <si>
    <t xml:space="preserve">ncdex_bhavcopy_20250915.zip::FO_150925_FINAL.csv</t>
  </si>
  <si>
    <t xml:space="preserve">ncdex_bhavcopy_20250916.zip::FO_160925_FINAL.csv</t>
  </si>
  <si>
    <t xml:space="preserve">ncdex_bhavcopy_20250917.zip::FO_170925_FINAL.csv</t>
  </si>
  <si>
    <t xml:space="preserve">ncdex_bhavcopy_20250918.zip::FO_180925_FINAL.csv</t>
  </si>
  <si>
    <t xml:space="preserve">ncdex_bhavcopy_20250919.zip::FO_190925_FINAL.csv</t>
  </si>
  <si>
    <t xml:space="preserve">ncdex_bhavcopy_20250922.zip::FO_220925_FINAL.csv</t>
  </si>
  <si>
    <t xml:space="preserve">ncdex_bhavcopy_20250923.zip::FO_230925_FINAL.csv</t>
  </si>
  <si>
    <t xml:space="preserve">ncdex_bhavcopy_20250924.zip::FO_240925_FINAL.csv</t>
  </si>
  <si>
    <t xml:space="preserve">ncdex_bhavcopy_20250925.zip::FO_250925_FINAL.csv</t>
  </si>
  <si>
    <t xml:space="preserve">ncdex_bhavcopy_20250926.zip::FO_260925_FINAL.csv</t>
  </si>
  <si>
    <t xml:space="preserve">ncdex_bhavcopy_20250929.zip::FO_290925_FINAL.csv</t>
  </si>
  <si>
    <t xml:space="preserve">ncdex_bhavcopy_20250930.zip::FO_300925_FINAL.csv</t>
  </si>
  <si>
    <t xml:space="preserve">ncdex_bhavcopy_20251001.zip::FO_011025_FINAL.csv</t>
  </si>
  <si>
    <t xml:space="preserve">ncdex_bhavcopy_20251003.zip::FO_031025_FINAL.csv</t>
  </si>
  <si>
    <t xml:space="preserve">ncdex_bhavcopy_20251006.zip::FO_061025_FINAL.csv</t>
  </si>
  <si>
    <t xml:space="preserve">ncdex_bhavcopy_20251007.zip::FO_071025_FINAL.csv</t>
  </si>
  <si>
    <t xml:space="preserve">ncdex_bhavcopy_20251008.zip::FO_081025_FINAL.csv</t>
  </si>
  <si>
    <t xml:space="preserve">ncdex_bhavcopy_20251009.zip::FO_091025_FINAL.csv</t>
  </si>
  <si>
    <t xml:space="preserve">ncdex_bhavcopy_20251010.zip::FO_101025_FINAL.csv</t>
  </si>
  <si>
    <t xml:space="preserve">ncdex_bhavcopy_20251013.zip::FO_131025_FINAL.csv</t>
  </si>
  <si>
    <t xml:space="preserve">ncdex_bhavcopy_20251014.zip::FO_141025_FINAL.csv</t>
  </si>
  <si>
    <t xml:space="preserve">ncdex_bhavcopy_20251015.zip::FO_151025_FINAL.csv</t>
  </si>
  <si>
    <t xml:space="preserve">ncdex_bhavcopy_20251016.zip::FO_161025_FINAL.csv</t>
  </si>
  <si>
    <t xml:space="preserve">ncdex_bhavcopy_20251017.zip::FO_171025_FINAL.csv</t>
  </si>
  <si>
    <t xml:space="preserve">ncdex_bhavcopy_20251020.zip::FO_201025_FINAL.csv</t>
  </si>
  <si>
    <t xml:space="preserve">ncdex_bhavcopy_20251021.zip::FO_211025_FINAL.csv</t>
  </si>
  <si>
    <t xml:space="preserve">ncdex_bhavcopy_20251023.zip::FO_231025_FINAL.csv</t>
  </si>
  <si>
    <t xml:space="preserve">ncdex_bhavcopy_20251024.zip::FO_241025_FINAL.csv</t>
  </si>
  <si>
    <t xml:space="preserve">ncdex_bhavcopy_20251027.zip::FO_271025_FINAL.csv</t>
  </si>
  <si>
    <t xml:space="preserve">ncdex_bhavcopy_20251028.zip::FO_281025_FINAL.csv</t>
  </si>
  <si>
    <t xml:space="preserve">ncdex_bhavcopy_20251029.zip::FO_291025_FINAL.csv</t>
  </si>
  <si>
    <t xml:space="preserve">ncdex_bhavcopy_20251030.zip::FO_301025_FINAL.csv</t>
  </si>
  <si>
    <t xml:space="preserve">ncdex_bhavcopy_20251031.zip::FO_311025_FINAL.csv</t>
  </si>
  <si>
    <t xml:space="preserve">ncdex_bhavcopy_20251103.zip::FO_031125_FINAL.csv</t>
  </si>
  <si>
    <t xml:space="preserve">ncdex_bhavcopy_20251104.zip::FO_041125_FINAL.csv</t>
  </si>
  <si>
    <t xml:space="preserve">ncdex_bhavcopy_20251106.zip::FO_061125_FINAL.csv</t>
  </si>
  <si>
    <t xml:space="preserve">ncdex_bhavcopy_20251107.zip::FO_071125_FINAL.csv</t>
  </si>
  <si>
    <t xml:space="preserve">ncdex_bhavcopy_20251110.zip::FO_101125_FINAL.csv</t>
  </si>
  <si>
    <t xml:space="preserve">ncdex_bhavcopy_20251111.zip::FO_111125_FINAL.csv</t>
  </si>
  <si>
    <t xml:space="preserve">ncdex_bhavcopy_20251112.zip::FO_121125_FINAL.csv</t>
  </si>
  <si>
    <t xml:space="preserve">ncdex_bhavcopy_20251113.zip::FO_131125_FINAL.csv</t>
  </si>
  <si>
    <t xml:space="preserve">ncdex_bhavcopy_20251114.zip::FO_141125_FINAL.csv</t>
  </si>
  <si>
    <t xml:space="preserve">ncdex_bhavcopy_20251117.zip::FO_171125_FINAL.csv</t>
  </si>
  <si>
    <t xml:space="preserve">ncdex_bhavcopy_20251118.zip::FO_181125_FINAL.csv</t>
  </si>
  <si>
    <t xml:space="preserve">ncdex_bhavcopy_20251119.zip::FO_191125_FINAL.csv</t>
  </si>
  <si>
    <t xml:space="preserve">ncdex_bhavcopy_20251120.zip::FO_201125_FINAL.csv</t>
  </si>
  <si>
    <t xml:space="preserve">ncdex_bhavcopy_20251121.zip::FO_211125_FINAL.csv</t>
  </si>
  <si>
    <t xml:space="preserve">ncdex_bhavcopy_20251124.zip::FO_241125_FINAL.csv</t>
  </si>
  <si>
    <t xml:space="preserve">ncdex_bhavcopy_20251125.zip::FO_251125_FINAL.csv</t>
  </si>
  <si>
    <t xml:space="preserve">ncdex_bhavcopy_20251126.zip::FO_261125_FINAL.csv</t>
  </si>
  <si>
    <t xml:space="preserve">ncdex_bhavcopy_20251127.zip::FO_271125_FINAL.csv</t>
  </si>
  <si>
    <t xml:space="preserve">ncdex_bhavcopy_20251128.zip::FO_281125_FINAL.csv</t>
  </si>
  <si>
    <t xml:space="preserve">ncdex_bhavcopy_20251201.zip::FO_011225_FINAL.csv</t>
  </si>
  <si>
    <t xml:space="preserve">ncdex_bhavcopy_20251202.zip::FO_021225_FINAL.csv</t>
  </si>
  <si>
    <t xml:space="preserve">ncdex_bhavcopy_20251203.zip::FO_031225_FINAL.csv</t>
  </si>
  <si>
    <t xml:space="preserve">ncdex_bhavcopy_20251204.zip::FO_041225_FINAL.csv</t>
  </si>
  <si>
    <t xml:space="preserve">ncdex_bhavcopy_20251205.zip::FO_051225_FINAL.csv</t>
  </si>
  <si>
    <t xml:space="preserve">ncdex_bhavcopy_20251208.zip::FO_081225_FINAL.csv</t>
  </si>
  <si>
    <t xml:space="preserve">ncdex_bhavcopy_20251209.zip::FO_091225_FINAL.csv</t>
  </si>
  <si>
    <t xml:space="preserve">ncdex_bhavcopy_20251210.zip::FO_101225_FINAL.csv</t>
  </si>
  <si>
    <t xml:space="preserve">ncdex_bhavcopy_20251211.zip::FO_111225_FINAL.csv</t>
  </si>
  <si>
    <t xml:space="preserve">ncdex_bhavcopy_20251212.zip::FO_121225_FINAL.csv</t>
  </si>
  <si>
    <t xml:space="preserve">ncdex_bhavcopy_20251215.zip::FO_151225_FINAL.csv</t>
  </si>
  <si>
    <t xml:space="preserve">ncdex_bhavcopy_20251216.zip::FO_161225_FINAL.csv</t>
  </si>
  <si>
    <t xml:space="preserve">ncdex_bhavcopy_20251217.zip::FO_171225_FINAL.csv</t>
  </si>
  <si>
    <t xml:space="preserve">ncdex_bhavcopy_20251218.zip::FO_181225_FINAL.csv</t>
  </si>
  <si>
    <t xml:space="preserve">ncdex_bhavcopy_20251219.zip::FO_191225_FINAL.csv</t>
  </si>
  <si>
    <t xml:space="preserve">ncdex_bhavcopy_20251222.zip::FO_221225_FINAL.csv</t>
  </si>
  <si>
    <t xml:space="preserve">ncdex_bhavcopy_20251223.zip::FO_231225_FINAL.csv</t>
  </si>
  <si>
    <t xml:space="preserve">ncdex_bhavcopy_20251224.zip::FO_241225_FINAL.csv</t>
  </si>
  <si>
    <t xml:space="preserve">ncdex_bhavcopy_20251226.zip::FO_261225_FINAL.csv</t>
  </si>
  <si>
    <t xml:space="preserve">ncdex_bhavcopy_20251229.zip::FO_291225_FINAL.csv</t>
  </si>
  <si>
    <t xml:space="preserve">ncdex_bhavcopy_20251230.zip::FO_301225_FINAL.csv</t>
  </si>
  <si>
    <t xml:space="preserve">ncdex_bhavcopy_20251231.zip::FO_311225_FINAL.csv</t>
  </si>
  <si>
    <t xml:space="preserve">ncdex_bhavcopy_20260101.zip::FO_010126_FINAL.csv</t>
  </si>
  <si>
    <t xml:space="preserve">ncdex_bhavcopy_20260102.zip::FO_020126_FINAL.csv</t>
  </si>
  <si>
    <t xml:space="preserve">ncdex_bhavcopy_20260105.zip::FO_050126_FINAL.csv</t>
  </si>
  <si>
    <t xml:space="preserve">ncdex_bhavcopy_20260106.zip::FO_060126_FINAL.csv</t>
  </si>
  <si>
    <t xml:space="preserve">ncdex_bhavcopy_20260107.zip::FO_070126_FINAL.csv</t>
  </si>
  <si>
    <t xml:space="preserve">ncdex_bhavcopy_20260108.zip::FO_080126_FINAL.csv</t>
  </si>
  <si>
    <t xml:space="preserve">ncdex_bhavcopy_20260109.zip::FO_090126_FINAL.csv</t>
  </si>
  <si>
    <t xml:space="preserve">ncdex_bhavcopy_20260112.zip::FO_120126_FINAL.csv</t>
  </si>
  <si>
    <t xml:space="preserve">ncdex_bhavcopy_20260113.zip::FO_130126_FINAL.csv</t>
  </si>
  <si>
    <t xml:space="preserve">ncdex_bhavcopy_20260114.zip::FO_140126_FINAL.csv</t>
  </si>
  <si>
    <t xml:space="preserve">ncdex_bhavcopy_20260116.zip::FO_160126_FINAL.csv</t>
  </si>
  <si>
    <t xml:space="preserve">ncdex_bhavcopy_20260119.zip::FO_190126_FINAL.csv</t>
  </si>
  <si>
    <t xml:space="preserve">ncdex_bhavcopy_20260120.zip::FO_200126_FINAL.csv</t>
  </si>
  <si>
    <t xml:space="preserve">ncdex_bhavcopy_20260121.zip::FO_210126_FINAL.csv</t>
  </si>
  <si>
    <t xml:space="preserve">ncdex_bhavcopy_20260122.zip::FO_220126_FINAL.csv</t>
  </si>
  <si>
    <t xml:space="preserve">ncdex_bhavcopy_20260123.zip::FO_230126_FINAL.csv</t>
  </si>
  <si>
    <t xml:space="preserve">ncdex_bhavcopy_20260127.zip::FO_270126_FINAL.csv</t>
  </si>
  <si>
    <t xml:space="preserve">ncdex_bhavcopy_20260128.zip::FO_280126_FINAL.csv</t>
  </si>
  <si>
    <t xml:space="preserve">ncdex_bhavcopy_20260129.zip::FO_290126_FINAL.csv</t>
  </si>
  <si>
    <t xml:space="preserve">ncdex_bhavcopy_20260130.zip::FO_300126_FINAL.csv</t>
  </si>
  <si>
    <t xml:space="preserve">ncdex_bhavcopy_20260201.zip::FO_010226_FINAL.csv</t>
  </si>
  <si>
    <t xml:space="preserve">ncdex_bhavcopy_20260202.zip::FO_020226_FINAL.csv</t>
  </si>
  <si>
    <t xml:space="preserve">ncdex_bhavcopy_20260203.zip::FO_030226_FINAL.csv</t>
  </si>
  <si>
    <t xml:space="preserve">ncdex_bhavcopy_20260204.zip::FO_040226_FINAL.csv</t>
  </si>
  <si>
    <t xml:space="preserve">ncdex_bhavcopy_20260205.zip::FO_050226_FINAL.csv</t>
  </si>
  <si>
    <t xml:space="preserve">ncdex_bhavcopy_20260206.zip::FO_060226_FINAL.csv</t>
  </si>
  <si>
    <t xml:space="preserve">ncdex_bhavcopy_20260209.zip::FO_090226_FINAL.csv</t>
  </si>
  <si>
    <t xml:space="preserve">ncdex_bhavcopy_20260210.zip::FO_100226_FINAL.csv</t>
  </si>
  <si>
    <t xml:space="preserve">ncdex_bhavcopy_20260211.zip::FO_110226_FINAL.csv</t>
  </si>
  <si>
    <t xml:space="preserve">ncdex_bhavcopy_20260212.zip::FO_120226_FINAL.csv</t>
  </si>
  <si>
    <t xml:space="preserve">ncdex_bhavcopy_20260213.zip::FO_130226_FINAL.csv</t>
  </si>
  <si>
    <t xml:space="preserve">ncdex_bhavcopy_20260216.zip::FO_160226_FINAL.csv</t>
  </si>
  <si>
    <t xml:space="preserve">ncdex_bhavcopy_20260217.zip::FO_170226_FINAL.csv</t>
  </si>
  <si>
    <t xml:space="preserve">ncdex_bhavcopy_20260218.zip::FO_180226_FINAL.csv</t>
  </si>
  <si>
    <t xml:space="preserve">ncdex_bhavcopy_20260219.zip::FO_190226_FINAL.csv</t>
  </si>
  <si>
    <t xml:space="preserve">ncdex_bhavcopy_20260220.zip::FO_200226_FINAL.csv</t>
  </si>
  <si>
    <t xml:space="preserve">ncdex_bhavcopy_20260223.zip::FO_230226_FINAL.csv</t>
  </si>
  <si>
    <t xml:space="preserve">ncdex_bhavcopy_20260224.zip::FO_240226_FINAL.csv</t>
  </si>
  <si>
    <t xml:space="preserve">ncdex_bhavcopy_20260225.zip::FO_250226_FINAL.csv</t>
  </si>
  <si>
    <t xml:space="preserve">ncdex_bhavcopy_20260226.zip::FO_260226_FINAL.csv</t>
  </si>
  <si>
    <t xml:space="preserve">ncdex_bhavcopy_20260227.zip::FO_270226_FINAL.csv</t>
  </si>
  <si>
    <t xml:space="preserve">ncdex_bhavcopy_20260302.zip::FO_020326_FINAL.csv</t>
  </si>
  <si>
    <t xml:space="preserve">ncdex_bhavcopy_20260304.zip::FO_040326_FINAL.csv</t>
  </si>
  <si>
    <t xml:space="preserve">ncdex_bhavcopy_20260305.zip::FO_050326_FINAL.csv</t>
  </si>
  <si>
    <t xml:space="preserve">ncdex_bhavcopy_20260306.zip::FO_060326_FINAL.csv</t>
  </si>
  <si>
    <t xml:space="preserve">ncdex_bhavcopy_20260309.zip::FO_090326_FINAL.csv</t>
  </si>
  <si>
    <t xml:space="preserve">ncdex_bhavcopy_20260310.zip::FO_100326_FINAL.csv</t>
  </si>
  <si>
    <t xml:space="preserve">ncdex_bhavcopy_20260311.zip::FO_110326_FINAL.csv</t>
  </si>
  <si>
    <t xml:space="preserve">ncdex_bhavcopy_20260312.zip::FO_120326_FINAL.csv</t>
  </si>
  <si>
    <t xml:space="preserve">ncdex_bhavcopy_20260313.zip::FO_130326_FINAL.csv</t>
  </si>
  <si>
    <t xml:space="preserve">ncdex_bhavcopy_20260316.zip::FO_160326_FINAL.csv</t>
  </si>
  <si>
    <t xml:space="preserve">ncdex_bhavcopy_20260317.zip::FO_170326_FINAL.csv</t>
  </si>
  <si>
    <t xml:space="preserve">ncdex_bhavcopy_20260318.zip::FO_180326_FINAL.csv</t>
  </si>
  <si>
    <t xml:space="preserve">ncdex_bhavcopy_20260319.zip::FO_190326_FINAL.csv</t>
  </si>
  <si>
    <t xml:space="preserve">ncdex_bhavcopy_20260320.zip::FO_200326_FINAL.csv</t>
  </si>
  <si>
    <t xml:space="preserve">ncdex_bhavcopy_20260323.zip::FO_230326_FINAL.csv</t>
  </si>
  <si>
    <t xml:space="preserve">ncdex_bhavcopy_20260324.zip::FO_240326_FINAL.csv</t>
  </si>
  <si>
    <t xml:space="preserve">ncdex_bhavcopy_20260325.zip::FO_250326_FINAL.csv</t>
  </si>
  <si>
    <t xml:space="preserve">ncdex_bhavcopy_20260327.zip::FO_270326_FINAL.csv</t>
  </si>
  <si>
    <t xml:space="preserve">ncdex_bhavcopy_20260330.zip::FO_300326_FINAL.csv</t>
  </si>
  <si>
    <t xml:space="preserve">ncdex_bhavcopy_20260401.zip::FO_010426_FINAL.csv</t>
  </si>
  <si>
    <t xml:space="preserve">ncdex_bhavcopy_20260402.zip::FO_020426_FINAL.csv</t>
  </si>
  <si>
    <t xml:space="preserve">ncdex_bhavcopy_20260406.zip::FO_060426_FINAL.csv</t>
  </si>
  <si>
    <t xml:space="preserve">ncdex_bhavcopy_20260407.zip::FO_070426_FINAL.csv</t>
  </si>
  <si>
    <t xml:space="preserve">ncdex_bhavcopy_20260408.zip::FO_080426_FINAL.csv</t>
  </si>
  <si>
    <t xml:space="preserve">ncdex_bhavcopy_20260409.zip::FO_090426_FINAL.csv</t>
  </si>
  <si>
    <t xml:space="preserve">ncdex_bhavcopy_20260410.zip::FO_100426_FINAL.csv</t>
  </si>
  <si>
    <t xml:space="preserve">ncdex_bhavcopy_20260413.zip::FO_130426_FINAL.csv</t>
  </si>
  <si>
    <t xml:space="preserve">ncdex_bhavcopy_20260415.zip::FO_150426_FINAL.csv</t>
  </si>
  <si>
    <t xml:space="preserve">ncdex_bhavcopy_20260416.zip::FO_160426_FINAL.csv</t>
  </si>
  <si>
    <t xml:space="preserve">ncdex_bhavcopy_20260417.zip::FO_170426_FINAL.csv</t>
  </si>
  <si>
    <t xml:space="preserve">ncdex_bhavcopy_20260420.zip::FO_200426_FINAL.csv</t>
  </si>
  <si>
    <t xml:space="preserve">ncdex_bhavcopy_20260421.zip::FO_210426_FINAL.csv</t>
  </si>
  <si>
    <t xml:space="preserve">ncdex_bhavcopy_20260422.zip::FO_220426_FINAL.csv</t>
  </si>
  <si>
    <t xml:space="preserve">ncdex_bhavcopy_20260423.zip::FO_230426_FINAL.csv</t>
  </si>
  <si>
    <t xml:space="preserve">ncdex_bhavcopy_20260424.zip::FO_240426_FINAL.csv</t>
  </si>
  <si>
    <t xml:space="preserve">ncdex_bhavcopy_20260427.zip::FO_270426_FINAL.csv</t>
  </si>
  <si>
    <t xml:space="preserve">ncdex_bhavcopy_20260428.zip::FO_280426_FINAL.csv</t>
  </si>
  <si>
    <t xml:space="preserve">ncdex_bhavcopy_20260429.zip::FO_290426_FINAL.csv</t>
  </si>
  <si>
    <t xml:space="preserve">ncdex_bhavcopy_20260430.zip::FO_300426_FINAL.csv</t>
  </si>
  <si>
    <t xml:space="preserve">ncdex_bhavcopy_20260504.zip::FO_040526_FINAL.csv</t>
  </si>
  <si>
    <t xml:space="preserve">ncdex_bhavcopy_20260505.zip::FO_050526_FINAL.csv</t>
  </si>
  <si>
    <t xml:space="preserve">ncdex_bhavcopy_20260506.zip::FO_060526_FINAL.csv</t>
  </si>
  <si>
    <t xml:space="preserve">ncdex_bhavcopy_20260507.zip::FO_070526_FINAL.csv</t>
  </si>
  <si>
    <t xml:space="preserve">ncdex_bhavcopy_20260508.zip::FO_080526_FINAL.csv</t>
  </si>
  <si>
    <t xml:space="preserve">ncdex_bhavcopy_20260511.zip::FO_110526_FINAL.csv</t>
  </si>
  <si>
    <t xml:space="preserve">ncdex_bhavcopy_20260512.zip::FO_120526_FINAL.csv</t>
  </si>
  <si>
    <t xml:space="preserve">ncdex_bhavcopy_20260513.zip::FO_130526_FINAL.csv</t>
  </si>
  <si>
    <t xml:space="preserve">ncdex_bhavcopy_20260514.zip::FO_140526_FINAL.csv</t>
  </si>
  <si>
    <t xml:space="preserve">ncdex_bhavcopy_20260515.zip::FO_150526_FINAL.csv</t>
  </si>
  <si>
    <t xml:space="preserve">ncdex_bhavcopy_20260518.zip::FO_180526_FINAL.csv</t>
  </si>
  <si>
    <t xml:space="preserve">ncdex_bhavcopy_20260519.zip::FO_190526_FINAL.csv</t>
  </si>
  <si>
    <t xml:space="preserve">ncdex_bhavcopy_20260520.zip::FO_200526_FINAL.csv</t>
  </si>
  <si>
    <t xml:space="preserve">ncdex_bhavcopy_20260521.zip::FO_210526_FINAL.csv</t>
  </si>
  <si>
    <t xml:space="preserve">ncdex_bhavcopy_20260522.zip::FO_220526_FINAL.csv</t>
  </si>
  <si>
    <t xml:space="preserve">ncdex_bhavcopy_20260525.zip::FO_250526_FINAL.csv</t>
  </si>
  <si>
    <t xml:space="preserve">ncdex_bhavcopy_20260526.zip::FO_260526_FINAL.csv</t>
  </si>
  <si>
    <t xml:space="preserve">ncdex_bhavcopy_20260527.zip::FO_270526_FINAL.csv</t>
  </si>
  <si>
    <t xml:space="preserve">ncdex_bhavcopy_20260529.zip::FO_290526_FINAL.csv</t>
  </si>
  <si>
    <t xml:space="preserve">ncdex_bhavcopy_20260601.zip::FO_010626_FINAL.csv</t>
  </si>
  <si>
    <t xml:space="preserve">ncdex_bhavcopy_20260602.zip::FO_020626_FINAL.csv</t>
  </si>
  <si>
    <t xml:space="preserve">ncdex_bhavcopy_20260603.zip::FO_030626_FINAL.csv</t>
  </si>
  <si>
    <t xml:space="preserve">ncdex_bhavcopy_20260604.zip::FO_040626_FINAL.csv</t>
  </si>
  <si>
    <t xml:space="preserve">ncdex_bhavcopy_20260605.zip::FO_050626_FINAL.csv</t>
  </si>
  <si>
    <t xml:space="preserve">ncdex_bhavcopy_20260608.zip::FO_080626_FINAL.csv</t>
  </si>
  <si>
    <t xml:space="preserve">ncdex_bhavcopy_20260609.zip::FO_090626_FINAL.csv</t>
  </si>
  <si>
    <t xml:space="preserve">ncdex_bhavcopy_20260610.zip::FO_100626_FINAL.csv</t>
  </si>
  <si>
    <t xml:space="preserve">ncdex_bhavcopy_20260611.zip::FO_110626_FINAL.csv</t>
  </si>
  <si>
    <t xml:space="preserve">ncdex_bhavcopy_20260612.zip::FO_120626_FINAL.csv</t>
  </si>
  <si>
    <t xml:space="preserve">ncdex_bhavcopy_20260615.zip::FO_150626_FINAL.csv</t>
  </si>
  <si>
    <t xml:space="preserve">ncdex_bhavcopy_20260616.zip::FO_160626_FINAL.csv</t>
  </si>
  <si>
    <t xml:space="preserve">ncdex_bhavcopy_20260617.zip::FO_170626_FINAL.csv</t>
  </si>
  <si>
    <t xml:space="preserve">ncdex_bhavcopy_20260618.zip::FO_180626_FINAL.csv</t>
  </si>
  <si>
    <t xml:space="preserve">ncdex_bhavcopy_20260619.zip::FO_190626_FINAL.csv</t>
  </si>
  <si>
    <t xml:space="preserve">ncdex_bhavcopy_20260622.zip::FO_220626_FINAL.csv</t>
  </si>
  <si>
    <t xml:space="preserve">ncdex_bhavcopy_20260623.zip::FO_230626_FINAL.csv</t>
  </si>
  <si>
    <t xml:space="preserve">ncdex_bhavcopy_20260624.zip::FO_240626_FINAL.csv</t>
  </si>
  <si>
    <t xml:space="preserve">ncdex_bhavcopy_20260625.zip::FO_250626_FINAL.csv</t>
  </si>
  <si>
    <t xml:space="preserve">ncdex_bhavcopy_20260629.zip::FO_290626_FINAL.csv</t>
  </si>
  <si>
    <t xml:space="preserve">ncdex_bhavcopy_20260630.zip::FO_300626_FINAL.csv</t>
  </si>
  <si>
    <t xml:space="preserve">ncdex_bhavcopy_20260701.zip::FO_010726_FINAL.csv</t>
  </si>
  <si>
    <t xml:space="preserve">ncdex_bhavcopy_20260702.zip::FO_020726_FINAL.csv</t>
  </si>
  <si>
    <t xml:space="preserve">ncdex_bhavcopy_20260703.zip::FO_030726_FINAL.csv</t>
  </si>
  <si>
    <t xml:space="preserve">ncdex_bhavcopy_20260706.zip::FO_060726_FINAL.csv</t>
  </si>
  <si>
    <t xml:space="preserve">ncdex_bhavcopy_20260707.zip::FO_070726_FINAL.csv</t>
  </si>
  <si>
    <t xml:space="preserve">ncdex_bhavcopy_20260708.zip::FO_080726_FINAL.csv</t>
  </si>
  <si>
    <t xml:space="preserve">ncdex_bhavcopy_20260709.zip::FO_090726_FINAL.csv</t>
  </si>
  <si>
    <t xml:space="preserve">ncdex_bhavcopy_20260710.zip::FO_100726_FINAL.csv</t>
  </si>
  <si>
    <t xml:space="preserve">ncdex_bhavcopy_20260713.zip::FO_130726_FINAL.csv</t>
  </si>
  <si>
    <t xml:space="preserve">ncdex_bhavcopy_20260714.zip::FO_140726_FINAL.csv</t>
  </si>
  <si>
    <t xml:space="preserve">ncdex_bhavcopy_20260715.zip::FO_150726_FINAL.csv</t>
  </si>
  <si>
    <t xml:space="preserve">ncdex_bhavcopy_20260716.zip::FO_160726_FINAL.csv</t>
  </si>
  <si>
    <t xml:space="preserve">ncdex_bhavcopy_20260717.zip::FO_170726_FINAL.csv</t>
  </si>
  <si>
    <t xml:space="preserve">ncdex_bhavcopy_20260720.zip::FO_200726_FINAL.csv</t>
  </si>
  <si>
    <t xml:space="preserve">ncdex_bhavcopy_20260721.zip::FO_210726_FINAL.csv</t>
  </si>
  <si>
    <t xml:space="preserve">ncdex_bhavcopy_20260722.zip::FO_220726_FINAL.csv</t>
  </si>
  <si>
    <t xml:space="preserve">ncdex_bhavcopy_20260723.zip::FO_230726_FINAL.csv</t>
  </si>
  <si>
    <t xml:space="preserve">ncdex_bhavcopy_20260724.zip::FO_240726_FINAL.csv</t>
  </si>
  <si>
    <t xml:space="preserve">ncdex_bhavcopy_20260727.zip::FO_270726_FINAL.csv</t>
  </si>
  <si>
    <t xml:space="preserve">ncdex_bhavcopy_20260728.zip::FO_280726_FINAL.csv</t>
  </si>
  <si>
    <t xml:space="preserve">ncdex_bhavcopy_20260729.zip::FO_290726_FINAL.csv</t>
  </si>
  <si>
    <t xml:space="preserve">ncdex_bhavcopy_20260730.zip::FO_300726_FINAL.csv</t>
  </si>
  <si>
    <t xml:space="preserve">ncdex_bhavcopy_20260731.zip::FO_310726_FINAL.csv</t>
  </si>
  <si>
    <t xml:space="preserve">ncdex_bhavcopy_20260803.zip::FO_030826_FINAL.csv</t>
  </si>
  <si>
    <t xml:space="preserve">ncdex_bhavcopy_20260804.zip::FO_040826_FINAL.csv</t>
  </si>
  <si>
    <t xml:space="preserve">ncdex_bhavcopy_20260805.zip::FO_050826_FINAL.csv</t>
  </si>
  <si>
    <t xml:space="preserve">ncdex_bhavcopy_20260806.zip::FO_060826_FINAL.csv</t>
  </si>
  <si>
    <t xml:space="preserve">ncdex_bhavcopy_20260807.zip::FO_070826_FINAL.csv</t>
  </si>
  <si>
    <t xml:space="preserve">ncdex_bhavcopy_20260810.zip::FO_100826_FINAL.csv</t>
  </si>
  <si>
    <t xml:space="preserve">ncdex_bhavcopy_20260811.zip::FO_110826_FINAL.csv</t>
  </si>
  <si>
    <t xml:space="preserve">ncdex_bhavcopy_20260812.zip::FO_120826_FINAL.csv</t>
  </si>
  <si>
    <t xml:space="preserve">ncdex_bhavcopy_20260813.zip::FO_130826_FINAL.csv</t>
  </si>
  <si>
    <t xml:space="preserve">ncdex_bhavcopy_20260814.zip::FO_140826_FINAL.csv</t>
  </si>
  <si>
    <t xml:space="preserve">ncdex_bhavcopy_20260817.zip::FO_170826_FINAL.csv</t>
  </si>
  <si>
    <t xml:space="preserve">ncdex_bhavcopy_20260818.zip::FO_180826_FINAL.csv</t>
  </si>
  <si>
    <t xml:space="preserve">ncdex_bhavcopy_20260819.zip::FO_190826_FINAL.csv</t>
  </si>
  <si>
    <t xml:space="preserve">ncdex_bhavcopy_20260820.zip::FO_200826_FINAL.csv</t>
  </si>
  <si>
    <t xml:space="preserve">ncdex_bhavcopy_20260821.zip::FO_210826_FINAL.csv</t>
  </si>
  <si>
    <t xml:space="preserve">ncdex_bhavcopy_20260824.zip::FO_240826_FINAL.csv</t>
  </si>
  <si>
    <t xml:space="preserve">ncdex_bhavcopy_20260825.zip::FO_250826_FINAL.csv</t>
  </si>
  <si>
    <t xml:space="preserve">ncdex_bhavcopy_20260826.zip::FO_260826_FINAL.csv</t>
  </si>
  <si>
    <t xml:space="preserve">ncdex_bhavcopy_20260827.zip::FO_270826_FINAL.csv</t>
  </si>
  <si>
    <t xml:space="preserve">ncdex_bhavcopy_20260828.zip::FO_280826_FINAL.csv</t>
  </si>
  <si>
    <t xml:space="preserve">ncdex_bhavcopy_20260831.zip::FO_310826_FINAL.csv</t>
  </si>
  <si>
    <t xml:space="preserve">ncdex_bhavcopy_20260901.zip::FO_010926_FINAL.csv</t>
  </si>
  <si>
    <t xml:space="preserve">ncdex_bhavcopy_20260902.zip::FO_020926_FINAL.csv</t>
  </si>
  <si>
    <t xml:space="preserve">ncdex_bhavcopy_20260903.zip::FO_030926_FINAL.csv</t>
  </si>
  <si>
    <t xml:space="preserve">ncdex_bhavcopy_20260904.zip::FO_040926_FINAL.csv</t>
  </si>
  <si>
    <t xml:space="preserve">ncdex_bhavcopy_20260907.zip::FO_070926_FINAL.csv</t>
  </si>
  <si>
    <t xml:space="preserve">ncdex_bhavcopy_20260908.zip::FO_080926_FINAL.csv</t>
  </si>
  <si>
    <t xml:space="preserve">ncdex_bhavcopy_20260909.zip::FO_090926_FINAL.csv</t>
  </si>
  <si>
    <t xml:space="preserve">ncdex_bhavcopy_20260910.zip::FO_100926_FINAL.csv</t>
  </si>
  <si>
    <t xml:space="preserve">ncdex_bhavcopy_20260911.zip::FO_110926_FINAL.csv</t>
  </si>
  <si>
    <t xml:space="preserve">ncdex_bhavcopy_20260915.zip::FO_150926_FINAL.csv</t>
  </si>
  <si>
    <t xml:space="preserve">ncdex_bhavcopy_20260916.zip::FO_160926_FINAL.csv</t>
  </si>
  <si>
    <t xml:space="preserve">ncdex_bhavcopy_20260917.zip::FO_170926_FINAL.csv</t>
  </si>
  <si>
    <t xml:space="preserve">ncdex_bhavcopy_20260918.zip::FO_180926_FINAL.csv</t>
  </si>
  <si>
    <t xml:space="preserve">ncdex_bhavcopy_20260921.zip::FO_210926_FINAL.csv</t>
  </si>
  <si>
    <t xml:space="preserve">ncdex_bhavcopy_20260922.zip::FO_220926_FINAL.csv</t>
  </si>
  <si>
    <t xml:space="preserve">ncdex_bhavcopy_20260923.zip::FO_230926_FINAL.csv</t>
  </si>
  <si>
    <t xml:space="preserve">ncdex_bhavcopy_20260924.zip::FO_240926_FINAL.csv</t>
  </si>
  <si>
    <t xml:space="preserve">ncdex_bhavcopy_20260925.zip::FO_250926_FINAL.csv</t>
  </si>
  <si>
    <t xml:space="preserve">ncdex_bhavcopy_20260928.zip::FO_280926_FINAL.csv</t>
  </si>
  <si>
    <t xml:space="preserve">Roll Schedule: which CASTOR contract is held each day, and every roll</t>
  </si>
  <si>
    <t xml:space="preserve">Rule: switch to the next contract at the close of day t if EITHER (a) at the close of day t-1 the next contract's open interest was larger than the held contract's (read from the published t-1 file, so acted on one day later) OR (b) only the backstop number of NCDEX trading days remain to the held contract's expiry (a calendar rule known in advance).</t>
  </si>
  <si>
    <t xml:space="preserve">Basis: Continuous Contracts Explained p.2 (rolling on open interest) and p.1 (avoid the delivery/notice period); NCDEX CASTOR specification (tender period = last 3 trading days). The one-day lag and the backstop are project adaptations.</t>
  </si>
  <si>
    <t xml:space="preserve">Backstop: trading days left at which the switch is forced</t>
  </si>
  <si>
    <t xml:space="preserve">Last trading day in the data</t>
  </si>
  <si>
    <t xml:space="preserve">Roll #</t>
  </si>
  <si>
    <t xml:space="preserve">Signal observed at close of</t>
  </si>
  <si>
    <t xml:space="preserve">Switch at close of</t>
  </si>
  <si>
    <t xml:space="preserve">Reason</t>
  </si>
  <si>
    <t xml:space="preserve">Old contract (expiry)</t>
  </si>
  <si>
    <t xml:space="preserve">New contract (expiry)</t>
  </si>
  <si>
    <t xml:space="preserve">Trading days left on old at switch</t>
  </si>
  <si>
    <t xml:space="preserve">OI old contract (MT) at signal date (backstop: switch date)</t>
  </si>
  <si>
    <t xml:space="preserve">OI new contract (MT), same date</t>
  </si>
  <si>
    <t xml:space="preserve">Old close at switch (Rs/qtl)</t>
  </si>
  <si>
    <t xml:space="preserve">New close at switch (Rs/qtl)</t>
  </si>
  <si>
    <t xml:space="preserve">Roll gap (new - old)</t>
  </si>
  <si>
    <t xml:space="preserve">Gap %</t>
  </si>
  <si>
    <t xml:space="preserve">First return on new contract</t>
  </si>
  <si>
    <t xml:space="preserve">Rolls counted in daily table:</t>
  </si>
  <si>
    <t xml:space="preserve">Daily contract selection and continuous series (one row per NCDEX trading day)</t>
  </si>
  <si>
    <t xml:space="preserve">Date t</t>
  </si>
  <si>
    <t xml:space="preserve">Held over (t-1,t]: contract used for day-t return</t>
  </si>
  <si>
    <t xml:space="preserve">Held at close t (after any switch)</t>
  </si>
  <si>
    <t xml:space="preserve">Trading days left on B after t</t>
  </si>
  <si>
    <t xml:space="preserve">OI of C at t (MT)</t>
  </si>
  <si>
    <t xml:space="preserve">Next contract after C</t>
  </si>
  <si>
    <t xml:space="preserve">OI of next contract at t (MT)</t>
  </si>
  <si>
    <t xml:space="preserve">OI signal at close t (G &gt; E)</t>
  </si>
  <si>
    <t xml:space="preserve">Roll at close t</t>
  </si>
  <si>
    <t xml:space="preserve">Stitched price: close of B at t (Rs/qtl)</t>
  </si>
  <si>
    <t xml:space="preserve">Close of C at t</t>
  </si>
  <si>
    <t xml:space="preserve">Roll gap = K - J</t>
  </si>
  <si>
    <t xml:space="preserve">Sum of roll gaps on or after t</t>
  </si>
  <si>
    <t xml:space="preserve">Back-adjusted price = J + M</t>
  </si>
  <si>
    <t xml:space="preserve">Futures return = LN(J_t / K_t-1)</t>
  </si>
  <si>
    <t xml:space="preserve">LN change of back-adjusted series</t>
  </si>
  <si>
    <t xml:space="preserve">Volume of B at t (MT)</t>
  </si>
  <si>
    <t xml:space="preserve">Python: held at close</t>
  </si>
  <si>
    <t xml:space="preserve">Excel = Python</t>
  </si>
  <si>
    <t xml:space="preserve">Return uses one contract</t>
  </si>
  <si>
    <t xml:space="preserve">Daily Analysis: matched one-day returns (consecutive NCDEX trading days with an SEA quote on both days)</t>
  </si>
  <si>
    <t xml:space="preserve">rA = LN(meal_t / meal_t-1); rF = LN(F_t / F_t-1) using the SAME contract on both days (column E). Hedged return = rA - h x rF (Buyukkara et al. eq. 12). Nothing is interpolated or carried forward.</t>
  </si>
  <si>
    <t xml:space="preserve">Previous NCDEX trading day</t>
  </si>
  <si>
    <t xml:space="preserve">Castor meal t-1 (Rs/MT)</t>
  </si>
  <si>
    <t xml:space="preserve">Castor meal t (Rs/MT)</t>
  </si>
  <si>
    <t xml:space="preserve">Contract held over (t-1,t]</t>
  </si>
  <si>
    <t xml:space="preserve">Futures close t-1 (Rs/qtl)</t>
  </si>
  <si>
    <t xml:space="preserve">Futures close t (Rs/qtl)</t>
  </si>
  <si>
    <t xml:space="preserve">rA castor meal return</t>
  </si>
  <si>
    <t xml:space="preserve">rF futures return</t>
  </si>
  <si>
    <t xml:space="preserve">Sample</t>
  </si>
  <si>
    <t xml:space="preserve">Hedged: OLS h*</t>
  </si>
  <si>
    <t xml:space="preserve">Hedged: naive h = 1</t>
  </si>
  <si>
    <t xml:space="preserve">GARCH h_t (Python, one-step-ahead)</t>
  </si>
  <si>
    <t xml:space="preserve">Hedged: GARCH h_t</t>
  </si>
  <si>
    <t xml:space="preserve">OLS h* (for chart)</t>
  </si>
  <si>
    <t xml:space="preserve">Results &amp; Charts: castor meal (SEA) hedged with NCDEX castor seed futures</t>
  </si>
  <si>
    <t xml:space="preserve">Charts: spot and futures are on separate charts because units differ (Rs/MT vs Rs/quintal) and levels are not comparable. Spot dots are the dates used in returns; SEA published no castor meal quote from 27 Apr to 3 Dec 2024. Futures steps at rolls are contract changes, not market moves.</t>
  </si>
  <si>
    <t xml:space="preserve">SAMPLE SPLIT (chronological, fixed before estimation)</t>
  </si>
  <si>
    <t xml:space="preserve">In-sample: returns up to and including</t>
  </si>
  <si>
    <t xml:space="preserve">Check: formulas below use the rows that match this split</t>
  </si>
  <si>
    <t xml:space="preserve">TABLE 1. OLS hedge, eq. (3): rA = a + h* rF + e (in-sample rows only)</t>
  </si>
  <si>
    <t xml:space="preserve">Hedge ratio h* = SLOPE(rA, rF)</t>
  </si>
  <si>
    <t xml:space="preserve">Intercept a</t>
  </si>
  <si>
    <t xml:space="preserve">Standard error of h*</t>
  </si>
  <si>
    <t xml:space="preserve">t-statistic</t>
  </si>
  <si>
    <t xml:space="preserve">R-squared</t>
  </si>
  <si>
    <t xml:space="preserve">Correlation rA, rF</t>
  </si>
  <si>
    <t xml:space="preserve">TABLE 2. Hedge effectiveness, eq. (13): HE = 1 - Var(hedged) / Var(unhedged); sample variances</t>
  </si>
  <si>
    <t xml:space="preserve">Model</t>
  </si>
  <si>
    <t xml:space="preserve">Hedge ratio</t>
  </si>
  <si>
    <t xml:space="preserve">First return date</t>
  </si>
  <si>
    <t xml:space="preserve">Last return date</t>
  </si>
  <si>
    <t xml:space="preserve">Obs</t>
  </si>
  <si>
    <t xml:space="preserve">Var unhedged</t>
  </si>
  <si>
    <t xml:space="preserve">Var hedged</t>
  </si>
  <si>
    <t xml:space="preserve">HE</t>
  </si>
  <si>
    <t xml:space="preserve">OLS (h* fixed from in-sample)</t>
  </si>
  <si>
    <t xml:space="preserve">In-sample</t>
  </si>
  <si>
    <t xml:space="preserve">Out-of-sample</t>
  </si>
  <si>
    <t xml:space="preserve">Naive (h = 1)</t>
  </si>
  <si>
    <t xml:space="preserve">Diagonal VECH GARCH (time-varying h_t)</t>
  </si>
  <si>
    <t xml:space="preserve">h_t</t>
  </si>
  <si>
    <t xml:space="preserve">Chart data: HE by model</t>
  </si>
  <si>
    <t xml:space="preserve">OLS</t>
  </si>
  <si>
    <t xml:space="preserve">Naive</t>
  </si>
  <si>
    <t xml:space="preserve">GARCH</t>
  </si>
  <si>
    <t xml:space="preserve">TABLE 3. Risk-adjusted return = mean / SD (paper Table 5)</t>
  </si>
  <si>
    <t xml:space="preserve">Portfolio</t>
  </si>
  <si>
    <t xml:space="preserve">Mean/SD in-sample</t>
  </si>
  <si>
    <t xml:space="preserve">Mean/SD out-of-sample</t>
  </si>
  <si>
    <t xml:space="preserve">Unhedged</t>
  </si>
  <si>
    <t xml:space="preserve">OLS hedged</t>
  </si>
  <si>
    <t xml:space="preserve">Naive hedged</t>
  </si>
  <si>
    <t xml:space="preserve">GARCH hedged</t>
  </si>
  <si>
    <t xml:space="preserve">TABLE 4. Diagonal VECH GARCH(1,1), eq. (4)-(8): Python maximum likelihood on in-sample returns only (values)</t>
  </si>
  <si>
    <t xml:space="preserve">H11 = C1 + A11 e1^2 + B11 H11(-1); H12 = C2 + A22 e1 e2 + B22 H12(-1); H22 = C3 + A33 e2^2 + B33 H22(-1); h_t = H12/H22. Constant means; no error-correction term (Table 5).</t>
  </si>
  <si>
    <t xml:space="preserve">Parameter</t>
  </si>
  <si>
    <t xml:space="preserve">Estimate</t>
  </si>
  <si>
    <t xml:space="preserve">Std. error</t>
  </si>
  <si>
    <t xml:space="preserve">mu_meal</t>
  </si>
  <si>
    <t xml:space="preserve">mu_fut</t>
  </si>
  <si>
    <t xml:space="preserve">C1</t>
  </si>
  <si>
    <t xml:space="preserve">C2</t>
  </si>
  <si>
    <t xml:space="preserve">C3</t>
  </si>
  <si>
    <t xml:space="preserve">A11</t>
  </si>
  <si>
    <t xml:space="preserve">A22</t>
  </si>
  <si>
    <t xml:space="preserve">A33</t>
  </si>
  <si>
    <t xml:space="preserve">B11</t>
  </si>
  <si>
    <t xml:space="preserve">B22</t>
  </si>
  <si>
    <t xml:space="preserve">B33</t>
  </si>
  <si>
    <t xml:space="preserve">Estimation: in-sample pairs only, then parameters fixed; 5/5 starting values converged; best log-likelihood -784.24; H_t positive definite at every date; out-of-sample h_t uses data up to t-1 only (tested). Not re-estimated during the out-of-sample period.</t>
  </si>
  <si>
    <t xml:space="preserve">TABLE 5. Diagnostics (paper Tables 2-3)</t>
  </si>
  <si>
    <t xml:space="preserve">Statistic</t>
  </si>
  <si>
    <t xml:space="preserve">rA castor meal</t>
  </si>
  <si>
    <t xml:space="preserve">rF CASTOR</t>
  </si>
  <si>
    <t xml:space="preserve">Observations</t>
  </si>
  <si>
    <t xml:space="preserve">Excel formula</t>
  </si>
  <si>
    <t xml:space="preserve">Standard deviation</t>
  </si>
  <si>
    <t xml:space="preserve">Skewness</t>
  </si>
  <si>
    <t xml:space="preserve">Excess kurtosis</t>
  </si>
  <si>
    <t xml:space="preserve">Share of zero returns</t>
  </si>
  <si>
    <t xml:space="preserve">Jarque-Bera = n/6 (S^2 + K^2/4)</t>
  </si>
  <si>
    <t xml:space="preserve">Jarque-Bera p-value</t>
  </si>
  <si>
    <t xml:space="preserve">Ljung-Box Q(36) p-value</t>
  </si>
  <si>
    <t xml:space="preserve">Python</t>
  </si>
  <si>
    <t xml:space="preserve">ADF p-value, returns</t>
  </si>
  <si>
    <t xml:space="preserve">ADF p-value, log price levels</t>
  </si>
  <si>
    <t xml:space="preserve">Engle-Granger cointegration p-value (levels)</t>
  </si>
  <si>
    <t xml:space="preserve">Python: &gt; 0.05, so no error-correction term</t>
  </si>
  <si>
    <t xml:space="preserve">TABLE 6. Roll-method comparison (same 496 return dates and split; Python, values). Not used to choose the rule.</t>
  </si>
  <si>
    <t xml:space="preserve">Roll rule</t>
  </si>
  <si>
    <t xml:space="preserve">Rolls</t>
  </si>
  <si>
    <t xml:space="preserve">h*</t>
  </si>
  <si>
    <t xml:space="preserve">HE in</t>
  </si>
  <si>
    <t xml:space="preserve">HE out</t>
  </si>
  <si>
    <t xml:space="preserve">Days held in tender period</t>
  </si>
  <si>
    <t xml:space="preserve">FINAL: OI signal, 1-day lag, 7-day backstop</t>
  </si>
  <si>
    <t xml:space="preserve">Fixed: 10 trading days before expiry (earlier version)</t>
  </si>
  <si>
    <t xml:space="preserve">OI signal, 1-day lag, no backstop</t>
  </si>
  <si>
    <t xml:space="preserve">Volume signal, 1-day lag, 7-day backstop</t>
  </si>
  <si>
    <t xml:space="preserve">Spot-month: hold until expiry (paper p.1)</t>
  </si>
  <si>
    <t xml:space="preserve">TABLE 7. Key audit checks</t>
  </si>
  <si>
    <t xml:space="preserve">Check</t>
  </si>
  <si>
    <t xml:space="preserve">Result</t>
  </si>
  <si>
    <t xml:space="preserve">Expected</t>
  </si>
  <si>
    <t xml:space="preserve">Pass?</t>
  </si>
  <si>
    <t xml:space="preserve">SEA quotes used (status OK)</t>
  </si>
  <si>
    <t xml:space="preserve">SEA values confirmed on the live page (rows)</t>
  </si>
  <si>
    <t xml:space="preserve">NCDEX trading days in the data</t>
  </si>
  <si>
    <t xml:space="preserve">Contract chosen by Excel = contract chosen by Python (mismatching days)</t>
  </si>
  <si>
    <t xml:space="preserve">Futures returns that mix two contracts</t>
  </si>
  <si>
    <t xml:space="preserve">Return days holding a contract in its tender period (last 3 days)</t>
  </si>
  <si>
    <t xml:space="preserve">Return days where the held contract did not trade</t>
  </si>
  <si>
    <t xml:space="preserve">Matched return pairs</t>
  </si>
  <si>
    <t xml:space="preserve">Missing spot lookups in Daily Analysis (zeros)</t>
  </si>
  <si>
    <t xml:space="preserve">Days where LN change of additive back-adjusted series differs from held-contract return</t>
  </si>
  <si>
    <t xml:space="preserve">OLS h*: Excel minus independent Python</t>
  </si>
  <si>
    <t xml:space="preserve">HE OLS in-sample: Excel minus Python</t>
  </si>
  <si>
    <t xml:space="preserve">HE OLS out-of-sample: Excel minus Python</t>
  </si>
  <si>
    <t xml:space="preserve">HE GARCH out-of-sample: Excel minus Python</t>
  </si>
  <si>
    <t xml:space="preserve">Sample split check</t>
  </si>
  <si>
    <t xml:space="preserve">All checks pass?</t>
  </si>
  <si>
    <t xml:space="preserve">KEY LIMITATIONS</t>
  </si>
  <si>
    <t xml:space="preserve">- Seven-month spot gap: SEA published no castor meal quote from 27 Apr 2024 to 3 Dec 2024, so the 496 returns cover three calendar years with a hole; the gap is not filled.</t>
  </si>
  <si>
    <t xml:space="preserve">- Castor meal prices are SEA registered association quotes (not traded prices) and are unchanged on about one day in three, which weakens the measured correlation.</t>
  </si>
  <si>
    <t xml:space="preserve">- No castor meal futures exist; castor seed futures are a cross-hedge, so basis risk remains large (about 93% of variance is not hedged).</t>
  </si>
  <si>
    <t xml:space="preserve">- GARCH is estimated once on in-sample data and treats return pairs separated by missing quotes as consecutive; several parameters have large standard errors.</t>
  </si>
  <si>
    <t xml:space="preserve">- Ederington HE judges a conditional (GARCH) hedge on unconditional variance, which Buyukkara et al. (p.94) note is imperfect.</t>
  </si>
  <si>
    <t xml:space="preserve">- Roll backstop uses NCDEX's tender period (current specification) and a 2022 pre-expiry-margin circular that was not re-verified for 2023-26.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</si>
</sst>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yyyy\-mm\-dd"/>
    <numFmt numFmtId="166" formatCode="General"/>
    <numFmt numFmtId="167" formatCode="0.00%"/>
    <numFmt numFmtId="168" formatCode="0.000000"/>
    <numFmt numFmtId="169" formatCode="0.0000"/>
    <numFmt numFmtId="170" formatCode="0.00"/>
    <numFmt numFmtId="171" formatCode="0.00000000"/>
    <numFmt numFmtId="172" formatCode="0"/>
    <numFmt numFmtId="173" formatCode="0.0%"/>
    <numFmt numFmtId="174" formatCode="0.0"/>
    <numFmt numFmtId="17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Castor meal spot price (SEA), Rs per tonne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Analysis'!D4</c:f>
              <c:strCache>
                <c:ptCount val="1"/>
                <c:pt idx="0">
                  <c:v>Castor meal t (Rs/MT)</c:v>
                </c:pt>
              </c:strCache>
            </c:strRef>
          </c:tx>
          <c:spPr>
            <a:solidFill>
              <a:srgbClr val="1f4e78"/>
            </a:solidFill>
            <a:ln w="28440">
              <a:noFill/>
            </a:ln>
          </c:spPr>
          <c:marker>
            <c:symbol val="circle"/>
            <c:size val="4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Analysis'!$A$5:$A$500</c:f>
              <c:numCache>
                <c:formatCode>mmm\-yy</c:formatCode>
                <c:ptCount val="496"/>
                <c:pt idx="0">
                  <c:v>2023-09-26</c:v>
                </c:pt>
                <c:pt idx="1">
                  <c:v>2023-10-03</c:v>
                </c:pt>
                <c:pt idx="2">
                  <c:v>2023-10-04</c:v>
                </c:pt>
                <c:pt idx="3">
                  <c:v>2023-10-05</c:v>
                </c:pt>
                <c:pt idx="4">
                  <c:v>2023-10-06</c:v>
                </c:pt>
                <c:pt idx="5">
                  <c:v>2023-10-09</c:v>
                </c:pt>
                <c:pt idx="6">
                  <c:v>2023-10-10</c:v>
                </c:pt>
                <c:pt idx="7">
                  <c:v>2023-10-11</c:v>
                </c:pt>
                <c:pt idx="8">
                  <c:v>2023-10-12</c:v>
                </c:pt>
                <c:pt idx="9">
                  <c:v>2023-10-13</c:v>
                </c:pt>
                <c:pt idx="10">
                  <c:v>2023-10-16</c:v>
                </c:pt>
                <c:pt idx="11">
                  <c:v>2023-10-19</c:v>
                </c:pt>
                <c:pt idx="12">
                  <c:v>2023-10-20</c:v>
                </c:pt>
                <c:pt idx="13">
                  <c:v>2023-10-23</c:v>
                </c:pt>
                <c:pt idx="14">
                  <c:v>2023-10-25</c:v>
                </c:pt>
                <c:pt idx="15">
                  <c:v>2023-10-26</c:v>
                </c:pt>
                <c:pt idx="16">
                  <c:v>2023-10-27</c:v>
                </c:pt>
                <c:pt idx="17">
                  <c:v>2023-10-30</c:v>
                </c:pt>
                <c:pt idx="18">
                  <c:v>2023-10-31</c:v>
                </c:pt>
                <c:pt idx="19">
                  <c:v>2023-11-01</c:v>
                </c:pt>
                <c:pt idx="20">
                  <c:v>2023-11-02</c:v>
                </c:pt>
                <c:pt idx="21">
                  <c:v>2023-11-21</c:v>
                </c:pt>
                <c:pt idx="22">
                  <c:v>2023-11-22</c:v>
                </c:pt>
                <c:pt idx="23">
                  <c:v>2023-11-23</c:v>
                </c:pt>
                <c:pt idx="24">
                  <c:v>2023-11-24</c:v>
                </c:pt>
                <c:pt idx="25">
                  <c:v>2023-11-28</c:v>
                </c:pt>
                <c:pt idx="26">
                  <c:v>2023-11-29</c:v>
                </c:pt>
                <c:pt idx="27">
                  <c:v>2023-11-30</c:v>
                </c:pt>
                <c:pt idx="28">
                  <c:v>2023-12-01</c:v>
                </c:pt>
                <c:pt idx="29">
                  <c:v>2023-12-04</c:v>
                </c:pt>
                <c:pt idx="30">
                  <c:v>2023-12-07</c:v>
                </c:pt>
                <c:pt idx="31">
                  <c:v>2023-12-12</c:v>
                </c:pt>
                <c:pt idx="32">
                  <c:v>2023-12-15</c:v>
                </c:pt>
                <c:pt idx="33">
                  <c:v>2023-12-27</c:v>
                </c:pt>
                <c:pt idx="34">
                  <c:v>2024-01-05</c:v>
                </c:pt>
                <c:pt idx="35">
                  <c:v>2024-01-08</c:v>
                </c:pt>
                <c:pt idx="36">
                  <c:v>2024-01-09</c:v>
                </c:pt>
                <c:pt idx="37">
                  <c:v>2024-01-10</c:v>
                </c:pt>
                <c:pt idx="38">
                  <c:v>2024-01-11</c:v>
                </c:pt>
                <c:pt idx="39">
                  <c:v>2024-01-17</c:v>
                </c:pt>
                <c:pt idx="40">
                  <c:v>2024-01-18</c:v>
                </c:pt>
                <c:pt idx="41">
                  <c:v>2024-01-25</c:v>
                </c:pt>
                <c:pt idx="42">
                  <c:v>2024-01-29</c:v>
                </c:pt>
                <c:pt idx="43">
                  <c:v>2024-01-30</c:v>
                </c:pt>
                <c:pt idx="44">
                  <c:v>2024-01-31</c:v>
                </c:pt>
                <c:pt idx="45">
                  <c:v>2024-02-01</c:v>
                </c:pt>
                <c:pt idx="46">
                  <c:v>2024-02-02</c:v>
                </c:pt>
                <c:pt idx="47">
                  <c:v>2024-02-05</c:v>
                </c:pt>
                <c:pt idx="48">
                  <c:v>2024-02-06</c:v>
                </c:pt>
                <c:pt idx="49">
                  <c:v>2024-02-07</c:v>
                </c:pt>
                <c:pt idx="50">
                  <c:v>2024-02-08</c:v>
                </c:pt>
                <c:pt idx="51">
                  <c:v>2024-02-09</c:v>
                </c:pt>
                <c:pt idx="52">
                  <c:v>2024-02-12</c:v>
                </c:pt>
                <c:pt idx="53">
                  <c:v>2024-02-15</c:v>
                </c:pt>
                <c:pt idx="54">
                  <c:v>2024-02-16</c:v>
                </c:pt>
                <c:pt idx="55">
                  <c:v>2024-02-19</c:v>
                </c:pt>
                <c:pt idx="56">
                  <c:v>2024-02-20</c:v>
                </c:pt>
                <c:pt idx="57">
                  <c:v>2024-02-21</c:v>
                </c:pt>
                <c:pt idx="58">
                  <c:v>2024-02-22</c:v>
                </c:pt>
                <c:pt idx="59">
                  <c:v>2024-02-23</c:v>
                </c:pt>
                <c:pt idx="60">
                  <c:v>2024-02-26</c:v>
                </c:pt>
                <c:pt idx="61">
                  <c:v>2024-02-27</c:v>
                </c:pt>
                <c:pt idx="62">
                  <c:v>2024-02-28</c:v>
                </c:pt>
                <c:pt idx="63">
                  <c:v>2024-03-05</c:v>
                </c:pt>
                <c:pt idx="64">
                  <c:v>2024-03-11</c:v>
                </c:pt>
                <c:pt idx="65">
                  <c:v>2024-03-12</c:v>
                </c:pt>
                <c:pt idx="66">
                  <c:v>2024-03-13</c:v>
                </c:pt>
                <c:pt idx="67">
                  <c:v>2024-03-14</c:v>
                </c:pt>
                <c:pt idx="68">
                  <c:v>2024-03-15</c:v>
                </c:pt>
                <c:pt idx="69">
                  <c:v>2024-03-18</c:v>
                </c:pt>
                <c:pt idx="70">
                  <c:v>2024-03-19</c:v>
                </c:pt>
                <c:pt idx="71">
                  <c:v>2024-03-22</c:v>
                </c:pt>
                <c:pt idx="72">
                  <c:v>2024-03-28</c:v>
                </c:pt>
                <c:pt idx="73">
                  <c:v>2024-04-01</c:v>
                </c:pt>
                <c:pt idx="74">
                  <c:v>2024-04-02</c:v>
                </c:pt>
                <c:pt idx="75">
                  <c:v>2024-04-03</c:v>
                </c:pt>
                <c:pt idx="76">
                  <c:v>2024-04-04</c:v>
                </c:pt>
                <c:pt idx="77">
                  <c:v>2024-04-05</c:v>
                </c:pt>
                <c:pt idx="78">
                  <c:v>2024-04-08</c:v>
                </c:pt>
                <c:pt idx="79">
                  <c:v>2024-04-15</c:v>
                </c:pt>
                <c:pt idx="80">
                  <c:v>2024-04-16</c:v>
                </c:pt>
                <c:pt idx="81">
                  <c:v>2024-04-18</c:v>
                </c:pt>
                <c:pt idx="82">
                  <c:v>2024-04-23</c:v>
                </c:pt>
                <c:pt idx="83">
                  <c:v>2024-04-24</c:v>
                </c:pt>
                <c:pt idx="84">
                  <c:v>2024-04-25</c:v>
                </c:pt>
                <c:pt idx="85">
                  <c:v>2024-04-26</c:v>
                </c:pt>
                <c:pt idx="86">
                  <c:v>2024-12-05</c:v>
                </c:pt>
                <c:pt idx="87">
                  <c:v>2024-12-06</c:v>
                </c:pt>
                <c:pt idx="88">
                  <c:v>2024-12-09</c:v>
                </c:pt>
                <c:pt idx="89">
                  <c:v>2024-12-10</c:v>
                </c:pt>
                <c:pt idx="90">
                  <c:v>2024-12-11</c:v>
                </c:pt>
                <c:pt idx="91">
                  <c:v>2024-12-12</c:v>
                </c:pt>
                <c:pt idx="92">
                  <c:v>2024-12-13</c:v>
                </c:pt>
                <c:pt idx="93">
                  <c:v>2024-12-16</c:v>
                </c:pt>
                <c:pt idx="94">
                  <c:v>2024-12-17</c:v>
                </c:pt>
                <c:pt idx="95">
                  <c:v>2024-12-18</c:v>
                </c:pt>
                <c:pt idx="96">
                  <c:v>2024-12-19</c:v>
                </c:pt>
                <c:pt idx="97">
                  <c:v>2024-12-20</c:v>
                </c:pt>
                <c:pt idx="98">
                  <c:v>2024-12-23</c:v>
                </c:pt>
                <c:pt idx="99">
                  <c:v>2024-12-24</c:v>
                </c:pt>
                <c:pt idx="100">
                  <c:v>2024-12-26</c:v>
                </c:pt>
                <c:pt idx="101">
                  <c:v>2024-12-27</c:v>
                </c:pt>
                <c:pt idx="102">
                  <c:v>2024-12-30</c:v>
                </c:pt>
                <c:pt idx="103">
                  <c:v>2024-12-31</c:v>
                </c:pt>
                <c:pt idx="104">
                  <c:v>2025-01-01</c:v>
                </c:pt>
                <c:pt idx="105">
                  <c:v>2025-01-02</c:v>
                </c:pt>
                <c:pt idx="106">
                  <c:v>2025-01-03</c:v>
                </c:pt>
                <c:pt idx="107">
                  <c:v>2025-01-06</c:v>
                </c:pt>
                <c:pt idx="108">
                  <c:v>2025-01-07</c:v>
                </c:pt>
                <c:pt idx="109">
                  <c:v>2025-01-08</c:v>
                </c:pt>
                <c:pt idx="110">
                  <c:v>2025-01-09</c:v>
                </c:pt>
                <c:pt idx="111">
                  <c:v>2025-01-10</c:v>
                </c:pt>
                <c:pt idx="112">
                  <c:v>2025-01-13</c:v>
                </c:pt>
                <c:pt idx="113">
                  <c:v>2025-01-16</c:v>
                </c:pt>
                <c:pt idx="114">
                  <c:v>2025-01-17</c:v>
                </c:pt>
                <c:pt idx="115">
                  <c:v>2025-01-20</c:v>
                </c:pt>
                <c:pt idx="116">
                  <c:v>2025-01-21</c:v>
                </c:pt>
                <c:pt idx="117">
                  <c:v>2025-01-22</c:v>
                </c:pt>
                <c:pt idx="118">
                  <c:v>2025-01-23</c:v>
                </c:pt>
                <c:pt idx="119">
                  <c:v>2025-01-24</c:v>
                </c:pt>
                <c:pt idx="120">
                  <c:v>2025-01-27</c:v>
                </c:pt>
                <c:pt idx="121">
                  <c:v>2025-01-28</c:v>
                </c:pt>
                <c:pt idx="122">
                  <c:v>2025-01-29</c:v>
                </c:pt>
                <c:pt idx="123">
                  <c:v>2025-01-30</c:v>
                </c:pt>
                <c:pt idx="124">
                  <c:v>2025-01-31</c:v>
                </c:pt>
                <c:pt idx="125">
                  <c:v>2025-02-04</c:v>
                </c:pt>
                <c:pt idx="126">
                  <c:v>2025-02-05</c:v>
                </c:pt>
                <c:pt idx="127">
                  <c:v>2025-02-06</c:v>
                </c:pt>
                <c:pt idx="128">
                  <c:v>2025-02-07</c:v>
                </c:pt>
                <c:pt idx="129">
                  <c:v>2025-02-10</c:v>
                </c:pt>
                <c:pt idx="130">
                  <c:v>2025-02-11</c:v>
                </c:pt>
                <c:pt idx="131">
                  <c:v>2025-02-12</c:v>
                </c:pt>
                <c:pt idx="132">
                  <c:v>2025-02-13</c:v>
                </c:pt>
                <c:pt idx="133">
                  <c:v>2025-02-14</c:v>
                </c:pt>
                <c:pt idx="134">
                  <c:v>2025-02-17</c:v>
                </c:pt>
                <c:pt idx="135">
                  <c:v>2025-02-18</c:v>
                </c:pt>
                <c:pt idx="136">
                  <c:v>2025-02-19</c:v>
                </c:pt>
                <c:pt idx="137">
                  <c:v>2025-02-20</c:v>
                </c:pt>
                <c:pt idx="138">
                  <c:v>2025-02-21</c:v>
                </c:pt>
                <c:pt idx="139">
                  <c:v>2025-02-24</c:v>
                </c:pt>
                <c:pt idx="140">
                  <c:v>2025-02-25</c:v>
                </c:pt>
                <c:pt idx="141">
                  <c:v>2025-02-27</c:v>
                </c:pt>
                <c:pt idx="142">
                  <c:v>2025-02-28</c:v>
                </c:pt>
                <c:pt idx="143">
                  <c:v>2025-03-03</c:v>
                </c:pt>
                <c:pt idx="144">
                  <c:v>2025-03-04</c:v>
                </c:pt>
                <c:pt idx="145">
                  <c:v>2025-03-05</c:v>
                </c:pt>
                <c:pt idx="146">
                  <c:v>2025-03-06</c:v>
                </c:pt>
                <c:pt idx="147">
                  <c:v>2025-03-07</c:v>
                </c:pt>
                <c:pt idx="148">
                  <c:v>2025-03-10</c:v>
                </c:pt>
                <c:pt idx="149">
                  <c:v>2025-03-11</c:v>
                </c:pt>
                <c:pt idx="150">
                  <c:v>2025-03-12</c:v>
                </c:pt>
                <c:pt idx="151">
                  <c:v>2025-03-13</c:v>
                </c:pt>
                <c:pt idx="152">
                  <c:v>2025-03-17</c:v>
                </c:pt>
                <c:pt idx="153">
                  <c:v>2025-03-18</c:v>
                </c:pt>
                <c:pt idx="154">
                  <c:v>2025-03-19</c:v>
                </c:pt>
                <c:pt idx="155">
                  <c:v>2025-03-20</c:v>
                </c:pt>
                <c:pt idx="156">
                  <c:v>2025-03-21</c:v>
                </c:pt>
                <c:pt idx="157">
                  <c:v>2025-03-24</c:v>
                </c:pt>
                <c:pt idx="158">
                  <c:v>2025-03-25</c:v>
                </c:pt>
                <c:pt idx="159">
                  <c:v>2025-03-26</c:v>
                </c:pt>
                <c:pt idx="160">
                  <c:v>2025-03-27</c:v>
                </c:pt>
                <c:pt idx="161">
                  <c:v>2025-04-02</c:v>
                </c:pt>
                <c:pt idx="162">
                  <c:v>2025-04-03</c:v>
                </c:pt>
                <c:pt idx="163">
                  <c:v>2025-04-04</c:v>
                </c:pt>
                <c:pt idx="164">
                  <c:v>2025-04-07</c:v>
                </c:pt>
                <c:pt idx="165">
                  <c:v>2025-04-08</c:v>
                </c:pt>
                <c:pt idx="166">
                  <c:v>2025-04-15</c:v>
                </c:pt>
                <c:pt idx="167">
                  <c:v>2025-04-16</c:v>
                </c:pt>
                <c:pt idx="168">
                  <c:v>2025-04-17</c:v>
                </c:pt>
                <c:pt idx="169">
                  <c:v>2025-04-21</c:v>
                </c:pt>
                <c:pt idx="170">
                  <c:v>2025-04-22</c:v>
                </c:pt>
                <c:pt idx="171">
                  <c:v>2025-04-23</c:v>
                </c:pt>
                <c:pt idx="172">
                  <c:v>2025-04-24</c:v>
                </c:pt>
                <c:pt idx="173">
                  <c:v>2025-04-25</c:v>
                </c:pt>
                <c:pt idx="174">
                  <c:v>2025-04-28</c:v>
                </c:pt>
                <c:pt idx="175">
                  <c:v>2025-04-29</c:v>
                </c:pt>
                <c:pt idx="176">
                  <c:v>2025-04-30</c:v>
                </c:pt>
                <c:pt idx="177">
                  <c:v>2025-05-02</c:v>
                </c:pt>
                <c:pt idx="178">
                  <c:v>2025-05-05</c:v>
                </c:pt>
                <c:pt idx="179">
                  <c:v>2025-05-06</c:v>
                </c:pt>
                <c:pt idx="180">
                  <c:v>2025-05-07</c:v>
                </c:pt>
                <c:pt idx="181">
                  <c:v>2025-05-08</c:v>
                </c:pt>
                <c:pt idx="182">
                  <c:v>2025-05-09</c:v>
                </c:pt>
                <c:pt idx="183">
                  <c:v>2025-05-12</c:v>
                </c:pt>
                <c:pt idx="184">
                  <c:v>2025-05-13</c:v>
                </c:pt>
                <c:pt idx="185">
                  <c:v>2025-05-14</c:v>
                </c:pt>
                <c:pt idx="186">
                  <c:v>2025-05-15</c:v>
                </c:pt>
                <c:pt idx="187">
                  <c:v>2025-05-16</c:v>
                </c:pt>
                <c:pt idx="188">
                  <c:v>2025-05-19</c:v>
                </c:pt>
                <c:pt idx="189">
                  <c:v>2025-05-20</c:v>
                </c:pt>
                <c:pt idx="190">
                  <c:v>2025-05-21</c:v>
                </c:pt>
                <c:pt idx="191">
                  <c:v>2025-05-22</c:v>
                </c:pt>
                <c:pt idx="192">
                  <c:v>2025-05-23</c:v>
                </c:pt>
                <c:pt idx="193">
                  <c:v>2025-05-26</c:v>
                </c:pt>
                <c:pt idx="194">
                  <c:v>2025-05-27</c:v>
                </c:pt>
                <c:pt idx="195">
                  <c:v>2025-05-28</c:v>
                </c:pt>
                <c:pt idx="196">
                  <c:v>2025-05-29</c:v>
                </c:pt>
                <c:pt idx="197">
                  <c:v>2025-05-30</c:v>
                </c:pt>
                <c:pt idx="198">
                  <c:v>2025-06-02</c:v>
                </c:pt>
                <c:pt idx="199">
                  <c:v>2025-06-03</c:v>
                </c:pt>
                <c:pt idx="200">
                  <c:v>2025-06-04</c:v>
                </c:pt>
                <c:pt idx="201">
                  <c:v>2025-06-05</c:v>
                </c:pt>
                <c:pt idx="202">
                  <c:v>2025-06-06</c:v>
                </c:pt>
                <c:pt idx="203">
                  <c:v>2025-06-09</c:v>
                </c:pt>
                <c:pt idx="204">
                  <c:v>2025-06-10</c:v>
                </c:pt>
                <c:pt idx="205">
                  <c:v>2025-06-11</c:v>
                </c:pt>
                <c:pt idx="206">
                  <c:v>2025-06-12</c:v>
                </c:pt>
                <c:pt idx="207">
                  <c:v>2025-06-13</c:v>
                </c:pt>
                <c:pt idx="208">
                  <c:v>2025-06-16</c:v>
                </c:pt>
                <c:pt idx="209">
                  <c:v>2025-06-17</c:v>
                </c:pt>
                <c:pt idx="210">
                  <c:v>2025-06-18</c:v>
                </c:pt>
                <c:pt idx="211">
                  <c:v>2025-06-19</c:v>
                </c:pt>
                <c:pt idx="212">
                  <c:v>2025-06-20</c:v>
                </c:pt>
                <c:pt idx="213">
                  <c:v>2025-06-23</c:v>
                </c:pt>
                <c:pt idx="214">
                  <c:v>2025-06-24</c:v>
                </c:pt>
                <c:pt idx="215">
                  <c:v>2025-06-25</c:v>
                </c:pt>
                <c:pt idx="216">
                  <c:v>2025-06-26</c:v>
                </c:pt>
                <c:pt idx="217">
                  <c:v>2025-06-27</c:v>
                </c:pt>
                <c:pt idx="218">
                  <c:v>2025-06-30</c:v>
                </c:pt>
                <c:pt idx="219">
                  <c:v>2025-07-01</c:v>
                </c:pt>
                <c:pt idx="220">
                  <c:v>2025-07-02</c:v>
                </c:pt>
                <c:pt idx="221">
                  <c:v>2025-07-03</c:v>
                </c:pt>
                <c:pt idx="222">
                  <c:v>2025-07-04</c:v>
                </c:pt>
                <c:pt idx="223">
                  <c:v>2025-07-07</c:v>
                </c:pt>
                <c:pt idx="224">
                  <c:v>2025-07-08</c:v>
                </c:pt>
                <c:pt idx="225">
                  <c:v>2025-07-09</c:v>
                </c:pt>
                <c:pt idx="226">
                  <c:v>2025-07-10</c:v>
                </c:pt>
                <c:pt idx="227">
                  <c:v>2025-07-11</c:v>
                </c:pt>
                <c:pt idx="228">
                  <c:v>2025-07-14</c:v>
                </c:pt>
                <c:pt idx="229">
                  <c:v>2025-07-15</c:v>
                </c:pt>
                <c:pt idx="230">
                  <c:v>2025-07-16</c:v>
                </c:pt>
                <c:pt idx="231">
                  <c:v>2025-07-17</c:v>
                </c:pt>
                <c:pt idx="232">
                  <c:v>2025-07-18</c:v>
                </c:pt>
                <c:pt idx="233">
                  <c:v>2025-07-21</c:v>
                </c:pt>
                <c:pt idx="234">
                  <c:v>2025-07-22</c:v>
                </c:pt>
                <c:pt idx="235">
                  <c:v>2025-07-23</c:v>
                </c:pt>
                <c:pt idx="236">
                  <c:v>2025-07-24</c:v>
                </c:pt>
                <c:pt idx="237">
                  <c:v>2025-07-25</c:v>
                </c:pt>
                <c:pt idx="238">
                  <c:v>2025-07-28</c:v>
                </c:pt>
                <c:pt idx="239">
                  <c:v>2025-07-29</c:v>
                </c:pt>
                <c:pt idx="240">
                  <c:v>2025-07-30</c:v>
                </c:pt>
                <c:pt idx="241">
                  <c:v>2025-07-31</c:v>
                </c:pt>
                <c:pt idx="242">
                  <c:v>2025-08-01</c:v>
                </c:pt>
                <c:pt idx="243">
                  <c:v>2025-08-04</c:v>
                </c:pt>
                <c:pt idx="244">
                  <c:v>2025-08-05</c:v>
                </c:pt>
                <c:pt idx="245">
                  <c:v>2025-08-06</c:v>
                </c:pt>
                <c:pt idx="246">
                  <c:v>2025-08-07</c:v>
                </c:pt>
                <c:pt idx="247">
                  <c:v>2025-08-08</c:v>
                </c:pt>
                <c:pt idx="248">
                  <c:v>2025-08-11</c:v>
                </c:pt>
                <c:pt idx="249">
                  <c:v>2025-08-12</c:v>
                </c:pt>
                <c:pt idx="250">
                  <c:v>2025-08-13</c:v>
                </c:pt>
                <c:pt idx="251">
                  <c:v>2025-08-14</c:v>
                </c:pt>
                <c:pt idx="252">
                  <c:v>2025-08-18</c:v>
                </c:pt>
                <c:pt idx="253">
                  <c:v>2025-08-21</c:v>
                </c:pt>
                <c:pt idx="254">
                  <c:v>2025-08-22</c:v>
                </c:pt>
                <c:pt idx="255">
                  <c:v>2025-08-25</c:v>
                </c:pt>
                <c:pt idx="256">
                  <c:v>2025-08-26</c:v>
                </c:pt>
                <c:pt idx="257">
                  <c:v>2025-08-28</c:v>
                </c:pt>
                <c:pt idx="258">
                  <c:v>2025-08-29</c:v>
                </c:pt>
                <c:pt idx="259">
                  <c:v>2025-09-01</c:v>
                </c:pt>
                <c:pt idx="260">
                  <c:v>2025-09-02</c:v>
                </c:pt>
                <c:pt idx="261">
                  <c:v>2025-09-03</c:v>
                </c:pt>
                <c:pt idx="262">
                  <c:v>2025-09-04</c:v>
                </c:pt>
                <c:pt idx="263">
                  <c:v>2025-09-09</c:v>
                </c:pt>
                <c:pt idx="264">
                  <c:v>2025-09-10</c:v>
                </c:pt>
                <c:pt idx="265">
                  <c:v>2025-09-11</c:v>
                </c:pt>
                <c:pt idx="266">
                  <c:v>2025-09-12</c:v>
                </c:pt>
                <c:pt idx="267">
                  <c:v>2025-09-15</c:v>
                </c:pt>
                <c:pt idx="268">
                  <c:v>2025-09-16</c:v>
                </c:pt>
                <c:pt idx="269">
                  <c:v>2025-09-17</c:v>
                </c:pt>
                <c:pt idx="270">
                  <c:v>2025-09-18</c:v>
                </c:pt>
                <c:pt idx="271">
                  <c:v>2025-09-19</c:v>
                </c:pt>
                <c:pt idx="272">
                  <c:v>2025-09-22</c:v>
                </c:pt>
                <c:pt idx="273">
                  <c:v>2025-09-23</c:v>
                </c:pt>
                <c:pt idx="274">
                  <c:v>2025-09-26</c:v>
                </c:pt>
                <c:pt idx="275">
                  <c:v>2025-10-01</c:v>
                </c:pt>
                <c:pt idx="276">
                  <c:v>2025-10-03</c:v>
                </c:pt>
                <c:pt idx="277">
                  <c:v>2025-10-06</c:v>
                </c:pt>
                <c:pt idx="278">
                  <c:v>2025-10-07</c:v>
                </c:pt>
                <c:pt idx="279">
                  <c:v>2025-10-08</c:v>
                </c:pt>
                <c:pt idx="280">
                  <c:v>2025-10-09</c:v>
                </c:pt>
                <c:pt idx="281">
                  <c:v>2025-10-10</c:v>
                </c:pt>
                <c:pt idx="282">
                  <c:v>2025-10-13</c:v>
                </c:pt>
                <c:pt idx="283">
                  <c:v>2025-10-14</c:v>
                </c:pt>
                <c:pt idx="284">
                  <c:v>2025-10-15</c:v>
                </c:pt>
                <c:pt idx="285">
                  <c:v>2025-10-16</c:v>
                </c:pt>
                <c:pt idx="286">
                  <c:v>2025-10-17</c:v>
                </c:pt>
                <c:pt idx="287">
                  <c:v>2025-10-28</c:v>
                </c:pt>
                <c:pt idx="288">
                  <c:v>2025-10-29</c:v>
                </c:pt>
                <c:pt idx="289">
                  <c:v>2025-10-30</c:v>
                </c:pt>
                <c:pt idx="290">
                  <c:v>2025-10-31</c:v>
                </c:pt>
                <c:pt idx="291">
                  <c:v>2025-11-03</c:v>
                </c:pt>
                <c:pt idx="292">
                  <c:v>2025-11-04</c:v>
                </c:pt>
                <c:pt idx="293">
                  <c:v>2025-11-06</c:v>
                </c:pt>
                <c:pt idx="294">
                  <c:v>2025-11-07</c:v>
                </c:pt>
                <c:pt idx="295">
                  <c:v>2025-11-10</c:v>
                </c:pt>
                <c:pt idx="296">
                  <c:v>2025-11-11</c:v>
                </c:pt>
                <c:pt idx="297">
                  <c:v>2025-11-12</c:v>
                </c:pt>
                <c:pt idx="298">
                  <c:v>2025-11-13</c:v>
                </c:pt>
                <c:pt idx="299">
                  <c:v>2025-11-14</c:v>
                </c:pt>
                <c:pt idx="300">
                  <c:v>2025-11-17</c:v>
                </c:pt>
                <c:pt idx="301">
                  <c:v>2025-11-18</c:v>
                </c:pt>
                <c:pt idx="302">
                  <c:v>2025-11-19</c:v>
                </c:pt>
                <c:pt idx="303">
                  <c:v>2025-11-20</c:v>
                </c:pt>
                <c:pt idx="304">
                  <c:v>2025-11-21</c:v>
                </c:pt>
                <c:pt idx="305">
                  <c:v>2025-11-24</c:v>
                </c:pt>
                <c:pt idx="306">
                  <c:v>2025-11-25</c:v>
                </c:pt>
                <c:pt idx="307">
                  <c:v>2025-11-26</c:v>
                </c:pt>
                <c:pt idx="308">
                  <c:v>2025-11-27</c:v>
                </c:pt>
                <c:pt idx="309">
                  <c:v>2025-11-28</c:v>
                </c:pt>
                <c:pt idx="310">
                  <c:v>2025-12-01</c:v>
                </c:pt>
                <c:pt idx="311">
                  <c:v>2025-12-02</c:v>
                </c:pt>
                <c:pt idx="312">
                  <c:v>2025-12-03</c:v>
                </c:pt>
                <c:pt idx="313">
                  <c:v>2025-12-04</c:v>
                </c:pt>
                <c:pt idx="314">
                  <c:v>2025-12-05</c:v>
                </c:pt>
                <c:pt idx="315">
                  <c:v>2025-12-08</c:v>
                </c:pt>
                <c:pt idx="316">
                  <c:v>2025-12-09</c:v>
                </c:pt>
                <c:pt idx="317">
                  <c:v>2025-12-10</c:v>
                </c:pt>
                <c:pt idx="318">
                  <c:v>2025-12-11</c:v>
                </c:pt>
                <c:pt idx="319">
                  <c:v>2025-12-12</c:v>
                </c:pt>
                <c:pt idx="320">
                  <c:v>2025-12-15</c:v>
                </c:pt>
                <c:pt idx="321">
                  <c:v>2025-12-16</c:v>
                </c:pt>
                <c:pt idx="322">
                  <c:v>2025-12-17</c:v>
                </c:pt>
                <c:pt idx="323">
                  <c:v>2025-12-18</c:v>
                </c:pt>
                <c:pt idx="324">
                  <c:v>2025-12-19</c:v>
                </c:pt>
                <c:pt idx="325">
                  <c:v>2025-12-22</c:v>
                </c:pt>
                <c:pt idx="326">
                  <c:v>2025-12-23</c:v>
                </c:pt>
                <c:pt idx="327">
                  <c:v>2025-12-24</c:v>
                </c:pt>
                <c:pt idx="328">
                  <c:v>2025-12-26</c:v>
                </c:pt>
                <c:pt idx="329">
                  <c:v>2025-12-29</c:v>
                </c:pt>
                <c:pt idx="330">
                  <c:v>2025-12-30</c:v>
                </c:pt>
                <c:pt idx="331">
                  <c:v>2025-12-31</c:v>
                </c:pt>
                <c:pt idx="332">
                  <c:v>2026-01-01</c:v>
                </c:pt>
                <c:pt idx="333">
                  <c:v>2026-01-02</c:v>
                </c:pt>
                <c:pt idx="334">
                  <c:v>2026-01-05</c:v>
                </c:pt>
                <c:pt idx="335">
                  <c:v>2026-01-06</c:v>
                </c:pt>
                <c:pt idx="336">
                  <c:v>2026-01-07</c:v>
                </c:pt>
                <c:pt idx="337">
                  <c:v>2026-01-08</c:v>
                </c:pt>
                <c:pt idx="338">
                  <c:v>2026-01-09</c:v>
                </c:pt>
                <c:pt idx="339">
                  <c:v>2026-01-12</c:v>
                </c:pt>
                <c:pt idx="340">
                  <c:v>2026-01-13</c:v>
                </c:pt>
                <c:pt idx="341">
                  <c:v>2026-01-19</c:v>
                </c:pt>
                <c:pt idx="342">
                  <c:v>2026-01-20</c:v>
                </c:pt>
                <c:pt idx="343">
                  <c:v>2026-01-21</c:v>
                </c:pt>
                <c:pt idx="344">
                  <c:v>2026-01-22</c:v>
                </c:pt>
                <c:pt idx="345">
                  <c:v>2026-01-23</c:v>
                </c:pt>
                <c:pt idx="346">
                  <c:v>2026-01-27</c:v>
                </c:pt>
                <c:pt idx="347">
                  <c:v>2026-01-28</c:v>
                </c:pt>
                <c:pt idx="348">
                  <c:v>2026-01-29</c:v>
                </c:pt>
                <c:pt idx="349">
                  <c:v>2026-01-30</c:v>
                </c:pt>
                <c:pt idx="350">
                  <c:v>2026-02-04</c:v>
                </c:pt>
                <c:pt idx="351">
                  <c:v>2026-02-05</c:v>
                </c:pt>
                <c:pt idx="352">
                  <c:v>2026-02-06</c:v>
                </c:pt>
                <c:pt idx="353">
                  <c:v>2026-02-09</c:v>
                </c:pt>
                <c:pt idx="354">
                  <c:v>2026-02-10</c:v>
                </c:pt>
                <c:pt idx="355">
                  <c:v>2026-02-11</c:v>
                </c:pt>
                <c:pt idx="356">
                  <c:v>2026-02-12</c:v>
                </c:pt>
                <c:pt idx="357">
                  <c:v>2026-02-13</c:v>
                </c:pt>
                <c:pt idx="358">
                  <c:v>2026-02-16</c:v>
                </c:pt>
                <c:pt idx="359">
                  <c:v>2026-02-17</c:v>
                </c:pt>
                <c:pt idx="360">
                  <c:v>2026-02-18</c:v>
                </c:pt>
                <c:pt idx="361">
                  <c:v>2026-02-19</c:v>
                </c:pt>
                <c:pt idx="362">
                  <c:v>2026-02-20</c:v>
                </c:pt>
                <c:pt idx="363">
                  <c:v>2026-02-23</c:v>
                </c:pt>
                <c:pt idx="364">
                  <c:v>2026-02-24</c:v>
                </c:pt>
                <c:pt idx="365">
                  <c:v>2026-02-25</c:v>
                </c:pt>
                <c:pt idx="366">
                  <c:v>2026-02-26</c:v>
                </c:pt>
                <c:pt idx="367">
                  <c:v>2026-02-27</c:v>
                </c:pt>
                <c:pt idx="368">
                  <c:v>2026-03-02</c:v>
                </c:pt>
                <c:pt idx="369">
                  <c:v>2026-03-04</c:v>
                </c:pt>
                <c:pt idx="370">
                  <c:v>2026-03-05</c:v>
                </c:pt>
                <c:pt idx="371">
                  <c:v>2026-03-06</c:v>
                </c:pt>
                <c:pt idx="372">
                  <c:v>2026-03-09</c:v>
                </c:pt>
                <c:pt idx="373">
                  <c:v>2026-03-10</c:v>
                </c:pt>
                <c:pt idx="374">
                  <c:v>2026-03-11</c:v>
                </c:pt>
                <c:pt idx="375">
                  <c:v>2026-03-12</c:v>
                </c:pt>
                <c:pt idx="376">
                  <c:v>2026-03-13</c:v>
                </c:pt>
                <c:pt idx="377">
                  <c:v>2026-03-16</c:v>
                </c:pt>
                <c:pt idx="378">
                  <c:v>2026-03-17</c:v>
                </c:pt>
                <c:pt idx="379">
                  <c:v>2026-03-18</c:v>
                </c:pt>
                <c:pt idx="380">
                  <c:v>2026-03-23</c:v>
                </c:pt>
                <c:pt idx="381">
                  <c:v>2026-03-24</c:v>
                </c:pt>
                <c:pt idx="382">
                  <c:v>2026-03-25</c:v>
                </c:pt>
                <c:pt idx="383">
                  <c:v>2026-03-27</c:v>
                </c:pt>
                <c:pt idx="384">
                  <c:v>2026-03-30</c:v>
                </c:pt>
                <c:pt idx="385">
                  <c:v>2026-04-01</c:v>
                </c:pt>
                <c:pt idx="386">
                  <c:v>2026-04-02</c:v>
                </c:pt>
                <c:pt idx="387">
                  <c:v>2026-04-06</c:v>
                </c:pt>
                <c:pt idx="388">
                  <c:v>2026-04-09</c:v>
                </c:pt>
                <c:pt idx="389">
                  <c:v>2026-04-10</c:v>
                </c:pt>
                <c:pt idx="390">
                  <c:v>2026-04-13</c:v>
                </c:pt>
                <c:pt idx="391">
                  <c:v>2026-04-15</c:v>
                </c:pt>
                <c:pt idx="392">
                  <c:v>2026-04-16</c:v>
                </c:pt>
                <c:pt idx="393">
                  <c:v>2026-04-17</c:v>
                </c:pt>
                <c:pt idx="394">
                  <c:v>2026-04-20</c:v>
                </c:pt>
                <c:pt idx="395">
                  <c:v>2026-04-21</c:v>
                </c:pt>
                <c:pt idx="396">
                  <c:v>2026-04-22</c:v>
                </c:pt>
                <c:pt idx="397">
                  <c:v>2026-04-23</c:v>
                </c:pt>
                <c:pt idx="398">
                  <c:v>2026-04-24</c:v>
                </c:pt>
                <c:pt idx="399">
                  <c:v>2026-04-27</c:v>
                </c:pt>
                <c:pt idx="400">
                  <c:v>2026-04-28</c:v>
                </c:pt>
                <c:pt idx="401">
                  <c:v>2026-04-29</c:v>
                </c:pt>
                <c:pt idx="402">
                  <c:v>2026-04-30</c:v>
                </c:pt>
                <c:pt idx="403">
                  <c:v>2026-05-04</c:v>
                </c:pt>
                <c:pt idx="404">
                  <c:v>2026-05-05</c:v>
                </c:pt>
                <c:pt idx="405">
                  <c:v>2026-05-06</c:v>
                </c:pt>
                <c:pt idx="406">
                  <c:v>2026-05-07</c:v>
                </c:pt>
                <c:pt idx="407">
                  <c:v>2026-05-08</c:v>
                </c:pt>
                <c:pt idx="408">
                  <c:v>2026-05-11</c:v>
                </c:pt>
                <c:pt idx="409">
                  <c:v>2026-05-12</c:v>
                </c:pt>
                <c:pt idx="410">
                  <c:v>2026-05-13</c:v>
                </c:pt>
                <c:pt idx="411">
                  <c:v>2026-05-14</c:v>
                </c:pt>
                <c:pt idx="412">
                  <c:v>2026-05-15</c:v>
                </c:pt>
                <c:pt idx="413">
                  <c:v>2026-05-18</c:v>
                </c:pt>
                <c:pt idx="414">
                  <c:v>2026-05-19</c:v>
                </c:pt>
                <c:pt idx="415">
                  <c:v>2026-05-20</c:v>
                </c:pt>
                <c:pt idx="416">
                  <c:v>2026-05-21</c:v>
                </c:pt>
                <c:pt idx="417">
                  <c:v>2026-05-22</c:v>
                </c:pt>
                <c:pt idx="418">
                  <c:v>2026-05-25</c:v>
                </c:pt>
                <c:pt idx="419">
                  <c:v>2026-05-26</c:v>
                </c:pt>
                <c:pt idx="420">
                  <c:v>2026-05-27</c:v>
                </c:pt>
                <c:pt idx="421">
                  <c:v>2026-05-29</c:v>
                </c:pt>
                <c:pt idx="422">
                  <c:v>2026-06-01</c:v>
                </c:pt>
                <c:pt idx="423">
                  <c:v>2026-06-02</c:v>
                </c:pt>
                <c:pt idx="424">
                  <c:v>2026-06-03</c:v>
                </c:pt>
                <c:pt idx="425">
                  <c:v>2026-06-04</c:v>
                </c:pt>
                <c:pt idx="426">
                  <c:v>2026-06-05</c:v>
                </c:pt>
                <c:pt idx="427">
                  <c:v>2026-06-08</c:v>
                </c:pt>
                <c:pt idx="428">
                  <c:v>2026-06-09</c:v>
                </c:pt>
                <c:pt idx="429">
                  <c:v>2026-06-10</c:v>
                </c:pt>
                <c:pt idx="430">
                  <c:v>2026-06-11</c:v>
                </c:pt>
                <c:pt idx="431">
                  <c:v>2026-06-12</c:v>
                </c:pt>
                <c:pt idx="432">
                  <c:v>2026-06-15</c:v>
                </c:pt>
                <c:pt idx="433">
                  <c:v>2026-06-16</c:v>
                </c:pt>
                <c:pt idx="434">
                  <c:v>2026-06-17</c:v>
                </c:pt>
                <c:pt idx="435">
                  <c:v>2026-06-18</c:v>
                </c:pt>
                <c:pt idx="436">
                  <c:v>2026-06-19</c:v>
                </c:pt>
                <c:pt idx="437">
                  <c:v>2026-06-22</c:v>
                </c:pt>
                <c:pt idx="438">
                  <c:v>2026-06-23</c:v>
                </c:pt>
                <c:pt idx="439">
                  <c:v>2026-06-24</c:v>
                </c:pt>
                <c:pt idx="440">
                  <c:v>2026-06-25</c:v>
                </c:pt>
                <c:pt idx="441">
                  <c:v>2026-06-29</c:v>
                </c:pt>
                <c:pt idx="442">
                  <c:v>2026-06-30</c:v>
                </c:pt>
                <c:pt idx="443">
                  <c:v>2026-07-01</c:v>
                </c:pt>
                <c:pt idx="444">
                  <c:v>2026-07-02</c:v>
                </c:pt>
                <c:pt idx="445">
                  <c:v>2026-07-03</c:v>
                </c:pt>
                <c:pt idx="446">
                  <c:v>2026-07-08</c:v>
                </c:pt>
                <c:pt idx="447">
                  <c:v>2026-07-13</c:v>
                </c:pt>
                <c:pt idx="448">
                  <c:v>2026-07-14</c:v>
                </c:pt>
                <c:pt idx="449">
                  <c:v>2026-07-15</c:v>
                </c:pt>
                <c:pt idx="450">
                  <c:v>2026-07-16</c:v>
                </c:pt>
                <c:pt idx="451">
                  <c:v>2026-07-17</c:v>
                </c:pt>
                <c:pt idx="452">
                  <c:v>2026-07-20</c:v>
                </c:pt>
                <c:pt idx="453">
                  <c:v>2026-07-21</c:v>
                </c:pt>
                <c:pt idx="454">
                  <c:v>2026-07-22</c:v>
                </c:pt>
                <c:pt idx="455">
                  <c:v>2026-07-23</c:v>
                </c:pt>
                <c:pt idx="456">
                  <c:v>2026-07-24</c:v>
                </c:pt>
                <c:pt idx="457">
                  <c:v>2026-07-27</c:v>
                </c:pt>
                <c:pt idx="458">
                  <c:v>2026-07-28</c:v>
                </c:pt>
                <c:pt idx="459">
                  <c:v>2026-07-29</c:v>
                </c:pt>
                <c:pt idx="460">
                  <c:v>2026-07-30</c:v>
                </c:pt>
                <c:pt idx="461">
                  <c:v>2026-07-31</c:v>
                </c:pt>
                <c:pt idx="462">
                  <c:v>2026-08-03</c:v>
                </c:pt>
                <c:pt idx="463">
                  <c:v>2026-08-04</c:v>
                </c:pt>
                <c:pt idx="464">
                  <c:v>2026-08-05</c:v>
                </c:pt>
                <c:pt idx="465">
                  <c:v>2026-08-06</c:v>
                </c:pt>
                <c:pt idx="466">
                  <c:v>2026-08-07</c:v>
                </c:pt>
                <c:pt idx="467">
                  <c:v>2026-08-10</c:v>
                </c:pt>
                <c:pt idx="468">
                  <c:v>2026-08-11</c:v>
                </c:pt>
                <c:pt idx="469">
                  <c:v>2026-08-12</c:v>
                </c:pt>
                <c:pt idx="470">
                  <c:v>2026-08-13</c:v>
                </c:pt>
                <c:pt idx="471">
                  <c:v>2026-08-14</c:v>
                </c:pt>
                <c:pt idx="472">
                  <c:v>2026-08-17</c:v>
                </c:pt>
                <c:pt idx="473">
                  <c:v>2026-08-18</c:v>
                </c:pt>
                <c:pt idx="474">
                  <c:v>2026-08-19</c:v>
                </c:pt>
                <c:pt idx="475">
                  <c:v>2026-08-20</c:v>
                </c:pt>
                <c:pt idx="476">
                  <c:v>2026-08-21</c:v>
                </c:pt>
                <c:pt idx="477">
                  <c:v>2026-08-24</c:v>
                </c:pt>
                <c:pt idx="478">
                  <c:v>2026-08-25</c:v>
                </c:pt>
                <c:pt idx="479">
                  <c:v>2026-08-26</c:v>
                </c:pt>
                <c:pt idx="480">
                  <c:v>2026-08-27</c:v>
                </c:pt>
                <c:pt idx="481">
                  <c:v>2026-09-01</c:v>
                </c:pt>
                <c:pt idx="482">
                  <c:v>2026-09-02</c:v>
                </c:pt>
                <c:pt idx="483">
                  <c:v>2026-09-03</c:v>
                </c:pt>
                <c:pt idx="484">
                  <c:v>2026-09-08</c:v>
                </c:pt>
                <c:pt idx="485">
                  <c:v>2026-09-09</c:v>
                </c:pt>
                <c:pt idx="486">
                  <c:v>2026-09-10</c:v>
                </c:pt>
                <c:pt idx="487">
                  <c:v>2026-09-11</c:v>
                </c:pt>
                <c:pt idx="488">
                  <c:v>2026-09-15</c:v>
                </c:pt>
                <c:pt idx="489">
                  <c:v>2026-09-16</c:v>
                </c:pt>
                <c:pt idx="490">
                  <c:v>2026-09-17</c:v>
                </c:pt>
                <c:pt idx="491">
                  <c:v>2026-09-18</c:v>
                </c:pt>
                <c:pt idx="492">
                  <c:v>2026-09-21</c:v>
                </c:pt>
                <c:pt idx="493">
                  <c:v>2026-09-24</c:v>
                </c:pt>
                <c:pt idx="494">
                  <c:v>2026-09-25</c:v>
                </c:pt>
                <c:pt idx="495">
                  <c:v>2026-09-28</c:v>
                </c:pt>
              </c:numCache>
            </c:numRef>
          </c:cat>
          <c:val>
            <c:numRef>
              <c:f>'Daily Analysis'!$D$5:$D$500</c:f>
              <c:numCache>
                <c:formatCode>General</c:formatCode>
                <c:ptCount val="496"/>
                <c:pt idx="0">
                  <c:v>9500</c:v>
                </c:pt>
                <c:pt idx="1">
                  <c:v>9350</c:v>
                </c:pt>
                <c:pt idx="2">
                  <c:v>9150</c:v>
                </c:pt>
                <c:pt idx="3">
                  <c:v>9000</c:v>
                </c:pt>
                <c:pt idx="4">
                  <c:v>8950</c:v>
                </c:pt>
                <c:pt idx="5">
                  <c:v>8875</c:v>
                </c:pt>
                <c:pt idx="6">
                  <c:v>8950</c:v>
                </c:pt>
                <c:pt idx="7">
                  <c:v>8800</c:v>
                </c:pt>
                <c:pt idx="8">
                  <c:v>8700</c:v>
                </c:pt>
                <c:pt idx="9">
                  <c:v>8700</c:v>
                </c:pt>
                <c:pt idx="10">
                  <c:v>8650</c:v>
                </c:pt>
                <c:pt idx="11">
                  <c:v>8550</c:v>
                </c:pt>
                <c:pt idx="12">
                  <c:v>8450</c:v>
                </c:pt>
                <c:pt idx="13">
                  <c:v>8450</c:v>
                </c:pt>
                <c:pt idx="14">
                  <c:v>8400</c:v>
                </c:pt>
                <c:pt idx="15">
                  <c:v>8150</c:v>
                </c:pt>
                <c:pt idx="16">
                  <c:v>8050</c:v>
                </c:pt>
                <c:pt idx="17">
                  <c:v>7950</c:v>
                </c:pt>
                <c:pt idx="18">
                  <c:v>7850</c:v>
                </c:pt>
                <c:pt idx="19">
                  <c:v>7750</c:v>
                </c:pt>
                <c:pt idx="20">
                  <c:v>7800</c:v>
                </c:pt>
                <c:pt idx="21">
                  <c:v>8400</c:v>
                </c:pt>
                <c:pt idx="22">
                  <c:v>8700</c:v>
                </c:pt>
                <c:pt idx="23">
                  <c:v>8950</c:v>
                </c:pt>
                <c:pt idx="24">
                  <c:v>8900</c:v>
                </c:pt>
                <c:pt idx="25">
                  <c:v>9050</c:v>
                </c:pt>
                <c:pt idx="26">
                  <c:v>9000</c:v>
                </c:pt>
                <c:pt idx="27">
                  <c:v>8900</c:v>
                </c:pt>
                <c:pt idx="28">
                  <c:v>8850</c:v>
                </c:pt>
                <c:pt idx="29">
                  <c:v>8750</c:v>
                </c:pt>
                <c:pt idx="30">
                  <c:v>8650</c:v>
                </c:pt>
                <c:pt idx="31">
                  <c:v>8650</c:v>
                </c:pt>
                <c:pt idx="32">
                  <c:v>8450</c:v>
                </c:pt>
                <c:pt idx="33">
                  <c:v>7900</c:v>
                </c:pt>
                <c:pt idx="34">
                  <c:v>7600</c:v>
                </c:pt>
                <c:pt idx="35">
                  <c:v>7150</c:v>
                </c:pt>
                <c:pt idx="36">
                  <c:v>7400</c:v>
                </c:pt>
                <c:pt idx="37">
                  <c:v>7200</c:v>
                </c:pt>
                <c:pt idx="38">
                  <c:v>7100</c:v>
                </c:pt>
                <c:pt idx="39">
                  <c:v>6950</c:v>
                </c:pt>
                <c:pt idx="40">
                  <c:v>6850</c:v>
                </c:pt>
                <c:pt idx="41">
                  <c:v>6850</c:v>
                </c:pt>
                <c:pt idx="42">
                  <c:v>6750</c:v>
                </c:pt>
                <c:pt idx="43">
                  <c:v>6700</c:v>
                </c:pt>
                <c:pt idx="44">
                  <c:v>6650</c:v>
                </c:pt>
                <c:pt idx="45">
                  <c:v>6550</c:v>
                </c:pt>
                <c:pt idx="46">
                  <c:v>6350</c:v>
                </c:pt>
                <c:pt idx="47">
                  <c:v>6050</c:v>
                </c:pt>
                <c:pt idx="48">
                  <c:v>6050</c:v>
                </c:pt>
                <c:pt idx="49">
                  <c:v>6250</c:v>
                </c:pt>
                <c:pt idx="50">
                  <c:v>6150</c:v>
                </c:pt>
                <c:pt idx="51">
                  <c:v>6150</c:v>
                </c:pt>
                <c:pt idx="52">
                  <c:v>6150</c:v>
                </c:pt>
                <c:pt idx="53">
                  <c:v>6150</c:v>
                </c:pt>
                <c:pt idx="54">
                  <c:v>6450</c:v>
                </c:pt>
                <c:pt idx="55">
                  <c:v>6450</c:v>
                </c:pt>
                <c:pt idx="56">
                  <c:v>6500</c:v>
                </c:pt>
                <c:pt idx="57">
                  <c:v>6450</c:v>
                </c:pt>
                <c:pt idx="58">
                  <c:v>6450</c:v>
                </c:pt>
                <c:pt idx="59">
                  <c:v>6450</c:v>
                </c:pt>
                <c:pt idx="60">
                  <c:v>6450</c:v>
                </c:pt>
                <c:pt idx="61">
                  <c:v>6450</c:v>
                </c:pt>
                <c:pt idx="62">
                  <c:v>6450</c:v>
                </c:pt>
                <c:pt idx="63">
                  <c:v>6650</c:v>
                </c:pt>
                <c:pt idx="64">
                  <c:v>6650</c:v>
                </c:pt>
                <c:pt idx="65">
                  <c:v>6600</c:v>
                </c:pt>
                <c:pt idx="66">
                  <c:v>6650</c:v>
                </c:pt>
                <c:pt idx="67">
                  <c:v>6600</c:v>
                </c:pt>
                <c:pt idx="68">
                  <c:v>6350</c:v>
                </c:pt>
                <c:pt idx="69">
                  <c:v>6250</c:v>
                </c:pt>
                <c:pt idx="70">
                  <c:v>6350</c:v>
                </c:pt>
                <c:pt idx="71">
                  <c:v>6450</c:v>
                </c:pt>
                <c:pt idx="72">
                  <c:v>6350</c:v>
                </c:pt>
                <c:pt idx="73">
                  <c:v>6250</c:v>
                </c:pt>
                <c:pt idx="74">
                  <c:v>6250</c:v>
                </c:pt>
                <c:pt idx="75">
                  <c:v>6250</c:v>
                </c:pt>
                <c:pt idx="76">
                  <c:v>6350</c:v>
                </c:pt>
                <c:pt idx="77">
                  <c:v>6350</c:v>
                </c:pt>
                <c:pt idx="78">
                  <c:v>6250</c:v>
                </c:pt>
                <c:pt idx="79">
                  <c:v>6250</c:v>
                </c:pt>
                <c:pt idx="80">
                  <c:v>6150</c:v>
                </c:pt>
                <c:pt idx="81">
                  <c:v>6150</c:v>
                </c:pt>
                <c:pt idx="82">
                  <c:v>6150</c:v>
                </c:pt>
                <c:pt idx="83">
                  <c:v>6050</c:v>
                </c:pt>
                <c:pt idx="84">
                  <c:v>6050</c:v>
                </c:pt>
                <c:pt idx="85">
                  <c:v>6050</c:v>
                </c:pt>
                <c:pt idx="86">
                  <c:v>6750</c:v>
                </c:pt>
                <c:pt idx="87">
                  <c:v>6650</c:v>
                </c:pt>
                <c:pt idx="88">
                  <c:v>6650</c:v>
                </c:pt>
                <c:pt idx="89">
                  <c:v>6650</c:v>
                </c:pt>
                <c:pt idx="90">
                  <c:v>6750</c:v>
                </c:pt>
                <c:pt idx="91">
                  <c:v>6700</c:v>
                </c:pt>
                <c:pt idx="92">
                  <c:v>6700</c:v>
                </c:pt>
                <c:pt idx="93">
                  <c:v>6650</c:v>
                </c:pt>
                <c:pt idx="94">
                  <c:v>6600</c:v>
                </c:pt>
                <c:pt idx="95">
                  <c:v>6600</c:v>
                </c:pt>
                <c:pt idx="96">
                  <c:v>6650</c:v>
                </c:pt>
                <c:pt idx="97">
                  <c:v>6650</c:v>
                </c:pt>
                <c:pt idx="98">
                  <c:v>6650</c:v>
                </c:pt>
                <c:pt idx="99">
                  <c:v>6650</c:v>
                </c:pt>
                <c:pt idx="100">
                  <c:v>6600</c:v>
                </c:pt>
                <c:pt idx="101">
                  <c:v>6600</c:v>
                </c:pt>
                <c:pt idx="102">
                  <c:v>6600</c:v>
                </c:pt>
                <c:pt idx="103">
                  <c:v>6700</c:v>
                </c:pt>
                <c:pt idx="104">
                  <c:v>6700</c:v>
                </c:pt>
                <c:pt idx="105">
                  <c:v>6600</c:v>
                </c:pt>
                <c:pt idx="106">
                  <c:v>6300</c:v>
                </c:pt>
                <c:pt idx="107">
                  <c:v>6600</c:v>
                </c:pt>
                <c:pt idx="108">
                  <c:v>6600</c:v>
                </c:pt>
                <c:pt idx="109">
                  <c:v>6550</c:v>
                </c:pt>
                <c:pt idx="110">
                  <c:v>6600</c:v>
                </c:pt>
                <c:pt idx="111">
                  <c:v>6400</c:v>
                </c:pt>
                <c:pt idx="112">
                  <c:v>6650</c:v>
                </c:pt>
                <c:pt idx="113">
                  <c:v>6750</c:v>
                </c:pt>
                <c:pt idx="114">
                  <c:v>6750</c:v>
                </c:pt>
                <c:pt idx="115">
                  <c:v>6850</c:v>
                </c:pt>
                <c:pt idx="116">
                  <c:v>6900</c:v>
                </c:pt>
                <c:pt idx="117">
                  <c:v>7000</c:v>
                </c:pt>
                <c:pt idx="118">
                  <c:v>7050</c:v>
                </c:pt>
                <c:pt idx="119">
                  <c:v>7050</c:v>
                </c:pt>
                <c:pt idx="120">
                  <c:v>7100</c:v>
                </c:pt>
                <c:pt idx="121">
                  <c:v>7250</c:v>
                </c:pt>
                <c:pt idx="122">
                  <c:v>7150</c:v>
                </c:pt>
                <c:pt idx="123">
                  <c:v>7300</c:v>
                </c:pt>
                <c:pt idx="124">
                  <c:v>7300</c:v>
                </c:pt>
                <c:pt idx="125">
                  <c:v>6950</c:v>
                </c:pt>
                <c:pt idx="126">
                  <c:v>7000</c:v>
                </c:pt>
                <c:pt idx="127">
                  <c:v>7000</c:v>
                </c:pt>
                <c:pt idx="128">
                  <c:v>7000</c:v>
                </c:pt>
                <c:pt idx="129">
                  <c:v>7150</c:v>
                </c:pt>
                <c:pt idx="130">
                  <c:v>7150</c:v>
                </c:pt>
                <c:pt idx="131">
                  <c:v>7050</c:v>
                </c:pt>
                <c:pt idx="132">
                  <c:v>7050</c:v>
                </c:pt>
                <c:pt idx="133">
                  <c:v>6850</c:v>
                </c:pt>
                <c:pt idx="134">
                  <c:v>6875</c:v>
                </c:pt>
                <c:pt idx="135">
                  <c:v>6850</c:v>
                </c:pt>
                <c:pt idx="136">
                  <c:v>6750</c:v>
                </c:pt>
                <c:pt idx="137">
                  <c:v>6750</c:v>
                </c:pt>
                <c:pt idx="138">
                  <c:v>6750</c:v>
                </c:pt>
                <c:pt idx="139">
                  <c:v>6750</c:v>
                </c:pt>
                <c:pt idx="140">
                  <c:v>6700</c:v>
                </c:pt>
                <c:pt idx="141">
                  <c:v>6750</c:v>
                </c:pt>
                <c:pt idx="142">
                  <c:v>6350</c:v>
                </c:pt>
                <c:pt idx="143">
                  <c:v>6350</c:v>
                </c:pt>
                <c:pt idx="144">
                  <c:v>6350</c:v>
                </c:pt>
                <c:pt idx="145">
                  <c:v>6350</c:v>
                </c:pt>
                <c:pt idx="146">
                  <c:v>6350</c:v>
                </c:pt>
                <c:pt idx="147">
                  <c:v>6050</c:v>
                </c:pt>
                <c:pt idx="148">
                  <c:v>6050</c:v>
                </c:pt>
                <c:pt idx="149">
                  <c:v>6050</c:v>
                </c:pt>
                <c:pt idx="150">
                  <c:v>6300</c:v>
                </c:pt>
                <c:pt idx="151">
                  <c:v>6400</c:v>
                </c:pt>
                <c:pt idx="152">
                  <c:v>6300</c:v>
                </c:pt>
                <c:pt idx="153">
                  <c:v>6300</c:v>
                </c:pt>
                <c:pt idx="154">
                  <c:v>6300</c:v>
                </c:pt>
                <c:pt idx="155">
                  <c:v>6300</c:v>
                </c:pt>
                <c:pt idx="156">
                  <c:v>6300</c:v>
                </c:pt>
                <c:pt idx="157">
                  <c:v>6300</c:v>
                </c:pt>
                <c:pt idx="158">
                  <c:v>6300</c:v>
                </c:pt>
                <c:pt idx="159">
                  <c:v>6300</c:v>
                </c:pt>
                <c:pt idx="160">
                  <c:v>6300</c:v>
                </c:pt>
                <c:pt idx="161">
                  <c:v>6400</c:v>
                </c:pt>
                <c:pt idx="162">
                  <c:v>6400</c:v>
                </c:pt>
                <c:pt idx="163">
                  <c:v>6650</c:v>
                </c:pt>
                <c:pt idx="164">
                  <c:v>6550</c:v>
                </c:pt>
                <c:pt idx="165">
                  <c:v>6500</c:v>
                </c:pt>
                <c:pt idx="166">
                  <c:v>6450</c:v>
                </c:pt>
                <c:pt idx="167">
                  <c:v>6500</c:v>
                </c:pt>
                <c:pt idx="168">
                  <c:v>6600</c:v>
                </c:pt>
                <c:pt idx="169">
                  <c:v>6550</c:v>
                </c:pt>
                <c:pt idx="170">
                  <c:v>6400</c:v>
                </c:pt>
                <c:pt idx="171">
                  <c:v>6450</c:v>
                </c:pt>
                <c:pt idx="172">
                  <c:v>6450</c:v>
                </c:pt>
                <c:pt idx="173">
                  <c:v>6500</c:v>
                </c:pt>
                <c:pt idx="174">
                  <c:v>6550</c:v>
                </c:pt>
                <c:pt idx="175">
                  <c:v>6450</c:v>
                </c:pt>
                <c:pt idx="176">
                  <c:v>6450</c:v>
                </c:pt>
                <c:pt idx="177">
                  <c:v>6400</c:v>
                </c:pt>
                <c:pt idx="178">
                  <c:v>6350</c:v>
                </c:pt>
                <c:pt idx="179">
                  <c:v>6350</c:v>
                </c:pt>
                <c:pt idx="180">
                  <c:v>6375</c:v>
                </c:pt>
                <c:pt idx="181">
                  <c:v>6375</c:v>
                </c:pt>
                <c:pt idx="182">
                  <c:v>6350</c:v>
                </c:pt>
                <c:pt idx="183">
                  <c:v>6350</c:v>
                </c:pt>
                <c:pt idx="184">
                  <c:v>6350</c:v>
                </c:pt>
                <c:pt idx="185">
                  <c:v>6325</c:v>
                </c:pt>
                <c:pt idx="186">
                  <c:v>6300</c:v>
                </c:pt>
                <c:pt idx="187">
                  <c:v>6300</c:v>
                </c:pt>
                <c:pt idx="188">
                  <c:v>6250</c:v>
                </c:pt>
                <c:pt idx="189">
                  <c:v>6200</c:v>
                </c:pt>
                <c:pt idx="190">
                  <c:v>6200</c:v>
                </c:pt>
                <c:pt idx="191">
                  <c:v>6250</c:v>
                </c:pt>
                <c:pt idx="192">
                  <c:v>6225</c:v>
                </c:pt>
                <c:pt idx="193">
                  <c:v>6175</c:v>
                </c:pt>
                <c:pt idx="194">
                  <c:v>6200</c:v>
                </c:pt>
                <c:pt idx="195">
                  <c:v>6225</c:v>
                </c:pt>
                <c:pt idx="196">
                  <c:v>6275</c:v>
                </c:pt>
                <c:pt idx="197">
                  <c:v>6175</c:v>
                </c:pt>
                <c:pt idx="198">
                  <c:v>6175</c:v>
                </c:pt>
                <c:pt idx="199">
                  <c:v>6175</c:v>
                </c:pt>
                <c:pt idx="200">
                  <c:v>6250</c:v>
                </c:pt>
                <c:pt idx="201">
                  <c:v>6275</c:v>
                </c:pt>
                <c:pt idx="202">
                  <c:v>6300</c:v>
                </c:pt>
                <c:pt idx="203">
                  <c:v>6400</c:v>
                </c:pt>
                <c:pt idx="204">
                  <c:v>6450</c:v>
                </c:pt>
                <c:pt idx="205">
                  <c:v>6425</c:v>
                </c:pt>
                <c:pt idx="206">
                  <c:v>6375</c:v>
                </c:pt>
                <c:pt idx="207">
                  <c:v>6350</c:v>
                </c:pt>
                <c:pt idx="208">
                  <c:v>6500</c:v>
                </c:pt>
                <c:pt idx="209">
                  <c:v>6500</c:v>
                </c:pt>
                <c:pt idx="210">
                  <c:v>6500</c:v>
                </c:pt>
                <c:pt idx="211">
                  <c:v>6500</c:v>
                </c:pt>
                <c:pt idx="212">
                  <c:v>6550</c:v>
                </c:pt>
                <c:pt idx="213">
                  <c:v>6600</c:v>
                </c:pt>
                <c:pt idx="214">
                  <c:v>6850</c:v>
                </c:pt>
                <c:pt idx="215">
                  <c:v>6750</c:v>
                </c:pt>
                <c:pt idx="216">
                  <c:v>6550</c:v>
                </c:pt>
                <c:pt idx="217">
                  <c:v>6750</c:v>
                </c:pt>
                <c:pt idx="218">
                  <c:v>6600</c:v>
                </c:pt>
                <c:pt idx="219">
                  <c:v>6600</c:v>
                </c:pt>
                <c:pt idx="220">
                  <c:v>6750</c:v>
                </c:pt>
                <c:pt idx="221">
                  <c:v>7050</c:v>
                </c:pt>
                <c:pt idx="222">
                  <c:v>7000</c:v>
                </c:pt>
                <c:pt idx="223">
                  <c:v>7100</c:v>
                </c:pt>
                <c:pt idx="224">
                  <c:v>7100</c:v>
                </c:pt>
                <c:pt idx="225">
                  <c:v>7100</c:v>
                </c:pt>
                <c:pt idx="226">
                  <c:v>7100</c:v>
                </c:pt>
                <c:pt idx="227">
                  <c:v>7100</c:v>
                </c:pt>
                <c:pt idx="228">
                  <c:v>7150</c:v>
                </c:pt>
                <c:pt idx="229">
                  <c:v>7500</c:v>
                </c:pt>
                <c:pt idx="230">
                  <c:v>7500</c:v>
                </c:pt>
                <c:pt idx="231">
                  <c:v>7500</c:v>
                </c:pt>
                <c:pt idx="232">
                  <c:v>7550</c:v>
                </c:pt>
                <c:pt idx="233">
                  <c:v>7550</c:v>
                </c:pt>
                <c:pt idx="234">
                  <c:v>7550</c:v>
                </c:pt>
                <c:pt idx="235">
                  <c:v>7650</c:v>
                </c:pt>
                <c:pt idx="236">
                  <c:v>7700</c:v>
                </c:pt>
                <c:pt idx="237">
                  <c:v>7700</c:v>
                </c:pt>
                <c:pt idx="238">
                  <c:v>7700</c:v>
                </c:pt>
                <c:pt idx="239">
                  <c:v>7550</c:v>
                </c:pt>
                <c:pt idx="240">
                  <c:v>7600</c:v>
                </c:pt>
                <c:pt idx="241">
                  <c:v>7600</c:v>
                </c:pt>
                <c:pt idx="242">
                  <c:v>7550</c:v>
                </c:pt>
                <c:pt idx="243">
                  <c:v>7550</c:v>
                </c:pt>
                <c:pt idx="244">
                  <c:v>7550</c:v>
                </c:pt>
                <c:pt idx="245">
                  <c:v>7550</c:v>
                </c:pt>
                <c:pt idx="246">
                  <c:v>7550</c:v>
                </c:pt>
                <c:pt idx="247">
                  <c:v>7650</c:v>
                </c:pt>
                <c:pt idx="248">
                  <c:v>7750</c:v>
                </c:pt>
                <c:pt idx="249">
                  <c:v>7650</c:v>
                </c:pt>
                <c:pt idx="250">
                  <c:v>7625</c:v>
                </c:pt>
                <c:pt idx="251">
                  <c:v>7700</c:v>
                </c:pt>
                <c:pt idx="252">
                  <c:v>8000</c:v>
                </c:pt>
                <c:pt idx="253">
                  <c:v>8150</c:v>
                </c:pt>
                <c:pt idx="254">
                  <c:v>8150</c:v>
                </c:pt>
                <c:pt idx="255">
                  <c:v>8300</c:v>
                </c:pt>
                <c:pt idx="256">
                  <c:v>8250</c:v>
                </c:pt>
                <c:pt idx="257">
                  <c:v>8250</c:v>
                </c:pt>
                <c:pt idx="258">
                  <c:v>8500</c:v>
                </c:pt>
                <c:pt idx="259">
                  <c:v>8650</c:v>
                </c:pt>
                <c:pt idx="260">
                  <c:v>8650</c:v>
                </c:pt>
                <c:pt idx="261">
                  <c:v>8650</c:v>
                </c:pt>
                <c:pt idx="262">
                  <c:v>8650</c:v>
                </c:pt>
                <c:pt idx="263">
                  <c:v>9050</c:v>
                </c:pt>
                <c:pt idx="264">
                  <c:v>9050</c:v>
                </c:pt>
                <c:pt idx="265">
                  <c:v>8950</c:v>
                </c:pt>
                <c:pt idx="266">
                  <c:v>8900</c:v>
                </c:pt>
                <c:pt idx="267">
                  <c:v>8800</c:v>
                </c:pt>
                <c:pt idx="268">
                  <c:v>8775</c:v>
                </c:pt>
                <c:pt idx="269">
                  <c:v>8800</c:v>
                </c:pt>
                <c:pt idx="270">
                  <c:v>8750</c:v>
                </c:pt>
                <c:pt idx="271">
                  <c:v>8700</c:v>
                </c:pt>
                <c:pt idx="272">
                  <c:v>8650</c:v>
                </c:pt>
                <c:pt idx="273">
                  <c:v>8600</c:v>
                </c:pt>
                <c:pt idx="274">
                  <c:v>8475</c:v>
                </c:pt>
                <c:pt idx="275">
                  <c:v>8450</c:v>
                </c:pt>
                <c:pt idx="276">
                  <c:v>8450</c:v>
                </c:pt>
                <c:pt idx="277">
                  <c:v>8500</c:v>
                </c:pt>
                <c:pt idx="278">
                  <c:v>8500</c:v>
                </c:pt>
                <c:pt idx="279">
                  <c:v>8500</c:v>
                </c:pt>
                <c:pt idx="280">
                  <c:v>8450</c:v>
                </c:pt>
                <c:pt idx="281">
                  <c:v>8000</c:v>
                </c:pt>
                <c:pt idx="282">
                  <c:v>8350</c:v>
                </c:pt>
                <c:pt idx="283">
                  <c:v>8450</c:v>
                </c:pt>
                <c:pt idx="284">
                  <c:v>8200</c:v>
                </c:pt>
                <c:pt idx="285">
                  <c:v>8400</c:v>
                </c:pt>
                <c:pt idx="286">
                  <c:v>8550</c:v>
                </c:pt>
                <c:pt idx="287">
                  <c:v>8450</c:v>
                </c:pt>
                <c:pt idx="288">
                  <c:v>8450</c:v>
                </c:pt>
                <c:pt idx="289">
                  <c:v>8450</c:v>
                </c:pt>
                <c:pt idx="290">
                  <c:v>8500</c:v>
                </c:pt>
                <c:pt idx="291">
                  <c:v>8500</c:v>
                </c:pt>
                <c:pt idx="292">
                  <c:v>8550</c:v>
                </c:pt>
                <c:pt idx="293">
                  <c:v>8650</c:v>
                </c:pt>
                <c:pt idx="294">
                  <c:v>8600</c:v>
                </c:pt>
                <c:pt idx="295">
                  <c:v>8650</c:v>
                </c:pt>
                <c:pt idx="296">
                  <c:v>8700</c:v>
                </c:pt>
                <c:pt idx="297">
                  <c:v>9000</c:v>
                </c:pt>
                <c:pt idx="298">
                  <c:v>9000</c:v>
                </c:pt>
                <c:pt idx="299">
                  <c:v>8650</c:v>
                </c:pt>
                <c:pt idx="300">
                  <c:v>8550</c:v>
                </c:pt>
                <c:pt idx="301">
                  <c:v>8550</c:v>
                </c:pt>
                <c:pt idx="302">
                  <c:v>8600</c:v>
                </c:pt>
                <c:pt idx="303">
                  <c:v>8650</c:v>
                </c:pt>
                <c:pt idx="304">
                  <c:v>8600</c:v>
                </c:pt>
                <c:pt idx="305">
                  <c:v>8800</c:v>
                </c:pt>
                <c:pt idx="306">
                  <c:v>8650</c:v>
                </c:pt>
                <c:pt idx="307">
                  <c:v>8650</c:v>
                </c:pt>
                <c:pt idx="308">
                  <c:v>8650</c:v>
                </c:pt>
                <c:pt idx="309">
                  <c:v>8700</c:v>
                </c:pt>
                <c:pt idx="310">
                  <c:v>8750</c:v>
                </c:pt>
                <c:pt idx="311">
                  <c:v>8800</c:v>
                </c:pt>
                <c:pt idx="312">
                  <c:v>8750</c:v>
                </c:pt>
                <c:pt idx="313">
                  <c:v>8750</c:v>
                </c:pt>
                <c:pt idx="314">
                  <c:v>8750</c:v>
                </c:pt>
                <c:pt idx="315">
                  <c:v>8750</c:v>
                </c:pt>
                <c:pt idx="316">
                  <c:v>8777</c:v>
                </c:pt>
                <c:pt idx="317">
                  <c:v>8800</c:v>
                </c:pt>
                <c:pt idx="318">
                  <c:v>8750</c:v>
                </c:pt>
                <c:pt idx="319">
                  <c:v>8700</c:v>
                </c:pt>
                <c:pt idx="320">
                  <c:v>8650</c:v>
                </c:pt>
                <c:pt idx="321">
                  <c:v>8600</c:v>
                </c:pt>
                <c:pt idx="322">
                  <c:v>8300</c:v>
                </c:pt>
                <c:pt idx="323">
                  <c:v>8400</c:v>
                </c:pt>
                <c:pt idx="324">
                  <c:v>8750</c:v>
                </c:pt>
                <c:pt idx="325">
                  <c:v>8250</c:v>
                </c:pt>
                <c:pt idx="326">
                  <c:v>8250</c:v>
                </c:pt>
                <c:pt idx="327">
                  <c:v>8000</c:v>
                </c:pt>
                <c:pt idx="328">
                  <c:v>7950</c:v>
                </c:pt>
                <c:pt idx="329">
                  <c:v>7800</c:v>
                </c:pt>
                <c:pt idx="330">
                  <c:v>7850</c:v>
                </c:pt>
                <c:pt idx="331">
                  <c:v>7800</c:v>
                </c:pt>
                <c:pt idx="332">
                  <c:v>7700</c:v>
                </c:pt>
                <c:pt idx="333">
                  <c:v>7650</c:v>
                </c:pt>
                <c:pt idx="334">
                  <c:v>7650</c:v>
                </c:pt>
                <c:pt idx="335">
                  <c:v>7650</c:v>
                </c:pt>
                <c:pt idx="336">
                  <c:v>7650</c:v>
                </c:pt>
                <c:pt idx="337">
                  <c:v>7500</c:v>
                </c:pt>
                <c:pt idx="338">
                  <c:v>7550</c:v>
                </c:pt>
                <c:pt idx="339">
                  <c:v>7450</c:v>
                </c:pt>
                <c:pt idx="340">
                  <c:v>7450</c:v>
                </c:pt>
                <c:pt idx="341">
                  <c:v>7150</c:v>
                </c:pt>
                <c:pt idx="342">
                  <c:v>7150</c:v>
                </c:pt>
                <c:pt idx="343">
                  <c:v>7150</c:v>
                </c:pt>
                <c:pt idx="344">
                  <c:v>7100</c:v>
                </c:pt>
                <c:pt idx="345">
                  <c:v>7200</c:v>
                </c:pt>
                <c:pt idx="346">
                  <c:v>7100</c:v>
                </c:pt>
                <c:pt idx="347">
                  <c:v>7100</c:v>
                </c:pt>
                <c:pt idx="348">
                  <c:v>7100</c:v>
                </c:pt>
                <c:pt idx="349">
                  <c:v>7100</c:v>
                </c:pt>
                <c:pt idx="350">
                  <c:v>7200</c:v>
                </c:pt>
                <c:pt idx="351">
                  <c:v>7300</c:v>
                </c:pt>
                <c:pt idx="352">
                  <c:v>7250</c:v>
                </c:pt>
                <c:pt idx="353">
                  <c:v>7350</c:v>
                </c:pt>
                <c:pt idx="354">
                  <c:v>7350</c:v>
                </c:pt>
                <c:pt idx="355">
                  <c:v>7250</c:v>
                </c:pt>
                <c:pt idx="356">
                  <c:v>7250</c:v>
                </c:pt>
                <c:pt idx="357">
                  <c:v>7250</c:v>
                </c:pt>
                <c:pt idx="358">
                  <c:v>7150</c:v>
                </c:pt>
                <c:pt idx="359">
                  <c:v>7150</c:v>
                </c:pt>
                <c:pt idx="360">
                  <c:v>7050</c:v>
                </c:pt>
                <c:pt idx="361">
                  <c:v>7150</c:v>
                </c:pt>
                <c:pt idx="362">
                  <c:v>7150</c:v>
                </c:pt>
                <c:pt idx="363">
                  <c:v>7000</c:v>
                </c:pt>
                <c:pt idx="364">
                  <c:v>7050</c:v>
                </c:pt>
                <c:pt idx="365">
                  <c:v>7000</c:v>
                </c:pt>
                <c:pt idx="366">
                  <c:v>7050</c:v>
                </c:pt>
                <c:pt idx="367">
                  <c:v>6950</c:v>
                </c:pt>
                <c:pt idx="368">
                  <c:v>6850</c:v>
                </c:pt>
                <c:pt idx="369">
                  <c:v>6850</c:v>
                </c:pt>
                <c:pt idx="370">
                  <c:v>6950</c:v>
                </c:pt>
                <c:pt idx="371">
                  <c:v>7000</c:v>
                </c:pt>
                <c:pt idx="372">
                  <c:v>7150</c:v>
                </c:pt>
                <c:pt idx="373">
                  <c:v>7050</c:v>
                </c:pt>
                <c:pt idx="374">
                  <c:v>7150</c:v>
                </c:pt>
                <c:pt idx="375">
                  <c:v>7150</c:v>
                </c:pt>
                <c:pt idx="376">
                  <c:v>7250</c:v>
                </c:pt>
                <c:pt idx="377">
                  <c:v>7200</c:v>
                </c:pt>
                <c:pt idx="378">
                  <c:v>7400</c:v>
                </c:pt>
                <c:pt idx="379">
                  <c:v>7400</c:v>
                </c:pt>
                <c:pt idx="380">
                  <c:v>7600</c:v>
                </c:pt>
                <c:pt idx="381">
                  <c:v>7550</c:v>
                </c:pt>
                <c:pt idx="382">
                  <c:v>7600</c:v>
                </c:pt>
                <c:pt idx="383">
                  <c:v>7550</c:v>
                </c:pt>
                <c:pt idx="384">
                  <c:v>7500</c:v>
                </c:pt>
                <c:pt idx="385">
                  <c:v>7500</c:v>
                </c:pt>
                <c:pt idx="386">
                  <c:v>7450</c:v>
                </c:pt>
                <c:pt idx="387">
                  <c:v>7250</c:v>
                </c:pt>
                <c:pt idx="388">
                  <c:v>7000</c:v>
                </c:pt>
                <c:pt idx="389">
                  <c:v>6950</c:v>
                </c:pt>
                <c:pt idx="390">
                  <c:v>6950</c:v>
                </c:pt>
                <c:pt idx="391">
                  <c:v>6850</c:v>
                </c:pt>
                <c:pt idx="392">
                  <c:v>6700</c:v>
                </c:pt>
                <c:pt idx="393">
                  <c:v>6700</c:v>
                </c:pt>
                <c:pt idx="394">
                  <c:v>6700</c:v>
                </c:pt>
                <c:pt idx="395">
                  <c:v>6650</c:v>
                </c:pt>
                <c:pt idx="396">
                  <c:v>6650</c:v>
                </c:pt>
                <c:pt idx="397">
                  <c:v>6750</c:v>
                </c:pt>
                <c:pt idx="398">
                  <c:v>6750</c:v>
                </c:pt>
                <c:pt idx="399">
                  <c:v>7000</c:v>
                </c:pt>
                <c:pt idx="400">
                  <c:v>7100</c:v>
                </c:pt>
                <c:pt idx="401">
                  <c:v>7050</c:v>
                </c:pt>
                <c:pt idx="402">
                  <c:v>7150</c:v>
                </c:pt>
                <c:pt idx="403">
                  <c:v>7400</c:v>
                </c:pt>
                <c:pt idx="404">
                  <c:v>7450</c:v>
                </c:pt>
                <c:pt idx="405">
                  <c:v>7520</c:v>
                </c:pt>
                <c:pt idx="406">
                  <c:v>7400</c:v>
                </c:pt>
                <c:pt idx="407">
                  <c:v>7550</c:v>
                </c:pt>
                <c:pt idx="408">
                  <c:v>7475</c:v>
                </c:pt>
                <c:pt idx="409">
                  <c:v>7475</c:v>
                </c:pt>
                <c:pt idx="410">
                  <c:v>7500</c:v>
                </c:pt>
                <c:pt idx="411">
                  <c:v>7500</c:v>
                </c:pt>
                <c:pt idx="412">
                  <c:v>7500</c:v>
                </c:pt>
                <c:pt idx="413">
                  <c:v>7650</c:v>
                </c:pt>
                <c:pt idx="414">
                  <c:v>7550</c:v>
                </c:pt>
                <c:pt idx="415">
                  <c:v>8050</c:v>
                </c:pt>
                <c:pt idx="416">
                  <c:v>8150</c:v>
                </c:pt>
                <c:pt idx="417">
                  <c:v>8000</c:v>
                </c:pt>
                <c:pt idx="418">
                  <c:v>7950</c:v>
                </c:pt>
                <c:pt idx="419">
                  <c:v>8050</c:v>
                </c:pt>
                <c:pt idx="420">
                  <c:v>8100</c:v>
                </c:pt>
                <c:pt idx="421">
                  <c:v>8100</c:v>
                </c:pt>
                <c:pt idx="422">
                  <c:v>8100</c:v>
                </c:pt>
                <c:pt idx="423">
                  <c:v>8200</c:v>
                </c:pt>
                <c:pt idx="424">
                  <c:v>8150</c:v>
                </c:pt>
                <c:pt idx="425">
                  <c:v>8250</c:v>
                </c:pt>
                <c:pt idx="426">
                  <c:v>8150</c:v>
                </c:pt>
                <c:pt idx="427">
                  <c:v>8200</c:v>
                </c:pt>
                <c:pt idx="428">
                  <c:v>8200</c:v>
                </c:pt>
                <c:pt idx="429">
                  <c:v>8250</c:v>
                </c:pt>
                <c:pt idx="430">
                  <c:v>8450</c:v>
                </c:pt>
                <c:pt idx="431">
                  <c:v>8550</c:v>
                </c:pt>
                <c:pt idx="432">
                  <c:v>8550</c:v>
                </c:pt>
                <c:pt idx="433">
                  <c:v>8650</c:v>
                </c:pt>
                <c:pt idx="434">
                  <c:v>8800</c:v>
                </c:pt>
                <c:pt idx="435">
                  <c:v>8850</c:v>
                </c:pt>
                <c:pt idx="436">
                  <c:v>8750</c:v>
                </c:pt>
                <c:pt idx="437">
                  <c:v>8850</c:v>
                </c:pt>
                <c:pt idx="438">
                  <c:v>8850</c:v>
                </c:pt>
                <c:pt idx="439">
                  <c:v>8950</c:v>
                </c:pt>
                <c:pt idx="440">
                  <c:v>9000</c:v>
                </c:pt>
                <c:pt idx="441">
                  <c:v>9000</c:v>
                </c:pt>
                <c:pt idx="442">
                  <c:v>9250</c:v>
                </c:pt>
                <c:pt idx="443">
                  <c:v>10150</c:v>
                </c:pt>
                <c:pt idx="444">
                  <c:v>10100</c:v>
                </c:pt>
                <c:pt idx="445">
                  <c:v>10050</c:v>
                </c:pt>
                <c:pt idx="446">
                  <c:v>10250</c:v>
                </c:pt>
                <c:pt idx="447">
                  <c:v>10250</c:v>
                </c:pt>
                <c:pt idx="448">
                  <c:v>10150</c:v>
                </c:pt>
                <c:pt idx="449">
                  <c:v>10050</c:v>
                </c:pt>
                <c:pt idx="450">
                  <c:v>10050</c:v>
                </c:pt>
                <c:pt idx="451">
                  <c:v>10150</c:v>
                </c:pt>
                <c:pt idx="452">
                  <c:v>10150</c:v>
                </c:pt>
                <c:pt idx="453">
                  <c:v>10050</c:v>
                </c:pt>
                <c:pt idx="454">
                  <c:v>10250</c:v>
                </c:pt>
                <c:pt idx="455">
                  <c:v>10150</c:v>
                </c:pt>
                <c:pt idx="456">
                  <c:v>10050</c:v>
                </c:pt>
                <c:pt idx="457">
                  <c:v>10150</c:v>
                </c:pt>
                <c:pt idx="458">
                  <c:v>10050</c:v>
                </c:pt>
                <c:pt idx="459">
                  <c:v>10050</c:v>
                </c:pt>
                <c:pt idx="460">
                  <c:v>10050</c:v>
                </c:pt>
                <c:pt idx="461">
                  <c:v>10250</c:v>
                </c:pt>
                <c:pt idx="462">
                  <c:v>10150</c:v>
                </c:pt>
                <c:pt idx="463">
                  <c:v>10250</c:v>
                </c:pt>
                <c:pt idx="464">
                  <c:v>10250</c:v>
                </c:pt>
                <c:pt idx="465">
                  <c:v>10150</c:v>
                </c:pt>
                <c:pt idx="466">
                  <c:v>10150</c:v>
                </c:pt>
                <c:pt idx="467">
                  <c:v>10150</c:v>
                </c:pt>
                <c:pt idx="468">
                  <c:v>10250</c:v>
                </c:pt>
                <c:pt idx="469">
                  <c:v>10200</c:v>
                </c:pt>
                <c:pt idx="470">
                  <c:v>10200</c:v>
                </c:pt>
                <c:pt idx="471">
                  <c:v>10250</c:v>
                </c:pt>
                <c:pt idx="472">
                  <c:v>10250</c:v>
                </c:pt>
                <c:pt idx="473">
                  <c:v>10250</c:v>
                </c:pt>
                <c:pt idx="474">
                  <c:v>10150</c:v>
                </c:pt>
                <c:pt idx="475">
                  <c:v>10050</c:v>
                </c:pt>
                <c:pt idx="476">
                  <c:v>10050</c:v>
                </c:pt>
                <c:pt idx="477">
                  <c:v>10150</c:v>
                </c:pt>
                <c:pt idx="478">
                  <c:v>10250</c:v>
                </c:pt>
                <c:pt idx="479">
                  <c:v>10250</c:v>
                </c:pt>
                <c:pt idx="480">
                  <c:v>10250</c:v>
                </c:pt>
                <c:pt idx="481">
                  <c:v>10150</c:v>
                </c:pt>
                <c:pt idx="482">
                  <c:v>10150</c:v>
                </c:pt>
                <c:pt idx="483">
                  <c:v>10150</c:v>
                </c:pt>
                <c:pt idx="484">
                  <c:v>10150</c:v>
                </c:pt>
                <c:pt idx="485">
                  <c:v>10250</c:v>
                </c:pt>
                <c:pt idx="486">
                  <c:v>10250</c:v>
                </c:pt>
                <c:pt idx="487">
                  <c:v>10450</c:v>
                </c:pt>
                <c:pt idx="488">
                  <c:v>10250</c:v>
                </c:pt>
                <c:pt idx="489">
                  <c:v>10350</c:v>
                </c:pt>
                <c:pt idx="490">
                  <c:v>10550</c:v>
                </c:pt>
                <c:pt idx="491">
                  <c:v>10250</c:v>
                </c:pt>
                <c:pt idx="492">
                  <c:v>10350</c:v>
                </c:pt>
                <c:pt idx="493">
                  <c:v>10250</c:v>
                </c:pt>
                <c:pt idx="494">
                  <c:v>10150</c:v>
                </c:pt>
                <c:pt idx="495">
                  <c:v>10250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67727"/>
        <c:axId val="20181841"/>
      </c:lineChart>
      <c:dateAx>
        <c:axId val="5677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81841"/>
        <c:crosses val="autoZero"/>
        <c:auto val="1"/>
        <c:lblOffset val="100"/>
        <c:noMultiLvlLbl val="0"/>
      </c:dateAx>
      <c:valAx>
        <c:axId val="20181841"/>
        <c:scaling>
          <c:orientation val="minMax"/>
          <c:min val="5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Rs/MT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7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CASTOR futures price (NCDEX), close of contract held, Rs per quintal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'Roll Schedule'!J46</c:f>
              <c:strCache>
                <c:ptCount val="1"/>
                <c:pt idx="0">
                  <c:v>Stitched price: close of B at t (Rs/qtl)</c:v>
                </c:pt>
              </c:strCache>
            </c:strRef>
          </c:tx>
          <c:spPr>
            <a:solidFill>
              <a:srgbClr val="4a7ebb"/>
            </a:solidFill>
            <a:ln w="1188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'Roll Schedule'!$A$47:$A$790</c:f>
              <c:numCache>
                <c:formatCode>mmm\-yy</c:formatCode>
                <c:ptCount val="744"/>
                <c:pt idx="0">
                  <c:v>2023-09-25</c:v>
                </c:pt>
                <c:pt idx="1">
                  <c:v>2023-09-26</c:v>
                </c:pt>
                <c:pt idx="2">
                  <c:v>2023-09-27</c:v>
                </c:pt>
                <c:pt idx="3">
                  <c:v>2023-09-28</c:v>
                </c:pt>
                <c:pt idx="4">
                  <c:v>2023-09-29</c:v>
                </c:pt>
                <c:pt idx="5">
                  <c:v>2023-10-03</c:v>
                </c:pt>
                <c:pt idx="6">
                  <c:v>2023-10-04</c:v>
                </c:pt>
                <c:pt idx="7">
                  <c:v>2023-10-05</c:v>
                </c:pt>
                <c:pt idx="8">
                  <c:v>2023-10-06</c:v>
                </c:pt>
                <c:pt idx="9">
                  <c:v>2023-10-09</c:v>
                </c:pt>
                <c:pt idx="10">
                  <c:v>2023-10-10</c:v>
                </c:pt>
                <c:pt idx="11">
                  <c:v>2023-10-11</c:v>
                </c:pt>
                <c:pt idx="12">
                  <c:v>2023-10-12</c:v>
                </c:pt>
                <c:pt idx="13">
                  <c:v>2023-10-13</c:v>
                </c:pt>
                <c:pt idx="14">
                  <c:v>2023-10-16</c:v>
                </c:pt>
                <c:pt idx="15">
                  <c:v>2023-10-17</c:v>
                </c:pt>
                <c:pt idx="16">
                  <c:v>2023-10-18</c:v>
                </c:pt>
                <c:pt idx="17">
                  <c:v>2023-10-19</c:v>
                </c:pt>
                <c:pt idx="18">
                  <c:v>2023-10-20</c:v>
                </c:pt>
                <c:pt idx="19">
                  <c:v>2023-10-23</c:v>
                </c:pt>
                <c:pt idx="20">
                  <c:v>2023-10-25</c:v>
                </c:pt>
                <c:pt idx="21">
                  <c:v>2023-10-26</c:v>
                </c:pt>
                <c:pt idx="22">
                  <c:v>2023-10-27</c:v>
                </c:pt>
                <c:pt idx="23">
                  <c:v>2023-10-30</c:v>
                </c:pt>
                <c:pt idx="24">
                  <c:v>2023-10-31</c:v>
                </c:pt>
                <c:pt idx="25">
                  <c:v>2023-11-01</c:v>
                </c:pt>
                <c:pt idx="26">
                  <c:v>2023-11-02</c:v>
                </c:pt>
                <c:pt idx="27">
                  <c:v>2023-11-03</c:v>
                </c:pt>
                <c:pt idx="28">
                  <c:v>2023-11-06</c:v>
                </c:pt>
                <c:pt idx="29">
                  <c:v>2023-11-07</c:v>
                </c:pt>
                <c:pt idx="30">
                  <c:v>2023-11-08</c:v>
                </c:pt>
                <c:pt idx="31">
                  <c:v>2023-11-09</c:v>
                </c:pt>
                <c:pt idx="32">
                  <c:v>2023-11-10</c:v>
                </c:pt>
                <c:pt idx="33">
                  <c:v>2023-11-12</c:v>
                </c:pt>
                <c:pt idx="34">
                  <c:v>2023-11-13</c:v>
                </c:pt>
                <c:pt idx="35">
                  <c:v>2023-11-15</c:v>
                </c:pt>
                <c:pt idx="36">
                  <c:v>2023-11-16</c:v>
                </c:pt>
                <c:pt idx="37">
                  <c:v>2023-11-17</c:v>
                </c:pt>
                <c:pt idx="38">
                  <c:v>2023-11-20</c:v>
                </c:pt>
                <c:pt idx="39">
                  <c:v>2023-11-21</c:v>
                </c:pt>
                <c:pt idx="40">
                  <c:v>2023-11-22</c:v>
                </c:pt>
                <c:pt idx="41">
                  <c:v>2023-11-23</c:v>
                </c:pt>
                <c:pt idx="42">
                  <c:v>2023-11-24</c:v>
                </c:pt>
                <c:pt idx="43">
                  <c:v>2023-11-28</c:v>
                </c:pt>
                <c:pt idx="44">
                  <c:v>2023-11-29</c:v>
                </c:pt>
                <c:pt idx="45">
                  <c:v>2023-11-30</c:v>
                </c:pt>
                <c:pt idx="46">
                  <c:v>2023-12-01</c:v>
                </c:pt>
                <c:pt idx="47">
                  <c:v>2023-12-04</c:v>
                </c:pt>
                <c:pt idx="48">
                  <c:v>2023-12-05</c:v>
                </c:pt>
                <c:pt idx="49">
                  <c:v>2023-12-06</c:v>
                </c:pt>
                <c:pt idx="50">
                  <c:v>2023-12-07</c:v>
                </c:pt>
                <c:pt idx="51">
                  <c:v>2023-12-08</c:v>
                </c:pt>
                <c:pt idx="52">
                  <c:v>2023-12-11</c:v>
                </c:pt>
                <c:pt idx="53">
                  <c:v>2023-12-12</c:v>
                </c:pt>
                <c:pt idx="54">
                  <c:v>2023-12-13</c:v>
                </c:pt>
                <c:pt idx="55">
                  <c:v>2023-12-14</c:v>
                </c:pt>
                <c:pt idx="56">
                  <c:v>2023-12-15</c:v>
                </c:pt>
                <c:pt idx="57">
                  <c:v>2023-12-18</c:v>
                </c:pt>
                <c:pt idx="58">
                  <c:v>2023-12-19</c:v>
                </c:pt>
                <c:pt idx="59">
                  <c:v>2023-12-20</c:v>
                </c:pt>
                <c:pt idx="60">
                  <c:v>2023-12-21</c:v>
                </c:pt>
                <c:pt idx="61">
                  <c:v>2023-12-22</c:v>
                </c:pt>
                <c:pt idx="62">
                  <c:v>2023-12-26</c:v>
                </c:pt>
                <c:pt idx="63">
                  <c:v>2023-12-27</c:v>
                </c:pt>
                <c:pt idx="64">
                  <c:v>2023-12-28</c:v>
                </c:pt>
                <c:pt idx="65">
                  <c:v>2023-12-29</c:v>
                </c:pt>
                <c:pt idx="66">
                  <c:v>2024-01-01</c:v>
                </c:pt>
                <c:pt idx="67">
                  <c:v>2024-01-02</c:v>
                </c:pt>
                <c:pt idx="68">
                  <c:v>2024-01-03</c:v>
                </c:pt>
                <c:pt idx="69">
                  <c:v>2024-01-04</c:v>
                </c:pt>
                <c:pt idx="70">
                  <c:v>2024-01-05</c:v>
                </c:pt>
                <c:pt idx="71">
                  <c:v>2024-01-08</c:v>
                </c:pt>
                <c:pt idx="72">
                  <c:v>2024-01-09</c:v>
                </c:pt>
                <c:pt idx="73">
                  <c:v>2024-01-10</c:v>
                </c:pt>
                <c:pt idx="74">
                  <c:v>2024-01-11</c:v>
                </c:pt>
                <c:pt idx="75">
                  <c:v>2024-01-12</c:v>
                </c:pt>
                <c:pt idx="76">
                  <c:v>2024-01-15</c:v>
                </c:pt>
                <c:pt idx="77">
                  <c:v>2024-01-16</c:v>
                </c:pt>
                <c:pt idx="78">
                  <c:v>2024-01-17</c:v>
                </c:pt>
                <c:pt idx="79">
                  <c:v>2024-01-18</c:v>
                </c:pt>
                <c:pt idx="80">
                  <c:v>2024-01-19</c:v>
                </c:pt>
                <c:pt idx="81">
                  <c:v>2024-01-23</c:v>
                </c:pt>
                <c:pt idx="82">
                  <c:v>2024-01-24</c:v>
                </c:pt>
                <c:pt idx="83">
                  <c:v>2024-01-25</c:v>
                </c:pt>
                <c:pt idx="84">
                  <c:v>2024-01-29</c:v>
                </c:pt>
                <c:pt idx="85">
                  <c:v>2024-01-30</c:v>
                </c:pt>
                <c:pt idx="86">
                  <c:v>2024-01-31</c:v>
                </c:pt>
                <c:pt idx="87">
                  <c:v>2024-02-01</c:v>
                </c:pt>
                <c:pt idx="88">
                  <c:v>2024-02-02</c:v>
                </c:pt>
                <c:pt idx="89">
                  <c:v>2024-02-05</c:v>
                </c:pt>
                <c:pt idx="90">
                  <c:v>2024-02-06</c:v>
                </c:pt>
                <c:pt idx="91">
                  <c:v>2024-02-07</c:v>
                </c:pt>
                <c:pt idx="92">
                  <c:v>2024-02-08</c:v>
                </c:pt>
                <c:pt idx="93">
                  <c:v>2024-02-09</c:v>
                </c:pt>
                <c:pt idx="94">
                  <c:v>2024-02-12</c:v>
                </c:pt>
                <c:pt idx="95">
                  <c:v>2024-02-13</c:v>
                </c:pt>
                <c:pt idx="96">
                  <c:v>2024-02-14</c:v>
                </c:pt>
                <c:pt idx="97">
                  <c:v>2024-02-15</c:v>
                </c:pt>
                <c:pt idx="98">
                  <c:v>2024-02-16</c:v>
                </c:pt>
                <c:pt idx="99">
                  <c:v>2024-02-19</c:v>
                </c:pt>
                <c:pt idx="100">
                  <c:v>2024-02-20</c:v>
                </c:pt>
                <c:pt idx="101">
                  <c:v>2024-02-21</c:v>
                </c:pt>
                <c:pt idx="102">
                  <c:v>2024-02-22</c:v>
                </c:pt>
                <c:pt idx="103">
                  <c:v>2024-02-23</c:v>
                </c:pt>
                <c:pt idx="104">
                  <c:v>2024-02-26</c:v>
                </c:pt>
                <c:pt idx="105">
                  <c:v>2024-02-27</c:v>
                </c:pt>
                <c:pt idx="106">
                  <c:v>2024-02-28</c:v>
                </c:pt>
                <c:pt idx="107">
                  <c:v>2024-02-29</c:v>
                </c:pt>
                <c:pt idx="108">
                  <c:v>2024-03-01</c:v>
                </c:pt>
                <c:pt idx="109">
                  <c:v>2024-03-04</c:v>
                </c:pt>
                <c:pt idx="110">
                  <c:v>2024-03-05</c:v>
                </c:pt>
                <c:pt idx="111">
                  <c:v>2024-03-06</c:v>
                </c:pt>
                <c:pt idx="112">
                  <c:v>2024-03-07</c:v>
                </c:pt>
                <c:pt idx="113">
                  <c:v>2024-03-11</c:v>
                </c:pt>
                <c:pt idx="114">
                  <c:v>2024-03-12</c:v>
                </c:pt>
                <c:pt idx="115">
                  <c:v>2024-03-13</c:v>
                </c:pt>
                <c:pt idx="116">
                  <c:v>2024-03-14</c:v>
                </c:pt>
                <c:pt idx="117">
                  <c:v>2024-03-15</c:v>
                </c:pt>
                <c:pt idx="118">
                  <c:v>2024-03-18</c:v>
                </c:pt>
                <c:pt idx="119">
                  <c:v>2024-03-19</c:v>
                </c:pt>
                <c:pt idx="120">
                  <c:v>2024-03-20</c:v>
                </c:pt>
                <c:pt idx="121">
                  <c:v>2024-03-21</c:v>
                </c:pt>
                <c:pt idx="122">
                  <c:v>2024-03-22</c:v>
                </c:pt>
                <c:pt idx="123">
                  <c:v>2024-03-26</c:v>
                </c:pt>
                <c:pt idx="124">
                  <c:v>2024-03-27</c:v>
                </c:pt>
                <c:pt idx="125">
                  <c:v>2024-03-28</c:v>
                </c:pt>
                <c:pt idx="126">
                  <c:v>2024-04-01</c:v>
                </c:pt>
                <c:pt idx="127">
                  <c:v>2024-04-02</c:v>
                </c:pt>
                <c:pt idx="128">
                  <c:v>2024-04-03</c:v>
                </c:pt>
                <c:pt idx="129">
                  <c:v>2024-04-04</c:v>
                </c:pt>
                <c:pt idx="130">
                  <c:v>2024-04-05</c:v>
                </c:pt>
                <c:pt idx="131">
                  <c:v>2024-04-08</c:v>
                </c:pt>
                <c:pt idx="132">
                  <c:v>2024-04-09</c:v>
                </c:pt>
                <c:pt idx="133">
                  <c:v>2024-04-10</c:v>
                </c:pt>
                <c:pt idx="134">
                  <c:v>2024-04-12</c:v>
                </c:pt>
                <c:pt idx="135">
                  <c:v>2024-04-15</c:v>
                </c:pt>
                <c:pt idx="136">
                  <c:v>2024-04-16</c:v>
                </c:pt>
                <c:pt idx="137">
                  <c:v>2024-04-18</c:v>
                </c:pt>
                <c:pt idx="138">
                  <c:v>2024-04-19</c:v>
                </c:pt>
                <c:pt idx="139">
                  <c:v>2024-04-22</c:v>
                </c:pt>
                <c:pt idx="140">
                  <c:v>2024-04-23</c:v>
                </c:pt>
                <c:pt idx="141">
                  <c:v>2024-04-24</c:v>
                </c:pt>
                <c:pt idx="142">
                  <c:v>2024-04-25</c:v>
                </c:pt>
                <c:pt idx="143">
                  <c:v>2024-04-26</c:v>
                </c:pt>
                <c:pt idx="144">
                  <c:v>2024-04-29</c:v>
                </c:pt>
                <c:pt idx="145">
                  <c:v>2024-04-30</c:v>
                </c:pt>
                <c:pt idx="146">
                  <c:v>2024-05-02</c:v>
                </c:pt>
                <c:pt idx="147">
                  <c:v>2024-05-03</c:v>
                </c:pt>
                <c:pt idx="148">
                  <c:v>2024-05-06</c:v>
                </c:pt>
                <c:pt idx="149">
                  <c:v>2024-05-07</c:v>
                </c:pt>
                <c:pt idx="150">
                  <c:v>2024-05-08</c:v>
                </c:pt>
                <c:pt idx="151">
                  <c:v>2024-05-09</c:v>
                </c:pt>
                <c:pt idx="152">
                  <c:v>2024-05-10</c:v>
                </c:pt>
                <c:pt idx="153">
                  <c:v>2024-05-13</c:v>
                </c:pt>
                <c:pt idx="154">
                  <c:v>2024-05-14</c:v>
                </c:pt>
                <c:pt idx="155">
                  <c:v>2024-05-15</c:v>
                </c:pt>
                <c:pt idx="156">
                  <c:v>2024-05-16</c:v>
                </c:pt>
                <c:pt idx="157">
                  <c:v>2024-05-17</c:v>
                </c:pt>
                <c:pt idx="158">
                  <c:v>2024-05-21</c:v>
                </c:pt>
                <c:pt idx="159">
                  <c:v>2024-05-22</c:v>
                </c:pt>
                <c:pt idx="160">
                  <c:v>2024-05-23</c:v>
                </c:pt>
                <c:pt idx="161">
                  <c:v>2024-05-24</c:v>
                </c:pt>
                <c:pt idx="162">
                  <c:v>2024-05-27</c:v>
                </c:pt>
                <c:pt idx="163">
                  <c:v>2024-05-28</c:v>
                </c:pt>
                <c:pt idx="164">
                  <c:v>2024-05-29</c:v>
                </c:pt>
                <c:pt idx="165">
                  <c:v>2024-05-30</c:v>
                </c:pt>
                <c:pt idx="166">
                  <c:v>2024-05-31</c:v>
                </c:pt>
                <c:pt idx="167">
                  <c:v>2024-06-03</c:v>
                </c:pt>
                <c:pt idx="168">
                  <c:v>2024-06-04</c:v>
                </c:pt>
                <c:pt idx="169">
                  <c:v>2024-06-05</c:v>
                </c:pt>
                <c:pt idx="170">
                  <c:v>2024-06-06</c:v>
                </c:pt>
                <c:pt idx="171">
                  <c:v>2024-06-07</c:v>
                </c:pt>
                <c:pt idx="172">
                  <c:v>2024-06-10</c:v>
                </c:pt>
                <c:pt idx="173">
                  <c:v>2024-06-11</c:v>
                </c:pt>
                <c:pt idx="174">
                  <c:v>2024-06-12</c:v>
                </c:pt>
                <c:pt idx="175">
                  <c:v>2024-06-13</c:v>
                </c:pt>
                <c:pt idx="176">
                  <c:v>2024-06-14</c:v>
                </c:pt>
                <c:pt idx="177">
                  <c:v>2024-06-18</c:v>
                </c:pt>
                <c:pt idx="178">
                  <c:v>2024-06-19</c:v>
                </c:pt>
                <c:pt idx="179">
                  <c:v>2024-06-20</c:v>
                </c:pt>
                <c:pt idx="180">
                  <c:v>2024-06-21</c:v>
                </c:pt>
                <c:pt idx="181">
                  <c:v>2024-06-24</c:v>
                </c:pt>
                <c:pt idx="182">
                  <c:v>2024-06-25</c:v>
                </c:pt>
                <c:pt idx="183">
                  <c:v>2024-06-26</c:v>
                </c:pt>
                <c:pt idx="184">
                  <c:v>2024-06-27</c:v>
                </c:pt>
                <c:pt idx="185">
                  <c:v>2024-06-28</c:v>
                </c:pt>
                <c:pt idx="186">
                  <c:v>2024-07-01</c:v>
                </c:pt>
                <c:pt idx="187">
                  <c:v>2024-07-02</c:v>
                </c:pt>
                <c:pt idx="188">
                  <c:v>2024-07-03</c:v>
                </c:pt>
                <c:pt idx="189">
                  <c:v>2024-07-04</c:v>
                </c:pt>
                <c:pt idx="190">
                  <c:v>2024-07-05</c:v>
                </c:pt>
                <c:pt idx="191">
                  <c:v>2024-07-08</c:v>
                </c:pt>
                <c:pt idx="192">
                  <c:v>2024-07-09</c:v>
                </c:pt>
                <c:pt idx="193">
                  <c:v>2024-07-10</c:v>
                </c:pt>
                <c:pt idx="194">
                  <c:v>2024-07-11</c:v>
                </c:pt>
                <c:pt idx="195">
                  <c:v>2024-07-12</c:v>
                </c:pt>
                <c:pt idx="196">
                  <c:v>2024-07-15</c:v>
                </c:pt>
                <c:pt idx="197">
                  <c:v>2024-07-16</c:v>
                </c:pt>
                <c:pt idx="198">
                  <c:v>2024-07-18</c:v>
                </c:pt>
                <c:pt idx="199">
                  <c:v>2024-07-19</c:v>
                </c:pt>
                <c:pt idx="200">
                  <c:v>2024-07-22</c:v>
                </c:pt>
                <c:pt idx="201">
                  <c:v>2024-07-23</c:v>
                </c:pt>
                <c:pt idx="202">
                  <c:v>2024-07-24</c:v>
                </c:pt>
                <c:pt idx="203">
                  <c:v>2024-07-25</c:v>
                </c:pt>
                <c:pt idx="204">
                  <c:v>2024-07-26</c:v>
                </c:pt>
                <c:pt idx="205">
                  <c:v>2024-07-29</c:v>
                </c:pt>
                <c:pt idx="206">
                  <c:v>2024-07-30</c:v>
                </c:pt>
                <c:pt idx="207">
                  <c:v>2024-07-31</c:v>
                </c:pt>
                <c:pt idx="208">
                  <c:v>2024-08-01</c:v>
                </c:pt>
                <c:pt idx="209">
                  <c:v>2024-08-02</c:v>
                </c:pt>
                <c:pt idx="210">
                  <c:v>2024-08-05</c:v>
                </c:pt>
                <c:pt idx="211">
                  <c:v>2024-08-06</c:v>
                </c:pt>
                <c:pt idx="212">
                  <c:v>2024-08-07</c:v>
                </c:pt>
                <c:pt idx="213">
                  <c:v>2024-08-08</c:v>
                </c:pt>
                <c:pt idx="214">
                  <c:v>2024-08-09</c:v>
                </c:pt>
                <c:pt idx="215">
                  <c:v>2024-08-12</c:v>
                </c:pt>
                <c:pt idx="216">
                  <c:v>2024-08-13</c:v>
                </c:pt>
                <c:pt idx="217">
                  <c:v>2024-08-14</c:v>
                </c:pt>
                <c:pt idx="218">
                  <c:v>2024-08-16</c:v>
                </c:pt>
                <c:pt idx="219">
                  <c:v>2024-08-19</c:v>
                </c:pt>
                <c:pt idx="220">
                  <c:v>2024-08-20</c:v>
                </c:pt>
                <c:pt idx="221">
                  <c:v>2024-08-21</c:v>
                </c:pt>
                <c:pt idx="222">
                  <c:v>2024-08-22</c:v>
                </c:pt>
                <c:pt idx="223">
                  <c:v>2024-08-23</c:v>
                </c:pt>
                <c:pt idx="224">
                  <c:v>2024-08-26</c:v>
                </c:pt>
                <c:pt idx="225">
                  <c:v>2024-08-27</c:v>
                </c:pt>
                <c:pt idx="226">
                  <c:v>2024-08-28</c:v>
                </c:pt>
                <c:pt idx="227">
                  <c:v>2024-08-29</c:v>
                </c:pt>
                <c:pt idx="228">
                  <c:v>2024-08-30</c:v>
                </c:pt>
                <c:pt idx="229">
                  <c:v>2024-09-02</c:v>
                </c:pt>
                <c:pt idx="230">
                  <c:v>2024-09-03</c:v>
                </c:pt>
                <c:pt idx="231">
                  <c:v>2024-09-04</c:v>
                </c:pt>
                <c:pt idx="232">
                  <c:v>2024-09-05</c:v>
                </c:pt>
                <c:pt idx="233">
                  <c:v>2024-09-06</c:v>
                </c:pt>
                <c:pt idx="234">
                  <c:v>2024-09-09</c:v>
                </c:pt>
                <c:pt idx="235">
                  <c:v>2024-09-10</c:v>
                </c:pt>
                <c:pt idx="236">
                  <c:v>2024-09-11</c:v>
                </c:pt>
                <c:pt idx="237">
                  <c:v>2024-09-12</c:v>
                </c:pt>
                <c:pt idx="238">
                  <c:v>2024-09-13</c:v>
                </c:pt>
                <c:pt idx="239">
                  <c:v>2024-09-16</c:v>
                </c:pt>
                <c:pt idx="240">
                  <c:v>2024-09-17</c:v>
                </c:pt>
                <c:pt idx="241">
                  <c:v>2024-09-18</c:v>
                </c:pt>
                <c:pt idx="242">
                  <c:v>2024-09-19</c:v>
                </c:pt>
                <c:pt idx="243">
                  <c:v>2024-09-20</c:v>
                </c:pt>
                <c:pt idx="244">
                  <c:v>2024-09-23</c:v>
                </c:pt>
                <c:pt idx="245">
                  <c:v>2024-09-24</c:v>
                </c:pt>
                <c:pt idx="246">
                  <c:v>2024-09-25</c:v>
                </c:pt>
                <c:pt idx="247">
                  <c:v>2024-09-26</c:v>
                </c:pt>
                <c:pt idx="248">
                  <c:v>2024-09-27</c:v>
                </c:pt>
                <c:pt idx="249">
                  <c:v>2024-09-30</c:v>
                </c:pt>
                <c:pt idx="250">
                  <c:v>2024-10-01</c:v>
                </c:pt>
                <c:pt idx="251">
                  <c:v>2024-10-03</c:v>
                </c:pt>
                <c:pt idx="252">
                  <c:v>2024-10-04</c:v>
                </c:pt>
                <c:pt idx="253">
                  <c:v>2024-10-07</c:v>
                </c:pt>
                <c:pt idx="254">
                  <c:v>2024-10-08</c:v>
                </c:pt>
                <c:pt idx="255">
                  <c:v>2024-10-09</c:v>
                </c:pt>
                <c:pt idx="256">
                  <c:v>2024-10-10</c:v>
                </c:pt>
                <c:pt idx="257">
                  <c:v>2024-10-11</c:v>
                </c:pt>
                <c:pt idx="258">
                  <c:v>2024-10-14</c:v>
                </c:pt>
                <c:pt idx="259">
                  <c:v>2024-10-15</c:v>
                </c:pt>
                <c:pt idx="260">
                  <c:v>2024-10-16</c:v>
                </c:pt>
                <c:pt idx="261">
                  <c:v>2024-10-17</c:v>
                </c:pt>
                <c:pt idx="262">
                  <c:v>2024-10-18</c:v>
                </c:pt>
                <c:pt idx="263">
                  <c:v>2024-10-21</c:v>
                </c:pt>
                <c:pt idx="264">
                  <c:v>2024-10-22</c:v>
                </c:pt>
                <c:pt idx="265">
                  <c:v>2024-10-23</c:v>
                </c:pt>
                <c:pt idx="266">
                  <c:v>2024-10-24</c:v>
                </c:pt>
                <c:pt idx="267">
                  <c:v>2024-10-25</c:v>
                </c:pt>
                <c:pt idx="268">
                  <c:v>2024-10-28</c:v>
                </c:pt>
                <c:pt idx="269">
                  <c:v>2024-10-29</c:v>
                </c:pt>
                <c:pt idx="270">
                  <c:v>2024-10-30</c:v>
                </c:pt>
                <c:pt idx="271">
                  <c:v>2024-10-31</c:v>
                </c:pt>
                <c:pt idx="272">
                  <c:v>2024-11-01</c:v>
                </c:pt>
                <c:pt idx="273">
                  <c:v>2024-11-04</c:v>
                </c:pt>
                <c:pt idx="274">
                  <c:v>2024-11-05</c:v>
                </c:pt>
                <c:pt idx="275">
                  <c:v>2024-11-06</c:v>
                </c:pt>
                <c:pt idx="276">
                  <c:v>2024-11-07</c:v>
                </c:pt>
                <c:pt idx="277">
                  <c:v>2024-11-08</c:v>
                </c:pt>
                <c:pt idx="278">
                  <c:v>2024-11-11</c:v>
                </c:pt>
                <c:pt idx="279">
                  <c:v>2024-11-12</c:v>
                </c:pt>
                <c:pt idx="280">
                  <c:v>2024-11-13</c:v>
                </c:pt>
                <c:pt idx="281">
                  <c:v>2024-11-14</c:v>
                </c:pt>
                <c:pt idx="282">
                  <c:v>2024-11-18</c:v>
                </c:pt>
                <c:pt idx="283">
                  <c:v>2024-11-19</c:v>
                </c:pt>
                <c:pt idx="284">
                  <c:v>2024-11-21</c:v>
                </c:pt>
                <c:pt idx="285">
                  <c:v>2024-11-22</c:v>
                </c:pt>
                <c:pt idx="286">
                  <c:v>2024-11-25</c:v>
                </c:pt>
                <c:pt idx="287">
                  <c:v>2024-11-26</c:v>
                </c:pt>
                <c:pt idx="288">
                  <c:v>2024-11-27</c:v>
                </c:pt>
                <c:pt idx="289">
                  <c:v>2024-11-28</c:v>
                </c:pt>
                <c:pt idx="290">
                  <c:v>2024-11-29</c:v>
                </c:pt>
                <c:pt idx="291">
                  <c:v>2024-12-02</c:v>
                </c:pt>
                <c:pt idx="292">
                  <c:v>2024-12-03</c:v>
                </c:pt>
                <c:pt idx="293">
                  <c:v>2024-12-04</c:v>
                </c:pt>
                <c:pt idx="294">
                  <c:v>2024-12-05</c:v>
                </c:pt>
                <c:pt idx="295">
                  <c:v>2024-12-06</c:v>
                </c:pt>
                <c:pt idx="296">
                  <c:v>2024-12-09</c:v>
                </c:pt>
                <c:pt idx="297">
                  <c:v>2024-12-10</c:v>
                </c:pt>
                <c:pt idx="298">
                  <c:v>2024-12-11</c:v>
                </c:pt>
                <c:pt idx="299">
                  <c:v>2024-12-12</c:v>
                </c:pt>
                <c:pt idx="300">
                  <c:v>2024-12-13</c:v>
                </c:pt>
                <c:pt idx="301">
                  <c:v>2024-12-16</c:v>
                </c:pt>
                <c:pt idx="302">
                  <c:v>2024-12-17</c:v>
                </c:pt>
                <c:pt idx="303">
                  <c:v>2024-12-18</c:v>
                </c:pt>
                <c:pt idx="304">
                  <c:v>2024-12-19</c:v>
                </c:pt>
                <c:pt idx="305">
                  <c:v>2024-12-20</c:v>
                </c:pt>
                <c:pt idx="306">
                  <c:v>2024-12-23</c:v>
                </c:pt>
                <c:pt idx="307">
                  <c:v>2024-12-24</c:v>
                </c:pt>
                <c:pt idx="308">
                  <c:v>2024-12-26</c:v>
                </c:pt>
                <c:pt idx="309">
                  <c:v>2024-12-27</c:v>
                </c:pt>
                <c:pt idx="310">
                  <c:v>2024-12-30</c:v>
                </c:pt>
                <c:pt idx="311">
                  <c:v>2024-12-31</c:v>
                </c:pt>
                <c:pt idx="312">
                  <c:v>2025-01-01</c:v>
                </c:pt>
                <c:pt idx="313">
                  <c:v>2025-01-02</c:v>
                </c:pt>
                <c:pt idx="314">
                  <c:v>2025-01-03</c:v>
                </c:pt>
                <c:pt idx="315">
                  <c:v>2025-01-06</c:v>
                </c:pt>
                <c:pt idx="316">
                  <c:v>2025-01-07</c:v>
                </c:pt>
                <c:pt idx="317">
                  <c:v>2025-01-08</c:v>
                </c:pt>
                <c:pt idx="318">
                  <c:v>2025-01-09</c:v>
                </c:pt>
                <c:pt idx="319">
                  <c:v>2025-01-10</c:v>
                </c:pt>
                <c:pt idx="320">
                  <c:v>2025-01-13</c:v>
                </c:pt>
                <c:pt idx="321">
                  <c:v>2025-01-14</c:v>
                </c:pt>
                <c:pt idx="322">
                  <c:v>2025-01-15</c:v>
                </c:pt>
                <c:pt idx="323">
                  <c:v>2025-01-16</c:v>
                </c:pt>
                <c:pt idx="324">
                  <c:v>2025-01-17</c:v>
                </c:pt>
                <c:pt idx="325">
                  <c:v>2025-01-20</c:v>
                </c:pt>
                <c:pt idx="326">
                  <c:v>2025-01-21</c:v>
                </c:pt>
                <c:pt idx="327">
                  <c:v>2025-01-22</c:v>
                </c:pt>
                <c:pt idx="328">
                  <c:v>2025-01-23</c:v>
                </c:pt>
                <c:pt idx="329">
                  <c:v>2025-01-24</c:v>
                </c:pt>
                <c:pt idx="330">
                  <c:v>2025-01-27</c:v>
                </c:pt>
                <c:pt idx="331">
                  <c:v>2025-01-28</c:v>
                </c:pt>
                <c:pt idx="332">
                  <c:v>2025-01-29</c:v>
                </c:pt>
                <c:pt idx="333">
                  <c:v>2025-01-30</c:v>
                </c:pt>
                <c:pt idx="334">
                  <c:v>2025-01-31</c:v>
                </c:pt>
                <c:pt idx="335">
                  <c:v>2025-02-01</c:v>
                </c:pt>
                <c:pt idx="336">
                  <c:v>2025-02-03</c:v>
                </c:pt>
                <c:pt idx="337">
                  <c:v>2025-02-04</c:v>
                </c:pt>
                <c:pt idx="338">
                  <c:v>2025-02-05</c:v>
                </c:pt>
                <c:pt idx="339">
                  <c:v>2025-02-06</c:v>
                </c:pt>
                <c:pt idx="340">
                  <c:v>2025-02-07</c:v>
                </c:pt>
                <c:pt idx="341">
                  <c:v>2025-02-10</c:v>
                </c:pt>
                <c:pt idx="342">
                  <c:v>2025-02-11</c:v>
                </c:pt>
                <c:pt idx="343">
                  <c:v>2025-02-12</c:v>
                </c:pt>
                <c:pt idx="344">
                  <c:v>2025-02-13</c:v>
                </c:pt>
                <c:pt idx="345">
                  <c:v>2025-02-14</c:v>
                </c:pt>
                <c:pt idx="346">
                  <c:v>2025-02-17</c:v>
                </c:pt>
                <c:pt idx="347">
                  <c:v>2025-02-18</c:v>
                </c:pt>
                <c:pt idx="348">
                  <c:v>2025-02-19</c:v>
                </c:pt>
                <c:pt idx="349">
                  <c:v>2025-02-20</c:v>
                </c:pt>
                <c:pt idx="350">
                  <c:v>2025-02-21</c:v>
                </c:pt>
                <c:pt idx="351">
                  <c:v>2025-02-24</c:v>
                </c:pt>
                <c:pt idx="352">
                  <c:v>2025-02-25</c:v>
                </c:pt>
                <c:pt idx="353">
                  <c:v>2025-02-27</c:v>
                </c:pt>
                <c:pt idx="354">
                  <c:v>2025-02-28</c:v>
                </c:pt>
                <c:pt idx="355">
                  <c:v>2025-03-03</c:v>
                </c:pt>
                <c:pt idx="356">
                  <c:v>2025-03-04</c:v>
                </c:pt>
                <c:pt idx="357">
                  <c:v>2025-03-05</c:v>
                </c:pt>
                <c:pt idx="358">
                  <c:v>2025-03-06</c:v>
                </c:pt>
                <c:pt idx="359">
                  <c:v>2025-03-07</c:v>
                </c:pt>
                <c:pt idx="360">
                  <c:v>2025-03-10</c:v>
                </c:pt>
                <c:pt idx="361">
                  <c:v>2025-03-11</c:v>
                </c:pt>
                <c:pt idx="362">
                  <c:v>2025-03-12</c:v>
                </c:pt>
                <c:pt idx="363">
                  <c:v>2025-03-13</c:v>
                </c:pt>
                <c:pt idx="364">
                  <c:v>2025-03-17</c:v>
                </c:pt>
                <c:pt idx="365">
                  <c:v>2025-03-18</c:v>
                </c:pt>
                <c:pt idx="366">
                  <c:v>2025-03-19</c:v>
                </c:pt>
                <c:pt idx="367">
                  <c:v>2025-03-20</c:v>
                </c:pt>
                <c:pt idx="368">
                  <c:v>2025-03-21</c:v>
                </c:pt>
                <c:pt idx="369">
                  <c:v>2025-03-24</c:v>
                </c:pt>
                <c:pt idx="370">
                  <c:v>2025-03-25</c:v>
                </c:pt>
                <c:pt idx="371">
                  <c:v>2025-03-26</c:v>
                </c:pt>
                <c:pt idx="372">
                  <c:v>2025-03-27</c:v>
                </c:pt>
                <c:pt idx="373">
                  <c:v>2025-03-28</c:v>
                </c:pt>
                <c:pt idx="374">
                  <c:v>2025-04-01</c:v>
                </c:pt>
                <c:pt idx="375">
                  <c:v>2025-04-02</c:v>
                </c:pt>
                <c:pt idx="376">
                  <c:v>2025-04-03</c:v>
                </c:pt>
                <c:pt idx="377">
                  <c:v>2025-04-04</c:v>
                </c:pt>
                <c:pt idx="378">
                  <c:v>2025-04-07</c:v>
                </c:pt>
                <c:pt idx="379">
                  <c:v>2025-04-08</c:v>
                </c:pt>
                <c:pt idx="380">
                  <c:v>2025-04-09</c:v>
                </c:pt>
                <c:pt idx="381">
                  <c:v>2025-04-11</c:v>
                </c:pt>
                <c:pt idx="382">
                  <c:v>2025-04-15</c:v>
                </c:pt>
                <c:pt idx="383">
                  <c:v>2025-04-16</c:v>
                </c:pt>
                <c:pt idx="384">
                  <c:v>2025-04-17</c:v>
                </c:pt>
                <c:pt idx="385">
                  <c:v>2025-04-21</c:v>
                </c:pt>
                <c:pt idx="386">
                  <c:v>2025-04-22</c:v>
                </c:pt>
                <c:pt idx="387">
                  <c:v>2025-04-23</c:v>
                </c:pt>
                <c:pt idx="388">
                  <c:v>2025-04-24</c:v>
                </c:pt>
                <c:pt idx="389">
                  <c:v>2025-04-25</c:v>
                </c:pt>
                <c:pt idx="390">
                  <c:v>2025-04-28</c:v>
                </c:pt>
                <c:pt idx="391">
                  <c:v>2025-04-29</c:v>
                </c:pt>
                <c:pt idx="392">
                  <c:v>2025-04-30</c:v>
                </c:pt>
                <c:pt idx="393">
                  <c:v>2025-05-02</c:v>
                </c:pt>
                <c:pt idx="394">
                  <c:v>2025-05-05</c:v>
                </c:pt>
                <c:pt idx="395">
                  <c:v>2025-05-06</c:v>
                </c:pt>
                <c:pt idx="396">
                  <c:v>2025-05-07</c:v>
                </c:pt>
                <c:pt idx="397">
                  <c:v>2025-05-08</c:v>
                </c:pt>
                <c:pt idx="398">
                  <c:v>2025-05-09</c:v>
                </c:pt>
                <c:pt idx="399">
                  <c:v>2025-05-12</c:v>
                </c:pt>
                <c:pt idx="400">
                  <c:v>2025-05-13</c:v>
                </c:pt>
                <c:pt idx="401">
                  <c:v>2025-05-14</c:v>
                </c:pt>
                <c:pt idx="402">
                  <c:v>2025-05-15</c:v>
                </c:pt>
                <c:pt idx="403">
                  <c:v>2025-05-16</c:v>
                </c:pt>
                <c:pt idx="404">
                  <c:v>2025-05-19</c:v>
                </c:pt>
                <c:pt idx="405">
                  <c:v>2025-05-20</c:v>
                </c:pt>
                <c:pt idx="406">
                  <c:v>2025-05-21</c:v>
                </c:pt>
                <c:pt idx="407">
                  <c:v>2025-05-22</c:v>
                </c:pt>
                <c:pt idx="408">
                  <c:v>2025-05-23</c:v>
                </c:pt>
                <c:pt idx="409">
                  <c:v>2025-05-26</c:v>
                </c:pt>
                <c:pt idx="410">
                  <c:v>2025-05-27</c:v>
                </c:pt>
                <c:pt idx="411">
                  <c:v>2025-05-28</c:v>
                </c:pt>
                <c:pt idx="412">
                  <c:v>2025-05-29</c:v>
                </c:pt>
                <c:pt idx="413">
                  <c:v>2025-05-30</c:v>
                </c:pt>
                <c:pt idx="414">
                  <c:v>2025-06-02</c:v>
                </c:pt>
                <c:pt idx="415">
                  <c:v>2025-06-03</c:v>
                </c:pt>
                <c:pt idx="416">
                  <c:v>2025-06-04</c:v>
                </c:pt>
                <c:pt idx="417">
                  <c:v>2025-06-05</c:v>
                </c:pt>
                <c:pt idx="418">
                  <c:v>2025-06-06</c:v>
                </c:pt>
                <c:pt idx="419">
                  <c:v>2025-06-09</c:v>
                </c:pt>
                <c:pt idx="420">
                  <c:v>2025-06-10</c:v>
                </c:pt>
                <c:pt idx="421">
                  <c:v>2025-06-11</c:v>
                </c:pt>
                <c:pt idx="422">
                  <c:v>2025-06-12</c:v>
                </c:pt>
                <c:pt idx="423">
                  <c:v>2025-06-13</c:v>
                </c:pt>
                <c:pt idx="424">
                  <c:v>2025-06-16</c:v>
                </c:pt>
                <c:pt idx="425">
                  <c:v>2025-06-17</c:v>
                </c:pt>
                <c:pt idx="426">
                  <c:v>2025-06-18</c:v>
                </c:pt>
                <c:pt idx="427">
                  <c:v>2025-06-19</c:v>
                </c:pt>
                <c:pt idx="428">
                  <c:v>2025-06-20</c:v>
                </c:pt>
                <c:pt idx="429">
                  <c:v>2025-06-23</c:v>
                </c:pt>
                <c:pt idx="430">
                  <c:v>2025-06-24</c:v>
                </c:pt>
                <c:pt idx="431">
                  <c:v>2025-06-25</c:v>
                </c:pt>
                <c:pt idx="432">
                  <c:v>2025-06-26</c:v>
                </c:pt>
                <c:pt idx="433">
                  <c:v>2025-06-27</c:v>
                </c:pt>
                <c:pt idx="434">
                  <c:v>2025-06-30</c:v>
                </c:pt>
                <c:pt idx="435">
                  <c:v>2025-07-01</c:v>
                </c:pt>
                <c:pt idx="436">
                  <c:v>2025-07-02</c:v>
                </c:pt>
                <c:pt idx="437">
                  <c:v>2025-07-03</c:v>
                </c:pt>
                <c:pt idx="438">
                  <c:v>2025-07-04</c:v>
                </c:pt>
                <c:pt idx="439">
                  <c:v>2025-07-07</c:v>
                </c:pt>
                <c:pt idx="440">
                  <c:v>2025-07-08</c:v>
                </c:pt>
                <c:pt idx="441">
                  <c:v>2025-07-09</c:v>
                </c:pt>
                <c:pt idx="442">
                  <c:v>2025-07-10</c:v>
                </c:pt>
                <c:pt idx="443">
                  <c:v>2025-07-11</c:v>
                </c:pt>
                <c:pt idx="444">
                  <c:v>2025-07-14</c:v>
                </c:pt>
                <c:pt idx="445">
                  <c:v>2025-07-15</c:v>
                </c:pt>
                <c:pt idx="446">
                  <c:v>2025-07-16</c:v>
                </c:pt>
                <c:pt idx="447">
                  <c:v>2025-07-17</c:v>
                </c:pt>
                <c:pt idx="448">
                  <c:v>2025-07-18</c:v>
                </c:pt>
                <c:pt idx="449">
                  <c:v>2025-07-21</c:v>
                </c:pt>
                <c:pt idx="450">
                  <c:v>2025-07-22</c:v>
                </c:pt>
                <c:pt idx="451">
                  <c:v>2025-07-23</c:v>
                </c:pt>
                <c:pt idx="452">
                  <c:v>2025-07-24</c:v>
                </c:pt>
                <c:pt idx="453">
                  <c:v>2025-07-25</c:v>
                </c:pt>
                <c:pt idx="454">
                  <c:v>2025-07-28</c:v>
                </c:pt>
                <c:pt idx="455">
                  <c:v>2025-07-29</c:v>
                </c:pt>
                <c:pt idx="456">
                  <c:v>2025-07-30</c:v>
                </c:pt>
                <c:pt idx="457">
                  <c:v>2025-07-31</c:v>
                </c:pt>
                <c:pt idx="458">
                  <c:v>2025-08-01</c:v>
                </c:pt>
                <c:pt idx="459">
                  <c:v>2025-08-04</c:v>
                </c:pt>
                <c:pt idx="460">
                  <c:v>2025-08-05</c:v>
                </c:pt>
                <c:pt idx="461">
                  <c:v>2025-08-06</c:v>
                </c:pt>
                <c:pt idx="462">
                  <c:v>2025-08-07</c:v>
                </c:pt>
                <c:pt idx="463">
                  <c:v>2025-08-08</c:v>
                </c:pt>
                <c:pt idx="464">
                  <c:v>2025-08-11</c:v>
                </c:pt>
                <c:pt idx="465">
                  <c:v>2025-08-12</c:v>
                </c:pt>
                <c:pt idx="466">
                  <c:v>2025-08-13</c:v>
                </c:pt>
                <c:pt idx="467">
                  <c:v>2025-08-14</c:v>
                </c:pt>
                <c:pt idx="468">
                  <c:v>2025-08-18</c:v>
                </c:pt>
                <c:pt idx="469">
                  <c:v>2025-08-19</c:v>
                </c:pt>
                <c:pt idx="470">
                  <c:v>2025-08-20</c:v>
                </c:pt>
                <c:pt idx="471">
                  <c:v>2025-08-21</c:v>
                </c:pt>
                <c:pt idx="472">
                  <c:v>2025-08-22</c:v>
                </c:pt>
                <c:pt idx="473">
                  <c:v>2025-08-25</c:v>
                </c:pt>
                <c:pt idx="474">
                  <c:v>2025-08-26</c:v>
                </c:pt>
                <c:pt idx="475">
                  <c:v>2025-08-28</c:v>
                </c:pt>
                <c:pt idx="476">
                  <c:v>2025-08-29</c:v>
                </c:pt>
                <c:pt idx="477">
                  <c:v>2025-09-01</c:v>
                </c:pt>
                <c:pt idx="478">
                  <c:v>2025-09-02</c:v>
                </c:pt>
                <c:pt idx="479">
                  <c:v>2025-09-03</c:v>
                </c:pt>
                <c:pt idx="480">
                  <c:v>2025-09-04</c:v>
                </c:pt>
                <c:pt idx="481">
                  <c:v>2025-09-05</c:v>
                </c:pt>
                <c:pt idx="482">
                  <c:v>2025-09-08</c:v>
                </c:pt>
                <c:pt idx="483">
                  <c:v>2025-09-09</c:v>
                </c:pt>
                <c:pt idx="484">
                  <c:v>2025-09-10</c:v>
                </c:pt>
                <c:pt idx="485">
                  <c:v>2025-09-11</c:v>
                </c:pt>
                <c:pt idx="486">
                  <c:v>2025-09-12</c:v>
                </c:pt>
                <c:pt idx="487">
                  <c:v>2025-09-15</c:v>
                </c:pt>
                <c:pt idx="488">
                  <c:v>2025-09-16</c:v>
                </c:pt>
                <c:pt idx="489">
                  <c:v>2025-09-17</c:v>
                </c:pt>
                <c:pt idx="490">
                  <c:v>2025-09-18</c:v>
                </c:pt>
                <c:pt idx="491">
                  <c:v>2025-09-19</c:v>
                </c:pt>
                <c:pt idx="492">
                  <c:v>2025-09-22</c:v>
                </c:pt>
                <c:pt idx="493">
                  <c:v>2025-09-23</c:v>
                </c:pt>
                <c:pt idx="494">
                  <c:v>2025-09-24</c:v>
                </c:pt>
                <c:pt idx="495">
                  <c:v>2025-09-25</c:v>
                </c:pt>
                <c:pt idx="496">
                  <c:v>2025-09-26</c:v>
                </c:pt>
                <c:pt idx="497">
                  <c:v>2025-09-29</c:v>
                </c:pt>
                <c:pt idx="498">
                  <c:v>2025-09-30</c:v>
                </c:pt>
                <c:pt idx="499">
                  <c:v>2025-10-01</c:v>
                </c:pt>
                <c:pt idx="500">
                  <c:v>2025-10-03</c:v>
                </c:pt>
                <c:pt idx="501">
                  <c:v>2025-10-06</c:v>
                </c:pt>
                <c:pt idx="502">
                  <c:v>2025-10-07</c:v>
                </c:pt>
                <c:pt idx="503">
                  <c:v>2025-10-08</c:v>
                </c:pt>
                <c:pt idx="504">
                  <c:v>2025-10-09</c:v>
                </c:pt>
                <c:pt idx="505">
                  <c:v>2025-10-10</c:v>
                </c:pt>
                <c:pt idx="506">
                  <c:v>2025-10-13</c:v>
                </c:pt>
                <c:pt idx="507">
                  <c:v>2025-10-14</c:v>
                </c:pt>
                <c:pt idx="508">
                  <c:v>2025-10-15</c:v>
                </c:pt>
                <c:pt idx="509">
                  <c:v>2025-10-16</c:v>
                </c:pt>
                <c:pt idx="510">
                  <c:v>2025-10-17</c:v>
                </c:pt>
                <c:pt idx="511">
                  <c:v>2025-10-20</c:v>
                </c:pt>
                <c:pt idx="512">
                  <c:v>2025-10-21</c:v>
                </c:pt>
                <c:pt idx="513">
                  <c:v>2025-10-23</c:v>
                </c:pt>
                <c:pt idx="514">
                  <c:v>2025-10-24</c:v>
                </c:pt>
                <c:pt idx="515">
                  <c:v>2025-10-27</c:v>
                </c:pt>
                <c:pt idx="516">
                  <c:v>2025-10-28</c:v>
                </c:pt>
                <c:pt idx="517">
                  <c:v>2025-10-29</c:v>
                </c:pt>
                <c:pt idx="518">
                  <c:v>2025-10-30</c:v>
                </c:pt>
                <c:pt idx="519">
                  <c:v>2025-10-31</c:v>
                </c:pt>
                <c:pt idx="520">
                  <c:v>2025-11-03</c:v>
                </c:pt>
                <c:pt idx="521">
                  <c:v>2025-11-04</c:v>
                </c:pt>
                <c:pt idx="522">
                  <c:v>2025-11-06</c:v>
                </c:pt>
                <c:pt idx="523">
                  <c:v>2025-11-07</c:v>
                </c:pt>
                <c:pt idx="524">
                  <c:v>2025-11-10</c:v>
                </c:pt>
                <c:pt idx="525">
                  <c:v>2025-11-11</c:v>
                </c:pt>
                <c:pt idx="526">
                  <c:v>2025-11-12</c:v>
                </c:pt>
                <c:pt idx="527">
                  <c:v>2025-11-13</c:v>
                </c:pt>
                <c:pt idx="528">
                  <c:v>2025-11-14</c:v>
                </c:pt>
                <c:pt idx="529">
                  <c:v>2025-11-17</c:v>
                </c:pt>
                <c:pt idx="530">
                  <c:v>2025-11-18</c:v>
                </c:pt>
                <c:pt idx="531">
                  <c:v>2025-11-19</c:v>
                </c:pt>
                <c:pt idx="532">
                  <c:v>2025-11-20</c:v>
                </c:pt>
                <c:pt idx="533">
                  <c:v>2025-11-21</c:v>
                </c:pt>
                <c:pt idx="534">
                  <c:v>2025-11-24</c:v>
                </c:pt>
                <c:pt idx="535">
                  <c:v>2025-11-25</c:v>
                </c:pt>
                <c:pt idx="536">
                  <c:v>2025-11-26</c:v>
                </c:pt>
                <c:pt idx="537">
                  <c:v>2025-11-27</c:v>
                </c:pt>
                <c:pt idx="538">
                  <c:v>2025-11-28</c:v>
                </c:pt>
                <c:pt idx="539">
                  <c:v>2025-12-01</c:v>
                </c:pt>
                <c:pt idx="540">
                  <c:v>2025-12-02</c:v>
                </c:pt>
                <c:pt idx="541">
                  <c:v>2025-12-03</c:v>
                </c:pt>
                <c:pt idx="542">
                  <c:v>2025-12-04</c:v>
                </c:pt>
                <c:pt idx="543">
                  <c:v>2025-12-05</c:v>
                </c:pt>
                <c:pt idx="544">
                  <c:v>2025-12-08</c:v>
                </c:pt>
                <c:pt idx="545">
                  <c:v>2025-12-09</c:v>
                </c:pt>
                <c:pt idx="546">
                  <c:v>2025-12-10</c:v>
                </c:pt>
                <c:pt idx="547">
                  <c:v>2025-12-11</c:v>
                </c:pt>
                <c:pt idx="548">
                  <c:v>2025-12-12</c:v>
                </c:pt>
                <c:pt idx="549">
                  <c:v>2025-12-15</c:v>
                </c:pt>
                <c:pt idx="550">
                  <c:v>2025-12-16</c:v>
                </c:pt>
                <c:pt idx="551">
                  <c:v>2025-12-17</c:v>
                </c:pt>
                <c:pt idx="552">
                  <c:v>2025-12-18</c:v>
                </c:pt>
                <c:pt idx="553">
                  <c:v>2025-12-19</c:v>
                </c:pt>
                <c:pt idx="554">
                  <c:v>2025-12-22</c:v>
                </c:pt>
                <c:pt idx="555">
                  <c:v>2025-12-23</c:v>
                </c:pt>
                <c:pt idx="556">
                  <c:v>2025-12-24</c:v>
                </c:pt>
                <c:pt idx="557">
                  <c:v>2025-12-26</c:v>
                </c:pt>
                <c:pt idx="558">
                  <c:v>2025-12-29</c:v>
                </c:pt>
                <c:pt idx="559">
                  <c:v>2025-12-30</c:v>
                </c:pt>
                <c:pt idx="560">
                  <c:v>2025-12-31</c:v>
                </c:pt>
                <c:pt idx="561">
                  <c:v>2026-01-01</c:v>
                </c:pt>
                <c:pt idx="562">
                  <c:v>2026-01-02</c:v>
                </c:pt>
                <c:pt idx="563">
                  <c:v>2026-01-05</c:v>
                </c:pt>
                <c:pt idx="564">
                  <c:v>2026-01-06</c:v>
                </c:pt>
                <c:pt idx="565">
                  <c:v>2026-01-07</c:v>
                </c:pt>
                <c:pt idx="566">
                  <c:v>2026-01-08</c:v>
                </c:pt>
                <c:pt idx="567">
                  <c:v>2026-01-09</c:v>
                </c:pt>
                <c:pt idx="568">
                  <c:v>2026-01-12</c:v>
                </c:pt>
                <c:pt idx="569">
                  <c:v>2026-01-13</c:v>
                </c:pt>
                <c:pt idx="570">
                  <c:v>2026-01-14</c:v>
                </c:pt>
                <c:pt idx="571">
                  <c:v>2026-01-16</c:v>
                </c:pt>
                <c:pt idx="572">
                  <c:v>2026-01-19</c:v>
                </c:pt>
                <c:pt idx="573">
                  <c:v>2026-01-20</c:v>
                </c:pt>
                <c:pt idx="574">
                  <c:v>2026-01-21</c:v>
                </c:pt>
                <c:pt idx="575">
                  <c:v>2026-01-22</c:v>
                </c:pt>
                <c:pt idx="576">
                  <c:v>2026-01-23</c:v>
                </c:pt>
                <c:pt idx="577">
                  <c:v>2026-01-27</c:v>
                </c:pt>
                <c:pt idx="578">
                  <c:v>2026-01-28</c:v>
                </c:pt>
                <c:pt idx="579">
                  <c:v>2026-01-29</c:v>
                </c:pt>
                <c:pt idx="580">
                  <c:v>2026-01-30</c:v>
                </c:pt>
                <c:pt idx="581">
                  <c:v>2026-02-01</c:v>
                </c:pt>
                <c:pt idx="582">
                  <c:v>2026-02-02</c:v>
                </c:pt>
                <c:pt idx="583">
                  <c:v>2026-02-03</c:v>
                </c:pt>
                <c:pt idx="584">
                  <c:v>2026-02-04</c:v>
                </c:pt>
                <c:pt idx="585">
                  <c:v>2026-02-05</c:v>
                </c:pt>
                <c:pt idx="586">
                  <c:v>2026-02-06</c:v>
                </c:pt>
                <c:pt idx="587">
                  <c:v>2026-02-09</c:v>
                </c:pt>
                <c:pt idx="588">
                  <c:v>2026-02-10</c:v>
                </c:pt>
                <c:pt idx="589">
                  <c:v>2026-02-11</c:v>
                </c:pt>
                <c:pt idx="590">
                  <c:v>2026-02-12</c:v>
                </c:pt>
                <c:pt idx="591">
                  <c:v>2026-02-13</c:v>
                </c:pt>
                <c:pt idx="592">
                  <c:v>2026-02-16</c:v>
                </c:pt>
                <c:pt idx="593">
                  <c:v>2026-02-17</c:v>
                </c:pt>
                <c:pt idx="594">
                  <c:v>2026-02-18</c:v>
                </c:pt>
                <c:pt idx="595">
                  <c:v>2026-02-19</c:v>
                </c:pt>
                <c:pt idx="596">
                  <c:v>2026-02-20</c:v>
                </c:pt>
                <c:pt idx="597">
                  <c:v>2026-02-23</c:v>
                </c:pt>
                <c:pt idx="598">
                  <c:v>2026-02-24</c:v>
                </c:pt>
                <c:pt idx="599">
                  <c:v>2026-02-25</c:v>
                </c:pt>
                <c:pt idx="600">
                  <c:v>2026-02-26</c:v>
                </c:pt>
                <c:pt idx="601">
                  <c:v>2026-02-27</c:v>
                </c:pt>
                <c:pt idx="602">
                  <c:v>2026-03-02</c:v>
                </c:pt>
                <c:pt idx="603">
                  <c:v>2026-03-04</c:v>
                </c:pt>
                <c:pt idx="604">
                  <c:v>2026-03-05</c:v>
                </c:pt>
                <c:pt idx="605">
                  <c:v>2026-03-06</c:v>
                </c:pt>
                <c:pt idx="606">
                  <c:v>2026-03-09</c:v>
                </c:pt>
                <c:pt idx="607">
                  <c:v>2026-03-10</c:v>
                </c:pt>
                <c:pt idx="608">
                  <c:v>2026-03-11</c:v>
                </c:pt>
                <c:pt idx="609">
                  <c:v>2026-03-12</c:v>
                </c:pt>
                <c:pt idx="610">
                  <c:v>2026-03-13</c:v>
                </c:pt>
                <c:pt idx="611">
                  <c:v>2026-03-16</c:v>
                </c:pt>
                <c:pt idx="612">
                  <c:v>2026-03-17</c:v>
                </c:pt>
                <c:pt idx="613">
                  <c:v>2026-03-18</c:v>
                </c:pt>
                <c:pt idx="614">
                  <c:v>2026-03-19</c:v>
                </c:pt>
                <c:pt idx="615">
                  <c:v>2026-03-20</c:v>
                </c:pt>
                <c:pt idx="616">
                  <c:v>2026-03-23</c:v>
                </c:pt>
                <c:pt idx="617">
                  <c:v>2026-03-24</c:v>
                </c:pt>
                <c:pt idx="618">
                  <c:v>2026-03-25</c:v>
                </c:pt>
                <c:pt idx="619">
                  <c:v>2026-03-27</c:v>
                </c:pt>
                <c:pt idx="620">
                  <c:v>2026-03-30</c:v>
                </c:pt>
                <c:pt idx="621">
                  <c:v>2026-04-01</c:v>
                </c:pt>
                <c:pt idx="622">
                  <c:v>2026-04-02</c:v>
                </c:pt>
                <c:pt idx="623">
                  <c:v>2026-04-06</c:v>
                </c:pt>
                <c:pt idx="624">
                  <c:v>2026-04-07</c:v>
                </c:pt>
                <c:pt idx="625">
                  <c:v>2026-04-08</c:v>
                </c:pt>
                <c:pt idx="626">
                  <c:v>2026-04-09</c:v>
                </c:pt>
                <c:pt idx="627">
                  <c:v>2026-04-10</c:v>
                </c:pt>
                <c:pt idx="628">
                  <c:v>2026-04-13</c:v>
                </c:pt>
                <c:pt idx="629">
                  <c:v>2026-04-15</c:v>
                </c:pt>
                <c:pt idx="630">
                  <c:v>2026-04-16</c:v>
                </c:pt>
                <c:pt idx="631">
                  <c:v>2026-04-17</c:v>
                </c:pt>
                <c:pt idx="632">
                  <c:v>2026-04-20</c:v>
                </c:pt>
                <c:pt idx="633">
                  <c:v>2026-04-21</c:v>
                </c:pt>
                <c:pt idx="634">
                  <c:v>2026-04-22</c:v>
                </c:pt>
                <c:pt idx="635">
                  <c:v>2026-04-23</c:v>
                </c:pt>
                <c:pt idx="636">
                  <c:v>2026-04-24</c:v>
                </c:pt>
                <c:pt idx="637">
                  <c:v>2026-04-27</c:v>
                </c:pt>
                <c:pt idx="638">
                  <c:v>2026-04-28</c:v>
                </c:pt>
                <c:pt idx="639">
                  <c:v>2026-04-29</c:v>
                </c:pt>
                <c:pt idx="640">
                  <c:v>2026-04-30</c:v>
                </c:pt>
                <c:pt idx="641">
                  <c:v>2026-05-04</c:v>
                </c:pt>
                <c:pt idx="642">
                  <c:v>2026-05-05</c:v>
                </c:pt>
                <c:pt idx="643">
                  <c:v>2026-05-06</c:v>
                </c:pt>
                <c:pt idx="644">
                  <c:v>2026-05-07</c:v>
                </c:pt>
                <c:pt idx="645">
                  <c:v>2026-05-08</c:v>
                </c:pt>
                <c:pt idx="646">
                  <c:v>2026-05-11</c:v>
                </c:pt>
                <c:pt idx="647">
                  <c:v>2026-05-12</c:v>
                </c:pt>
                <c:pt idx="648">
                  <c:v>2026-05-13</c:v>
                </c:pt>
                <c:pt idx="649">
                  <c:v>2026-05-14</c:v>
                </c:pt>
                <c:pt idx="650">
                  <c:v>2026-05-15</c:v>
                </c:pt>
                <c:pt idx="651">
                  <c:v>2026-05-18</c:v>
                </c:pt>
                <c:pt idx="652">
                  <c:v>2026-05-19</c:v>
                </c:pt>
                <c:pt idx="653">
                  <c:v>2026-05-20</c:v>
                </c:pt>
                <c:pt idx="654">
                  <c:v>2026-05-21</c:v>
                </c:pt>
                <c:pt idx="655">
                  <c:v>2026-05-22</c:v>
                </c:pt>
                <c:pt idx="656">
                  <c:v>2026-05-25</c:v>
                </c:pt>
                <c:pt idx="657">
                  <c:v>2026-05-26</c:v>
                </c:pt>
                <c:pt idx="658">
                  <c:v>2026-05-27</c:v>
                </c:pt>
                <c:pt idx="659">
                  <c:v>2026-05-29</c:v>
                </c:pt>
                <c:pt idx="660">
                  <c:v>2026-06-01</c:v>
                </c:pt>
                <c:pt idx="661">
                  <c:v>2026-06-02</c:v>
                </c:pt>
                <c:pt idx="662">
                  <c:v>2026-06-03</c:v>
                </c:pt>
                <c:pt idx="663">
                  <c:v>2026-06-04</c:v>
                </c:pt>
                <c:pt idx="664">
                  <c:v>2026-06-05</c:v>
                </c:pt>
                <c:pt idx="665">
                  <c:v>2026-06-08</c:v>
                </c:pt>
                <c:pt idx="666">
                  <c:v>2026-06-09</c:v>
                </c:pt>
                <c:pt idx="667">
                  <c:v>2026-06-10</c:v>
                </c:pt>
                <c:pt idx="668">
                  <c:v>2026-06-11</c:v>
                </c:pt>
                <c:pt idx="669">
                  <c:v>2026-06-12</c:v>
                </c:pt>
                <c:pt idx="670">
                  <c:v>2026-06-15</c:v>
                </c:pt>
                <c:pt idx="671">
                  <c:v>2026-06-16</c:v>
                </c:pt>
                <c:pt idx="672">
                  <c:v>2026-06-17</c:v>
                </c:pt>
                <c:pt idx="673">
                  <c:v>2026-06-18</c:v>
                </c:pt>
                <c:pt idx="674">
                  <c:v>2026-06-19</c:v>
                </c:pt>
                <c:pt idx="675">
                  <c:v>2026-06-22</c:v>
                </c:pt>
                <c:pt idx="676">
                  <c:v>2026-06-23</c:v>
                </c:pt>
                <c:pt idx="677">
                  <c:v>2026-06-24</c:v>
                </c:pt>
                <c:pt idx="678">
                  <c:v>2026-06-25</c:v>
                </c:pt>
                <c:pt idx="679">
                  <c:v>2026-06-29</c:v>
                </c:pt>
                <c:pt idx="680">
                  <c:v>2026-06-30</c:v>
                </c:pt>
                <c:pt idx="681">
                  <c:v>2026-07-01</c:v>
                </c:pt>
                <c:pt idx="682">
                  <c:v>2026-07-02</c:v>
                </c:pt>
                <c:pt idx="683">
                  <c:v>2026-07-03</c:v>
                </c:pt>
                <c:pt idx="684">
                  <c:v>2026-07-06</c:v>
                </c:pt>
                <c:pt idx="685">
                  <c:v>2026-07-07</c:v>
                </c:pt>
                <c:pt idx="686">
                  <c:v>2026-07-08</c:v>
                </c:pt>
                <c:pt idx="687">
                  <c:v>2026-07-09</c:v>
                </c:pt>
                <c:pt idx="688">
                  <c:v>2026-07-10</c:v>
                </c:pt>
                <c:pt idx="689">
                  <c:v>2026-07-13</c:v>
                </c:pt>
                <c:pt idx="690">
                  <c:v>2026-07-14</c:v>
                </c:pt>
                <c:pt idx="691">
                  <c:v>2026-07-15</c:v>
                </c:pt>
                <c:pt idx="692">
                  <c:v>2026-07-16</c:v>
                </c:pt>
                <c:pt idx="693">
                  <c:v>2026-07-17</c:v>
                </c:pt>
                <c:pt idx="694">
                  <c:v>2026-07-20</c:v>
                </c:pt>
                <c:pt idx="695">
                  <c:v>2026-07-21</c:v>
                </c:pt>
                <c:pt idx="696">
                  <c:v>2026-07-22</c:v>
                </c:pt>
                <c:pt idx="697">
                  <c:v>2026-07-23</c:v>
                </c:pt>
                <c:pt idx="698">
                  <c:v>2026-07-24</c:v>
                </c:pt>
                <c:pt idx="699">
                  <c:v>2026-07-27</c:v>
                </c:pt>
                <c:pt idx="700">
                  <c:v>2026-07-28</c:v>
                </c:pt>
                <c:pt idx="701">
                  <c:v>2026-07-29</c:v>
                </c:pt>
                <c:pt idx="702">
                  <c:v>2026-07-30</c:v>
                </c:pt>
                <c:pt idx="703">
                  <c:v>2026-07-31</c:v>
                </c:pt>
                <c:pt idx="704">
                  <c:v>2026-08-03</c:v>
                </c:pt>
                <c:pt idx="705">
                  <c:v>2026-08-04</c:v>
                </c:pt>
                <c:pt idx="706">
                  <c:v>2026-08-05</c:v>
                </c:pt>
                <c:pt idx="707">
                  <c:v>2026-08-06</c:v>
                </c:pt>
                <c:pt idx="708">
                  <c:v>2026-08-07</c:v>
                </c:pt>
                <c:pt idx="709">
                  <c:v>2026-08-10</c:v>
                </c:pt>
                <c:pt idx="710">
                  <c:v>2026-08-11</c:v>
                </c:pt>
                <c:pt idx="711">
                  <c:v>2026-08-12</c:v>
                </c:pt>
                <c:pt idx="712">
                  <c:v>2026-08-13</c:v>
                </c:pt>
                <c:pt idx="713">
                  <c:v>2026-08-14</c:v>
                </c:pt>
                <c:pt idx="714">
                  <c:v>2026-08-17</c:v>
                </c:pt>
                <c:pt idx="715">
                  <c:v>2026-08-18</c:v>
                </c:pt>
                <c:pt idx="716">
                  <c:v>2026-08-19</c:v>
                </c:pt>
                <c:pt idx="717">
                  <c:v>2026-08-20</c:v>
                </c:pt>
                <c:pt idx="718">
                  <c:v>2026-08-21</c:v>
                </c:pt>
                <c:pt idx="719">
                  <c:v>2026-08-24</c:v>
                </c:pt>
                <c:pt idx="720">
                  <c:v>2026-08-25</c:v>
                </c:pt>
                <c:pt idx="721">
                  <c:v>2026-08-26</c:v>
                </c:pt>
                <c:pt idx="722">
                  <c:v>2026-08-27</c:v>
                </c:pt>
                <c:pt idx="723">
                  <c:v>2026-08-28</c:v>
                </c:pt>
                <c:pt idx="724">
                  <c:v>2026-08-31</c:v>
                </c:pt>
                <c:pt idx="725">
                  <c:v>2026-09-01</c:v>
                </c:pt>
                <c:pt idx="726">
                  <c:v>2026-09-02</c:v>
                </c:pt>
                <c:pt idx="727">
                  <c:v>2026-09-03</c:v>
                </c:pt>
                <c:pt idx="728">
                  <c:v>2026-09-04</c:v>
                </c:pt>
                <c:pt idx="729">
                  <c:v>2026-09-07</c:v>
                </c:pt>
                <c:pt idx="730">
                  <c:v>2026-09-08</c:v>
                </c:pt>
                <c:pt idx="731">
                  <c:v>2026-09-09</c:v>
                </c:pt>
                <c:pt idx="732">
                  <c:v>2026-09-10</c:v>
                </c:pt>
                <c:pt idx="733">
                  <c:v>2026-09-11</c:v>
                </c:pt>
                <c:pt idx="734">
                  <c:v>2026-09-15</c:v>
                </c:pt>
                <c:pt idx="735">
                  <c:v>2026-09-16</c:v>
                </c:pt>
                <c:pt idx="736">
                  <c:v>2026-09-17</c:v>
                </c:pt>
                <c:pt idx="737">
                  <c:v>2026-09-18</c:v>
                </c:pt>
                <c:pt idx="738">
                  <c:v>2026-09-21</c:v>
                </c:pt>
                <c:pt idx="739">
                  <c:v>2026-09-22</c:v>
                </c:pt>
                <c:pt idx="740">
                  <c:v>2026-09-23</c:v>
                </c:pt>
                <c:pt idx="741">
                  <c:v>2026-09-24</c:v>
                </c:pt>
                <c:pt idx="742">
                  <c:v>2026-09-25</c:v>
                </c:pt>
                <c:pt idx="743">
                  <c:v>2026-09-28</c:v>
                </c:pt>
              </c:numCache>
            </c:numRef>
          </c:cat>
          <c:val>
            <c:numRef>
              <c:f>'Roll Schedule'!$J$47:$J$790</c:f>
              <c:numCache>
                <c:formatCode>General</c:formatCode>
                <c:ptCount val="744"/>
                <c:pt idx="0">
                  <c:v>6176</c:v>
                </c:pt>
                <c:pt idx="1">
                  <c:v>6155</c:v>
                </c:pt>
                <c:pt idx="2">
                  <c:v>6164</c:v>
                </c:pt>
                <c:pt idx="3">
                  <c:v>6215</c:v>
                </c:pt>
                <c:pt idx="4">
                  <c:v>6137</c:v>
                </c:pt>
                <c:pt idx="5">
                  <c:v>6101</c:v>
                </c:pt>
                <c:pt idx="6">
                  <c:v>6135</c:v>
                </c:pt>
                <c:pt idx="7">
                  <c:v>6175</c:v>
                </c:pt>
                <c:pt idx="8">
                  <c:v>6162</c:v>
                </c:pt>
                <c:pt idx="9">
                  <c:v>6115</c:v>
                </c:pt>
                <c:pt idx="10">
                  <c:v>6124</c:v>
                </c:pt>
                <c:pt idx="11">
                  <c:v>6072</c:v>
                </c:pt>
                <c:pt idx="12">
                  <c:v>6034</c:v>
                </c:pt>
                <c:pt idx="13">
                  <c:v>6035</c:v>
                </c:pt>
                <c:pt idx="14">
                  <c:v>6079</c:v>
                </c:pt>
                <c:pt idx="15">
                  <c:v>6071</c:v>
                </c:pt>
                <c:pt idx="16">
                  <c:v>6009</c:v>
                </c:pt>
                <c:pt idx="17">
                  <c:v>6006</c:v>
                </c:pt>
                <c:pt idx="18">
                  <c:v>6036</c:v>
                </c:pt>
                <c:pt idx="19">
                  <c:v>6036</c:v>
                </c:pt>
                <c:pt idx="20">
                  <c:v>6055</c:v>
                </c:pt>
                <c:pt idx="21">
                  <c:v>6008</c:v>
                </c:pt>
                <c:pt idx="22">
                  <c:v>5980</c:v>
                </c:pt>
                <c:pt idx="23">
                  <c:v>5920</c:v>
                </c:pt>
                <c:pt idx="24">
                  <c:v>5924</c:v>
                </c:pt>
                <c:pt idx="25">
                  <c:v>5892</c:v>
                </c:pt>
                <c:pt idx="26">
                  <c:v>5818</c:v>
                </c:pt>
                <c:pt idx="27">
                  <c:v>5815</c:v>
                </c:pt>
                <c:pt idx="28">
                  <c:v>5853</c:v>
                </c:pt>
                <c:pt idx="29">
                  <c:v>5893</c:v>
                </c:pt>
                <c:pt idx="30">
                  <c:v>5920</c:v>
                </c:pt>
                <c:pt idx="31">
                  <c:v>5953</c:v>
                </c:pt>
                <c:pt idx="32">
                  <c:v>5878</c:v>
                </c:pt>
                <c:pt idx="33">
                  <c:v>5879</c:v>
                </c:pt>
                <c:pt idx="34">
                  <c:v>5897</c:v>
                </c:pt>
                <c:pt idx="35">
                  <c:v>5959</c:v>
                </c:pt>
                <c:pt idx="36">
                  <c:v>5936</c:v>
                </c:pt>
                <c:pt idx="37">
                  <c:v>5918</c:v>
                </c:pt>
                <c:pt idx="38">
                  <c:v>5914</c:v>
                </c:pt>
                <c:pt idx="39">
                  <c:v>5942</c:v>
                </c:pt>
                <c:pt idx="40">
                  <c:v>6021</c:v>
                </c:pt>
                <c:pt idx="41">
                  <c:v>6204</c:v>
                </c:pt>
                <c:pt idx="42">
                  <c:v>6120</c:v>
                </c:pt>
                <c:pt idx="43">
                  <c:v>6177</c:v>
                </c:pt>
                <c:pt idx="44">
                  <c:v>6121</c:v>
                </c:pt>
                <c:pt idx="45">
                  <c:v>6066</c:v>
                </c:pt>
                <c:pt idx="46">
                  <c:v>5995</c:v>
                </c:pt>
                <c:pt idx="47">
                  <c:v>5843</c:v>
                </c:pt>
                <c:pt idx="48">
                  <c:v>5880</c:v>
                </c:pt>
                <c:pt idx="49">
                  <c:v>5988</c:v>
                </c:pt>
                <c:pt idx="50">
                  <c:v>5935</c:v>
                </c:pt>
                <c:pt idx="51">
                  <c:v>5942</c:v>
                </c:pt>
                <c:pt idx="52">
                  <c:v>5913</c:v>
                </c:pt>
                <c:pt idx="53">
                  <c:v>5870</c:v>
                </c:pt>
                <c:pt idx="54">
                  <c:v>5881</c:v>
                </c:pt>
                <c:pt idx="55">
                  <c:v>5880</c:v>
                </c:pt>
                <c:pt idx="56">
                  <c:v>5785</c:v>
                </c:pt>
                <c:pt idx="57">
                  <c:v>5764</c:v>
                </c:pt>
                <c:pt idx="58">
                  <c:v>5808</c:v>
                </c:pt>
                <c:pt idx="59">
                  <c:v>5728</c:v>
                </c:pt>
                <c:pt idx="60">
                  <c:v>5728</c:v>
                </c:pt>
                <c:pt idx="61">
                  <c:v>5767</c:v>
                </c:pt>
                <c:pt idx="62">
                  <c:v>5736</c:v>
                </c:pt>
                <c:pt idx="63">
                  <c:v>5739</c:v>
                </c:pt>
                <c:pt idx="64">
                  <c:v>5740</c:v>
                </c:pt>
                <c:pt idx="65">
                  <c:v>5724</c:v>
                </c:pt>
                <c:pt idx="66">
                  <c:v>5667</c:v>
                </c:pt>
                <c:pt idx="67">
                  <c:v>5670</c:v>
                </c:pt>
                <c:pt idx="68">
                  <c:v>5720</c:v>
                </c:pt>
                <c:pt idx="69">
                  <c:v>5762</c:v>
                </c:pt>
                <c:pt idx="70">
                  <c:v>5739</c:v>
                </c:pt>
                <c:pt idx="71">
                  <c:v>5672</c:v>
                </c:pt>
                <c:pt idx="72">
                  <c:v>5671</c:v>
                </c:pt>
                <c:pt idx="73">
                  <c:v>5614</c:v>
                </c:pt>
                <c:pt idx="74">
                  <c:v>5624</c:v>
                </c:pt>
                <c:pt idx="75">
                  <c:v>5653</c:v>
                </c:pt>
                <c:pt idx="76">
                  <c:v>5639</c:v>
                </c:pt>
                <c:pt idx="77">
                  <c:v>5649</c:v>
                </c:pt>
                <c:pt idx="78">
                  <c:v>5647</c:v>
                </c:pt>
                <c:pt idx="79">
                  <c:v>5683</c:v>
                </c:pt>
                <c:pt idx="80">
                  <c:v>5687</c:v>
                </c:pt>
                <c:pt idx="81">
                  <c:v>5793</c:v>
                </c:pt>
                <c:pt idx="82">
                  <c:v>5784</c:v>
                </c:pt>
                <c:pt idx="83">
                  <c:v>5818</c:v>
                </c:pt>
                <c:pt idx="84">
                  <c:v>5713</c:v>
                </c:pt>
                <c:pt idx="85">
                  <c:v>5763</c:v>
                </c:pt>
                <c:pt idx="86">
                  <c:v>5739</c:v>
                </c:pt>
                <c:pt idx="87">
                  <c:v>5740</c:v>
                </c:pt>
                <c:pt idx="88">
                  <c:v>5739</c:v>
                </c:pt>
                <c:pt idx="89">
                  <c:v>5675</c:v>
                </c:pt>
                <c:pt idx="90">
                  <c:v>5697</c:v>
                </c:pt>
                <c:pt idx="91">
                  <c:v>5758</c:v>
                </c:pt>
                <c:pt idx="92">
                  <c:v>5756</c:v>
                </c:pt>
                <c:pt idx="93">
                  <c:v>5773</c:v>
                </c:pt>
                <c:pt idx="94">
                  <c:v>5605</c:v>
                </c:pt>
                <c:pt idx="95">
                  <c:v>5620</c:v>
                </c:pt>
                <c:pt idx="96">
                  <c:v>5638</c:v>
                </c:pt>
                <c:pt idx="97">
                  <c:v>5639</c:v>
                </c:pt>
                <c:pt idx="98">
                  <c:v>5638</c:v>
                </c:pt>
                <c:pt idx="99">
                  <c:v>5698</c:v>
                </c:pt>
                <c:pt idx="100">
                  <c:v>5708</c:v>
                </c:pt>
                <c:pt idx="101">
                  <c:v>5759</c:v>
                </c:pt>
                <c:pt idx="102">
                  <c:v>5875</c:v>
                </c:pt>
                <c:pt idx="103">
                  <c:v>5921</c:v>
                </c:pt>
                <c:pt idx="104">
                  <c:v>5932</c:v>
                </c:pt>
                <c:pt idx="105">
                  <c:v>5894</c:v>
                </c:pt>
                <c:pt idx="106">
                  <c:v>5878</c:v>
                </c:pt>
                <c:pt idx="107">
                  <c:v>5827</c:v>
                </c:pt>
                <c:pt idx="108">
                  <c:v>5820</c:v>
                </c:pt>
                <c:pt idx="109">
                  <c:v>5820</c:v>
                </c:pt>
                <c:pt idx="110">
                  <c:v>5845</c:v>
                </c:pt>
                <c:pt idx="111">
                  <c:v>5896</c:v>
                </c:pt>
                <c:pt idx="112">
                  <c:v>5847</c:v>
                </c:pt>
                <c:pt idx="113">
                  <c:v>5857</c:v>
                </c:pt>
                <c:pt idx="114">
                  <c:v>5860</c:v>
                </c:pt>
                <c:pt idx="115">
                  <c:v>5907</c:v>
                </c:pt>
                <c:pt idx="116">
                  <c:v>5926</c:v>
                </c:pt>
                <c:pt idx="117">
                  <c:v>5892</c:v>
                </c:pt>
                <c:pt idx="118">
                  <c:v>5897</c:v>
                </c:pt>
                <c:pt idx="119">
                  <c:v>5991</c:v>
                </c:pt>
                <c:pt idx="120">
                  <c:v>6008</c:v>
                </c:pt>
                <c:pt idx="121">
                  <c:v>6100</c:v>
                </c:pt>
                <c:pt idx="122">
                  <c:v>6138</c:v>
                </c:pt>
                <c:pt idx="123">
                  <c:v>6023</c:v>
                </c:pt>
                <c:pt idx="124">
                  <c:v>6072</c:v>
                </c:pt>
                <c:pt idx="125">
                  <c:v>6050</c:v>
                </c:pt>
                <c:pt idx="126">
                  <c:v>6009</c:v>
                </c:pt>
                <c:pt idx="127">
                  <c:v>5979</c:v>
                </c:pt>
                <c:pt idx="128">
                  <c:v>6026</c:v>
                </c:pt>
                <c:pt idx="129">
                  <c:v>6081</c:v>
                </c:pt>
                <c:pt idx="130">
                  <c:v>6028</c:v>
                </c:pt>
                <c:pt idx="131">
                  <c:v>5931</c:v>
                </c:pt>
                <c:pt idx="132">
                  <c:v>5908</c:v>
                </c:pt>
                <c:pt idx="133">
                  <c:v>5865</c:v>
                </c:pt>
                <c:pt idx="134">
                  <c:v>5902</c:v>
                </c:pt>
                <c:pt idx="135">
                  <c:v>5823</c:v>
                </c:pt>
                <c:pt idx="136">
                  <c:v>5802</c:v>
                </c:pt>
                <c:pt idx="137">
                  <c:v>5806</c:v>
                </c:pt>
                <c:pt idx="138">
                  <c:v>5830</c:v>
                </c:pt>
                <c:pt idx="139">
                  <c:v>5806</c:v>
                </c:pt>
                <c:pt idx="140">
                  <c:v>5810</c:v>
                </c:pt>
                <c:pt idx="141">
                  <c:v>5780</c:v>
                </c:pt>
                <c:pt idx="142">
                  <c:v>5787</c:v>
                </c:pt>
                <c:pt idx="143">
                  <c:v>5754</c:v>
                </c:pt>
                <c:pt idx="144">
                  <c:v>5707</c:v>
                </c:pt>
                <c:pt idx="145">
                  <c:v>5650</c:v>
                </c:pt>
                <c:pt idx="146">
                  <c:v>5657</c:v>
                </c:pt>
                <c:pt idx="147">
                  <c:v>5641</c:v>
                </c:pt>
                <c:pt idx="148">
                  <c:v>5590</c:v>
                </c:pt>
                <c:pt idx="149">
                  <c:v>5622</c:v>
                </c:pt>
                <c:pt idx="150">
                  <c:v>5666</c:v>
                </c:pt>
                <c:pt idx="151">
                  <c:v>5652</c:v>
                </c:pt>
                <c:pt idx="152">
                  <c:v>5634</c:v>
                </c:pt>
                <c:pt idx="153">
                  <c:v>5728</c:v>
                </c:pt>
                <c:pt idx="154">
                  <c:v>5731</c:v>
                </c:pt>
                <c:pt idx="155">
                  <c:v>5689</c:v>
                </c:pt>
                <c:pt idx="156">
                  <c:v>5734</c:v>
                </c:pt>
                <c:pt idx="157">
                  <c:v>5719</c:v>
                </c:pt>
                <c:pt idx="158">
                  <c:v>5701</c:v>
                </c:pt>
                <c:pt idx="159">
                  <c:v>5729</c:v>
                </c:pt>
                <c:pt idx="160">
                  <c:v>5712</c:v>
                </c:pt>
                <c:pt idx="161">
                  <c:v>5691</c:v>
                </c:pt>
                <c:pt idx="162">
                  <c:v>5685</c:v>
                </c:pt>
                <c:pt idx="163">
                  <c:v>5700</c:v>
                </c:pt>
                <c:pt idx="164">
                  <c:v>5745</c:v>
                </c:pt>
                <c:pt idx="165">
                  <c:v>5715</c:v>
                </c:pt>
                <c:pt idx="166">
                  <c:v>5702</c:v>
                </c:pt>
                <c:pt idx="167">
                  <c:v>5741</c:v>
                </c:pt>
                <c:pt idx="168">
                  <c:v>5719</c:v>
                </c:pt>
                <c:pt idx="169">
                  <c:v>5700</c:v>
                </c:pt>
                <c:pt idx="170">
                  <c:v>5781</c:v>
                </c:pt>
                <c:pt idx="171">
                  <c:v>5787</c:v>
                </c:pt>
                <c:pt idx="172">
                  <c:v>5768</c:v>
                </c:pt>
                <c:pt idx="173">
                  <c:v>5757</c:v>
                </c:pt>
                <c:pt idx="174">
                  <c:v>5759</c:v>
                </c:pt>
                <c:pt idx="175">
                  <c:v>5778</c:v>
                </c:pt>
                <c:pt idx="176">
                  <c:v>5811</c:v>
                </c:pt>
                <c:pt idx="177">
                  <c:v>5765</c:v>
                </c:pt>
                <c:pt idx="178">
                  <c:v>5763</c:v>
                </c:pt>
                <c:pt idx="179">
                  <c:v>5775</c:v>
                </c:pt>
                <c:pt idx="180">
                  <c:v>5770</c:v>
                </c:pt>
                <c:pt idx="181">
                  <c:v>5774</c:v>
                </c:pt>
                <c:pt idx="182">
                  <c:v>5755</c:v>
                </c:pt>
                <c:pt idx="183">
                  <c:v>5761</c:v>
                </c:pt>
                <c:pt idx="184">
                  <c:v>5759</c:v>
                </c:pt>
                <c:pt idx="185">
                  <c:v>5754</c:v>
                </c:pt>
                <c:pt idx="186">
                  <c:v>5779</c:v>
                </c:pt>
                <c:pt idx="187">
                  <c:v>5837</c:v>
                </c:pt>
                <c:pt idx="188">
                  <c:v>5835</c:v>
                </c:pt>
                <c:pt idx="189">
                  <c:v>5841</c:v>
                </c:pt>
                <c:pt idx="190">
                  <c:v>5896</c:v>
                </c:pt>
                <c:pt idx="191">
                  <c:v>6077</c:v>
                </c:pt>
                <c:pt idx="192">
                  <c:v>6083</c:v>
                </c:pt>
                <c:pt idx="193">
                  <c:v>6158</c:v>
                </c:pt>
                <c:pt idx="194">
                  <c:v>6164</c:v>
                </c:pt>
                <c:pt idx="195">
                  <c:v>6215</c:v>
                </c:pt>
                <c:pt idx="196">
                  <c:v>6201</c:v>
                </c:pt>
                <c:pt idx="197">
                  <c:v>6123</c:v>
                </c:pt>
                <c:pt idx="198">
                  <c:v>6133</c:v>
                </c:pt>
                <c:pt idx="199">
                  <c:v>6085</c:v>
                </c:pt>
                <c:pt idx="200">
                  <c:v>6134</c:v>
                </c:pt>
                <c:pt idx="201">
                  <c:v>6112</c:v>
                </c:pt>
                <c:pt idx="202">
                  <c:v>6198</c:v>
                </c:pt>
                <c:pt idx="203">
                  <c:v>6197</c:v>
                </c:pt>
                <c:pt idx="204">
                  <c:v>6161</c:v>
                </c:pt>
                <c:pt idx="205">
                  <c:v>6162</c:v>
                </c:pt>
                <c:pt idx="206">
                  <c:v>6156</c:v>
                </c:pt>
                <c:pt idx="207">
                  <c:v>6167</c:v>
                </c:pt>
                <c:pt idx="208">
                  <c:v>6194</c:v>
                </c:pt>
                <c:pt idx="209">
                  <c:v>6193</c:v>
                </c:pt>
                <c:pt idx="210">
                  <c:v>6193</c:v>
                </c:pt>
                <c:pt idx="211">
                  <c:v>6226</c:v>
                </c:pt>
                <c:pt idx="212">
                  <c:v>6253</c:v>
                </c:pt>
                <c:pt idx="213">
                  <c:v>6253</c:v>
                </c:pt>
                <c:pt idx="214">
                  <c:v>6255</c:v>
                </c:pt>
                <c:pt idx="215">
                  <c:v>6295</c:v>
                </c:pt>
                <c:pt idx="216">
                  <c:v>6243</c:v>
                </c:pt>
                <c:pt idx="217">
                  <c:v>6241</c:v>
                </c:pt>
                <c:pt idx="218">
                  <c:v>6229</c:v>
                </c:pt>
                <c:pt idx="219">
                  <c:v>6215</c:v>
                </c:pt>
                <c:pt idx="220">
                  <c:v>6226</c:v>
                </c:pt>
                <c:pt idx="221">
                  <c:v>6222</c:v>
                </c:pt>
                <c:pt idx="222">
                  <c:v>6217</c:v>
                </c:pt>
                <c:pt idx="223">
                  <c:v>6156</c:v>
                </c:pt>
                <c:pt idx="224">
                  <c:v>6100</c:v>
                </c:pt>
                <c:pt idx="225">
                  <c:v>6070</c:v>
                </c:pt>
                <c:pt idx="226">
                  <c:v>6086</c:v>
                </c:pt>
                <c:pt idx="227">
                  <c:v>6118</c:v>
                </c:pt>
                <c:pt idx="228">
                  <c:v>6157</c:v>
                </c:pt>
                <c:pt idx="229">
                  <c:v>6117</c:v>
                </c:pt>
                <c:pt idx="230">
                  <c:v>6118</c:v>
                </c:pt>
                <c:pt idx="231">
                  <c:v>6120</c:v>
                </c:pt>
                <c:pt idx="232">
                  <c:v>6108</c:v>
                </c:pt>
                <c:pt idx="233">
                  <c:v>6174</c:v>
                </c:pt>
                <c:pt idx="234">
                  <c:v>6131</c:v>
                </c:pt>
                <c:pt idx="235">
                  <c:v>6186</c:v>
                </c:pt>
                <c:pt idx="236">
                  <c:v>6186</c:v>
                </c:pt>
                <c:pt idx="237">
                  <c:v>6199</c:v>
                </c:pt>
                <c:pt idx="238">
                  <c:v>6265</c:v>
                </c:pt>
                <c:pt idx="239">
                  <c:v>6406</c:v>
                </c:pt>
                <c:pt idx="240">
                  <c:v>6471</c:v>
                </c:pt>
                <c:pt idx="241">
                  <c:v>6582</c:v>
                </c:pt>
                <c:pt idx="242">
                  <c:v>6511</c:v>
                </c:pt>
                <c:pt idx="243">
                  <c:v>6582</c:v>
                </c:pt>
                <c:pt idx="244">
                  <c:v>6652</c:v>
                </c:pt>
                <c:pt idx="245">
                  <c:v>6667</c:v>
                </c:pt>
                <c:pt idx="246">
                  <c:v>6779</c:v>
                </c:pt>
                <c:pt idx="247">
                  <c:v>6778</c:v>
                </c:pt>
                <c:pt idx="248">
                  <c:v>6853</c:v>
                </c:pt>
                <c:pt idx="249">
                  <c:v>6927</c:v>
                </c:pt>
                <c:pt idx="250">
                  <c:v>6910</c:v>
                </c:pt>
                <c:pt idx="251">
                  <c:v>6891</c:v>
                </c:pt>
                <c:pt idx="252">
                  <c:v>6819</c:v>
                </c:pt>
                <c:pt idx="253">
                  <c:v>6835</c:v>
                </c:pt>
                <c:pt idx="254">
                  <c:v>6870</c:v>
                </c:pt>
                <c:pt idx="255">
                  <c:v>6908</c:v>
                </c:pt>
                <c:pt idx="256">
                  <c:v>6862</c:v>
                </c:pt>
                <c:pt idx="257">
                  <c:v>6864</c:v>
                </c:pt>
                <c:pt idx="258">
                  <c:v>6854</c:v>
                </c:pt>
                <c:pt idx="259">
                  <c:v>6884</c:v>
                </c:pt>
                <c:pt idx="260">
                  <c:v>6884</c:v>
                </c:pt>
                <c:pt idx="261">
                  <c:v>6857</c:v>
                </c:pt>
                <c:pt idx="262">
                  <c:v>6800</c:v>
                </c:pt>
                <c:pt idx="263">
                  <c:v>6775</c:v>
                </c:pt>
                <c:pt idx="264">
                  <c:v>6739</c:v>
                </c:pt>
                <c:pt idx="265">
                  <c:v>6697</c:v>
                </c:pt>
                <c:pt idx="266">
                  <c:v>6682</c:v>
                </c:pt>
                <c:pt idx="267">
                  <c:v>6667</c:v>
                </c:pt>
                <c:pt idx="268">
                  <c:v>6622</c:v>
                </c:pt>
                <c:pt idx="269">
                  <c:v>6565</c:v>
                </c:pt>
                <c:pt idx="270">
                  <c:v>6592</c:v>
                </c:pt>
                <c:pt idx="271">
                  <c:v>6603</c:v>
                </c:pt>
                <c:pt idx="272">
                  <c:v>6739</c:v>
                </c:pt>
                <c:pt idx="273">
                  <c:v>6671</c:v>
                </c:pt>
                <c:pt idx="274">
                  <c:v>6661</c:v>
                </c:pt>
                <c:pt idx="275">
                  <c:v>6731</c:v>
                </c:pt>
                <c:pt idx="276">
                  <c:v>6751</c:v>
                </c:pt>
                <c:pt idx="277">
                  <c:v>6712</c:v>
                </c:pt>
                <c:pt idx="278">
                  <c:v>6691</c:v>
                </c:pt>
                <c:pt idx="279">
                  <c:v>6670</c:v>
                </c:pt>
                <c:pt idx="280">
                  <c:v>6714</c:v>
                </c:pt>
                <c:pt idx="281">
                  <c:v>6691</c:v>
                </c:pt>
                <c:pt idx="282">
                  <c:v>6658</c:v>
                </c:pt>
                <c:pt idx="283">
                  <c:v>6626</c:v>
                </c:pt>
                <c:pt idx="284">
                  <c:v>6590</c:v>
                </c:pt>
                <c:pt idx="285">
                  <c:v>6526</c:v>
                </c:pt>
                <c:pt idx="286">
                  <c:v>6528</c:v>
                </c:pt>
                <c:pt idx="287">
                  <c:v>6521</c:v>
                </c:pt>
                <c:pt idx="288">
                  <c:v>6469</c:v>
                </c:pt>
                <c:pt idx="289">
                  <c:v>6473</c:v>
                </c:pt>
                <c:pt idx="290">
                  <c:v>6494</c:v>
                </c:pt>
                <c:pt idx="291">
                  <c:v>6520</c:v>
                </c:pt>
                <c:pt idx="292">
                  <c:v>6505</c:v>
                </c:pt>
                <c:pt idx="293">
                  <c:v>6479</c:v>
                </c:pt>
                <c:pt idx="294">
                  <c:v>6390</c:v>
                </c:pt>
                <c:pt idx="295">
                  <c:v>6417</c:v>
                </c:pt>
                <c:pt idx="296">
                  <c:v>6383</c:v>
                </c:pt>
                <c:pt idx="297">
                  <c:v>6294</c:v>
                </c:pt>
                <c:pt idx="298">
                  <c:v>6346</c:v>
                </c:pt>
                <c:pt idx="299">
                  <c:v>6372</c:v>
                </c:pt>
                <c:pt idx="300">
                  <c:v>6347</c:v>
                </c:pt>
                <c:pt idx="301">
                  <c:v>6265</c:v>
                </c:pt>
                <c:pt idx="302">
                  <c:v>6246</c:v>
                </c:pt>
                <c:pt idx="303">
                  <c:v>6313</c:v>
                </c:pt>
                <c:pt idx="304">
                  <c:v>6328</c:v>
                </c:pt>
                <c:pt idx="305">
                  <c:v>6376</c:v>
                </c:pt>
                <c:pt idx="306">
                  <c:v>6438</c:v>
                </c:pt>
                <c:pt idx="307">
                  <c:v>6363</c:v>
                </c:pt>
                <c:pt idx="308">
                  <c:v>6373</c:v>
                </c:pt>
                <c:pt idx="309">
                  <c:v>6371</c:v>
                </c:pt>
                <c:pt idx="310">
                  <c:v>6435</c:v>
                </c:pt>
                <c:pt idx="311">
                  <c:v>6448</c:v>
                </c:pt>
                <c:pt idx="312">
                  <c:v>6479</c:v>
                </c:pt>
                <c:pt idx="313">
                  <c:v>6463</c:v>
                </c:pt>
                <c:pt idx="314">
                  <c:v>6373</c:v>
                </c:pt>
                <c:pt idx="315">
                  <c:v>6296</c:v>
                </c:pt>
                <c:pt idx="316">
                  <c:v>6343</c:v>
                </c:pt>
                <c:pt idx="317">
                  <c:v>6318</c:v>
                </c:pt>
                <c:pt idx="318">
                  <c:v>6318</c:v>
                </c:pt>
                <c:pt idx="319">
                  <c:v>6389</c:v>
                </c:pt>
                <c:pt idx="320">
                  <c:v>6384</c:v>
                </c:pt>
                <c:pt idx="321">
                  <c:v>6403</c:v>
                </c:pt>
                <c:pt idx="322">
                  <c:v>6382</c:v>
                </c:pt>
                <c:pt idx="323">
                  <c:v>6428</c:v>
                </c:pt>
                <c:pt idx="324">
                  <c:v>6428</c:v>
                </c:pt>
                <c:pt idx="325">
                  <c:v>6461</c:v>
                </c:pt>
                <c:pt idx="326">
                  <c:v>6467</c:v>
                </c:pt>
                <c:pt idx="327">
                  <c:v>6510</c:v>
                </c:pt>
                <c:pt idx="328">
                  <c:v>6481</c:v>
                </c:pt>
                <c:pt idx="329">
                  <c:v>6416</c:v>
                </c:pt>
                <c:pt idx="330">
                  <c:v>6407</c:v>
                </c:pt>
                <c:pt idx="331">
                  <c:v>6379</c:v>
                </c:pt>
                <c:pt idx="332">
                  <c:v>6390</c:v>
                </c:pt>
                <c:pt idx="333">
                  <c:v>6325</c:v>
                </c:pt>
                <c:pt idx="334">
                  <c:v>6341</c:v>
                </c:pt>
                <c:pt idx="335">
                  <c:v>6360</c:v>
                </c:pt>
                <c:pt idx="336">
                  <c:v>6405</c:v>
                </c:pt>
                <c:pt idx="337">
                  <c:v>6438</c:v>
                </c:pt>
                <c:pt idx="338">
                  <c:v>6460</c:v>
                </c:pt>
                <c:pt idx="339">
                  <c:v>6498</c:v>
                </c:pt>
                <c:pt idx="340">
                  <c:v>6570</c:v>
                </c:pt>
                <c:pt idx="341">
                  <c:v>6593</c:v>
                </c:pt>
                <c:pt idx="342">
                  <c:v>6543</c:v>
                </c:pt>
                <c:pt idx="343">
                  <c:v>6318</c:v>
                </c:pt>
                <c:pt idx="344">
                  <c:v>6315</c:v>
                </c:pt>
                <c:pt idx="345">
                  <c:v>6273</c:v>
                </c:pt>
                <c:pt idx="346">
                  <c:v>6290</c:v>
                </c:pt>
                <c:pt idx="347">
                  <c:v>6313</c:v>
                </c:pt>
                <c:pt idx="348">
                  <c:v>6335</c:v>
                </c:pt>
                <c:pt idx="349">
                  <c:v>6307</c:v>
                </c:pt>
                <c:pt idx="350">
                  <c:v>6355</c:v>
                </c:pt>
                <c:pt idx="351">
                  <c:v>6386</c:v>
                </c:pt>
                <c:pt idx="352">
                  <c:v>6350</c:v>
                </c:pt>
                <c:pt idx="353">
                  <c:v>6357</c:v>
                </c:pt>
                <c:pt idx="354">
                  <c:v>6336</c:v>
                </c:pt>
                <c:pt idx="355">
                  <c:v>6271</c:v>
                </c:pt>
                <c:pt idx="356">
                  <c:v>6267</c:v>
                </c:pt>
                <c:pt idx="357">
                  <c:v>6288</c:v>
                </c:pt>
                <c:pt idx="358">
                  <c:v>6319</c:v>
                </c:pt>
                <c:pt idx="359">
                  <c:v>6346</c:v>
                </c:pt>
                <c:pt idx="360">
                  <c:v>6256</c:v>
                </c:pt>
                <c:pt idx="361">
                  <c:v>6286</c:v>
                </c:pt>
                <c:pt idx="362">
                  <c:v>6281</c:v>
                </c:pt>
                <c:pt idx="363">
                  <c:v>6209</c:v>
                </c:pt>
                <c:pt idx="364">
                  <c:v>6224</c:v>
                </c:pt>
                <c:pt idx="365">
                  <c:v>6245</c:v>
                </c:pt>
                <c:pt idx="366">
                  <c:v>6292</c:v>
                </c:pt>
                <c:pt idx="367">
                  <c:v>6297</c:v>
                </c:pt>
                <c:pt idx="368">
                  <c:v>6307</c:v>
                </c:pt>
                <c:pt idx="369">
                  <c:v>6339</c:v>
                </c:pt>
                <c:pt idx="370">
                  <c:v>6304</c:v>
                </c:pt>
                <c:pt idx="371">
                  <c:v>6272</c:v>
                </c:pt>
                <c:pt idx="372">
                  <c:v>6322</c:v>
                </c:pt>
                <c:pt idx="373">
                  <c:v>6337</c:v>
                </c:pt>
                <c:pt idx="374">
                  <c:v>6333</c:v>
                </c:pt>
                <c:pt idx="375">
                  <c:v>6354</c:v>
                </c:pt>
                <c:pt idx="376">
                  <c:v>6350</c:v>
                </c:pt>
                <c:pt idx="377">
                  <c:v>6300</c:v>
                </c:pt>
                <c:pt idx="378">
                  <c:v>6325</c:v>
                </c:pt>
                <c:pt idx="379">
                  <c:v>6419</c:v>
                </c:pt>
                <c:pt idx="380">
                  <c:v>6452</c:v>
                </c:pt>
                <c:pt idx="381">
                  <c:v>6432</c:v>
                </c:pt>
                <c:pt idx="382">
                  <c:v>6355</c:v>
                </c:pt>
                <c:pt idx="383">
                  <c:v>6372</c:v>
                </c:pt>
                <c:pt idx="384">
                  <c:v>6402</c:v>
                </c:pt>
                <c:pt idx="385">
                  <c:v>6360</c:v>
                </c:pt>
                <c:pt idx="386">
                  <c:v>6313</c:v>
                </c:pt>
                <c:pt idx="387">
                  <c:v>6249</c:v>
                </c:pt>
                <c:pt idx="388">
                  <c:v>6249</c:v>
                </c:pt>
                <c:pt idx="389">
                  <c:v>6288</c:v>
                </c:pt>
                <c:pt idx="390">
                  <c:v>6252</c:v>
                </c:pt>
                <c:pt idx="391">
                  <c:v>6261</c:v>
                </c:pt>
                <c:pt idx="392">
                  <c:v>6293</c:v>
                </c:pt>
                <c:pt idx="393">
                  <c:v>6311</c:v>
                </c:pt>
                <c:pt idx="394">
                  <c:v>6254</c:v>
                </c:pt>
                <c:pt idx="395">
                  <c:v>6212</c:v>
                </c:pt>
                <c:pt idx="396">
                  <c:v>6231</c:v>
                </c:pt>
                <c:pt idx="397">
                  <c:v>6246</c:v>
                </c:pt>
                <c:pt idx="398">
                  <c:v>6306</c:v>
                </c:pt>
                <c:pt idx="399">
                  <c:v>6367</c:v>
                </c:pt>
                <c:pt idx="400">
                  <c:v>6385</c:v>
                </c:pt>
                <c:pt idx="401">
                  <c:v>6478</c:v>
                </c:pt>
                <c:pt idx="402">
                  <c:v>6438</c:v>
                </c:pt>
                <c:pt idx="403">
                  <c:v>6440</c:v>
                </c:pt>
                <c:pt idx="404">
                  <c:v>6446</c:v>
                </c:pt>
                <c:pt idx="405">
                  <c:v>6401</c:v>
                </c:pt>
                <c:pt idx="406">
                  <c:v>6388</c:v>
                </c:pt>
                <c:pt idx="407">
                  <c:v>6436</c:v>
                </c:pt>
                <c:pt idx="408">
                  <c:v>6382</c:v>
                </c:pt>
                <c:pt idx="409">
                  <c:v>6402</c:v>
                </c:pt>
                <c:pt idx="410">
                  <c:v>6382</c:v>
                </c:pt>
                <c:pt idx="411">
                  <c:v>6373</c:v>
                </c:pt>
                <c:pt idx="412">
                  <c:v>6404</c:v>
                </c:pt>
                <c:pt idx="413">
                  <c:v>6377</c:v>
                </c:pt>
                <c:pt idx="414">
                  <c:v>6366</c:v>
                </c:pt>
                <c:pt idx="415">
                  <c:v>6350</c:v>
                </c:pt>
                <c:pt idx="416">
                  <c:v>6392</c:v>
                </c:pt>
                <c:pt idx="417">
                  <c:v>6464</c:v>
                </c:pt>
                <c:pt idx="418">
                  <c:v>6464</c:v>
                </c:pt>
                <c:pt idx="419">
                  <c:v>6528</c:v>
                </c:pt>
                <c:pt idx="420">
                  <c:v>6637</c:v>
                </c:pt>
                <c:pt idx="421">
                  <c:v>6649</c:v>
                </c:pt>
                <c:pt idx="422">
                  <c:v>6646</c:v>
                </c:pt>
                <c:pt idx="423">
                  <c:v>6629</c:v>
                </c:pt>
                <c:pt idx="424">
                  <c:v>6703</c:v>
                </c:pt>
                <c:pt idx="425">
                  <c:v>6669</c:v>
                </c:pt>
                <c:pt idx="426">
                  <c:v>6677</c:v>
                </c:pt>
                <c:pt idx="427">
                  <c:v>6701</c:v>
                </c:pt>
                <c:pt idx="428">
                  <c:v>6692</c:v>
                </c:pt>
                <c:pt idx="429">
                  <c:v>6724</c:v>
                </c:pt>
                <c:pt idx="430">
                  <c:v>6718</c:v>
                </c:pt>
                <c:pt idx="431">
                  <c:v>6710</c:v>
                </c:pt>
                <c:pt idx="432">
                  <c:v>6747</c:v>
                </c:pt>
                <c:pt idx="433">
                  <c:v>6806</c:v>
                </c:pt>
                <c:pt idx="434">
                  <c:v>6847</c:v>
                </c:pt>
                <c:pt idx="435">
                  <c:v>6859</c:v>
                </c:pt>
                <c:pt idx="436">
                  <c:v>6898</c:v>
                </c:pt>
                <c:pt idx="437">
                  <c:v>6926</c:v>
                </c:pt>
                <c:pt idx="438">
                  <c:v>6907</c:v>
                </c:pt>
                <c:pt idx="439">
                  <c:v>6868</c:v>
                </c:pt>
                <c:pt idx="440">
                  <c:v>6909</c:v>
                </c:pt>
                <c:pt idx="441">
                  <c:v>6871</c:v>
                </c:pt>
                <c:pt idx="442">
                  <c:v>6829</c:v>
                </c:pt>
                <c:pt idx="443">
                  <c:v>6776</c:v>
                </c:pt>
                <c:pt idx="444">
                  <c:v>6811</c:v>
                </c:pt>
                <c:pt idx="445">
                  <c:v>6815</c:v>
                </c:pt>
                <c:pt idx="446">
                  <c:v>6770</c:v>
                </c:pt>
                <c:pt idx="447">
                  <c:v>6769</c:v>
                </c:pt>
                <c:pt idx="448">
                  <c:v>6758</c:v>
                </c:pt>
                <c:pt idx="449">
                  <c:v>6682</c:v>
                </c:pt>
                <c:pt idx="450">
                  <c:v>6698</c:v>
                </c:pt>
                <c:pt idx="451">
                  <c:v>6686</c:v>
                </c:pt>
                <c:pt idx="452">
                  <c:v>6728</c:v>
                </c:pt>
                <c:pt idx="453">
                  <c:v>6709</c:v>
                </c:pt>
                <c:pt idx="454">
                  <c:v>6626</c:v>
                </c:pt>
                <c:pt idx="455">
                  <c:v>6602</c:v>
                </c:pt>
                <c:pt idx="456">
                  <c:v>6604</c:v>
                </c:pt>
                <c:pt idx="457">
                  <c:v>6641</c:v>
                </c:pt>
                <c:pt idx="458">
                  <c:v>6619</c:v>
                </c:pt>
                <c:pt idx="459">
                  <c:v>6595</c:v>
                </c:pt>
                <c:pt idx="460">
                  <c:v>6594</c:v>
                </c:pt>
                <c:pt idx="461">
                  <c:v>6632</c:v>
                </c:pt>
                <c:pt idx="462">
                  <c:v>6638</c:v>
                </c:pt>
                <c:pt idx="463">
                  <c:v>6684</c:v>
                </c:pt>
                <c:pt idx="464">
                  <c:v>6655</c:v>
                </c:pt>
                <c:pt idx="465">
                  <c:v>6617</c:v>
                </c:pt>
                <c:pt idx="466">
                  <c:v>6605</c:v>
                </c:pt>
                <c:pt idx="467">
                  <c:v>6606</c:v>
                </c:pt>
                <c:pt idx="468">
                  <c:v>6643</c:v>
                </c:pt>
                <c:pt idx="469">
                  <c:v>6650</c:v>
                </c:pt>
                <c:pt idx="470">
                  <c:v>6695</c:v>
                </c:pt>
                <c:pt idx="471">
                  <c:v>6698</c:v>
                </c:pt>
                <c:pt idx="472">
                  <c:v>6728</c:v>
                </c:pt>
                <c:pt idx="473">
                  <c:v>6694</c:v>
                </c:pt>
                <c:pt idx="474">
                  <c:v>6671</c:v>
                </c:pt>
                <c:pt idx="475">
                  <c:v>6631</c:v>
                </c:pt>
                <c:pt idx="476">
                  <c:v>6625</c:v>
                </c:pt>
                <c:pt idx="477">
                  <c:v>6570</c:v>
                </c:pt>
                <c:pt idx="478">
                  <c:v>6576</c:v>
                </c:pt>
                <c:pt idx="479">
                  <c:v>6619</c:v>
                </c:pt>
                <c:pt idx="480">
                  <c:v>6622</c:v>
                </c:pt>
                <c:pt idx="481">
                  <c:v>6651</c:v>
                </c:pt>
                <c:pt idx="482">
                  <c:v>6676</c:v>
                </c:pt>
                <c:pt idx="483">
                  <c:v>6678</c:v>
                </c:pt>
                <c:pt idx="484">
                  <c:v>6680</c:v>
                </c:pt>
                <c:pt idx="485">
                  <c:v>6681</c:v>
                </c:pt>
                <c:pt idx="486">
                  <c:v>6672</c:v>
                </c:pt>
                <c:pt idx="487">
                  <c:v>6676</c:v>
                </c:pt>
                <c:pt idx="488">
                  <c:v>6672</c:v>
                </c:pt>
                <c:pt idx="489">
                  <c:v>6658</c:v>
                </c:pt>
                <c:pt idx="490">
                  <c:v>6620</c:v>
                </c:pt>
                <c:pt idx="491">
                  <c:v>6584</c:v>
                </c:pt>
                <c:pt idx="492">
                  <c:v>6543</c:v>
                </c:pt>
                <c:pt idx="493">
                  <c:v>6504</c:v>
                </c:pt>
                <c:pt idx="494">
                  <c:v>6503</c:v>
                </c:pt>
                <c:pt idx="495">
                  <c:v>6432</c:v>
                </c:pt>
                <c:pt idx="496">
                  <c:v>6419</c:v>
                </c:pt>
                <c:pt idx="497">
                  <c:v>6466</c:v>
                </c:pt>
                <c:pt idx="498">
                  <c:v>6531</c:v>
                </c:pt>
                <c:pt idx="499">
                  <c:v>6549</c:v>
                </c:pt>
                <c:pt idx="500">
                  <c:v>6466</c:v>
                </c:pt>
                <c:pt idx="501">
                  <c:v>6544</c:v>
                </c:pt>
                <c:pt idx="502">
                  <c:v>6579</c:v>
                </c:pt>
                <c:pt idx="503">
                  <c:v>6581</c:v>
                </c:pt>
                <c:pt idx="504">
                  <c:v>6576</c:v>
                </c:pt>
                <c:pt idx="505">
                  <c:v>6596</c:v>
                </c:pt>
                <c:pt idx="506">
                  <c:v>6715</c:v>
                </c:pt>
                <c:pt idx="507">
                  <c:v>6667</c:v>
                </c:pt>
                <c:pt idx="508">
                  <c:v>6650</c:v>
                </c:pt>
                <c:pt idx="509">
                  <c:v>6758</c:v>
                </c:pt>
                <c:pt idx="510">
                  <c:v>6759</c:v>
                </c:pt>
                <c:pt idx="511">
                  <c:v>6763</c:v>
                </c:pt>
                <c:pt idx="512">
                  <c:v>6758</c:v>
                </c:pt>
                <c:pt idx="513">
                  <c:v>6703</c:v>
                </c:pt>
                <c:pt idx="514">
                  <c:v>6673</c:v>
                </c:pt>
                <c:pt idx="515">
                  <c:v>6692</c:v>
                </c:pt>
                <c:pt idx="516">
                  <c:v>6719</c:v>
                </c:pt>
                <c:pt idx="517">
                  <c:v>6732</c:v>
                </c:pt>
                <c:pt idx="518">
                  <c:v>6803</c:v>
                </c:pt>
                <c:pt idx="519">
                  <c:v>6803</c:v>
                </c:pt>
                <c:pt idx="520">
                  <c:v>6764</c:v>
                </c:pt>
                <c:pt idx="521">
                  <c:v>6721</c:v>
                </c:pt>
                <c:pt idx="522">
                  <c:v>6789</c:v>
                </c:pt>
                <c:pt idx="523">
                  <c:v>6758</c:v>
                </c:pt>
                <c:pt idx="524">
                  <c:v>6855</c:v>
                </c:pt>
                <c:pt idx="525">
                  <c:v>6904</c:v>
                </c:pt>
                <c:pt idx="526">
                  <c:v>6937</c:v>
                </c:pt>
                <c:pt idx="527">
                  <c:v>6922</c:v>
                </c:pt>
                <c:pt idx="528">
                  <c:v>6859</c:v>
                </c:pt>
                <c:pt idx="529">
                  <c:v>6893</c:v>
                </c:pt>
                <c:pt idx="530">
                  <c:v>6946</c:v>
                </c:pt>
                <c:pt idx="531">
                  <c:v>6932</c:v>
                </c:pt>
                <c:pt idx="532">
                  <c:v>6921</c:v>
                </c:pt>
                <c:pt idx="533">
                  <c:v>6876</c:v>
                </c:pt>
                <c:pt idx="534">
                  <c:v>6889</c:v>
                </c:pt>
                <c:pt idx="535">
                  <c:v>6886</c:v>
                </c:pt>
                <c:pt idx="536">
                  <c:v>6905</c:v>
                </c:pt>
                <c:pt idx="537">
                  <c:v>6924</c:v>
                </c:pt>
                <c:pt idx="538">
                  <c:v>6937</c:v>
                </c:pt>
                <c:pt idx="539">
                  <c:v>6956</c:v>
                </c:pt>
                <c:pt idx="540">
                  <c:v>7023</c:v>
                </c:pt>
                <c:pt idx="541">
                  <c:v>7035</c:v>
                </c:pt>
                <c:pt idx="542">
                  <c:v>7022</c:v>
                </c:pt>
                <c:pt idx="543">
                  <c:v>7007</c:v>
                </c:pt>
                <c:pt idx="544">
                  <c:v>6958</c:v>
                </c:pt>
                <c:pt idx="545">
                  <c:v>6994</c:v>
                </c:pt>
                <c:pt idx="546">
                  <c:v>6965</c:v>
                </c:pt>
                <c:pt idx="547">
                  <c:v>6964</c:v>
                </c:pt>
                <c:pt idx="548">
                  <c:v>6947</c:v>
                </c:pt>
                <c:pt idx="549">
                  <c:v>6922</c:v>
                </c:pt>
                <c:pt idx="550">
                  <c:v>6883</c:v>
                </c:pt>
                <c:pt idx="551">
                  <c:v>6901</c:v>
                </c:pt>
                <c:pt idx="552">
                  <c:v>6953</c:v>
                </c:pt>
                <c:pt idx="553">
                  <c:v>6933</c:v>
                </c:pt>
                <c:pt idx="554">
                  <c:v>6886</c:v>
                </c:pt>
                <c:pt idx="555">
                  <c:v>6853</c:v>
                </c:pt>
                <c:pt idx="556">
                  <c:v>6844</c:v>
                </c:pt>
                <c:pt idx="557">
                  <c:v>6835</c:v>
                </c:pt>
                <c:pt idx="558">
                  <c:v>6700</c:v>
                </c:pt>
                <c:pt idx="559">
                  <c:v>6742</c:v>
                </c:pt>
                <c:pt idx="560">
                  <c:v>6697</c:v>
                </c:pt>
                <c:pt idx="561">
                  <c:v>6681</c:v>
                </c:pt>
                <c:pt idx="562">
                  <c:v>6680</c:v>
                </c:pt>
                <c:pt idx="563">
                  <c:v>6642</c:v>
                </c:pt>
                <c:pt idx="564">
                  <c:v>6582</c:v>
                </c:pt>
                <c:pt idx="565">
                  <c:v>6638</c:v>
                </c:pt>
                <c:pt idx="566">
                  <c:v>6618</c:v>
                </c:pt>
                <c:pt idx="567">
                  <c:v>6666</c:v>
                </c:pt>
                <c:pt idx="568">
                  <c:v>6628</c:v>
                </c:pt>
                <c:pt idx="569">
                  <c:v>6557</c:v>
                </c:pt>
                <c:pt idx="570">
                  <c:v>6488</c:v>
                </c:pt>
                <c:pt idx="571">
                  <c:v>6499</c:v>
                </c:pt>
                <c:pt idx="572">
                  <c:v>6446</c:v>
                </c:pt>
                <c:pt idx="573">
                  <c:v>6461</c:v>
                </c:pt>
                <c:pt idx="574">
                  <c:v>6534</c:v>
                </c:pt>
                <c:pt idx="575">
                  <c:v>6493</c:v>
                </c:pt>
                <c:pt idx="576">
                  <c:v>6474</c:v>
                </c:pt>
                <c:pt idx="577">
                  <c:v>6381</c:v>
                </c:pt>
                <c:pt idx="578">
                  <c:v>6385</c:v>
                </c:pt>
                <c:pt idx="579">
                  <c:v>6406</c:v>
                </c:pt>
                <c:pt idx="580">
                  <c:v>6402</c:v>
                </c:pt>
                <c:pt idx="581">
                  <c:v>6357</c:v>
                </c:pt>
                <c:pt idx="582">
                  <c:v>6394</c:v>
                </c:pt>
                <c:pt idx="583">
                  <c:v>6349</c:v>
                </c:pt>
                <c:pt idx="584">
                  <c:v>6392</c:v>
                </c:pt>
                <c:pt idx="585">
                  <c:v>6433</c:v>
                </c:pt>
                <c:pt idx="586">
                  <c:v>6393</c:v>
                </c:pt>
                <c:pt idx="587">
                  <c:v>6437</c:v>
                </c:pt>
                <c:pt idx="588">
                  <c:v>6450</c:v>
                </c:pt>
                <c:pt idx="589">
                  <c:v>6388</c:v>
                </c:pt>
                <c:pt idx="590">
                  <c:v>6409</c:v>
                </c:pt>
                <c:pt idx="591">
                  <c:v>6436</c:v>
                </c:pt>
                <c:pt idx="592">
                  <c:v>6383</c:v>
                </c:pt>
                <c:pt idx="593">
                  <c:v>6390</c:v>
                </c:pt>
                <c:pt idx="594">
                  <c:v>6323</c:v>
                </c:pt>
                <c:pt idx="595">
                  <c:v>6374</c:v>
                </c:pt>
                <c:pt idx="596">
                  <c:v>6366</c:v>
                </c:pt>
                <c:pt idx="597">
                  <c:v>6347</c:v>
                </c:pt>
                <c:pt idx="598">
                  <c:v>6279</c:v>
                </c:pt>
                <c:pt idx="599">
                  <c:v>6292</c:v>
                </c:pt>
                <c:pt idx="600">
                  <c:v>6274</c:v>
                </c:pt>
                <c:pt idx="601">
                  <c:v>6258</c:v>
                </c:pt>
                <c:pt idx="602">
                  <c:v>6236</c:v>
                </c:pt>
                <c:pt idx="603">
                  <c:v>6255</c:v>
                </c:pt>
                <c:pt idx="604">
                  <c:v>6324</c:v>
                </c:pt>
                <c:pt idx="605">
                  <c:v>6277</c:v>
                </c:pt>
                <c:pt idx="606">
                  <c:v>6427</c:v>
                </c:pt>
                <c:pt idx="607">
                  <c:v>6413</c:v>
                </c:pt>
                <c:pt idx="608">
                  <c:v>6473</c:v>
                </c:pt>
                <c:pt idx="609">
                  <c:v>6424</c:v>
                </c:pt>
                <c:pt idx="610">
                  <c:v>6458</c:v>
                </c:pt>
                <c:pt idx="611">
                  <c:v>6440</c:v>
                </c:pt>
                <c:pt idx="612">
                  <c:v>6442</c:v>
                </c:pt>
                <c:pt idx="613">
                  <c:v>6438</c:v>
                </c:pt>
                <c:pt idx="614">
                  <c:v>6485</c:v>
                </c:pt>
                <c:pt idx="615">
                  <c:v>6526</c:v>
                </c:pt>
                <c:pt idx="616">
                  <c:v>6544</c:v>
                </c:pt>
                <c:pt idx="617">
                  <c:v>6556</c:v>
                </c:pt>
                <c:pt idx="618">
                  <c:v>6593</c:v>
                </c:pt>
                <c:pt idx="619">
                  <c:v>6561</c:v>
                </c:pt>
                <c:pt idx="620">
                  <c:v>6566</c:v>
                </c:pt>
                <c:pt idx="621">
                  <c:v>6495</c:v>
                </c:pt>
                <c:pt idx="622">
                  <c:v>6503</c:v>
                </c:pt>
                <c:pt idx="623">
                  <c:v>6380</c:v>
                </c:pt>
                <c:pt idx="624">
                  <c:v>6392</c:v>
                </c:pt>
                <c:pt idx="625">
                  <c:v>6375</c:v>
                </c:pt>
                <c:pt idx="626">
                  <c:v>6456</c:v>
                </c:pt>
                <c:pt idx="627">
                  <c:v>6448</c:v>
                </c:pt>
                <c:pt idx="628">
                  <c:v>6475</c:v>
                </c:pt>
                <c:pt idx="629">
                  <c:v>6462</c:v>
                </c:pt>
                <c:pt idx="630">
                  <c:v>6495</c:v>
                </c:pt>
                <c:pt idx="631">
                  <c:v>6512</c:v>
                </c:pt>
                <c:pt idx="632">
                  <c:v>6481</c:v>
                </c:pt>
                <c:pt idx="633">
                  <c:v>6474</c:v>
                </c:pt>
                <c:pt idx="634">
                  <c:v>6492</c:v>
                </c:pt>
                <c:pt idx="635">
                  <c:v>6507</c:v>
                </c:pt>
                <c:pt idx="636">
                  <c:v>6502</c:v>
                </c:pt>
                <c:pt idx="637">
                  <c:v>6468</c:v>
                </c:pt>
                <c:pt idx="638">
                  <c:v>6507</c:v>
                </c:pt>
                <c:pt idx="639">
                  <c:v>6519</c:v>
                </c:pt>
                <c:pt idx="640">
                  <c:v>6545</c:v>
                </c:pt>
                <c:pt idx="641">
                  <c:v>6529</c:v>
                </c:pt>
                <c:pt idx="642">
                  <c:v>6516</c:v>
                </c:pt>
                <c:pt idx="643">
                  <c:v>6484</c:v>
                </c:pt>
                <c:pt idx="644">
                  <c:v>6501</c:v>
                </c:pt>
                <c:pt idx="645">
                  <c:v>6572</c:v>
                </c:pt>
                <c:pt idx="646">
                  <c:v>6568</c:v>
                </c:pt>
                <c:pt idx="647">
                  <c:v>6569</c:v>
                </c:pt>
                <c:pt idx="648">
                  <c:v>6604</c:v>
                </c:pt>
                <c:pt idx="649">
                  <c:v>6641</c:v>
                </c:pt>
                <c:pt idx="650">
                  <c:v>6613</c:v>
                </c:pt>
                <c:pt idx="651">
                  <c:v>6622</c:v>
                </c:pt>
                <c:pt idx="652">
                  <c:v>6628</c:v>
                </c:pt>
                <c:pt idx="653">
                  <c:v>6654</c:v>
                </c:pt>
                <c:pt idx="654">
                  <c:v>6655</c:v>
                </c:pt>
                <c:pt idx="655">
                  <c:v>6593</c:v>
                </c:pt>
                <c:pt idx="656">
                  <c:v>6623</c:v>
                </c:pt>
                <c:pt idx="657">
                  <c:v>6587</c:v>
                </c:pt>
                <c:pt idx="658">
                  <c:v>6574</c:v>
                </c:pt>
                <c:pt idx="659">
                  <c:v>6562</c:v>
                </c:pt>
                <c:pt idx="660">
                  <c:v>6548</c:v>
                </c:pt>
                <c:pt idx="661">
                  <c:v>6534</c:v>
                </c:pt>
                <c:pt idx="662">
                  <c:v>6578</c:v>
                </c:pt>
                <c:pt idx="663">
                  <c:v>6561</c:v>
                </c:pt>
                <c:pt idx="664">
                  <c:v>6582</c:v>
                </c:pt>
                <c:pt idx="665">
                  <c:v>6572</c:v>
                </c:pt>
                <c:pt idx="666">
                  <c:v>6554</c:v>
                </c:pt>
                <c:pt idx="667">
                  <c:v>6549</c:v>
                </c:pt>
                <c:pt idx="668">
                  <c:v>6680</c:v>
                </c:pt>
                <c:pt idx="669">
                  <c:v>6703</c:v>
                </c:pt>
                <c:pt idx="670">
                  <c:v>6727</c:v>
                </c:pt>
                <c:pt idx="671">
                  <c:v>6859</c:v>
                </c:pt>
                <c:pt idx="672">
                  <c:v>6921</c:v>
                </c:pt>
                <c:pt idx="673">
                  <c:v>6914</c:v>
                </c:pt>
                <c:pt idx="674">
                  <c:v>6928</c:v>
                </c:pt>
                <c:pt idx="675">
                  <c:v>7066</c:v>
                </c:pt>
                <c:pt idx="676">
                  <c:v>7024</c:v>
                </c:pt>
                <c:pt idx="677">
                  <c:v>7098</c:v>
                </c:pt>
                <c:pt idx="678">
                  <c:v>7057</c:v>
                </c:pt>
                <c:pt idx="679">
                  <c:v>7142</c:v>
                </c:pt>
                <c:pt idx="680">
                  <c:v>7084</c:v>
                </c:pt>
                <c:pt idx="681">
                  <c:v>7005</c:v>
                </c:pt>
                <c:pt idx="682">
                  <c:v>6968</c:v>
                </c:pt>
                <c:pt idx="683">
                  <c:v>6958</c:v>
                </c:pt>
                <c:pt idx="684">
                  <c:v>6984</c:v>
                </c:pt>
                <c:pt idx="685">
                  <c:v>7042</c:v>
                </c:pt>
                <c:pt idx="686">
                  <c:v>7135</c:v>
                </c:pt>
                <c:pt idx="687">
                  <c:v>7164</c:v>
                </c:pt>
                <c:pt idx="688">
                  <c:v>7173</c:v>
                </c:pt>
                <c:pt idx="689">
                  <c:v>7213</c:v>
                </c:pt>
                <c:pt idx="690">
                  <c:v>7287</c:v>
                </c:pt>
                <c:pt idx="691">
                  <c:v>7276</c:v>
                </c:pt>
                <c:pt idx="692">
                  <c:v>7186</c:v>
                </c:pt>
                <c:pt idx="693">
                  <c:v>7230</c:v>
                </c:pt>
                <c:pt idx="694">
                  <c:v>7191</c:v>
                </c:pt>
                <c:pt idx="695">
                  <c:v>7170</c:v>
                </c:pt>
                <c:pt idx="696">
                  <c:v>7173</c:v>
                </c:pt>
                <c:pt idx="697">
                  <c:v>7107</c:v>
                </c:pt>
                <c:pt idx="698">
                  <c:v>7126</c:v>
                </c:pt>
                <c:pt idx="699">
                  <c:v>7013</c:v>
                </c:pt>
                <c:pt idx="700">
                  <c:v>7023</c:v>
                </c:pt>
                <c:pt idx="701">
                  <c:v>7040</c:v>
                </c:pt>
                <c:pt idx="702">
                  <c:v>7038</c:v>
                </c:pt>
                <c:pt idx="703">
                  <c:v>7035</c:v>
                </c:pt>
                <c:pt idx="704">
                  <c:v>7065</c:v>
                </c:pt>
                <c:pt idx="705">
                  <c:v>7094</c:v>
                </c:pt>
                <c:pt idx="706">
                  <c:v>7135</c:v>
                </c:pt>
                <c:pt idx="707">
                  <c:v>7131</c:v>
                </c:pt>
                <c:pt idx="708">
                  <c:v>7193</c:v>
                </c:pt>
                <c:pt idx="709">
                  <c:v>7198</c:v>
                </c:pt>
                <c:pt idx="710">
                  <c:v>7223</c:v>
                </c:pt>
                <c:pt idx="711">
                  <c:v>7181</c:v>
                </c:pt>
                <c:pt idx="712">
                  <c:v>7164</c:v>
                </c:pt>
                <c:pt idx="713">
                  <c:v>7170</c:v>
                </c:pt>
                <c:pt idx="714">
                  <c:v>7159</c:v>
                </c:pt>
                <c:pt idx="715">
                  <c:v>7204</c:v>
                </c:pt>
                <c:pt idx="716">
                  <c:v>7192</c:v>
                </c:pt>
                <c:pt idx="717">
                  <c:v>7223</c:v>
                </c:pt>
                <c:pt idx="718">
                  <c:v>7295</c:v>
                </c:pt>
                <c:pt idx="719">
                  <c:v>7362</c:v>
                </c:pt>
                <c:pt idx="720">
                  <c:v>7346</c:v>
                </c:pt>
                <c:pt idx="721">
                  <c:v>7340</c:v>
                </c:pt>
                <c:pt idx="722">
                  <c:v>7384</c:v>
                </c:pt>
                <c:pt idx="723">
                  <c:v>7445</c:v>
                </c:pt>
                <c:pt idx="724">
                  <c:v>7475</c:v>
                </c:pt>
                <c:pt idx="725">
                  <c:v>7428</c:v>
                </c:pt>
                <c:pt idx="726">
                  <c:v>7497</c:v>
                </c:pt>
                <c:pt idx="727">
                  <c:v>7542</c:v>
                </c:pt>
                <c:pt idx="728">
                  <c:v>7675</c:v>
                </c:pt>
                <c:pt idx="729">
                  <c:v>7620</c:v>
                </c:pt>
                <c:pt idx="730">
                  <c:v>7562</c:v>
                </c:pt>
                <c:pt idx="731">
                  <c:v>7564</c:v>
                </c:pt>
                <c:pt idx="732">
                  <c:v>7593</c:v>
                </c:pt>
                <c:pt idx="733">
                  <c:v>7711</c:v>
                </c:pt>
                <c:pt idx="734">
                  <c:v>7561</c:v>
                </c:pt>
                <c:pt idx="735">
                  <c:v>7628</c:v>
                </c:pt>
                <c:pt idx="736">
                  <c:v>7668</c:v>
                </c:pt>
                <c:pt idx="737">
                  <c:v>7675</c:v>
                </c:pt>
                <c:pt idx="738">
                  <c:v>7714</c:v>
                </c:pt>
                <c:pt idx="739">
                  <c:v>7726</c:v>
                </c:pt>
                <c:pt idx="740">
                  <c:v>7728</c:v>
                </c:pt>
                <c:pt idx="741">
                  <c:v>7695</c:v>
                </c:pt>
                <c:pt idx="742">
                  <c:v>7665</c:v>
                </c:pt>
                <c:pt idx="743">
                  <c:v>7661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6216172"/>
        <c:axId val="86197230"/>
      </c:lineChart>
      <c:dateAx>
        <c:axId val="762161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97230"/>
        <c:crosses val="autoZero"/>
        <c:auto val="1"/>
        <c:lblOffset val="100"/>
        <c:noMultiLvlLbl val="0"/>
      </c:dateAx>
      <c:valAx>
        <c:axId val="86197230"/>
        <c:scaling>
          <c:orientation val="minMax"/>
          <c:min val="5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Rs/quintal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161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Hedge effectiveness (variance reduction) by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'Results &amp; Charts'!B25</c:f>
              <c:strCache>
                <c:ptCount val="1"/>
                <c:pt idx="0">
                  <c:v>In-sample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'Results &amp; Charts'!$A$26:$A$28</c:f>
              <c:strCache>
                <c:ptCount val="3"/>
                <c:pt idx="0">
                  <c:v>OLS</c:v>
                </c:pt>
                <c:pt idx="1">
                  <c:v>Naive</c:v>
                </c:pt>
                <c:pt idx="2">
                  <c:v>GARCH</c:v>
                </c:pt>
              </c:strCache>
            </c:strRef>
          </c:cat>
          <c:val>
            <c:numRef>
              <c:f>'Results &amp; Charts'!$B$26:$B$28</c:f>
              <c:numCache>
                <c:formatCode>0.00%</c:formatCode>
                <c:ptCount val="3"/>
                <c:pt idx="0">
                  <c:v>0.0679289767629413</c:v>
                </c:pt>
                <c:pt idx="1">
                  <c:v>0.0409839823599275</c:v>
                </c:pt>
                <c:pt idx="2">
                  <c:v>0.0699037826715174</c:v>
                </c:pt>
              </c:numCache>
            </c:numRef>
          </c:val>
        </c:ser>
        <c:ser>
          <c:idx val="1"/>
          <c:order val="1"/>
          <c:tx>
            <c:strRef>
              <c:f>'Results &amp; Charts'!C25</c:f>
              <c:strCache>
                <c:ptCount val="1"/>
                <c:pt idx="0">
                  <c:v>Out-of-sample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'Results &amp; Charts'!$A$26:$A$28</c:f>
              <c:strCache>
                <c:ptCount val="3"/>
                <c:pt idx="0">
                  <c:v>OLS</c:v>
                </c:pt>
                <c:pt idx="1">
                  <c:v>Naive</c:v>
                </c:pt>
                <c:pt idx="2">
                  <c:v>GARCH</c:v>
                </c:pt>
              </c:strCache>
            </c:strRef>
          </c:cat>
          <c:val>
            <c:numRef>
              <c:f>'Results &amp; Charts'!$C$26:$C$28</c:f>
              <c:numCache>
                <c:formatCode>0.00%</c:formatCode>
                <c:ptCount val="3"/>
                <c:pt idx="0">
                  <c:v>0.0658785807042261</c:v>
                </c:pt>
                <c:pt idx="1">
                  <c:v>0.0425980562233861</c:v>
                </c:pt>
                <c:pt idx="2">
                  <c:v>0.070220655052004</c:v>
                </c:pt>
              </c:numCache>
            </c:numRef>
          </c:val>
        </c:ser>
        <c:gapWidth val="150"/>
        <c:overlap val="0"/>
        <c:axId val="9461796"/>
        <c:axId val="63608158"/>
      </c:barChart>
      <c:catAx>
        <c:axId val="94617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Model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08158"/>
        <c:crosses val="autoZero"/>
        <c:auto val="1"/>
        <c:lblAlgn val="ctr"/>
        <c:lblOffset val="100"/>
        <c:noMultiLvlLbl val="0"/>
      </c:catAx>
      <c:valAx>
        <c:axId val="636081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Variance reduction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17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Hedge ratio: GARCH h_t vs constant OLS h*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Analysis'!M4</c:f>
              <c:strCache>
                <c:ptCount val="1"/>
                <c:pt idx="0">
                  <c:v>GARCH h_t (Python, one-step-ahead)</c:v>
                </c:pt>
              </c:strCache>
            </c:strRef>
          </c:tx>
          <c:spPr>
            <a:solidFill>
              <a:srgbClr val="1f4e78"/>
            </a:solidFill>
            <a:ln w="28440">
              <a:noFill/>
            </a:ln>
          </c:spPr>
          <c:marker>
            <c:symbol val="circle"/>
            <c:size val="4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Analysis'!$A$5:$A$500</c:f>
              <c:numCache>
                <c:formatCode>mmm\-yy</c:formatCode>
                <c:ptCount val="496"/>
                <c:pt idx="0">
                  <c:v>2023-09-26</c:v>
                </c:pt>
                <c:pt idx="1">
                  <c:v>2023-10-03</c:v>
                </c:pt>
                <c:pt idx="2">
                  <c:v>2023-10-04</c:v>
                </c:pt>
                <c:pt idx="3">
                  <c:v>2023-10-05</c:v>
                </c:pt>
                <c:pt idx="4">
                  <c:v>2023-10-06</c:v>
                </c:pt>
                <c:pt idx="5">
                  <c:v>2023-10-09</c:v>
                </c:pt>
                <c:pt idx="6">
                  <c:v>2023-10-10</c:v>
                </c:pt>
                <c:pt idx="7">
                  <c:v>2023-10-11</c:v>
                </c:pt>
                <c:pt idx="8">
                  <c:v>2023-10-12</c:v>
                </c:pt>
                <c:pt idx="9">
                  <c:v>2023-10-13</c:v>
                </c:pt>
                <c:pt idx="10">
                  <c:v>2023-10-16</c:v>
                </c:pt>
                <c:pt idx="11">
                  <c:v>2023-10-19</c:v>
                </c:pt>
                <c:pt idx="12">
                  <c:v>2023-10-20</c:v>
                </c:pt>
                <c:pt idx="13">
                  <c:v>2023-10-23</c:v>
                </c:pt>
                <c:pt idx="14">
                  <c:v>2023-10-25</c:v>
                </c:pt>
                <c:pt idx="15">
                  <c:v>2023-10-26</c:v>
                </c:pt>
                <c:pt idx="16">
                  <c:v>2023-10-27</c:v>
                </c:pt>
                <c:pt idx="17">
                  <c:v>2023-10-30</c:v>
                </c:pt>
                <c:pt idx="18">
                  <c:v>2023-10-31</c:v>
                </c:pt>
                <c:pt idx="19">
                  <c:v>2023-11-01</c:v>
                </c:pt>
                <c:pt idx="20">
                  <c:v>2023-11-02</c:v>
                </c:pt>
                <c:pt idx="21">
                  <c:v>2023-11-21</c:v>
                </c:pt>
                <c:pt idx="22">
                  <c:v>2023-11-22</c:v>
                </c:pt>
                <c:pt idx="23">
                  <c:v>2023-11-23</c:v>
                </c:pt>
                <c:pt idx="24">
                  <c:v>2023-11-24</c:v>
                </c:pt>
                <c:pt idx="25">
                  <c:v>2023-11-28</c:v>
                </c:pt>
                <c:pt idx="26">
                  <c:v>2023-11-29</c:v>
                </c:pt>
                <c:pt idx="27">
                  <c:v>2023-11-30</c:v>
                </c:pt>
                <c:pt idx="28">
                  <c:v>2023-12-01</c:v>
                </c:pt>
                <c:pt idx="29">
                  <c:v>2023-12-04</c:v>
                </c:pt>
                <c:pt idx="30">
                  <c:v>2023-12-07</c:v>
                </c:pt>
                <c:pt idx="31">
                  <c:v>2023-12-12</c:v>
                </c:pt>
                <c:pt idx="32">
                  <c:v>2023-12-15</c:v>
                </c:pt>
                <c:pt idx="33">
                  <c:v>2023-12-27</c:v>
                </c:pt>
                <c:pt idx="34">
                  <c:v>2024-01-05</c:v>
                </c:pt>
                <c:pt idx="35">
                  <c:v>2024-01-08</c:v>
                </c:pt>
                <c:pt idx="36">
                  <c:v>2024-01-09</c:v>
                </c:pt>
                <c:pt idx="37">
                  <c:v>2024-01-10</c:v>
                </c:pt>
                <c:pt idx="38">
                  <c:v>2024-01-11</c:v>
                </c:pt>
                <c:pt idx="39">
                  <c:v>2024-01-17</c:v>
                </c:pt>
                <c:pt idx="40">
                  <c:v>2024-01-18</c:v>
                </c:pt>
                <c:pt idx="41">
                  <c:v>2024-01-25</c:v>
                </c:pt>
                <c:pt idx="42">
                  <c:v>2024-01-29</c:v>
                </c:pt>
                <c:pt idx="43">
                  <c:v>2024-01-30</c:v>
                </c:pt>
                <c:pt idx="44">
                  <c:v>2024-01-31</c:v>
                </c:pt>
                <c:pt idx="45">
                  <c:v>2024-02-01</c:v>
                </c:pt>
                <c:pt idx="46">
                  <c:v>2024-02-02</c:v>
                </c:pt>
                <c:pt idx="47">
                  <c:v>2024-02-05</c:v>
                </c:pt>
                <c:pt idx="48">
                  <c:v>2024-02-06</c:v>
                </c:pt>
                <c:pt idx="49">
                  <c:v>2024-02-07</c:v>
                </c:pt>
                <c:pt idx="50">
                  <c:v>2024-02-08</c:v>
                </c:pt>
                <c:pt idx="51">
                  <c:v>2024-02-09</c:v>
                </c:pt>
                <c:pt idx="52">
                  <c:v>2024-02-12</c:v>
                </c:pt>
                <c:pt idx="53">
                  <c:v>2024-02-15</c:v>
                </c:pt>
                <c:pt idx="54">
                  <c:v>2024-02-16</c:v>
                </c:pt>
                <c:pt idx="55">
                  <c:v>2024-02-19</c:v>
                </c:pt>
                <c:pt idx="56">
                  <c:v>2024-02-20</c:v>
                </c:pt>
                <c:pt idx="57">
                  <c:v>2024-02-21</c:v>
                </c:pt>
                <c:pt idx="58">
                  <c:v>2024-02-22</c:v>
                </c:pt>
                <c:pt idx="59">
                  <c:v>2024-02-23</c:v>
                </c:pt>
                <c:pt idx="60">
                  <c:v>2024-02-26</c:v>
                </c:pt>
                <c:pt idx="61">
                  <c:v>2024-02-27</c:v>
                </c:pt>
                <c:pt idx="62">
                  <c:v>2024-02-28</c:v>
                </c:pt>
                <c:pt idx="63">
                  <c:v>2024-03-05</c:v>
                </c:pt>
                <c:pt idx="64">
                  <c:v>2024-03-11</c:v>
                </c:pt>
                <c:pt idx="65">
                  <c:v>2024-03-12</c:v>
                </c:pt>
                <c:pt idx="66">
                  <c:v>2024-03-13</c:v>
                </c:pt>
                <c:pt idx="67">
                  <c:v>2024-03-14</c:v>
                </c:pt>
                <c:pt idx="68">
                  <c:v>2024-03-15</c:v>
                </c:pt>
                <c:pt idx="69">
                  <c:v>2024-03-18</c:v>
                </c:pt>
                <c:pt idx="70">
                  <c:v>2024-03-19</c:v>
                </c:pt>
                <c:pt idx="71">
                  <c:v>2024-03-22</c:v>
                </c:pt>
                <c:pt idx="72">
                  <c:v>2024-03-28</c:v>
                </c:pt>
                <c:pt idx="73">
                  <c:v>2024-04-01</c:v>
                </c:pt>
                <c:pt idx="74">
                  <c:v>2024-04-02</c:v>
                </c:pt>
                <c:pt idx="75">
                  <c:v>2024-04-03</c:v>
                </c:pt>
                <c:pt idx="76">
                  <c:v>2024-04-04</c:v>
                </c:pt>
                <c:pt idx="77">
                  <c:v>2024-04-05</c:v>
                </c:pt>
                <c:pt idx="78">
                  <c:v>2024-04-08</c:v>
                </c:pt>
                <c:pt idx="79">
                  <c:v>2024-04-15</c:v>
                </c:pt>
                <c:pt idx="80">
                  <c:v>2024-04-16</c:v>
                </c:pt>
                <c:pt idx="81">
                  <c:v>2024-04-18</c:v>
                </c:pt>
                <c:pt idx="82">
                  <c:v>2024-04-23</c:v>
                </c:pt>
                <c:pt idx="83">
                  <c:v>2024-04-24</c:v>
                </c:pt>
                <c:pt idx="84">
                  <c:v>2024-04-25</c:v>
                </c:pt>
                <c:pt idx="85">
                  <c:v>2024-04-26</c:v>
                </c:pt>
                <c:pt idx="86">
                  <c:v>2024-12-05</c:v>
                </c:pt>
                <c:pt idx="87">
                  <c:v>2024-12-06</c:v>
                </c:pt>
                <c:pt idx="88">
                  <c:v>2024-12-09</c:v>
                </c:pt>
                <c:pt idx="89">
                  <c:v>2024-12-10</c:v>
                </c:pt>
                <c:pt idx="90">
                  <c:v>2024-12-11</c:v>
                </c:pt>
                <c:pt idx="91">
                  <c:v>2024-12-12</c:v>
                </c:pt>
                <c:pt idx="92">
                  <c:v>2024-12-13</c:v>
                </c:pt>
                <c:pt idx="93">
                  <c:v>2024-12-16</c:v>
                </c:pt>
                <c:pt idx="94">
                  <c:v>2024-12-17</c:v>
                </c:pt>
                <c:pt idx="95">
                  <c:v>2024-12-18</c:v>
                </c:pt>
                <c:pt idx="96">
                  <c:v>2024-12-19</c:v>
                </c:pt>
                <c:pt idx="97">
                  <c:v>2024-12-20</c:v>
                </c:pt>
                <c:pt idx="98">
                  <c:v>2024-12-23</c:v>
                </c:pt>
                <c:pt idx="99">
                  <c:v>2024-12-24</c:v>
                </c:pt>
                <c:pt idx="100">
                  <c:v>2024-12-26</c:v>
                </c:pt>
                <c:pt idx="101">
                  <c:v>2024-12-27</c:v>
                </c:pt>
                <c:pt idx="102">
                  <c:v>2024-12-30</c:v>
                </c:pt>
                <c:pt idx="103">
                  <c:v>2024-12-31</c:v>
                </c:pt>
                <c:pt idx="104">
                  <c:v>2025-01-01</c:v>
                </c:pt>
                <c:pt idx="105">
                  <c:v>2025-01-02</c:v>
                </c:pt>
                <c:pt idx="106">
                  <c:v>2025-01-03</c:v>
                </c:pt>
                <c:pt idx="107">
                  <c:v>2025-01-06</c:v>
                </c:pt>
                <c:pt idx="108">
                  <c:v>2025-01-07</c:v>
                </c:pt>
                <c:pt idx="109">
                  <c:v>2025-01-08</c:v>
                </c:pt>
                <c:pt idx="110">
                  <c:v>2025-01-09</c:v>
                </c:pt>
                <c:pt idx="111">
                  <c:v>2025-01-10</c:v>
                </c:pt>
                <c:pt idx="112">
                  <c:v>2025-01-13</c:v>
                </c:pt>
                <c:pt idx="113">
                  <c:v>2025-01-16</c:v>
                </c:pt>
                <c:pt idx="114">
                  <c:v>2025-01-17</c:v>
                </c:pt>
                <c:pt idx="115">
                  <c:v>2025-01-20</c:v>
                </c:pt>
                <c:pt idx="116">
                  <c:v>2025-01-21</c:v>
                </c:pt>
                <c:pt idx="117">
                  <c:v>2025-01-22</c:v>
                </c:pt>
                <c:pt idx="118">
                  <c:v>2025-01-23</c:v>
                </c:pt>
                <c:pt idx="119">
                  <c:v>2025-01-24</c:v>
                </c:pt>
                <c:pt idx="120">
                  <c:v>2025-01-27</c:v>
                </c:pt>
                <c:pt idx="121">
                  <c:v>2025-01-28</c:v>
                </c:pt>
                <c:pt idx="122">
                  <c:v>2025-01-29</c:v>
                </c:pt>
                <c:pt idx="123">
                  <c:v>2025-01-30</c:v>
                </c:pt>
                <c:pt idx="124">
                  <c:v>2025-01-31</c:v>
                </c:pt>
                <c:pt idx="125">
                  <c:v>2025-02-04</c:v>
                </c:pt>
                <c:pt idx="126">
                  <c:v>2025-02-05</c:v>
                </c:pt>
                <c:pt idx="127">
                  <c:v>2025-02-06</c:v>
                </c:pt>
                <c:pt idx="128">
                  <c:v>2025-02-07</c:v>
                </c:pt>
                <c:pt idx="129">
                  <c:v>2025-02-10</c:v>
                </c:pt>
                <c:pt idx="130">
                  <c:v>2025-02-11</c:v>
                </c:pt>
                <c:pt idx="131">
                  <c:v>2025-02-12</c:v>
                </c:pt>
                <c:pt idx="132">
                  <c:v>2025-02-13</c:v>
                </c:pt>
                <c:pt idx="133">
                  <c:v>2025-02-14</c:v>
                </c:pt>
                <c:pt idx="134">
                  <c:v>2025-02-17</c:v>
                </c:pt>
                <c:pt idx="135">
                  <c:v>2025-02-18</c:v>
                </c:pt>
                <c:pt idx="136">
                  <c:v>2025-02-19</c:v>
                </c:pt>
                <c:pt idx="137">
                  <c:v>2025-02-20</c:v>
                </c:pt>
                <c:pt idx="138">
                  <c:v>2025-02-21</c:v>
                </c:pt>
                <c:pt idx="139">
                  <c:v>2025-02-24</c:v>
                </c:pt>
                <c:pt idx="140">
                  <c:v>2025-02-25</c:v>
                </c:pt>
                <c:pt idx="141">
                  <c:v>2025-02-27</c:v>
                </c:pt>
                <c:pt idx="142">
                  <c:v>2025-02-28</c:v>
                </c:pt>
                <c:pt idx="143">
                  <c:v>2025-03-03</c:v>
                </c:pt>
                <c:pt idx="144">
                  <c:v>2025-03-04</c:v>
                </c:pt>
                <c:pt idx="145">
                  <c:v>2025-03-05</c:v>
                </c:pt>
                <c:pt idx="146">
                  <c:v>2025-03-06</c:v>
                </c:pt>
                <c:pt idx="147">
                  <c:v>2025-03-07</c:v>
                </c:pt>
                <c:pt idx="148">
                  <c:v>2025-03-10</c:v>
                </c:pt>
                <c:pt idx="149">
                  <c:v>2025-03-11</c:v>
                </c:pt>
                <c:pt idx="150">
                  <c:v>2025-03-12</c:v>
                </c:pt>
                <c:pt idx="151">
                  <c:v>2025-03-13</c:v>
                </c:pt>
                <c:pt idx="152">
                  <c:v>2025-03-17</c:v>
                </c:pt>
                <c:pt idx="153">
                  <c:v>2025-03-18</c:v>
                </c:pt>
                <c:pt idx="154">
                  <c:v>2025-03-19</c:v>
                </c:pt>
                <c:pt idx="155">
                  <c:v>2025-03-20</c:v>
                </c:pt>
                <c:pt idx="156">
                  <c:v>2025-03-21</c:v>
                </c:pt>
                <c:pt idx="157">
                  <c:v>2025-03-24</c:v>
                </c:pt>
                <c:pt idx="158">
                  <c:v>2025-03-25</c:v>
                </c:pt>
                <c:pt idx="159">
                  <c:v>2025-03-26</c:v>
                </c:pt>
                <c:pt idx="160">
                  <c:v>2025-03-27</c:v>
                </c:pt>
                <c:pt idx="161">
                  <c:v>2025-04-02</c:v>
                </c:pt>
                <c:pt idx="162">
                  <c:v>2025-04-03</c:v>
                </c:pt>
                <c:pt idx="163">
                  <c:v>2025-04-04</c:v>
                </c:pt>
                <c:pt idx="164">
                  <c:v>2025-04-07</c:v>
                </c:pt>
                <c:pt idx="165">
                  <c:v>2025-04-08</c:v>
                </c:pt>
                <c:pt idx="166">
                  <c:v>2025-04-15</c:v>
                </c:pt>
                <c:pt idx="167">
                  <c:v>2025-04-16</c:v>
                </c:pt>
                <c:pt idx="168">
                  <c:v>2025-04-17</c:v>
                </c:pt>
                <c:pt idx="169">
                  <c:v>2025-04-21</c:v>
                </c:pt>
                <c:pt idx="170">
                  <c:v>2025-04-22</c:v>
                </c:pt>
                <c:pt idx="171">
                  <c:v>2025-04-23</c:v>
                </c:pt>
                <c:pt idx="172">
                  <c:v>2025-04-24</c:v>
                </c:pt>
                <c:pt idx="173">
                  <c:v>2025-04-25</c:v>
                </c:pt>
                <c:pt idx="174">
                  <c:v>2025-04-28</c:v>
                </c:pt>
                <c:pt idx="175">
                  <c:v>2025-04-29</c:v>
                </c:pt>
                <c:pt idx="176">
                  <c:v>2025-04-30</c:v>
                </c:pt>
                <c:pt idx="177">
                  <c:v>2025-05-02</c:v>
                </c:pt>
                <c:pt idx="178">
                  <c:v>2025-05-05</c:v>
                </c:pt>
                <c:pt idx="179">
                  <c:v>2025-05-06</c:v>
                </c:pt>
                <c:pt idx="180">
                  <c:v>2025-05-07</c:v>
                </c:pt>
                <c:pt idx="181">
                  <c:v>2025-05-08</c:v>
                </c:pt>
                <c:pt idx="182">
                  <c:v>2025-05-09</c:v>
                </c:pt>
                <c:pt idx="183">
                  <c:v>2025-05-12</c:v>
                </c:pt>
                <c:pt idx="184">
                  <c:v>2025-05-13</c:v>
                </c:pt>
                <c:pt idx="185">
                  <c:v>2025-05-14</c:v>
                </c:pt>
                <c:pt idx="186">
                  <c:v>2025-05-15</c:v>
                </c:pt>
                <c:pt idx="187">
                  <c:v>2025-05-16</c:v>
                </c:pt>
                <c:pt idx="188">
                  <c:v>2025-05-19</c:v>
                </c:pt>
                <c:pt idx="189">
                  <c:v>2025-05-20</c:v>
                </c:pt>
                <c:pt idx="190">
                  <c:v>2025-05-21</c:v>
                </c:pt>
                <c:pt idx="191">
                  <c:v>2025-05-22</c:v>
                </c:pt>
                <c:pt idx="192">
                  <c:v>2025-05-23</c:v>
                </c:pt>
                <c:pt idx="193">
                  <c:v>2025-05-26</c:v>
                </c:pt>
                <c:pt idx="194">
                  <c:v>2025-05-27</c:v>
                </c:pt>
                <c:pt idx="195">
                  <c:v>2025-05-28</c:v>
                </c:pt>
                <c:pt idx="196">
                  <c:v>2025-05-29</c:v>
                </c:pt>
                <c:pt idx="197">
                  <c:v>2025-05-30</c:v>
                </c:pt>
                <c:pt idx="198">
                  <c:v>2025-06-02</c:v>
                </c:pt>
                <c:pt idx="199">
                  <c:v>2025-06-03</c:v>
                </c:pt>
                <c:pt idx="200">
                  <c:v>2025-06-04</c:v>
                </c:pt>
                <c:pt idx="201">
                  <c:v>2025-06-05</c:v>
                </c:pt>
                <c:pt idx="202">
                  <c:v>2025-06-06</c:v>
                </c:pt>
                <c:pt idx="203">
                  <c:v>2025-06-09</c:v>
                </c:pt>
                <c:pt idx="204">
                  <c:v>2025-06-10</c:v>
                </c:pt>
                <c:pt idx="205">
                  <c:v>2025-06-11</c:v>
                </c:pt>
                <c:pt idx="206">
                  <c:v>2025-06-12</c:v>
                </c:pt>
                <c:pt idx="207">
                  <c:v>2025-06-13</c:v>
                </c:pt>
                <c:pt idx="208">
                  <c:v>2025-06-16</c:v>
                </c:pt>
                <c:pt idx="209">
                  <c:v>2025-06-17</c:v>
                </c:pt>
                <c:pt idx="210">
                  <c:v>2025-06-18</c:v>
                </c:pt>
                <c:pt idx="211">
                  <c:v>2025-06-19</c:v>
                </c:pt>
                <c:pt idx="212">
                  <c:v>2025-06-20</c:v>
                </c:pt>
                <c:pt idx="213">
                  <c:v>2025-06-23</c:v>
                </c:pt>
                <c:pt idx="214">
                  <c:v>2025-06-24</c:v>
                </c:pt>
                <c:pt idx="215">
                  <c:v>2025-06-25</c:v>
                </c:pt>
                <c:pt idx="216">
                  <c:v>2025-06-26</c:v>
                </c:pt>
                <c:pt idx="217">
                  <c:v>2025-06-27</c:v>
                </c:pt>
                <c:pt idx="218">
                  <c:v>2025-06-30</c:v>
                </c:pt>
                <c:pt idx="219">
                  <c:v>2025-07-01</c:v>
                </c:pt>
                <c:pt idx="220">
                  <c:v>2025-07-02</c:v>
                </c:pt>
                <c:pt idx="221">
                  <c:v>2025-07-03</c:v>
                </c:pt>
                <c:pt idx="222">
                  <c:v>2025-07-04</c:v>
                </c:pt>
                <c:pt idx="223">
                  <c:v>2025-07-07</c:v>
                </c:pt>
                <c:pt idx="224">
                  <c:v>2025-07-08</c:v>
                </c:pt>
                <c:pt idx="225">
                  <c:v>2025-07-09</c:v>
                </c:pt>
                <c:pt idx="226">
                  <c:v>2025-07-10</c:v>
                </c:pt>
                <c:pt idx="227">
                  <c:v>2025-07-11</c:v>
                </c:pt>
                <c:pt idx="228">
                  <c:v>2025-07-14</c:v>
                </c:pt>
                <c:pt idx="229">
                  <c:v>2025-07-15</c:v>
                </c:pt>
                <c:pt idx="230">
                  <c:v>2025-07-16</c:v>
                </c:pt>
                <c:pt idx="231">
                  <c:v>2025-07-17</c:v>
                </c:pt>
                <c:pt idx="232">
                  <c:v>2025-07-18</c:v>
                </c:pt>
                <c:pt idx="233">
                  <c:v>2025-07-21</c:v>
                </c:pt>
                <c:pt idx="234">
                  <c:v>2025-07-22</c:v>
                </c:pt>
                <c:pt idx="235">
                  <c:v>2025-07-23</c:v>
                </c:pt>
                <c:pt idx="236">
                  <c:v>2025-07-24</c:v>
                </c:pt>
                <c:pt idx="237">
                  <c:v>2025-07-25</c:v>
                </c:pt>
                <c:pt idx="238">
                  <c:v>2025-07-28</c:v>
                </c:pt>
                <c:pt idx="239">
                  <c:v>2025-07-29</c:v>
                </c:pt>
                <c:pt idx="240">
                  <c:v>2025-07-30</c:v>
                </c:pt>
                <c:pt idx="241">
                  <c:v>2025-07-31</c:v>
                </c:pt>
                <c:pt idx="242">
                  <c:v>2025-08-01</c:v>
                </c:pt>
                <c:pt idx="243">
                  <c:v>2025-08-04</c:v>
                </c:pt>
                <c:pt idx="244">
                  <c:v>2025-08-05</c:v>
                </c:pt>
                <c:pt idx="245">
                  <c:v>2025-08-06</c:v>
                </c:pt>
                <c:pt idx="246">
                  <c:v>2025-08-07</c:v>
                </c:pt>
                <c:pt idx="247">
                  <c:v>2025-08-08</c:v>
                </c:pt>
                <c:pt idx="248">
                  <c:v>2025-08-11</c:v>
                </c:pt>
                <c:pt idx="249">
                  <c:v>2025-08-12</c:v>
                </c:pt>
                <c:pt idx="250">
                  <c:v>2025-08-13</c:v>
                </c:pt>
                <c:pt idx="251">
                  <c:v>2025-08-14</c:v>
                </c:pt>
                <c:pt idx="252">
                  <c:v>2025-08-18</c:v>
                </c:pt>
                <c:pt idx="253">
                  <c:v>2025-08-21</c:v>
                </c:pt>
                <c:pt idx="254">
                  <c:v>2025-08-22</c:v>
                </c:pt>
                <c:pt idx="255">
                  <c:v>2025-08-25</c:v>
                </c:pt>
                <c:pt idx="256">
                  <c:v>2025-08-26</c:v>
                </c:pt>
                <c:pt idx="257">
                  <c:v>2025-08-28</c:v>
                </c:pt>
                <c:pt idx="258">
                  <c:v>2025-08-29</c:v>
                </c:pt>
                <c:pt idx="259">
                  <c:v>2025-09-01</c:v>
                </c:pt>
                <c:pt idx="260">
                  <c:v>2025-09-02</c:v>
                </c:pt>
                <c:pt idx="261">
                  <c:v>2025-09-03</c:v>
                </c:pt>
                <c:pt idx="262">
                  <c:v>2025-09-04</c:v>
                </c:pt>
                <c:pt idx="263">
                  <c:v>2025-09-09</c:v>
                </c:pt>
                <c:pt idx="264">
                  <c:v>2025-09-10</c:v>
                </c:pt>
                <c:pt idx="265">
                  <c:v>2025-09-11</c:v>
                </c:pt>
                <c:pt idx="266">
                  <c:v>2025-09-12</c:v>
                </c:pt>
                <c:pt idx="267">
                  <c:v>2025-09-15</c:v>
                </c:pt>
                <c:pt idx="268">
                  <c:v>2025-09-16</c:v>
                </c:pt>
                <c:pt idx="269">
                  <c:v>2025-09-17</c:v>
                </c:pt>
                <c:pt idx="270">
                  <c:v>2025-09-18</c:v>
                </c:pt>
                <c:pt idx="271">
                  <c:v>2025-09-19</c:v>
                </c:pt>
                <c:pt idx="272">
                  <c:v>2025-09-22</c:v>
                </c:pt>
                <c:pt idx="273">
                  <c:v>2025-09-23</c:v>
                </c:pt>
                <c:pt idx="274">
                  <c:v>2025-09-26</c:v>
                </c:pt>
                <c:pt idx="275">
                  <c:v>2025-10-01</c:v>
                </c:pt>
                <c:pt idx="276">
                  <c:v>2025-10-03</c:v>
                </c:pt>
                <c:pt idx="277">
                  <c:v>2025-10-06</c:v>
                </c:pt>
                <c:pt idx="278">
                  <c:v>2025-10-07</c:v>
                </c:pt>
                <c:pt idx="279">
                  <c:v>2025-10-08</c:v>
                </c:pt>
                <c:pt idx="280">
                  <c:v>2025-10-09</c:v>
                </c:pt>
                <c:pt idx="281">
                  <c:v>2025-10-10</c:v>
                </c:pt>
                <c:pt idx="282">
                  <c:v>2025-10-13</c:v>
                </c:pt>
                <c:pt idx="283">
                  <c:v>2025-10-14</c:v>
                </c:pt>
                <c:pt idx="284">
                  <c:v>2025-10-15</c:v>
                </c:pt>
                <c:pt idx="285">
                  <c:v>2025-10-16</c:v>
                </c:pt>
                <c:pt idx="286">
                  <c:v>2025-10-17</c:v>
                </c:pt>
                <c:pt idx="287">
                  <c:v>2025-10-28</c:v>
                </c:pt>
                <c:pt idx="288">
                  <c:v>2025-10-29</c:v>
                </c:pt>
                <c:pt idx="289">
                  <c:v>2025-10-30</c:v>
                </c:pt>
                <c:pt idx="290">
                  <c:v>2025-10-31</c:v>
                </c:pt>
                <c:pt idx="291">
                  <c:v>2025-11-03</c:v>
                </c:pt>
                <c:pt idx="292">
                  <c:v>2025-11-04</c:v>
                </c:pt>
                <c:pt idx="293">
                  <c:v>2025-11-06</c:v>
                </c:pt>
                <c:pt idx="294">
                  <c:v>2025-11-07</c:v>
                </c:pt>
                <c:pt idx="295">
                  <c:v>2025-11-10</c:v>
                </c:pt>
                <c:pt idx="296">
                  <c:v>2025-11-11</c:v>
                </c:pt>
                <c:pt idx="297">
                  <c:v>2025-11-12</c:v>
                </c:pt>
                <c:pt idx="298">
                  <c:v>2025-11-13</c:v>
                </c:pt>
                <c:pt idx="299">
                  <c:v>2025-11-14</c:v>
                </c:pt>
                <c:pt idx="300">
                  <c:v>2025-11-17</c:v>
                </c:pt>
                <c:pt idx="301">
                  <c:v>2025-11-18</c:v>
                </c:pt>
                <c:pt idx="302">
                  <c:v>2025-11-19</c:v>
                </c:pt>
                <c:pt idx="303">
                  <c:v>2025-11-20</c:v>
                </c:pt>
                <c:pt idx="304">
                  <c:v>2025-11-21</c:v>
                </c:pt>
                <c:pt idx="305">
                  <c:v>2025-11-24</c:v>
                </c:pt>
                <c:pt idx="306">
                  <c:v>2025-11-25</c:v>
                </c:pt>
                <c:pt idx="307">
                  <c:v>2025-11-26</c:v>
                </c:pt>
                <c:pt idx="308">
                  <c:v>2025-11-27</c:v>
                </c:pt>
                <c:pt idx="309">
                  <c:v>2025-11-28</c:v>
                </c:pt>
                <c:pt idx="310">
                  <c:v>2025-12-01</c:v>
                </c:pt>
                <c:pt idx="311">
                  <c:v>2025-12-02</c:v>
                </c:pt>
                <c:pt idx="312">
                  <c:v>2025-12-03</c:v>
                </c:pt>
                <c:pt idx="313">
                  <c:v>2025-12-04</c:v>
                </c:pt>
                <c:pt idx="314">
                  <c:v>2025-12-05</c:v>
                </c:pt>
                <c:pt idx="315">
                  <c:v>2025-12-08</c:v>
                </c:pt>
                <c:pt idx="316">
                  <c:v>2025-12-09</c:v>
                </c:pt>
                <c:pt idx="317">
                  <c:v>2025-12-10</c:v>
                </c:pt>
                <c:pt idx="318">
                  <c:v>2025-12-11</c:v>
                </c:pt>
                <c:pt idx="319">
                  <c:v>2025-12-12</c:v>
                </c:pt>
                <c:pt idx="320">
                  <c:v>2025-12-15</c:v>
                </c:pt>
                <c:pt idx="321">
                  <c:v>2025-12-16</c:v>
                </c:pt>
                <c:pt idx="322">
                  <c:v>2025-12-17</c:v>
                </c:pt>
                <c:pt idx="323">
                  <c:v>2025-12-18</c:v>
                </c:pt>
                <c:pt idx="324">
                  <c:v>2025-12-19</c:v>
                </c:pt>
                <c:pt idx="325">
                  <c:v>2025-12-22</c:v>
                </c:pt>
                <c:pt idx="326">
                  <c:v>2025-12-23</c:v>
                </c:pt>
                <c:pt idx="327">
                  <c:v>2025-12-24</c:v>
                </c:pt>
                <c:pt idx="328">
                  <c:v>2025-12-26</c:v>
                </c:pt>
                <c:pt idx="329">
                  <c:v>2025-12-29</c:v>
                </c:pt>
                <c:pt idx="330">
                  <c:v>2025-12-30</c:v>
                </c:pt>
                <c:pt idx="331">
                  <c:v>2025-12-31</c:v>
                </c:pt>
                <c:pt idx="332">
                  <c:v>2026-01-01</c:v>
                </c:pt>
                <c:pt idx="333">
                  <c:v>2026-01-02</c:v>
                </c:pt>
                <c:pt idx="334">
                  <c:v>2026-01-05</c:v>
                </c:pt>
                <c:pt idx="335">
                  <c:v>2026-01-06</c:v>
                </c:pt>
                <c:pt idx="336">
                  <c:v>2026-01-07</c:v>
                </c:pt>
                <c:pt idx="337">
                  <c:v>2026-01-08</c:v>
                </c:pt>
                <c:pt idx="338">
                  <c:v>2026-01-09</c:v>
                </c:pt>
                <c:pt idx="339">
                  <c:v>2026-01-12</c:v>
                </c:pt>
                <c:pt idx="340">
                  <c:v>2026-01-13</c:v>
                </c:pt>
                <c:pt idx="341">
                  <c:v>2026-01-19</c:v>
                </c:pt>
                <c:pt idx="342">
                  <c:v>2026-01-20</c:v>
                </c:pt>
                <c:pt idx="343">
                  <c:v>2026-01-21</c:v>
                </c:pt>
                <c:pt idx="344">
                  <c:v>2026-01-22</c:v>
                </c:pt>
                <c:pt idx="345">
                  <c:v>2026-01-23</c:v>
                </c:pt>
                <c:pt idx="346">
                  <c:v>2026-01-27</c:v>
                </c:pt>
                <c:pt idx="347">
                  <c:v>2026-01-28</c:v>
                </c:pt>
                <c:pt idx="348">
                  <c:v>2026-01-29</c:v>
                </c:pt>
                <c:pt idx="349">
                  <c:v>2026-01-30</c:v>
                </c:pt>
                <c:pt idx="350">
                  <c:v>2026-02-04</c:v>
                </c:pt>
                <c:pt idx="351">
                  <c:v>2026-02-05</c:v>
                </c:pt>
                <c:pt idx="352">
                  <c:v>2026-02-06</c:v>
                </c:pt>
                <c:pt idx="353">
                  <c:v>2026-02-09</c:v>
                </c:pt>
                <c:pt idx="354">
                  <c:v>2026-02-10</c:v>
                </c:pt>
                <c:pt idx="355">
                  <c:v>2026-02-11</c:v>
                </c:pt>
                <c:pt idx="356">
                  <c:v>2026-02-12</c:v>
                </c:pt>
                <c:pt idx="357">
                  <c:v>2026-02-13</c:v>
                </c:pt>
                <c:pt idx="358">
                  <c:v>2026-02-16</c:v>
                </c:pt>
                <c:pt idx="359">
                  <c:v>2026-02-17</c:v>
                </c:pt>
                <c:pt idx="360">
                  <c:v>2026-02-18</c:v>
                </c:pt>
                <c:pt idx="361">
                  <c:v>2026-02-19</c:v>
                </c:pt>
                <c:pt idx="362">
                  <c:v>2026-02-20</c:v>
                </c:pt>
                <c:pt idx="363">
                  <c:v>2026-02-23</c:v>
                </c:pt>
                <c:pt idx="364">
                  <c:v>2026-02-24</c:v>
                </c:pt>
                <c:pt idx="365">
                  <c:v>2026-02-25</c:v>
                </c:pt>
                <c:pt idx="366">
                  <c:v>2026-02-26</c:v>
                </c:pt>
                <c:pt idx="367">
                  <c:v>2026-02-27</c:v>
                </c:pt>
                <c:pt idx="368">
                  <c:v>2026-03-02</c:v>
                </c:pt>
                <c:pt idx="369">
                  <c:v>2026-03-04</c:v>
                </c:pt>
                <c:pt idx="370">
                  <c:v>2026-03-05</c:v>
                </c:pt>
                <c:pt idx="371">
                  <c:v>2026-03-06</c:v>
                </c:pt>
                <c:pt idx="372">
                  <c:v>2026-03-09</c:v>
                </c:pt>
                <c:pt idx="373">
                  <c:v>2026-03-10</c:v>
                </c:pt>
                <c:pt idx="374">
                  <c:v>2026-03-11</c:v>
                </c:pt>
                <c:pt idx="375">
                  <c:v>2026-03-12</c:v>
                </c:pt>
                <c:pt idx="376">
                  <c:v>2026-03-13</c:v>
                </c:pt>
                <c:pt idx="377">
                  <c:v>2026-03-16</c:v>
                </c:pt>
                <c:pt idx="378">
                  <c:v>2026-03-17</c:v>
                </c:pt>
                <c:pt idx="379">
                  <c:v>2026-03-18</c:v>
                </c:pt>
                <c:pt idx="380">
                  <c:v>2026-03-23</c:v>
                </c:pt>
                <c:pt idx="381">
                  <c:v>2026-03-24</c:v>
                </c:pt>
                <c:pt idx="382">
                  <c:v>2026-03-25</c:v>
                </c:pt>
                <c:pt idx="383">
                  <c:v>2026-03-27</c:v>
                </c:pt>
                <c:pt idx="384">
                  <c:v>2026-03-30</c:v>
                </c:pt>
                <c:pt idx="385">
                  <c:v>2026-04-01</c:v>
                </c:pt>
                <c:pt idx="386">
                  <c:v>2026-04-02</c:v>
                </c:pt>
                <c:pt idx="387">
                  <c:v>2026-04-06</c:v>
                </c:pt>
                <c:pt idx="388">
                  <c:v>2026-04-09</c:v>
                </c:pt>
                <c:pt idx="389">
                  <c:v>2026-04-10</c:v>
                </c:pt>
                <c:pt idx="390">
                  <c:v>2026-04-13</c:v>
                </c:pt>
                <c:pt idx="391">
                  <c:v>2026-04-15</c:v>
                </c:pt>
                <c:pt idx="392">
                  <c:v>2026-04-16</c:v>
                </c:pt>
                <c:pt idx="393">
                  <c:v>2026-04-17</c:v>
                </c:pt>
                <c:pt idx="394">
                  <c:v>2026-04-20</c:v>
                </c:pt>
                <c:pt idx="395">
                  <c:v>2026-04-21</c:v>
                </c:pt>
                <c:pt idx="396">
                  <c:v>2026-04-22</c:v>
                </c:pt>
                <c:pt idx="397">
                  <c:v>2026-04-23</c:v>
                </c:pt>
                <c:pt idx="398">
                  <c:v>2026-04-24</c:v>
                </c:pt>
                <c:pt idx="399">
                  <c:v>2026-04-27</c:v>
                </c:pt>
                <c:pt idx="400">
                  <c:v>2026-04-28</c:v>
                </c:pt>
                <c:pt idx="401">
                  <c:v>2026-04-29</c:v>
                </c:pt>
                <c:pt idx="402">
                  <c:v>2026-04-30</c:v>
                </c:pt>
                <c:pt idx="403">
                  <c:v>2026-05-04</c:v>
                </c:pt>
                <c:pt idx="404">
                  <c:v>2026-05-05</c:v>
                </c:pt>
                <c:pt idx="405">
                  <c:v>2026-05-06</c:v>
                </c:pt>
                <c:pt idx="406">
                  <c:v>2026-05-07</c:v>
                </c:pt>
                <c:pt idx="407">
                  <c:v>2026-05-08</c:v>
                </c:pt>
                <c:pt idx="408">
                  <c:v>2026-05-11</c:v>
                </c:pt>
                <c:pt idx="409">
                  <c:v>2026-05-12</c:v>
                </c:pt>
                <c:pt idx="410">
                  <c:v>2026-05-13</c:v>
                </c:pt>
                <c:pt idx="411">
                  <c:v>2026-05-14</c:v>
                </c:pt>
                <c:pt idx="412">
                  <c:v>2026-05-15</c:v>
                </c:pt>
                <c:pt idx="413">
                  <c:v>2026-05-18</c:v>
                </c:pt>
                <c:pt idx="414">
                  <c:v>2026-05-19</c:v>
                </c:pt>
                <c:pt idx="415">
                  <c:v>2026-05-20</c:v>
                </c:pt>
                <c:pt idx="416">
                  <c:v>2026-05-21</c:v>
                </c:pt>
                <c:pt idx="417">
                  <c:v>2026-05-22</c:v>
                </c:pt>
                <c:pt idx="418">
                  <c:v>2026-05-25</c:v>
                </c:pt>
                <c:pt idx="419">
                  <c:v>2026-05-26</c:v>
                </c:pt>
                <c:pt idx="420">
                  <c:v>2026-05-27</c:v>
                </c:pt>
                <c:pt idx="421">
                  <c:v>2026-05-29</c:v>
                </c:pt>
                <c:pt idx="422">
                  <c:v>2026-06-01</c:v>
                </c:pt>
                <c:pt idx="423">
                  <c:v>2026-06-02</c:v>
                </c:pt>
                <c:pt idx="424">
                  <c:v>2026-06-03</c:v>
                </c:pt>
                <c:pt idx="425">
                  <c:v>2026-06-04</c:v>
                </c:pt>
                <c:pt idx="426">
                  <c:v>2026-06-05</c:v>
                </c:pt>
                <c:pt idx="427">
                  <c:v>2026-06-08</c:v>
                </c:pt>
                <c:pt idx="428">
                  <c:v>2026-06-09</c:v>
                </c:pt>
                <c:pt idx="429">
                  <c:v>2026-06-10</c:v>
                </c:pt>
                <c:pt idx="430">
                  <c:v>2026-06-11</c:v>
                </c:pt>
                <c:pt idx="431">
                  <c:v>2026-06-12</c:v>
                </c:pt>
                <c:pt idx="432">
                  <c:v>2026-06-15</c:v>
                </c:pt>
                <c:pt idx="433">
                  <c:v>2026-06-16</c:v>
                </c:pt>
                <c:pt idx="434">
                  <c:v>2026-06-17</c:v>
                </c:pt>
                <c:pt idx="435">
                  <c:v>2026-06-18</c:v>
                </c:pt>
                <c:pt idx="436">
                  <c:v>2026-06-19</c:v>
                </c:pt>
                <c:pt idx="437">
                  <c:v>2026-06-22</c:v>
                </c:pt>
                <c:pt idx="438">
                  <c:v>2026-06-23</c:v>
                </c:pt>
                <c:pt idx="439">
                  <c:v>2026-06-24</c:v>
                </c:pt>
                <c:pt idx="440">
                  <c:v>2026-06-25</c:v>
                </c:pt>
                <c:pt idx="441">
                  <c:v>2026-06-29</c:v>
                </c:pt>
                <c:pt idx="442">
                  <c:v>2026-06-30</c:v>
                </c:pt>
                <c:pt idx="443">
                  <c:v>2026-07-01</c:v>
                </c:pt>
                <c:pt idx="444">
                  <c:v>2026-07-02</c:v>
                </c:pt>
                <c:pt idx="445">
                  <c:v>2026-07-03</c:v>
                </c:pt>
                <c:pt idx="446">
                  <c:v>2026-07-08</c:v>
                </c:pt>
                <c:pt idx="447">
                  <c:v>2026-07-13</c:v>
                </c:pt>
                <c:pt idx="448">
                  <c:v>2026-07-14</c:v>
                </c:pt>
                <c:pt idx="449">
                  <c:v>2026-07-15</c:v>
                </c:pt>
                <c:pt idx="450">
                  <c:v>2026-07-16</c:v>
                </c:pt>
                <c:pt idx="451">
                  <c:v>2026-07-17</c:v>
                </c:pt>
                <c:pt idx="452">
                  <c:v>2026-07-20</c:v>
                </c:pt>
                <c:pt idx="453">
                  <c:v>2026-07-21</c:v>
                </c:pt>
                <c:pt idx="454">
                  <c:v>2026-07-22</c:v>
                </c:pt>
                <c:pt idx="455">
                  <c:v>2026-07-23</c:v>
                </c:pt>
                <c:pt idx="456">
                  <c:v>2026-07-24</c:v>
                </c:pt>
                <c:pt idx="457">
                  <c:v>2026-07-27</c:v>
                </c:pt>
                <c:pt idx="458">
                  <c:v>2026-07-28</c:v>
                </c:pt>
                <c:pt idx="459">
                  <c:v>2026-07-29</c:v>
                </c:pt>
                <c:pt idx="460">
                  <c:v>2026-07-30</c:v>
                </c:pt>
                <c:pt idx="461">
                  <c:v>2026-07-31</c:v>
                </c:pt>
                <c:pt idx="462">
                  <c:v>2026-08-03</c:v>
                </c:pt>
                <c:pt idx="463">
                  <c:v>2026-08-04</c:v>
                </c:pt>
                <c:pt idx="464">
                  <c:v>2026-08-05</c:v>
                </c:pt>
                <c:pt idx="465">
                  <c:v>2026-08-06</c:v>
                </c:pt>
                <c:pt idx="466">
                  <c:v>2026-08-07</c:v>
                </c:pt>
                <c:pt idx="467">
                  <c:v>2026-08-10</c:v>
                </c:pt>
                <c:pt idx="468">
                  <c:v>2026-08-11</c:v>
                </c:pt>
                <c:pt idx="469">
                  <c:v>2026-08-12</c:v>
                </c:pt>
                <c:pt idx="470">
                  <c:v>2026-08-13</c:v>
                </c:pt>
                <c:pt idx="471">
                  <c:v>2026-08-14</c:v>
                </c:pt>
                <c:pt idx="472">
                  <c:v>2026-08-17</c:v>
                </c:pt>
                <c:pt idx="473">
                  <c:v>2026-08-18</c:v>
                </c:pt>
                <c:pt idx="474">
                  <c:v>2026-08-19</c:v>
                </c:pt>
                <c:pt idx="475">
                  <c:v>2026-08-20</c:v>
                </c:pt>
                <c:pt idx="476">
                  <c:v>2026-08-21</c:v>
                </c:pt>
                <c:pt idx="477">
                  <c:v>2026-08-24</c:v>
                </c:pt>
                <c:pt idx="478">
                  <c:v>2026-08-25</c:v>
                </c:pt>
                <c:pt idx="479">
                  <c:v>2026-08-26</c:v>
                </c:pt>
                <c:pt idx="480">
                  <c:v>2026-08-27</c:v>
                </c:pt>
                <c:pt idx="481">
                  <c:v>2026-09-01</c:v>
                </c:pt>
                <c:pt idx="482">
                  <c:v>2026-09-02</c:v>
                </c:pt>
                <c:pt idx="483">
                  <c:v>2026-09-03</c:v>
                </c:pt>
                <c:pt idx="484">
                  <c:v>2026-09-08</c:v>
                </c:pt>
                <c:pt idx="485">
                  <c:v>2026-09-09</c:v>
                </c:pt>
                <c:pt idx="486">
                  <c:v>2026-09-10</c:v>
                </c:pt>
                <c:pt idx="487">
                  <c:v>2026-09-11</c:v>
                </c:pt>
                <c:pt idx="488">
                  <c:v>2026-09-15</c:v>
                </c:pt>
                <c:pt idx="489">
                  <c:v>2026-09-16</c:v>
                </c:pt>
                <c:pt idx="490">
                  <c:v>2026-09-17</c:v>
                </c:pt>
                <c:pt idx="491">
                  <c:v>2026-09-18</c:v>
                </c:pt>
                <c:pt idx="492">
                  <c:v>2026-09-21</c:v>
                </c:pt>
                <c:pt idx="493">
                  <c:v>2026-09-24</c:v>
                </c:pt>
                <c:pt idx="494">
                  <c:v>2026-09-25</c:v>
                </c:pt>
                <c:pt idx="495">
                  <c:v>2026-09-28</c:v>
                </c:pt>
              </c:numCache>
            </c:numRef>
          </c:cat>
          <c:val>
            <c:numRef>
              <c:f>'Daily Analysis'!$M$5:$M$500</c:f>
              <c:numCache>
                <c:formatCode>0.0000</c:formatCode>
                <c:ptCount val="496"/>
                <c:pt idx="0">
                  <c:v>0.613567382430445</c:v>
                </c:pt>
                <c:pt idx="1">
                  <c:v>0.651755012805015</c:v>
                </c:pt>
                <c:pt idx="2">
                  <c:v>0.670654018269387</c:v>
                </c:pt>
                <c:pt idx="3">
                  <c:v>0.616358363326023</c:v>
                </c:pt>
                <c:pt idx="4">
                  <c:v>0.659947586184752</c:v>
                </c:pt>
                <c:pt idx="5">
                  <c:v>0.693904757962445</c:v>
                </c:pt>
                <c:pt idx="6">
                  <c:v>0.665828790620392</c:v>
                </c:pt>
                <c:pt idx="7">
                  <c:v>0.701679225715612</c:v>
                </c:pt>
                <c:pt idx="8">
                  <c:v>0.681428637089655</c:v>
                </c:pt>
                <c:pt idx="9">
                  <c:v>0.689451426395615</c:v>
                </c:pt>
                <c:pt idx="10">
                  <c:v>0.725491037297129</c:v>
                </c:pt>
                <c:pt idx="11">
                  <c:v>0.649115835562344</c:v>
                </c:pt>
                <c:pt idx="12">
                  <c:v>0.683885848409024</c:v>
                </c:pt>
                <c:pt idx="13">
                  <c:v>0.643470981676718</c:v>
                </c:pt>
                <c:pt idx="14">
                  <c:v>0.673584181857738</c:v>
                </c:pt>
                <c:pt idx="15">
                  <c:v>0.670060047081174</c:v>
                </c:pt>
                <c:pt idx="16">
                  <c:v>0.698303186333891</c:v>
                </c:pt>
                <c:pt idx="17">
                  <c:v>0.718926262607887</c:v>
                </c:pt>
                <c:pt idx="18">
                  <c:v>0.648250106653032</c:v>
                </c:pt>
                <c:pt idx="19">
                  <c:v>0.678305001853565</c:v>
                </c:pt>
                <c:pt idx="20">
                  <c:v>0.696522293407234</c:v>
                </c:pt>
                <c:pt idx="21">
                  <c:v>0.51089218579201</c:v>
                </c:pt>
                <c:pt idx="22">
                  <c:v>0.616069975634307</c:v>
                </c:pt>
                <c:pt idx="23">
                  <c:v>0.60763278160835</c:v>
                </c:pt>
                <c:pt idx="24">
                  <c:v>0.367281242987235</c:v>
                </c:pt>
                <c:pt idx="25">
                  <c:v>0.3723503959411</c:v>
                </c:pt>
                <c:pt idx="26">
                  <c:v>0.41168884123285</c:v>
                </c:pt>
                <c:pt idx="27">
                  <c:v>0.439492241122642</c:v>
                </c:pt>
                <c:pt idx="28">
                  <c:v>0.473473694256871</c:v>
                </c:pt>
                <c:pt idx="29">
                  <c:v>0.47700688779752</c:v>
                </c:pt>
                <c:pt idx="30">
                  <c:v>0.355166107992329</c:v>
                </c:pt>
                <c:pt idx="31">
                  <c:v>0.403207872550957</c:v>
                </c:pt>
                <c:pt idx="32">
                  <c:v>0.435585722189589</c:v>
                </c:pt>
                <c:pt idx="33">
                  <c:v>0.446047407057951</c:v>
                </c:pt>
                <c:pt idx="34">
                  <c:v>0.497961221453566</c:v>
                </c:pt>
                <c:pt idx="35">
                  <c:v>0.551130151704694</c:v>
                </c:pt>
                <c:pt idx="36">
                  <c:v>0.651959731682353</c:v>
                </c:pt>
                <c:pt idx="37">
                  <c:v>0.721970999115427</c:v>
                </c:pt>
                <c:pt idx="38">
                  <c:v>0.762731619007263</c:v>
                </c:pt>
                <c:pt idx="39">
                  <c:v>0.825221775563027</c:v>
                </c:pt>
                <c:pt idx="40">
                  <c:v>0.899067469578986</c:v>
                </c:pt>
                <c:pt idx="41">
                  <c:v>0.884904211513402</c:v>
                </c:pt>
                <c:pt idx="42">
                  <c:v>0.899803498969715</c:v>
                </c:pt>
                <c:pt idx="43">
                  <c:v>0.682876365002938</c:v>
                </c:pt>
                <c:pt idx="44">
                  <c:v>0.66733858204771</c:v>
                </c:pt>
                <c:pt idx="45">
                  <c:v>0.724370831686172</c:v>
                </c:pt>
                <c:pt idx="46">
                  <c:v>0.786840104246215</c:v>
                </c:pt>
                <c:pt idx="47">
                  <c:v>0.849133274944399</c:v>
                </c:pt>
                <c:pt idx="48">
                  <c:v>0.892270082362003</c:v>
                </c:pt>
                <c:pt idx="49">
                  <c:v>0.936047658363447</c:v>
                </c:pt>
                <c:pt idx="50">
                  <c:v>0.924120031224967</c:v>
                </c:pt>
                <c:pt idx="51">
                  <c:v>0.996848720411066</c:v>
                </c:pt>
                <c:pt idx="52">
                  <c:v>1.04750835650663</c:v>
                </c:pt>
                <c:pt idx="53">
                  <c:v>1.11398293258031</c:v>
                </c:pt>
                <c:pt idx="54">
                  <c:v>1.17892453512974</c:v>
                </c:pt>
                <c:pt idx="55">
                  <c:v>1.23921504991213</c:v>
                </c:pt>
                <c:pt idx="56">
                  <c:v>1.00465861183917</c:v>
                </c:pt>
                <c:pt idx="57">
                  <c:v>1.06018565589962</c:v>
                </c:pt>
                <c:pt idx="58">
                  <c:v>0.918096978683242</c:v>
                </c:pt>
                <c:pt idx="59">
                  <c:v>0.902584936637796</c:v>
                </c:pt>
                <c:pt idx="60">
                  <c:v>0.844968630707626</c:v>
                </c:pt>
                <c:pt idx="61">
                  <c:v>0.890843256915035</c:v>
                </c:pt>
                <c:pt idx="62">
                  <c:v>0.873837098414789</c:v>
                </c:pt>
                <c:pt idx="63">
                  <c:v>0.911961592582748</c:v>
                </c:pt>
                <c:pt idx="64">
                  <c:v>0.940529805037266</c:v>
                </c:pt>
                <c:pt idx="65">
                  <c:v>0.981179913325369</c:v>
                </c:pt>
                <c:pt idx="66">
                  <c:v>1.01526642226353</c:v>
                </c:pt>
                <c:pt idx="67">
                  <c:v>0.914835657220471</c:v>
                </c:pt>
                <c:pt idx="68">
                  <c:v>0.917374883584703</c:v>
                </c:pt>
                <c:pt idx="69">
                  <c:v>0.975904729691645</c:v>
                </c:pt>
                <c:pt idx="70">
                  <c:v>1.00287295987123</c:v>
                </c:pt>
                <c:pt idx="71">
                  <c:v>0.69333537033497</c:v>
                </c:pt>
                <c:pt idx="72">
                  <c:v>0.725990128602754</c:v>
                </c:pt>
                <c:pt idx="73">
                  <c:v>0.765394365795526</c:v>
                </c:pt>
                <c:pt idx="74">
                  <c:v>0.789430202707852</c:v>
                </c:pt>
                <c:pt idx="75">
                  <c:v>0.807553740819379</c:v>
                </c:pt>
                <c:pt idx="76">
                  <c:v>0.756321222138065</c:v>
                </c:pt>
                <c:pt idx="77">
                  <c:v>0.733065218867447</c:v>
                </c:pt>
                <c:pt idx="78">
                  <c:v>0.695398952645512</c:v>
                </c:pt>
                <c:pt idx="79">
                  <c:v>0.570115756542606</c:v>
                </c:pt>
                <c:pt idx="80">
                  <c:v>0.502260831564004</c:v>
                </c:pt>
                <c:pt idx="81">
                  <c:v>0.556389954226119</c:v>
                </c:pt>
                <c:pt idx="82">
                  <c:v>0.607092177080801</c:v>
                </c:pt>
                <c:pt idx="83">
                  <c:v>0.657537828973206</c:v>
                </c:pt>
                <c:pt idx="84">
                  <c:v>0.703659835751835</c:v>
                </c:pt>
                <c:pt idx="85">
                  <c:v>0.750643213130361</c:v>
                </c:pt>
                <c:pt idx="86">
                  <c:v>0.754638800357336</c:v>
                </c:pt>
                <c:pt idx="87">
                  <c:v>0.608948586630738</c:v>
                </c:pt>
                <c:pt idx="88">
                  <c:v>0.616554631703173</c:v>
                </c:pt>
                <c:pt idx="89">
                  <c:v>0.635152336479808</c:v>
                </c:pt>
                <c:pt idx="90">
                  <c:v>0.50300892957655</c:v>
                </c:pt>
                <c:pt idx="91">
                  <c:v>0.526597879353107</c:v>
                </c:pt>
                <c:pt idx="92">
                  <c:v>0.542060345557221</c:v>
                </c:pt>
                <c:pt idx="93">
                  <c:v>0.570158743824284</c:v>
                </c:pt>
                <c:pt idx="94">
                  <c:v>0.490303116501087</c:v>
                </c:pt>
                <c:pt idx="95">
                  <c:v>0.53135772520686</c:v>
                </c:pt>
                <c:pt idx="96">
                  <c:v>0.471760484613482</c:v>
                </c:pt>
                <c:pt idx="97">
                  <c:v>0.512732509470605</c:v>
                </c:pt>
                <c:pt idx="98">
                  <c:v>0.498808007624049</c:v>
                </c:pt>
                <c:pt idx="99">
                  <c:v>0.458745044988493</c:v>
                </c:pt>
                <c:pt idx="100">
                  <c:v>0.408930553510145</c:v>
                </c:pt>
                <c:pt idx="101">
                  <c:v>0.440635911060085</c:v>
                </c:pt>
                <c:pt idx="102">
                  <c:v>0.478344235469001</c:v>
                </c:pt>
                <c:pt idx="103">
                  <c:v>0.431378965906292</c:v>
                </c:pt>
                <c:pt idx="104">
                  <c:v>0.47504608772278</c:v>
                </c:pt>
                <c:pt idx="105">
                  <c:v>0.48835014804139</c:v>
                </c:pt>
                <c:pt idx="106">
                  <c:v>0.530168510094095</c:v>
                </c:pt>
                <c:pt idx="107">
                  <c:v>0.576731708166565</c:v>
                </c:pt>
                <c:pt idx="108">
                  <c:v>0.370952083692919</c:v>
                </c:pt>
                <c:pt idx="109">
                  <c:v>0.373150472871913</c:v>
                </c:pt>
                <c:pt idx="110">
                  <c:v>0.407306558614658</c:v>
                </c:pt>
                <c:pt idx="111">
                  <c:v>0.443780276483807</c:v>
                </c:pt>
                <c:pt idx="112">
                  <c:v>0.430917912593359</c:v>
                </c:pt>
                <c:pt idx="113">
                  <c:v>0.457828705898593</c:v>
                </c:pt>
                <c:pt idx="114">
                  <c:v>0.417668958027906</c:v>
                </c:pt>
                <c:pt idx="115">
                  <c:v>0.447751496772947</c:v>
                </c:pt>
                <c:pt idx="116">
                  <c:v>0.478060099038403</c:v>
                </c:pt>
                <c:pt idx="117">
                  <c:v>0.509657497095084</c:v>
                </c:pt>
                <c:pt idx="118">
                  <c:v>0.521120931694939</c:v>
                </c:pt>
                <c:pt idx="119">
                  <c:v>0.517895533403685</c:v>
                </c:pt>
                <c:pt idx="120">
                  <c:v>0.44412474400941</c:v>
                </c:pt>
                <c:pt idx="121">
                  <c:v>0.470718707137371</c:v>
                </c:pt>
                <c:pt idx="122">
                  <c:v>0.448191093170619</c:v>
                </c:pt>
                <c:pt idx="123">
                  <c:v>0.458019937084486</c:v>
                </c:pt>
                <c:pt idx="124">
                  <c:v>0.313459425084809</c:v>
                </c:pt>
                <c:pt idx="125">
                  <c:v>0.332575441020362</c:v>
                </c:pt>
                <c:pt idx="126">
                  <c:v>0.319186085864686</c:v>
                </c:pt>
                <c:pt idx="127">
                  <c:v>0.343423179652951</c:v>
                </c:pt>
                <c:pt idx="128">
                  <c:v>0.336827717631146</c:v>
                </c:pt>
                <c:pt idx="129">
                  <c:v>0.278553574610823</c:v>
                </c:pt>
                <c:pt idx="130">
                  <c:v>0.323980306504372</c:v>
                </c:pt>
                <c:pt idx="131">
                  <c:v>0.314318752225845</c:v>
                </c:pt>
                <c:pt idx="132">
                  <c:v>0.301959430254126</c:v>
                </c:pt>
                <c:pt idx="133">
                  <c:v>0.326557105756421</c:v>
                </c:pt>
                <c:pt idx="134">
                  <c:v>0.387995030638793</c:v>
                </c:pt>
                <c:pt idx="135">
                  <c:v>0.410781572078004</c:v>
                </c:pt>
                <c:pt idx="136">
                  <c:v>0.414943109256721</c:v>
                </c:pt>
                <c:pt idx="137">
                  <c:v>0.400864298870928</c:v>
                </c:pt>
                <c:pt idx="138">
                  <c:v>0.406249937726967</c:v>
                </c:pt>
                <c:pt idx="139">
                  <c:v>0.370927083246314</c:v>
                </c:pt>
                <c:pt idx="140">
                  <c:v>0.372458268997969</c:v>
                </c:pt>
                <c:pt idx="141">
                  <c:v>0.386549804288325</c:v>
                </c:pt>
                <c:pt idx="142">
                  <c:v>0.413924479906611</c:v>
                </c:pt>
                <c:pt idx="143">
                  <c:v>0.505907561504277</c:v>
                </c:pt>
                <c:pt idx="144">
                  <c:v>0.418590571596735</c:v>
                </c:pt>
                <c:pt idx="145">
                  <c:v>0.445934245040129</c:v>
                </c:pt>
                <c:pt idx="146">
                  <c:v>0.457370272580313</c:v>
                </c:pt>
                <c:pt idx="147">
                  <c:v>0.452052804182043</c:v>
                </c:pt>
                <c:pt idx="148">
                  <c:v>0.358558163506077</c:v>
                </c:pt>
                <c:pt idx="149">
                  <c:v>0.254375750306476</c:v>
                </c:pt>
                <c:pt idx="150">
                  <c:v>0.272105135733068</c:v>
                </c:pt>
                <c:pt idx="151">
                  <c:v>0.290791860437779</c:v>
                </c:pt>
                <c:pt idx="152">
                  <c:v>0.193359828535205</c:v>
                </c:pt>
                <c:pt idx="153">
                  <c:v>0.197410074841647</c:v>
                </c:pt>
                <c:pt idx="154">
                  <c:v>0.213018714117504</c:v>
                </c:pt>
                <c:pt idx="155">
                  <c:v>0.208531243743025</c:v>
                </c:pt>
                <c:pt idx="156">
                  <c:v>0.229255608814076</c:v>
                </c:pt>
                <c:pt idx="157">
                  <c:v>0.248714492727737</c:v>
                </c:pt>
                <c:pt idx="158">
                  <c:v>0.253465948172973</c:v>
                </c:pt>
                <c:pt idx="159">
                  <c:v>0.257061788938657</c:v>
                </c:pt>
                <c:pt idx="160">
                  <c:v>0.262914698881822</c:v>
                </c:pt>
                <c:pt idx="161">
                  <c:v>0.278896316116152</c:v>
                </c:pt>
                <c:pt idx="162">
                  <c:v>0.328726118727882</c:v>
                </c:pt>
                <c:pt idx="163">
                  <c:v>0.349064730786479</c:v>
                </c:pt>
                <c:pt idx="164">
                  <c:v>0.194946480443758</c:v>
                </c:pt>
                <c:pt idx="165">
                  <c:v>0.176341204788418</c:v>
                </c:pt>
                <c:pt idx="166">
                  <c:v>0.0919275157636776</c:v>
                </c:pt>
                <c:pt idx="167">
                  <c:v>0.265171999283633</c:v>
                </c:pt>
                <c:pt idx="168">
                  <c:v>0.295344078866671</c:v>
                </c:pt>
                <c:pt idx="169">
                  <c:v>0.333651823798869</c:v>
                </c:pt>
                <c:pt idx="170">
                  <c:v>0.352409009919749</c:v>
                </c:pt>
                <c:pt idx="171">
                  <c:v>0.398674457981365</c:v>
                </c:pt>
                <c:pt idx="172">
                  <c:v>0.341076958498921</c:v>
                </c:pt>
                <c:pt idx="173">
                  <c:v>0.371452861029213</c:v>
                </c:pt>
                <c:pt idx="174">
                  <c:v>0.387962026956197</c:v>
                </c:pt>
                <c:pt idx="175">
                  <c:v>0.381724160146578</c:v>
                </c:pt>
                <c:pt idx="176">
                  <c:v>0.398546159874518</c:v>
                </c:pt>
                <c:pt idx="177">
                  <c:v>0.404766290379047</c:v>
                </c:pt>
                <c:pt idx="178">
                  <c:v>0.412984141154104</c:v>
                </c:pt>
                <c:pt idx="179">
                  <c:v>0.39563450714808</c:v>
                </c:pt>
                <c:pt idx="180">
                  <c:v>0.388443155257182</c:v>
                </c:pt>
                <c:pt idx="181">
                  <c:v>0.411824783075408</c:v>
                </c:pt>
                <c:pt idx="182">
                  <c:v>0.431951800274368</c:v>
                </c:pt>
                <c:pt idx="183">
                  <c:v>0.359268074174482</c:v>
                </c:pt>
                <c:pt idx="184">
                  <c:v>0.321645732044935</c:v>
                </c:pt>
                <c:pt idx="185">
                  <c:v>0.343437099260007</c:v>
                </c:pt>
                <c:pt idx="186">
                  <c:v>0.244046583822388</c:v>
                </c:pt>
                <c:pt idx="187">
                  <c:v>0.26168240811983</c:v>
                </c:pt>
                <c:pt idx="188">
                  <c:v>0.288123416841702</c:v>
                </c:pt>
                <c:pt idx="189">
                  <c:v>0.310718488373231</c:v>
                </c:pt>
                <c:pt idx="190">
                  <c:v>0.32634072000341</c:v>
                </c:pt>
                <c:pt idx="191">
                  <c:v>0.351132645924076</c:v>
                </c:pt>
                <c:pt idx="192">
                  <c:v>0.356520992010214</c:v>
                </c:pt>
                <c:pt idx="193">
                  <c:v>0.348004876414081</c:v>
                </c:pt>
                <c:pt idx="194">
                  <c:v>0.357942643436915</c:v>
                </c:pt>
                <c:pt idx="195">
                  <c:v>0.374300323939184</c:v>
                </c:pt>
                <c:pt idx="196">
                  <c:v>0.397484472521629</c:v>
                </c:pt>
                <c:pt idx="197">
                  <c:v>0.414397653814423</c:v>
                </c:pt>
                <c:pt idx="198">
                  <c:v>0.449002494060632</c:v>
                </c:pt>
                <c:pt idx="199">
                  <c:v>0.471143066548031</c:v>
                </c:pt>
                <c:pt idx="200">
                  <c:v>0.487405285043661</c:v>
                </c:pt>
                <c:pt idx="201">
                  <c:v>0.487222617409624</c:v>
                </c:pt>
                <c:pt idx="202">
                  <c:v>0.509776801611602</c:v>
                </c:pt>
                <c:pt idx="203">
                  <c:v>0.532106413278122</c:v>
                </c:pt>
                <c:pt idx="204">
                  <c:v>0.491512281127963</c:v>
                </c:pt>
                <c:pt idx="205">
                  <c:v>0.347428948005355</c:v>
                </c:pt>
                <c:pt idx="206">
                  <c:v>0.375883321051861</c:v>
                </c:pt>
                <c:pt idx="207">
                  <c:v>0.409196136400274</c:v>
                </c:pt>
                <c:pt idx="208">
                  <c:v>0.440440976632415</c:v>
                </c:pt>
                <c:pt idx="209">
                  <c:v>0.452109971223158</c:v>
                </c:pt>
                <c:pt idx="210">
                  <c:v>0.469909059181363</c:v>
                </c:pt>
                <c:pt idx="211">
                  <c:v>0.504045882977002</c:v>
                </c:pt>
                <c:pt idx="212">
                  <c:v>0.52301959792155</c:v>
                </c:pt>
                <c:pt idx="213">
                  <c:v>0.552499096715447</c:v>
                </c:pt>
                <c:pt idx="214">
                  <c:v>0.566697135962804</c:v>
                </c:pt>
                <c:pt idx="215">
                  <c:v>0.589555251485018</c:v>
                </c:pt>
                <c:pt idx="216">
                  <c:v>0.621468393169083</c:v>
                </c:pt>
                <c:pt idx="217">
                  <c:v>0.517828041848878</c:v>
                </c:pt>
                <c:pt idx="218">
                  <c:v>0.554133449027548</c:v>
                </c:pt>
                <c:pt idx="219">
                  <c:v>0.484036006578337</c:v>
                </c:pt>
                <c:pt idx="220">
                  <c:v>0.509281955314536</c:v>
                </c:pt>
                <c:pt idx="221">
                  <c:v>0.549423725259269</c:v>
                </c:pt>
                <c:pt idx="222">
                  <c:v>0.416914263878731</c:v>
                </c:pt>
                <c:pt idx="223">
                  <c:v>0.444196924970639</c:v>
                </c:pt>
                <c:pt idx="224">
                  <c:v>0.4081529249115</c:v>
                </c:pt>
                <c:pt idx="225">
                  <c:v>0.395685848803745</c:v>
                </c:pt>
                <c:pt idx="226">
                  <c:v>0.394647129098137</c:v>
                </c:pt>
                <c:pt idx="227">
                  <c:v>0.387184749002752</c:v>
                </c:pt>
                <c:pt idx="228">
                  <c:v>0.362640707448036</c:v>
                </c:pt>
                <c:pt idx="229">
                  <c:v>0.378867820021445</c:v>
                </c:pt>
                <c:pt idx="230">
                  <c:v>0.423150809421122</c:v>
                </c:pt>
                <c:pt idx="231">
                  <c:v>0.407643915124574</c:v>
                </c:pt>
                <c:pt idx="232">
                  <c:v>0.432649540028109</c:v>
                </c:pt>
                <c:pt idx="233">
                  <c:v>0.450081204473596</c:v>
                </c:pt>
                <c:pt idx="234">
                  <c:v>0.355449234858571</c:v>
                </c:pt>
                <c:pt idx="235">
                  <c:v>0.375725313987183</c:v>
                </c:pt>
                <c:pt idx="236">
                  <c:v>0.39097004924678</c:v>
                </c:pt>
                <c:pt idx="237">
                  <c:v>0.392820012853152</c:v>
                </c:pt>
                <c:pt idx="238">
                  <c:v>0.411045711159192</c:v>
                </c:pt>
                <c:pt idx="239">
                  <c:v>0.31641369444283</c:v>
                </c:pt>
                <c:pt idx="240">
                  <c:v>0.35749613152185</c:v>
                </c:pt>
                <c:pt idx="241">
                  <c:v>0.385850931040873</c:v>
                </c:pt>
                <c:pt idx="242">
                  <c:v>0.381985089350367</c:v>
                </c:pt>
                <c:pt idx="243">
                  <c:v>0.406938700322424</c:v>
                </c:pt>
                <c:pt idx="244">
                  <c:v>0.420359172000284</c:v>
                </c:pt>
                <c:pt idx="245">
                  <c:v>0.44405545147642</c:v>
                </c:pt>
                <c:pt idx="246">
                  <c:v>0.425593666310663</c:v>
                </c:pt>
                <c:pt idx="247">
                  <c:v>0.446959720098628</c:v>
                </c:pt>
                <c:pt idx="248">
                  <c:v>0.442919138374851</c:v>
                </c:pt>
                <c:pt idx="249">
                  <c:v>0.417741064736798</c:v>
                </c:pt>
                <c:pt idx="250">
                  <c:v>0.435333870317398</c:v>
                </c:pt>
                <c:pt idx="251">
                  <c:v>0.454898460746088</c:v>
                </c:pt>
                <c:pt idx="252">
                  <c:v>0.47587763166548</c:v>
                </c:pt>
                <c:pt idx="253">
                  <c:v>0.557031608311506</c:v>
                </c:pt>
                <c:pt idx="254">
                  <c:v>0.575961971473809</c:v>
                </c:pt>
                <c:pt idx="255">
                  <c:v>0.556580764251683</c:v>
                </c:pt>
                <c:pt idx="256">
                  <c:v>0.499064442457824</c:v>
                </c:pt>
                <c:pt idx="257">
                  <c:v>0.513047179469601</c:v>
                </c:pt>
                <c:pt idx="258">
                  <c:v>0.485396810606501</c:v>
                </c:pt>
                <c:pt idx="259">
                  <c:v>0.497273199670433</c:v>
                </c:pt>
                <c:pt idx="260">
                  <c:v>0.372561061434791</c:v>
                </c:pt>
                <c:pt idx="261">
                  <c:v>0.392442727985992</c:v>
                </c:pt>
                <c:pt idx="262">
                  <c:v>0.366904340858131</c:v>
                </c:pt>
                <c:pt idx="263">
                  <c:v>0.388034964496694</c:v>
                </c:pt>
                <c:pt idx="264">
                  <c:v>0.40780280614026</c:v>
                </c:pt>
                <c:pt idx="265">
                  <c:v>0.425862182190115</c:v>
                </c:pt>
                <c:pt idx="266">
                  <c:v>0.439112565613927</c:v>
                </c:pt>
                <c:pt idx="267">
                  <c:v>0.455340443663192</c:v>
                </c:pt>
                <c:pt idx="268">
                  <c:v>0.461209364526004</c:v>
                </c:pt>
                <c:pt idx="269">
                  <c:v>0.47323928022945</c:v>
                </c:pt>
                <c:pt idx="270">
                  <c:v>0.475508255138953</c:v>
                </c:pt>
                <c:pt idx="271">
                  <c:v>0.458071374128657</c:v>
                </c:pt>
                <c:pt idx="272">
                  <c:v>0.449837880707959</c:v>
                </c:pt>
                <c:pt idx="273">
                  <c:v>0.43657027066929</c:v>
                </c:pt>
                <c:pt idx="274">
                  <c:v>0.431057785032382</c:v>
                </c:pt>
                <c:pt idx="275">
                  <c:v>0.446817235108711</c:v>
                </c:pt>
                <c:pt idx="276">
                  <c:v>0.452923605803254</c:v>
                </c:pt>
                <c:pt idx="277">
                  <c:v>0.323025020317464</c:v>
                </c:pt>
                <c:pt idx="278">
                  <c:v>0.349278320471536</c:v>
                </c:pt>
                <c:pt idx="279">
                  <c:v>0.348114711348183</c:v>
                </c:pt>
                <c:pt idx="280">
                  <c:v>0.371812373607424</c:v>
                </c:pt>
                <c:pt idx="281">
                  <c:v>0.395165318075333</c:v>
                </c:pt>
                <c:pt idx="282">
                  <c:v>0.318592271512717</c:v>
                </c:pt>
                <c:pt idx="283">
                  <c:v>0.381040282758473</c:v>
                </c:pt>
                <c:pt idx="284">
                  <c:v>0.365782218016078</c:v>
                </c:pt>
                <c:pt idx="285">
                  <c:v>0.414827788762612</c:v>
                </c:pt>
                <c:pt idx="286">
                  <c:v>0.390786712650721</c:v>
                </c:pt>
                <c:pt idx="287">
                  <c:v>0.432335093836228</c:v>
                </c:pt>
                <c:pt idx="288">
                  <c:v>0.452623869131959</c:v>
                </c:pt>
                <c:pt idx="289">
                  <c:v>0.488128158956975</c:v>
                </c:pt>
                <c:pt idx="290">
                  <c:v>0.436874256364279</c:v>
                </c:pt>
                <c:pt idx="291">
                  <c:v>0.475785570961835</c:v>
                </c:pt>
                <c:pt idx="292">
                  <c:v>0.487235973768989</c:v>
                </c:pt>
                <c:pt idx="293">
                  <c:v>0.478678583147944</c:v>
                </c:pt>
                <c:pt idx="294">
                  <c:v>0.46141565271546</c:v>
                </c:pt>
                <c:pt idx="295">
                  <c:v>0.490804115894772</c:v>
                </c:pt>
                <c:pt idx="296">
                  <c:v>0.519963729728287</c:v>
                </c:pt>
                <c:pt idx="297">
                  <c:v>0.515895723247994</c:v>
                </c:pt>
                <c:pt idx="298">
                  <c:v>0.585234052164455</c:v>
                </c:pt>
                <c:pt idx="299">
                  <c:v>0.619619973392887</c:v>
                </c:pt>
                <c:pt idx="300">
                  <c:v>0.677159054969734</c:v>
                </c:pt>
                <c:pt idx="301">
                  <c:v>0.660109420431042</c:v>
                </c:pt>
                <c:pt idx="302">
                  <c:v>0.618677994595527</c:v>
                </c:pt>
                <c:pt idx="303">
                  <c:v>0.652150189314696</c:v>
                </c:pt>
                <c:pt idx="304">
                  <c:v>0.685044668427397</c:v>
                </c:pt>
                <c:pt idx="305">
                  <c:v>0.674394201443021</c:v>
                </c:pt>
                <c:pt idx="306">
                  <c:v>0.723154799321873</c:v>
                </c:pt>
                <c:pt idx="307">
                  <c:v>0.755998350266258</c:v>
                </c:pt>
                <c:pt idx="308">
                  <c:v>0.765953266743733</c:v>
                </c:pt>
                <c:pt idx="309">
                  <c:v>0.772800818959499</c:v>
                </c:pt>
                <c:pt idx="310">
                  <c:v>0.792664605515054</c:v>
                </c:pt>
                <c:pt idx="311">
                  <c:v>0.80156084130901</c:v>
                </c:pt>
                <c:pt idx="312">
                  <c:v>0.664322257421655</c:v>
                </c:pt>
                <c:pt idx="313">
                  <c:v>0.684683315639663</c:v>
                </c:pt>
                <c:pt idx="314">
                  <c:v>0.709504822592913</c:v>
                </c:pt>
                <c:pt idx="315">
                  <c:v>0.728684990876951</c:v>
                </c:pt>
                <c:pt idx="316">
                  <c:v>0.668251022888047</c:v>
                </c:pt>
                <c:pt idx="317">
                  <c:v>0.691414559532409</c:v>
                </c:pt>
                <c:pt idx="318">
                  <c:v>0.682206398648285</c:v>
                </c:pt>
                <c:pt idx="319">
                  <c:v>0.703271913780122</c:v>
                </c:pt>
                <c:pt idx="320">
                  <c:v>0.718312504611998</c:v>
                </c:pt>
                <c:pt idx="321">
                  <c:v>0.720967906535806</c:v>
                </c:pt>
                <c:pt idx="322">
                  <c:v>0.693547075775475</c:v>
                </c:pt>
                <c:pt idx="323">
                  <c:v>0.640583905362392</c:v>
                </c:pt>
                <c:pt idx="324">
                  <c:v>0.600459021346754</c:v>
                </c:pt>
                <c:pt idx="325">
                  <c:v>0.567302442907465</c:v>
                </c:pt>
                <c:pt idx="326">
                  <c:v>0.69400066381773</c:v>
                </c:pt>
                <c:pt idx="327">
                  <c:v>0.68512717149947</c:v>
                </c:pt>
                <c:pt idx="328">
                  <c:v>0.72253671326795</c:v>
                </c:pt>
                <c:pt idx="329">
                  <c:v>0.745948408585411</c:v>
                </c:pt>
                <c:pt idx="330">
                  <c:v>0.454330173485407</c:v>
                </c:pt>
                <c:pt idx="331">
                  <c:v>0.4764859066981</c:v>
                </c:pt>
                <c:pt idx="332">
                  <c:v>0.497198684121241</c:v>
                </c:pt>
                <c:pt idx="333">
                  <c:v>0.542688640034233</c:v>
                </c:pt>
                <c:pt idx="334">
                  <c:v>0.583404081010947</c:v>
                </c:pt>
                <c:pt idx="335">
                  <c:v>0.588797269565709</c:v>
                </c:pt>
                <c:pt idx="336">
                  <c:v>0.541556563026831</c:v>
                </c:pt>
                <c:pt idx="337">
                  <c:v>0.504949932748912</c:v>
                </c:pt>
                <c:pt idx="338">
                  <c:v>0.553064888259209</c:v>
                </c:pt>
                <c:pt idx="339">
                  <c:v>0.591438266597344</c:v>
                </c:pt>
                <c:pt idx="340">
                  <c:v>0.615643851633915</c:v>
                </c:pt>
                <c:pt idx="341">
                  <c:v>0.524328925371671</c:v>
                </c:pt>
                <c:pt idx="342">
                  <c:v>0.568301896026153</c:v>
                </c:pt>
                <c:pt idx="343">
                  <c:v>0.600959181695176</c:v>
                </c:pt>
                <c:pt idx="344">
                  <c:v>0.503014866461542</c:v>
                </c:pt>
                <c:pt idx="345">
                  <c:v>0.522733712374604</c:v>
                </c:pt>
                <c:pt idx="346">
                  <c:v>0.543792276611407</c:v>
                </c:pt>
                <c:pt idx="347">
                  <c:v>0.465770132418767</c:v>
                </c:pt>
                <c:pt idx="348">
                  <c:v>0.506212501951406</c:v>
                </c:pt>
                <c:pt idx="349">
                  <c:v>0.534864275471464</c:v>
                </c:pt>
                <c:pt idx="350">
                  <c:v>0.574289455934321</c:v>
                </c:pt>
                <c:pt idx="351">
                  <c:v>0.539214236947292</c:v>
                </c:pt>
                <c:pt idx="352">
                  <c:v>0.559545539493735</c:v>
                </c:pt>
                <c:pt idx="353">
                  <c:v>0.571239760380799</c:v>
                </c:pt>
                <c:pt idx="354">
                  <c:v>0.584087164529066</c:v>
                </c:pt>
                <c:pt idx="355">
                  <c:v>0.616137556076501</c:v>
                </c:pt>
                <c:pt idx="356">
                  <c:v>0.590411794924051</c:v>
                </c:pt>
                <c:pt idx="357">
                  <c:v>0.596760491819981</c:v>
                </c:pt>
                <c:pt idx="358">
                  <c:v>0.609727430052777</c:v>
                </c:pt>
                <c:pt idx="359">
                  <c:v>0.606543612774717</c:v>
                </c:pt>
                <c:pt idx="360">
                  <c:v>0.642840841510314</c:v>
                </c:pt>
                <c:pt idx="361">
                  <c:v>0.59766518668878</c:v>
                </c:pt>
                <c:pt idx="362">
                  <c:v>0.598713295164102</c:v>
                </c:pt>
                <c:pt idx="363">
                  <c:v>0.640168773711835</c:v>
                </c:pt>
                <c:pt idx="364">
                  <c:v>0.690646280826221</c:v>
                </c:pt>
                <c:pt idx="365">
                  <c:v>0.564058666918636</c:v>
                </c:pt>
                <c:pt idx="366">
                  <c:v>0.59101750339016</c:v>
                </c:pt>
                <c:pt idx="367">
                  <c:v>0.613370269795569</c:v>
                </c:pt>
                <c:pt idx="368">
                  <c:v>0.653161915572668</c:v>
                </c:pt>
                <c:pt idx="369">
                  <c:v>0.688121425856219</c:v>
                </c:pt>
                <c:pt idx="370">
                  <c:v>0.69918721643475</c:v>
                </c:pt>
                <c:pt idx="371">
                  <c:v>0.607100708140725</c:v>
                </c:pt>
                <c:pt idx="372">
                  <c:v>0.565944759355363</c:v>
                </c:pt>
                <c:pt idx="373">
                  <c:v>0.466982998521975</c:v>
                </c:pt>
                <c:pt idx="374">
                  <c:v>0.514493903554188</c:v>
                </c:pt>
                <c:pt idx="375">
                  <c:v>0.521059276859633</c:v>
                </c:pt>
                <c:pt idx="376">
                  <c:v>0.523050872778896</c:v>
                </c:pt>
                <c:pt idx="377">
                  <c:v>0.562565509518435</c:v>
                </c:pt>
                <c:pt idx="378">
                  <c:v>0.60663689733206</c:v>
                </c:pt>
                <c:pt idx="379">
                  <c:v>0.656981479706863</c:v>
                </c:pt>
                <c:pt idx="380">
                  <c:v>0.699352320705223</c:v>
                </c:pt>
                <c:pt idx="381">
                  <c:v>0.756307136974096</c:v>
                </c:pt>
                <c:pt idx="382">
                  <c:v>0.779857253196886</c:v>
                </c:pt>
                <c:pt idx="383">
                  <c:v>0.765910570003491</c:v>
                </c:pt>
                <c:pt idx="384">
                  <c:v>0.775564031147698</c:v>
                </c:pt>
                <c:pt idx="385">
                  <c:v>0.803585399291911</c:v>
                </c:pt>
                <c:pt idx="386">
                  <c:v>0.6475373606224</c:v>
                </c:pt>
                <c:pt idx="387">
                  <c:v>0.677327353662037</c:v>
                </c:pt>
                <c:pt idx="388">
                  <c:v>0.507943043872555</c:v>
                </c:pt>
                <c:pt idx="389">
                  <c:v>0.534781366473378</c:v>
                </c:pt>
                <c:pt idx="390">
                  <c:v>0.581604837467312</c:v>
                </c:pt>
                <c:pt idx="391">
                  <c:v>0.605580789546046</c:v>
                </c:pt>
                <c:pt idx="392">
                  <c:v>0.653825851341239</c:v>
                </c:pt>
                <c:pt idx="393">
                  <c:v>0.615849580129325</c:v>
                </c:pt>
                <c:pt idx="394">
                  <c:v>0.643593644815868</c:v>
                </c:pt>
                <c:pt idx="395">
                  <c:v>0.651987927273199</c:v>
                </c:pt>
                <c:pt idx="396">
                  <c:v>0.688224165668898</c:v>
                </c:pt>
                <c:pt idx="397">
                  <c:v>0.703720538708901</c:v>
                </c:pt>
                <c:pt idx="398">
                  <c:v>0.738547804416822</c:v>
                </c:pt>
                <c:pt idx="399">
                  <c:v>0.764990184984002</c:v>
                </c:pt>
                <c:pt idx="400">
                  <c:v>0.656710161815866</c:v>
                </c:pt>
                <c:pt idx="401">
                  <c:v>0.653031029835649</c:v>
                </c:pt>
                <c:pt idx="402">
                  <c:v>0.663712467384388</c:v>
                </c:pt>
                <c:pt idx="403">
                  <c:v>0.683042450733161</c:v>
                </c:pt>
                <c:pt idx="404">
                  <c:v>0.66387721084613</c:v>
                </c:pt>
                <c:pt idx="405">
                  <c:v>0.673365460661613</c:v>
                </c:pt>
                <c:pt idx="406">
                  <c:v>0.629681864061068</c:v>
                </c:pt>
                <c:pt idx="407">
                  <c:v>0.608127219316683</c:v>
                </c:pt>
                <c:pt idx="408">
                  <c:v>0.584658431025639</c:v>
                </c:pt>
                <c:pt idx="409">
                  <c:v>0.601302493408304</c:v>
                </c:pt>
                <c:pt idx="410">
                  <c:v>0.614026417175521</c:v>
                </c:pt>
                <c:pt idx="411">
                  <c:v>0.578246246051428</c:v>
                </c:pt>
                <c:pt idx="412">
                  <c:v>0.53853491586668</c:v>
                </c:pt>
                <c:pt idx="413">
                  <c:v>0.534304814729054</c:v>
                </c:pt>
                <c:pt idx="414">
                  <c:v>0.566443290964512</c:v>
                </c:pt>
                <c:pt idx="415">
                  <c:v>0.571662586023654</c:v>
                </c:pt>
                <c:pt idx="416">
                  <c:v>0.699072752809131</c:v>
                </c:pt>
                <c:pt idx="417">
                  <c:v>0.71760196160521</c:v>
                </c:pt>
                <c:pt idx="418">
                  <c:v>0.656864644410097</c:v>
                </c:pt>
                <c:pt idx="419">
                  <c:v>0.629393005848118</c:v>
                </c:pt>
                <c:pt idx="420">
                  <c:v>0.584905507759895</c:v>
                </c:pt>
                <c:pt idx="421">
                  <c:v>0.601018867265076</c:v>
                </c:pt>
                <c:pt idx="422">
                  <c:v>0.619367411847667</c:v>
                </c:pt>
                <c:pt idx="423">
                  <c:v>0.632876525364785</c:v>
                </c:pt>
                <c:pt idx="424">
                  <c:v>0.632459808027572</c:v>
                </c:pt>
                <c:pt idx="425">
                  <c:v>0.543812825535159</c:v>
                </c:pt>
                <c:pt idx="426">
                  <c:v>0.543601238246606</c:v>
                </c:pt>
                <c:pt idx="427">
                  <c:v>0.522101504112429</c:v>
                </c:pt>
                <c:pt idx="428">
                  <c:v>0.534400396998862</c:v>
                </c:pt>
                <c:pt idx="429">
                  <c:v>0.540695617332146</c:v>
                </c:pt>
                <c:pt idx="430">
                  <c:v>0.553708741040393</c:v>
                </c:pt>
                <c:pt idx="431">
                  <c:v>0.591906452706938</c:v>
                </c:pt>
                <c:pt idx="432">
                  <c:v>0.604151523257941</c:v>
                </c:pt>
                <c:pt idx="433">
                  <c:v>0.590970129524464</c:v>
                </c:pt>
                <c:pt idx="434">
                  <c:v>0.33798588449375</c:v>
                </c:pt>
                <c:pt idx="435">
                  <c:v>0.367479466949866</c:v>
                </c:pt>
                <c:pt idx="436">
                  <c:v>0.401453487218068</c:v>
                </c:pt>
                <c:pt idx="437">
                  <c:v>0.424714001906793</c:v>
                </c:pt>
                <c:pt idx="438">
                  <c:v>0.30973347542617</c:v>
                </c:pt>
                <c:pt idx="439">
                  <c:v>0.331088157284098</c:v>
                </c:pt>
                <c:pt idx="440">
                  <c:v>0.343693606015093</c:v>
                </c:pt>
                <c:pt idx="441">
                  <c:v>0.359127382083051</c:v>
                </c:pt>
                <c:pt idx="442">
                  <c:v>0.328275685363903</c:v>
                </c:pt>
                <c:pt idx="443">
                  <c:v>0.29028838798407</c:v>
                </c:pt>
                <c:pt idx="444">
                  <c:v>0.065781253654202</c:v>
                </c:pt>
                <c:pt idx="445">
                  <c:v>0.0810426161303178</c:v>
                </c:pt>
                <c:pt idx="446">
                  <c:v>0.0963449149169746</c:v>
                </c:pt>
                <c:pt idx="447">
                  <c:v>0.121829907594192</c:v>
                </c:pt>
                <c:pt idx="448">
                  <c:v>0.149477044710153</c:v>
                </c:pt>
                <c:pt idx="449">
                  <c:v>0.113569870625989</c:v>
                </c:pt>
                <c:pt idx="450">
                  <c:v>0.133149088871162</c:v>
                </c:pt>
                <c:pt idx="451">
                  <c:v>0.117195379966036</c:v>
                </c:pt>
                <c:pt idx="452">
                  <c:v>0.144363498544113</c:v>
                </c:pt>
                <c:pt idx="453">
                  <c:v>0.155591707113509</c:v>
                </c:pt>
                <c:pt idx="454">
                  <c:v>0.180251756062403</c:v>
                </c:pt>
                <c:pt idx="455">
                  <c:v>0.205951190320678</c:v>
                </c:pt>
                <c:pt idx="456">
                  <c:v>0.22102234766682</c:v>
                </c:pt>
                <c:pt idx="457">
                  <c:v>0.228862371651919</c:v>
                </c:pt>
                <c:pt idx="458">
                  <c:v>0.12500929492752</c:v>
                </c:pt>
                <c:pt idx="459">
                  <c:v>0.137207618881895</c:v>
                </c:pt>
                <c:pt idx="460">
                  <c:v>0.153959976886111</c:v>
                </c:pt>
                <c:pt idx="461">
                  <c:v>0.172962724386145</c:v>
                </c:pt>
                <c:pt idx="462">
                  <c:v>0.192268232728759</c:v>
                </c:pt>
                <c:pt idx="463">
                  <c:v>0.186439089099916</c:v>
                </c:pt>
                <c:pt idx="464">
                  <c:v>0.214989128280612</c:v>
                </c:pt>
                <c:pt idx="465">
                  <c:v>0.217532175158034</c:v>
                </c:pt>
                <c:pt idx="466">
                  <c:v>0.238224066109069</c:v>
                </c:pt>
                <c:pt idx="467">
                  <c:v>0.254228945525494</c:v>
                </c:pt>
                <c:pt idx="468">
                  <c:v>0.273022479224717</c:v>
                </c:pt>
                <c:pt idx="469">
                  <c:v>0.299199427495688</c:v>
                </c:pt>
                <c:pt idx="470">
                  <c:v>0.304561993242032</c:v>
                </c:pt>
                <c:pt idx="471">
                  <c:v>0.319850884956616</c:v>
                </c:pt>
                <c:pt idx="472">
                  <c:v>0.340143621740048</c:v>
                </c:pt>
                <c:pt idx="473">
                  <c:v>0.355588584066606</c:v>
                </c:pt>
                <c:pt idx="474">
                  <c:v>0.330210505371497</c:v>
                </c:pt>
                <c:pt idx="475">
                  <c:v>0.35282946911383</c:v>
                </c:pt>
                <c:pt idx="476">
                  <c:v>0.32679802724164</c:v>
                </c:pt>
                <c:pt idx="477">
                  <c:v>0.267425401971137</c:v>
                </c:pt>
                <c:pt idx="478">
                  <c:v>0.273202616136388</c:v>
                </c:pt>
                <c:pt idx="479">
                  <c:v>0.28784840516382</c:v>
                </c:pt>
                <c:pt idx="480">
                  <c:v>0.31043928136189</c:v>
                </c:pt>
                <c:pt idx="481">
                  <c:v>0.304613431969561</c:v>
                </c:pt>
                <c:pt idx="482">
                  <c:v>0.300735918546799</c:v>
                </c:pt>
                <c:pt idx="483">
                  <c:v>0.267895950040613</c:v>
                </c:pt>
                <c:pt idx="484">
                  <c:v>0.270045804011355</c:v>
                </c:pt>
                <c:pt idx="485">
                  <c:v>0.287045426529406</c:v>
                </c:pt>
                <c:pt idx="486">
                  <c:v>0.313906432191646</c:v>
                </c:pt>
                <c:pt idx="487">
                  <c:v>0.326261671026539</c:v>
                </c:pt>
                <c:pt idx="488">
                  <c:v>0.305598104310247</c:v>
                </c:pt>
                <c:pt idx="489">
                  <c:v>0.275256590899377</c:v>
                </c:pt>
                <c:pt idx="490">
                  <c:v>0.297650937368036</c:v>
                </c:pt>
                <c:pt idx="491">
                  <c:v>0.341997444190095</c:v>
                </c:pt>
                <c:pt idx="492">
                  <c:v>0.368566477681857</c:v>
                </c:pt>
                <c:pt idx="493">
                  <c:v>0.402206690435083</c:v>
                </c:pt>
                <c:pt idx="494">
                  <c:v>0.449223495868422</c:v>
                </c:pt>
                <c:pt idx="495">
                  <c:v>0.48723568754331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'Daily Analysis'!O4</c:f>
              <c:strCache>
                <c:ptCount val="1"/>
                <c:pt idx="0">
                  <c:v>OLS h* (for chart)</c:v>
                </c:pt>
              </c:strCache>
            </c:strRef>
          </c:tx>
          <c:spPr>
            <a:solidFill>
              <a:srgbClr val="be4b48"/>
            </a:solidFill>
            <a:ln w="1188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Analysis'!$A$5:$A$500</c:f>
              <c:numCache>
                <c:formatCode>mmm\-yy</c:formatCode>
                <c:ptCount val="496"/>
                <c:pt idx="0">
                  <c:v>2023-09-26</c:v>
                </c:pt>
                <c:pt idx="1">
                  <c:v>2023-10-03</c:v>
                </c:pt>
                <c:pt idx="2">
                  <c:v>2023-10-04</c:v>
                </c:pt>
                <c:pt idx="3">
                  <c:v>2023-10-05</c:v>
                </c:pt>
                <c:pt idx="4">
                  <c:v>2023-10-06</c:v>
                </c:pt>
                <c:pt idx="5">
                  <c:v>2023-10-09</c:v>
                </c:pt>
                <c:pt idx="6">
                  <c:v>2023-10-10</c:v>
                </c:pt>
                <c:pt idx="7">
                  <c:v>2023-10-11</c:v>
                </c:pt>
                <c:pt idx="8">
                  <c:v>2023-10-12</c:v>
                </c:pt>
                <c:pt idx="9">
                  <c:v>2023-10-13</c:v>
                </c:pt>
                <c:pt idx="10">
                  <c:v>2023-10-16</c:v>
                </c:pt>
                <c:pt idx="11">
                  <c:v>2023-10-19</c:v>
                </c:pt>
                <c:pt idx="12">
                  <c:v>2023-10-20</c:v>
                </c:pt>
                <c:pt idx="13">
                  <c:v>2023-10-23</c:v>
                </c:pt>
                <c:pt idx="14">
                  <c:v>2023-10-25</c:v>
                </c:pt>
                <c:pt idx="15">
                  <c:v>2023-10-26</c:v>
                </c:pt>
                <c:pt idx="16">
                  <c:v>2023-10-27</c:v>
                </c:pt>
                <c:pt idx="17">
                  <c:v>2023-10-30</c:v>
                </c:pt>
                <c:pt idx="18">
                  <c:v>2023-10-31</c:v>
                </c:pt>
                <c:pt idx="19">
                  <c:v>2023-11-01</c:v>
                </c:pt>
                <c:pt idx="20">
                  <c:v>2023-11-02</c:v>
                </c:pt>
                <c:pt idx="21">
                  <c:v>2023-11-21</c:v>
                </c:pt>
                <c:pt idx="22">
                  <c:v>2023-11-22</c:v>
                </c:pt>
                <c:pt idx="23">
                  <c:v>2023-11-23</c:v>
                </c:pt>
                <c:pt idx="24">
                  <c:v>2023-11-24</c:v>
                </c:pt>
                <c:pt idx="25">
                  <c:v>2023-11-28</c:v>
                </c:pt>
                <c:pt idx="26">
                  <c:v>2023-11-29</c:v>
                </c:pt>
                <c:pt idx="27">
                  <c:v>2023-11-30</c:v>
                </c:pt>
                <c:pt idx="28">
                  <c:v>2023-12-01</c:v>
                </c:pt>
                <c:pt idx="29">
                  <c:v>2023-12-04</c:v>
                </c:pt>
                <c:pt idx="30">
                  <c:v>2023-12-07</c:v>
                </c:pt>
                <c:pt idx="31">
                  <c:v>2023-12-12</c:v>
                </c:pt>
                <c:pt idx="32">
                  <c:v>2023-12-15</c:v>
                </c:pt>
                <c:pt idx="33">
                  <c:v>2023-12-27</c:v>
                </c:pt>
                <c:pt idx="34">
                  <c:v>2024-01-05</c:v>
                </c:pt>
                <c:pt idx="35">
                  <c:v>2024-01-08</c:v>
                </c:pt>
                <c:pt idx="36">
                  <c:v>2024-01-09</c:v>
                </c:pt>
                <c:pt idx="37">
                  <c:v>2024-01-10</c:v>
                </c:pt>
                <c:pt idx="38">
                  <c:v>2024-01-11</c:v>
                </c:pt>
                <c:pt idx="39">
                  <c:v>2024-01-17</c:v>
                </c:pt>
                <c:pt idx="40">
                  <c:v>2024-01-18</c:v>
                </c:pt>
                <c:pt idx="41">
                  <c:v>2024-01-25</c:v>
                </c:pt>
                <c:pt idx="42">
                  <c:v>2024-01-29</c:v>
                </c:pt>
                <c:pt idx="43">
                  <c:v>2024-01-30</c:v>
                </c:pt>
                <c:pt idx="44">
                  <c:v>2024-01-31</c:v>
                </c:pt>
                <c:pt idx="45">
                  <c:v>2024-02-01</c:v>
                </c:pt>
                <c:pt idx="46">
                  <c:v>2024-02-02</c:v>
                </c:pt>
                <c:pt idx="47">
                  <c:v>2024-02-05</c:v>
                </c:pt>
                <c:pt idx="48">
                  <c:v>2024-02-06</c:v>
                </c:pt>
                <c:pt idx="49">
                  <c:v>2024-02-07</c:v>
                </c:pt>
                <c:pt idx="50">
                  <c:v>2024-02-08</c:v>
                </c:pt>
                <c:pt idx="51">
                  <c:v>2024-02-09</c:v>
                </c:pt>
                <c:pt idx="52">
                  <c:v>2024-02-12</c:v>
                </c:pt>
                <c:pt idx="53">
                  <c:v>2024-02-15</c:v>
                </c:pt>
                <c:pt idx="54">
                  <c:v>2024-02-16</c:v>
                </c:pt>
                <c:pt idx="55">
                  <c:v>2024-02-19</c:v>
                </c:pt>
                <c:pt idx="56">
                  <c:v>2024-02-20</c:v>
                </c:pt>
                <c:pt idx="57">
                  <c:v>2024-02-21</c:v>
                </c:pt>
                <c:pt idx="58">
                  <c:v>2024-02-22</c:v>
                </c:pt>
                <c:pt idx="59">
                  <c:v>2024-02-23</c:v>
                </c:pt>
                <c:pt idx="60">
                  <c:v>2024-02-26</c:v>
                </c:pt>
                <c:pt idx="61">
                  <c:v>2024-02-27</c:v>
                </c:pt>
                <c:pt idx="62">
                  <c:v>2024-02-28</c:v>
                </c:pt>
                <c:pt idx="63">
                  <c:v>2024-03-05</c:v>
                </c:pt>
                <c:pt idx="64">
                  <c:v>2024-03-11</c:v>
                </c:pt>
                <c:pt idx="65">
                  <c:v>2024-03-12</c:v>
                </c:pt>
                <c:pt idx="66">
                  <c:v>2024-03-13</c:v>
                </c:pt>
                <c:pt idx="67">
                  <c:v>2024-03-14</c:v>
                </c:pt>
                <c:pt idx="68">
                  <c:v>2024-03-15</c:v>
                </c:pt>
                <c:pt idx="69">
                  <c:v>2024-03-18</c:v>
                </c:pt>
                <c:pt idx="70">
                  <c:v>2024-03-19</c:v>
                </c:pt>
                <c:pt idx="71">
                  <c:v>2024-03-22</c:v>
                </c:pt>
                <c:pt idx="72">
                  <c:v>2024-03-28</c:v>
                </c:pt>
                <c:pt idx="73">
                  <c:v>2024-04-01</c:v>
                </c:pt>
                <c:pt idx="74">
                  <c:v>2024-04-02</c:v>
                </c:pt>
                <c:pt idx="75">
                  <c:v>2024-04-03</c:v>
                </c:pt>
                <c:pt idx="76">
                  <c:v>2024-04-04</c:v>
                </c:pt>
                <c:pt idx="77">
                  <c:v>2024-04-05</c:v>
                </c:pt>
                <c:pt idx="78">
                  <c:v>2024-04-08</c:v>
                </c:pt>
                <c:pt idx="79">
                  <c:v>2024-04-15</c:v>
                </c:pt>
                <c:pt idx="80">
                  <c:v>2024-04-16</c:v>
                </c:pt>
                <c:pt idx="81">
                  <c:v>2024-04-18</c:v>
                </c:pt>
                <c:pt idx="82">
                  <c:v>2024-04-23</c:v>
                </c:pt>
                <c:pt idx="83">
                  <c:v>2024-04-24</c:v>
                </c:pt>
                <c:pt idx="84">
                  <c:v>2024-04-25</c:v>
                </c:pt>
                <c:pt idx="85">
                  <c:v>2024-04-26</c:v>
                </c:pt>
                <c:pt idx="86">
                  <c:v>2024-12-05</c:v>
                </c:pt>
                <c:pt idx="87">
                  <c:v>2024-12-06</c:v>
                </c:pt>
                <c:pt idx="88">
                  <c:v>2024-12-09</c:v>
                </c:pt>
                <c:pt idx="89">
                  <c:v>2024-12-10</c:v>
                </c:pt>
                <c:pt idx="90">
                  <c:v>2024-12-11</c:v>
                </c:pt>
                <c:pt idx="91">
                  <c:v>2024-12-12</c:v>
                </c:pt>
                <c:pt idx="92">
                  <c:v>2024-12-13</c:v>
                </c:pt>
                <c:pt idx="93">
                  <c:v>2024-12-16</c:v>
                </c:pt>
                <c:pt idx="94">
                  <c:v>2024-12-17</c:v>
                </c:pt>
                <c:pt idx="95">
                  <c:v>2024-12-18</c:v>
                </c:pt>
                <c:pt idx="96">
                  <c:v>2024-12-19</c:v>
                </c:pt>
                <c:pt idx="97">
                  <c:v>2024-12-20</c:v>
                </c:pt>
                <c:pt idx="98">
                  <c:v>2024-12-23</c:v>
                </c:pt>
                <c:pt idx="99">
                  <c:v>2024-12-24</c:v>
                </c:pt>
                <c:pt idx="100">
                  <c:v>2024-12-26</c:v>
                </c:pt>
                <c:pt idx="101">
                  <c:v>2024-12-27</c:v>
                </c:pt>
                <c:pt idx="102">
                  <c:v>2024-12-30</c:v>
                </c:pt>
                <c:pt idx="103">
                  <c:v>2024-12-31</c:v>
                </c:pt>
                <c:pt idx="104">
                  <c:v>2025-01-01</c:v>
                </c:pt>
                <c:pt idx="105">
                  <c:v>2025-01-02</c:v>
                </c:pt>
                <c:pt idx="106">
                  <c:v>2025-01-03</c:v>
                </c:pt>
                <c:pt idx="107">
                  <c:v>2025-01-06</c:v>
                </c:pt>
                <c:pt idx="108">
                  <c:v>2025-01-07</c:v>
                </c:pt>
                <c:pt idx="109">
                  <c:v>2025-01-08</c:v>
                </c:pt>
                <c:pt idx="110">
                  <c:v>2025-01-09</c:v>
                </c:pt>
                <c:pt idx="111">
                  <c:v>2025-01-10</c:v>
                </c:pt>
                <c:pt idx="112">
                  <c:v>2025-01-13</c:v>
                </c:pt>
                <c:pt idx="113">
                  <c:v>2025-01-16</c:v>
                </c:pt>
                <c:pt idx="114">
                  <c:v>2025-01-17</c:v>
                </c:pt>
                <c:pt idx="115">
                  <c:v>2025-01-20</c:v>
                </c:pt>
                <c:pt idx="116">
                  <c:v>2025-01-21</c:v>
                </c:pt>
                <c:pt idx="117">
                  <c:v>2025-01-22</c:v>
                </c:pt>
                <c:pt idx="118">
                  <c:v>2025-01-23</c:v>
                </c:pt>
                <c:pt idx="119">
                  <c:v>2025-01-24</c:v>
                </c:pt>
                <c:pt idx="120">
                  <c:v>2025-01-27</c:v>
                </c:pt>
                <c:pt idx="121">
                  <c:v>2025-01-28</c:v>
                </c:pt>
                <c:pt idx="122">
                  <c:v>2025-01-29</c:v>
                </c:pt>
                <c:pt idx="123">
                  <c:v>2025-01-30</c:v>
                </c:pt>
                <c:pt idx="124">
                  <c:v>2025-01-31</c:v>
                </c:pt>
                <c:pt idx="125">
                  <c:v>2025-02-04</c:v>
                </c:pt>
                <c:pt idx="126">
                  <c:v>2025-02-05</c:v>
                </c:pt>
                <c:pt idx="127">
                  <c:v>2025-02-06</c:v>
                </c:pt>
                <c:pt idx="128">
                  <c:v>2025-02-07</c:v>
                </c:pt>
                <c:pt idx="129">
                  <c:v>2025-02-10</c:v>
                </c:pt>
                <c:pt idx="130">
                  <c:v>2025-02-11</c:v>
                </c:pt>
                <c:pt idx="131">
                  <c:v>2025-02-12</c:v>
                </c:pt>
                <c:pt idx="132">
                  <c:v>2025-02-13</c:v>
                </c:pt>
                <c:pt idx="133">
                  <c:v>2025-02-14</c:v>
                </c:pt>
                <c:pt idx="134">
                  <c:v>2025-02-17</c:v>
                </c:pt>
                <c:pt idx="135">
                  <c:v>2025-02-18</c:v>
                </c:pt>
                <c:pt idx="136">
                  <c:v>2025-02-19</c:v>
                </c:pt>
                <c:pt idx="137">
                  <c:v>2025-02-20</c:v>
                </c:pt>
                <c:pt idx="138">
                  <c:v>2025-02-21</c:v>
                </c:pt>
                <c:pt idx="139">
                  <c:v>2025-02-24</c:v>
                </c:pt>
                <c:pt idx="140">
                  <c:v>2025-02-25</c:v>
                </c:pt>
                <c:pt idx="141">
                  <c:v>2025-02-27</c:v>
                </c:pt>
                <c:pt idx="142">
                  <c:v>2025-02-28</c:v>
                </c:pt>
                <c:pt idx="143">
                  <c:v>2025-03-03</c:v>
                </c:pt>
                <c:pt idx="144">
                  <c:v>2025-03-04</c:v>
                </c:pt>
                <c:pt idx="145">
                  <c:v>2025-03-05</c:v>
                </c:pt>
                <c:pt idx="146">
                  <c:v>2025-03-06</c:v>
                </c:pt>
                <c:pt idx="147">
                  <c:v>2025-03-07</c:v>
                </c:pt>
                <c:pt idx="148">
                  <c:v>2025-03-10</c:v>
                </c:pt>
                <c:pt idx="149">
                  <c:v>2025-03-11</c:v>
                </c:pt>
                <c:pt idx="150">
                  <c:v>2025-03-12</c:v>
                </c:pt>
                <c:pt idx="151">
                  <c:v>2025-03-13</c:v>
                </c:pt>
                <c:pt idx="152">
                  <c:v>2025-03-17</c:v>
                </c:pt>
                <c:pt idx="153">
                  <c:v>2025-03-18</c:v>
                </c:pt>
                <c:pt idx="154">
                  <c:v>2025-03-19</c:v>
                </c:pt>
                <c:pt idx="155">
                  <c:v>2025-03-20</c:v>
                </c:pt>
                <c:pt idx="156">
                  <c:v>2025-03-21</c:v>
                </c:pt>
                <c:pt idx="157">
                  <c:v>2025-03-24</c:v>
                </c:pt>
                <c:pt idx="158">
                  <c:v>2025-03-25</c:v>
                </c:pt>
                <c:pt idx="159">
                  <c:v>2025-03-26</c:v>
                </c:pt>
                <c:pt idx="160">
                  <c:v>2025-03-27</c:v>
                </c:pt>
                <c:pt idx="161">
                  <c:v>2025-04-02</c:v>
                </c:pt>
                <c:pt idx="162">
                  <c:v>2025-04-03</c:v>
                </c:pt>
                <c:pt idx="163">
                  <c:v>2025-04-04</c:v>
                </c:pt>
                <c:pt idx="164">
                  <c:v>2025-04-07</c:v>
                </c:pt>
                <c:pt idx="165">
                  <c:v>2025-04-08</c:v>
                </c:pt>
                <c:pt idx="166">
                  <c:v>2025-04-15</c:v>
                </c:pt>
                <c:pt idx="167">
                  <c:v>2025-04-16</c:v>
                </c:pt>
                <c:pt idx="168">
                  <c:v>2025-04-17</c:v>
                </c:pt>
                <c:pt idx="169">
                  <c:v>2025-04-21</c:v>
                </c:pt>
                <c:pt idx="170">
                  <c:v>2025-04-22</c:v>
                </c:pt>
                <c:pt idx="171">
                  <c:v>2025-04-23</c:v>
                </c:pt>
                <c:pt idx="172">
                  <c:v>2025-04-24</c:v>
                </c:pt>
                <c:pt idx="173">
                  <c:v>2025-04-25</c:v>
                </c:pt>
                <c:pt idx="174">
                  <c:v>2025-04-28</c:v>
                </c:pt>
                <c:pt idx="175">
                  <c:v>2025-04-29</c:v>
                </c:pt>
                <c:pt idx="176">
                  <c:v>2025-04-30</c:v>
                </c:pt>
                <c:pt idx="177">
                  <c:v>2025-05-02</c:v>
                </c:pt>
                <c:pt idx="178">
                  <c:v>2025-05-05</c:v>
                </c:pt>
                <c:pt idx="179">
                  <c:v>2025-05-06</c:v>
                </c:pt>
                <c:pt idx="180">
                  <c:v>2025-05-07</c:v>
                </c:pt>
                <c:pt idx="181">
                  <c:v>2025-05-08</c:v>
                </c:pt>
                <c:pt idx="182">
                  <c:v>2025-05-09</c:v>
                </c:pt>
                <c:pt idx="183">
                  <c:v>2025-05-12</c:v>
                </c:pt>
                <c:pt idx="184">
                  <c:v>2025-05-13</c:v>
                </c:pt>
                <c:pt idx="185">
                  <c:v>2025-05-14</c:v>
                </c:pt>
                <c:pt idx="186">
                  <c:v>2025-05-15</c:v>
                </c:pt>
                <c:pt idx="187">
                  <c:v>2025-05-16</c:v>
                </c:pt>
                <c:pt idx="188">
                  <c:v>2025-05-19</c:v>
                </c:pt>
                <c:pt idx="189">
                  <c:v>2025-05-20</c:v>
                </c:pt>
                <c:pt idx="190">
                  <c:v>2025-05-21</c:v>
                </c:pt>
                <c:pt idx="191">
                  <c:v>2025-05-22</c:v>
                </c:pt>
                <c:pt idx="192">
                  <c:v>2025-05-23</c:v>
                </c:pt>
                <c:pt idx="193">
                  <c:v>2025-05-26</c:v>
                </c:pt>
                <c:pt idx="194">
                  <c:v>2025-05-27</c:v>
                </c:pt>
                <c:pt idx="195">
                  <c:v>2025-05-28</c:v>
                </c:pt>
                <c:pt idx="196">
                  <c:v>2025-05-29</c:v>
                </c:pt>
                <c:pt idx="197">
                  <c:v>2025-05-30</c:v>
                </c:pt>
                <c:pt idx="198">
                  <c:v>2025-06-02</c:v>
                </c:pt>
                <c:pt idx="199">
                  <c:v>2025-06-03</c:v>
                </c:pt>
                <c:pt idx="200">
                  <c:v>2025-06-04</c:v>
                </c:pt>
                <c:pt idx="201">
                  <c:v>2025-06-05</c:v>
                </c:pt>
                <c:pt idx="202">
                  <c:v>2025-06-06</c:v>
                </c:pt>
                <c:pt idx="203">
                  <c:v>2025-06-09</c:v>
                </c:pt>
                <c:pt idx="204">
                  <c:v>2025-06-10</c:v>
                </c:pt>
                <c:pt idx="205">
                  <c:v>2025-06-11</c:v>
                </c:pt>
                <c:pt idx="206">
                  <c:v>2025-06-12</c:v>
                </c:pt>
                <c:pt idx="207">
                  <c:v>2025-06-13</c:v>
                </c:pt>
                <c:pt idx="208">
                  <c:v>2025-06-16</c:v>
                </c:pt>
                <c:pt idx="209">
                  <c:v>2025-06-17</c:v>
                </c:pt>
                <c:pt idx="210">
                  <c:v>2025-06-18</c:v>
                </c:pt>
                <c:pt idx="211">
                  <c:v>2025-06-19</c:v>
                </c:pt>
                <c:pt idx="212">
                  <c:v>2025-06-20</c:v>
                </c:pt>
                <c:pt idx="213">
                  <c:v>2025-06-23</c:v>
                </c:pt>
                <c:pt idx="214">
                  <c:v>2025-06-24</c:v>
                </c:pt>
                <c:pt idx="215">
                  <c:v>2025-06-25</c:v>
                </c:pt>
                <c:pt idx="216">
                  <c:v>2025-06-26</c:v>
                </c:pt>
                <c:pt idx="217">
                  <c:v>2025-06-27</c:v>
                </c:pt>
                <c:pt idx="218">
                  <c:v>2025-06-30</c:v>
                </c:pt>
                <c:pt idx="219">
                  <c:v>2025-07-01</c:v>
                </c:pt>
                <c:pt idx="220">
                  <c:v>2025-07-02</c:v>
                </c:pt>
                <c:pt idx="221">
                  <c:v>2025-07-03</c:v>
                </c:pt>
                <c:pt idx="222">
                  <c:v>2025-07-04</c:v>
                </c:pt>
                <c:pt idx="223">
                  <c:v>2025-07-07</c:v>
                </c:pt>
                <c:pt idx="224">
                  <c:v>2025-07-08</c:v>
                </c:pt>
                <c:pt idx="225">
                  <c:v>2025-07-09</c:v>
                </c:pt>
                <c:pt idx="226">
                  <c:v>2025-07-10</c:v>
                </c:pt>
                <c:pt idx="227">
                  <c:v>2025-07-11</c:v>
                </c:pt>
                <c:pt idx="228">
                  <c:v>2025-07-14</c:v>
                </c:pt>
                <c:pt idx="229">
                  <c:v>2025-07-15</c:v>
                </c:pt>
                <c:pt idx="230">
                  <c:v>2025-07-16</c:v>
                </c:pt>
                <c:pt idx="231">
                  <c:v>2025-07-17</c:v>
                </c:pt>
                <c:pt idx="232">
                  <c:v>2025-07-18</c:v>
                </c:pt>
                <c:pt idx="233">
                  <c:v>2025-07-21</c:v>
                </c:pt>
                <c:pt idx="234">
                  <c:v>2025-07-22</c:v>
                </c:pt>
                <c:pt idx="235">
                  <c:v>2025-07-23</c:v>
                </c:pt>
                <c:pt idx="236">
                  <c:v>2025-07-24</c:v>
                </c:pt>
                <c:pt idx="237">
                  <c:v>2025-07-25</c:v>
                </c:pt>
                <c:pt idx="238">
                  <c:v>2025-07-28</c:v>
                </c:pt>
                <c:pt idx="239">
                  <c:v>2025-07-29</c:v>
                </c:pt>
                <c:pt idx="240">
                  <c:v>2025-07-30</c:v>
                </c:pt>
                <c:pt idx="241">
                  <c:v>2025-07-31</c:v>
                </c:pt>
                <c:pt idx="242">
                  <c:v>2025-08-01</c:v>
                </c:pt>
                <c:pt idx="243">
                  <c:v>2025-08-04</c:v>
                </c:pt>
                <c:pt idx="244">
                  <c:v>2025-08-05</c:v>
                </c:pt>
                <c:pt idx="245">
                  <c:v>2025-08-06</c:v>
                </c:pt>
                <c:pt idx="246">
                  <c:v>2025-08-07</c:v>
                </c:pt>
                <c:pt idx="247">
                  <c:v>2025-08-08</c:v>
                </c:pt>
                <c:pt idx="248">
                  <c:v>2025-08-11</c:v>
                </c:pt>
                <c:pt idx="249">
                  <c:v>2025-08-12</c:v>
                </c:pt>
                <c:pt idx="250">
                  <c:v>2025-08-13</c:v>
                </c:pt>
                <c:pt idx="251">
                  <c:v>2025-08-14</c:v>
                </c:pt>
                <c:pt idx="252">
                  <c:v>2025-08-18</c:v>
                </c:pt>
                <c:pt idx="253">
                  <c:v>2025-08-21</c:v>
                </c:pt>
                <c:pt idx="254">
                  <c:v>2025-08-22</c:v>
                </c:pt>
                <c:pt idx="255">
                  <c:v>2025-08-25</c:v>
                </c:pt>
                <c:pt idx="256">
                  <c:v>2025-08-26</c:v>
                </c:pt>
                <c:pt idx="257">
                  <c:v>2025-08-28</c:v>
                </c:pt>
                <c:pt idx="258">
                  <c:v>2025-08-29</c:v>
                </c:pt>
                <c:pt idx="259">
                  <c:v>2025-09-01</c:v>
                </c:pt>
                <c:pt idx="260">
                  <c:v>2025-09-02</c:v>
                </c:pt>
                <c:pt idx="261">
                  <c:v>2025-09-03</c:v>
                </c:pt>
                <c:pt idx="262">
                  <c:v>2025-09-04</c:v>
                </c:pt>
                <c:pt idx="263">
                  <c:v>2025-09-09</c:v>
                </c:pt>
                <c:pt idx="264">
                  <c:v>2025-09-10</c:v>
                </c:pt>
                <c:pt idx="265">
                  <c:v>2025-09-11</c:v>
                </c:pt>
                <c:pt idx="266">
                  <c:v>2025-09-12</c:v>
                </c:pt>
                <c:pt idx="267">
                  <c:v>2025-09-15</c:v>
                </c:pt>
                <c:pt idx="268">
                  <c:v>2025-09-16</c:v>
                </c:pt>
                <c:pt idx="269">
                  <c:v>2025-09-17</c:v>
                </c:pt>
                <c:pt idx="270">
                  <c:v>2025-09-18</c:v>
                </c:pt>
                <c:pt idx="271">
                  <c:v>2025-09-19</c:v>
                </c:pt>
                <c:pt idx="272">
                  <c:v>2025-09-22</c:v>
                </c:pt>
                <c:pt idx="273">
                  <c:v>2025-09-23</c:v>
                </c:pt>
                <c:pt idx="274">
                  <c:v>2025-09-26</c:v>
                </c:pt>
                <c:pt idx="275">
                  <c:v>2025-10-01</c:v>
                </c:pt>
                <c:pt idx="276">
                  <c:v>2025-10-03</c:v>
                </c:pt>
                <c:pt idx="277">
                  <c:v>2025-10-06</c:v>
                </c:pt>
                <c:pt idx="278">
                  <c:v>2025-10-07</c:v>
                </c:pt>
                <c:pt idx="279">
                  <c:v>2025-10-08</c:v>
                </c:pt>
                <c:pt idx="280">
                  <c:v>2025-10-09</c:v>
                </c:pt>
                <c:pt idx="281">
                  <c:v>2025-10-10</c:v>
                </c:pt>
                <c:pt idx="282">
                  <c:v>2025-10-13</c:v>
                </c:pt>
                <c:pt idx="283">
                  <c:v>2025-10-14</c:v>
                </c:pt>
                <c:pt idx="284">
                  <c:v>2025-10-15</c:v>
                </c:pt>
                <c:pt idx="285">
                  <c:v>2025-10-16</c:v>
                </c:pt>
                <c:pt idx="286">
                  <c:v>2025-10-17</c:v>
                </c:pt>
                <c:pt idx="287">
                  <c:v>2025-10-28</c:v>
                </c:pt>
                <c:pt idx="288">
                  <c:v>2025-10-29</c:v>
                </c:pt>
                <c:pt idx="289">
                  <c:v>2025-10-30</c:v>
                </c:pt>
                <c:pt idx="290">
                  <c:v>2025-10-31</c:v>
                </c:pt>
                <c:pt idx="291">
                  <c:v>2025-11-03</c:v>
                </c:pt>
                <c:pt idx="292">
                  <c:v>2025-11-04</c:v>
                </c:pt>
                <c:pt idx="293">
                  <c:v>2025-11-06</c:v>
                </c:pt>
                <c:pt idx="294">
                  <c:v>2025-11-07</c:v>
                </c:pt>
                <c:pt idx="295">
                  <c:v>2025-11-10</c:v>
                </c:pt>
                <c:pt idx="296">
                  <c:v>2025-11-11</c:v>
                </c:pt>
                <c:pt idx="297">
                  <c:v>2025-11-12</c:v>
                </c:pt>
                <c:pt idx="298">
                  <c:v>2025-11-13</c:v>
                </c:pt>
                <c:pt idx="299">
                  <c:v>2025-11-14</c:v>
                </c:pt>
                <c:pt idx="300">
                  <c:v>2025-11-17</c:v>
                </c:pt>
                <c:pt idx="301">
                  <c:v>2025-11-18</c:v>
                </c:pt>
                <c:pt idx="302">
                  <c:v>2025-11-19</c:v>
                </c:pt>
                <c:pt idx="303">
                  <c:v>2025-11-20</c:v>
                </c:pt>
                <c:pt idx="304">
                  <c:v>2025-11-21</c:v>
                </c:pt>
                <c:pt idx="305">
                  <c:v>2025-11-24</c:v>
                </c:pt>
                <c:pt idx="306">
                  <c:v>2025-11-25</c:v>
                </c:pt>
                <c:pt idx="307">
                  <c:v>2025-11-26</c:v>
                </c:pt>
                <c:pt idx="308">
                  <c:v>2025-11-27</c:v>
                </c:pt>
                <c:pt idx="309">
                  <c:v>2025-11-28</c:v>
                </c:pt>
                <c:pt idx="310">
                  <c:v>2025-12-01</c:v>
                </c:pt>
                <c:pt idx="311">
                  <c:v>2025-12-02</c:v>
                </c:pt>
                <c:pt idx="312">
                  <c:v>2025-12-03</c:v>
                </c:pt>
                <c:pt idx="313">
                  <c:v>2025-12-04</c:v>
                </c:pt>
                <c:pt idx="314">
                  <c:v>2025-12-05</c:v>
                </c:pt>
                <c:pt idx="315">
                  <c:v>2025-12-08</c:v>
                </c:pt>
                <c:pt idx="316">
                  <c:v>2025-12-09</c:v>
                </c:pt>
                <c:pt idx="317">
                  <c:v>2025-12-10</c:v>
                </c:pt>
                <c:pt idx="318">
                  <c:v>2025-12-11</c:v>
                </c:pt>
                <c:pt idx="319">
                  <c:v>2025-12-12</c:v>
                </c:pt>
                <c:pt idx="320">
                  <c:v>2025-12-15</c:v>
                </c:pt>
                <c:pt idx="321">
                  <c:v>2025-12-16</c:v>
                </c:pt>
                <c:pt idx="322">
                  <c:v>2025-12-17</c:v>
                </c:pt>
                <c:pt idx="323">
                  <c:v>2025-12-18</c:v>
                </c:pt>
                <c:pt idx="324">
                  <c:v>2025-12-19</c:v>
                </c:pt>
                <c:pt idx="325">
                  <c:v>2025-12-22</c:v>
                </c:pt>
                <c:pt idx="326">
                  <c:v>2025-12-23</c:v>
                </c:pt>
                <c:pt idx="327">
                  <c:v>2025-12-24</c:v>
                </c:pt>
                <c:pt idx="328">
                  <c:v>2025-12-26</c:v>
                </c:pt>
                <c:pt idx="329">
                  <c:v>2025-12-29</c:v>
                </c:pt>
                <c:pt idx="330">
                  <c:v>2025-12-30</c:v>
                </c:pt>
                <c:pt idx="331">
                  <c:v>2025-12-31</c:v>
                </c:pt>
                <c:pt idx="332">
                  <c:v>2026-01-01</c:v>
                </c:pt>
                <c:pt idx="333">
                  <c:v>2026-01-02</c:v>
                </c:pt>
                <c:pt idx="334">
                  <c:v>2026-01-05</c:v>
                </c:pt>
                <c:pt idx="335">
                  <c:v>2026-01-06</c:v>
                </c:pt>
                <c:pt idx="336">
                  <c:v>2026-01-07</c:v>
                </c:pt>
                <c:pt idx="337">
                  <c:v>2026-01-08</c:v>
                </c:pt>
                <c:pt idx="338">
                  <c:v>2026-01-09</c:v>
                </c:pt>
                <c:pt idx="339">
                  <c:v>2026-01-12</c:v>
                </c:pt>
                <c:pt idx="340">
                  <c:v>2026-01-13</c:v>
                </c:pt>
                <c:pt idx="341">
                  <c:v>2026-01-19</c:v>
                </c:pt>
                <c:pt idx="342">
                  <c:v>2026-01-20</c:v>
                </c:pt>
                <c:pt idx="343">
                  <c:v>2026-01-21</c:v>
                </c:pt>
                <c:pt idx="344">
                  <c:v>2026-01-22</c:v>
                </c:pt>
                <c:pt idx="345">
                  <c:v>2026-01-23</c:v>
                </c:pt>
                <c:pt idx="346">
                  <c:v>2026-01-27</c:v>
                </c:pt>
                <c:pt idx="347">
                  <c:v>2026-01-28</c:v>
                </c:pt>
                <c:pt idx="348">
                  <c:v>2026-01-29</c:v>
                </c:pt>
                <c:pt idx="349">
                  <c:v>2026-01-30</c:v>
                </c:pt>
                <c:pt idx="350">
                  <c:v>2026-02-04</c:v>
                </c:pt>
                <c:pt idx="351">
                  <c:v>2026-02-05</c:v>
                </c:pt>
                <c:pt idx="352">
                  <c:v>2026-02-06</c:v>
                </c:pt>
                <c:pt idx="353">
                  <c:v>2026-02-09</c:v>
                </c:pt>
                <c:pt idx="354">
                  <c:v>2026-02-10</c:v>
                </c:pt>
                <c:pt idx="355">
                  <c:v>2026-02-11</c:v>
                </c:pt>
                <c:pt idx="356">
                  <c:v>2026-02-12</c:v>
                </c:pt>
                <c:pt idx="357">
                  <c:v>2026-02-13</c:v>
                </c:pt>
                <c:pt idx="358">
                  <c:v>2026-02-16</c:v>
                </c:pt>
                <c:pt idx="359">
                  <c:v>2026-02-17</c:v>
                </c:pt>
                <c:pt idx="360">
                  <c:v>2026-02-18</c:v>
                </c:pt>
                <c:pt idx="361">
                  <c:v>2026-02-19</c:v>
                </c:pt>
                <c:pt idx="362">
                  <c:v>2026-02-20</c:v>
                </c:pt>
                <c:pt idx="363">
                  <c:v>2026-02-23</c:v>
                </c:pt>
                <c:pt idx="364">
                  <c:v>2026-02-24</c:v>
                </c:pt>
                <c:pt idx="365">
                  <c:v>2026-02-25</c:v>
                </c:pt>
                <c:pt idx="366">
                  <c:v>2026-02-26</c:v>
                </c:pt>
                <c:pt idx="367">
                  <c:v>2026-02-27</c:v>
                </c:pt>
                <c:pt idx="368">
                  <c:v>2026-03-02</c:v>
                </c:pt>
                <c:pt idx="369">
                  <c:v>2026-03-04</c:v>
                </c:pt>
                <c:pt idx="370">
                  <c:v>2026-03-05</c:v>
                </c:pt>
                <c:pt idx="371">
                  <c:v>2026-03-06</c:v>
                </c:pt>
                <c:pt idx="372">
                  <c:v>2026-03-09</c:v>
                </c:pt>
                <c:pt idx="373">
                  <c:v>2026-03-10</c:v>
                </c:pt>
                <c:pt idx="374">
                  <c:v>2026-03-11</c:v>
                </c:pt>
                <c:pt idx="375">
                  <c:v>2026-03-12</c:v>
                </c:pt>
                <c:pt idx="376">
                  <c:v>2026-03-13</c:v>
                </c:pt>
                <c:pt idx="377">
                  <c:v>2026-03-16</c:v>
                </c:pt>
                <c:pt idx="378">
                  <c:v>2026-03-17</c:v>
                </c:pt>
                <c:pt idx="379">
                  <c:v>2026-03-18</c:v>
                </c:pt>
                <c:pt idx="380">
                  <c:v>2026-03-23</c:v>
                </c:pt>
                <c:pt idx="381">
                  <c:v>2026-03-24</c:v>
                </c:pt>
                <c:pt idx="382">
                  <c:v>2026-03-25</c:v>
                </c:pt>
                <c:pt idx="383">
                  <c:v>2026-03-27</c:v>
                </c:pt>
                <c:pt idx="384">
                  <c:v>2026-03-30</c:v>
                </c:pt>
                <c:pt idx="385">
                  <c:v>2026-04-01</c:v>
                </c:pt>
                <c:pt idx="386">
                  <c:v>2026-04-02</c:v>
                </c:pt>
                <c:pt idx="387">
                  <c:v>2026-04-06</c:v>
                </c:pt>
                <c:pt idx="388">
                  <c:v>2026-04-09</c:v>
                </c:pt>
                <c:pt idx="389">
                  <c:v>2026-04-10</c:v>
                </c:pt>
                <c:pt idx="390">
                  <c:v>2026-04-13</c:v>
                </c:pt>
                <c:pt idx="391">
                  <c:v>2026-04-15</c:v>
                </c:pt>
                <c:pt idx="392">
                  <c:v>2026-04-16</c:v>
                </c:pt>
                <c:pt idx="393">
                  <c:v>2026-04-17</c:v>
                </c:pt>
                <c:pt idx="394">
                  <c:v>2026-04-20</c:v>
                </c:pt>
                <c:pt idx="395">
                  <c:v>2026-04-21</c:v>
                </c:pt>
                <c:pt idx="396">
                  <c:v>2026-04-22</c:v>
                </c:pt>
                <c:pt idx="397">
                  <c:v>2026-04-23</c:v>
                </c:pt>
                <c:pt idx="398">
                  <c:v>2026-04-24</c:v>
                </c:pt>
                <c:pt idx="399">
                  <c:v>2026-04-27</c:v>
                </c:pt>
                <c:pt idx="400">
                  <c:v>2026-04-28</c:v>
                </c:pt>
                <c:pt idx="401">
                  <c:v>2026-04-29</c:v>
                </c:pt>
                <c:pt idx="402">
                  <c:v>2026-04-30</c:v>
                </c:pt>
                <c:pt idx="403">
                  <c:v>2026-05-04</c:v>
                </c:pt>
                <c:pt idx="404">
                  <c:v>2026-05-05</c:v>
                </c:pt>
                <c:pt idx="405">
                  <c:v>2026-05-06</c:v>
                </c:pt>
                <c:pt idx="406">
                  <c:v>2026-05-07</c:v>
                </c:pt>
                <c:pt idx="407">
                  <c:v>2026-05-08</c:v>
                </c:pt>
                <c:pt idx="408">
                  <c:v>2026-05-11</c:v>
                </c:pt>
                <c:pt idx="409">
                  <c:v>2026-05-12</c:v>
                </c:pt>
                <c:pt idx="410">
                  <c:v>2026-05-13</c:v>
                </c:pt>
                <c:pt idx="411">
                  <c:v>2026-05-14</c:v>
                </c:pt>
                <c:pt idx="412">
                  <c:v>2026-05-15</c:v>
                </c:pt>
                <c:pt idx="413">
                  <c:v>2026-05-18</c:v>
                </c:pt>
                <c:pt idx="414">
                  <c:v>2026-05-19</c:v>
                </c:pt>
                <c:pt idx="415">
                  <c:v>2026-05-20</c:v>
                </c:pt>
                <c:pt idx="416">
                  <c:v>2026-05-21</c:v>
                </c:pt>
                <c:pt idx="417">
                  <c:v>2026-05-22</c:v>
                </c:pt>
                <c:pt idx="418">
                  <c:v>2026-05-25</c:v>
                </c:pt>
                <c:pt idx="419">
                  <c:v>2026-05-26</c:v>
                </c:pt>
                <c:pt idx="420">
                  <c:v>2026-05-27</c:v>
                </c:pt>
                <c:pt idx="421">
                  <c:v>2026-05-29</c:v>
                </c:pt>
                <c:pt idx="422">
                  <c:v>2026-06-01</c:v>
                </c:pt>
                <c:pt idx="423">
                  <c:v>2026-06-02</c:v>
                </c:pt>
                <c:pt idx="424">
                  <c:v>2026-06-03</c:v>
                </c:pt>
                <c:pt idx="425">
                  <c:v>2026-06-04</c:v>
                </c:pt>
                <c:pt idx="426">
                  <c:v>2026-06-05</c:v>
                </c:pt>
                <c:pt idx="427">
                  <c:v>2026-06-08</c:v>
                </c:pt>
                <c:pt idx="428">
                  <c:v>2026-06-09</c:v>
                </c:pt>
                <c:pt idx="429">
                  <c:v>2026-06-10</c:v>
                </c:pt>
                <c:pt idx="430">
                  <c:v>2026-06-11</c:v>
                </c:pt>
                <c:pt idx="431">
                  <c:v>2026-06-12</c:v>
                </c:pt>
                <c:pt idx="432">
                  <c:v>2026-06-15</c:v>
                </c:pt>
                <c:pt idx="433">
                  <c:v>2026-06-16</c:v>
                </c:pt>
                <c:pt idx="434">
                  <c:v>2026-06-17</c:v>
                </c:pt>
                <c:pt idx="435">
                  <c:v>2026-06-18</c:v>
                </c:pt>
                <c:pt idx="436">
                  <c:v>2026-06-19</c:v>
                </c:pt>
                <c:pt idx="437">
                  <c:v>2026-06-22</c:v>
                </c:pt>
                <c:pt idx="438">
                  <c:v>2026-06-23</c:v>
                </c:pt>
                <c:pt idx="439">
                  <c:v>2026-06-24</c:v>
                </c:pt>
                <c:pt idx="440">
                  <c:v>2026-06-25</c:v>
                </c:pt>
                <c:pt idx="441">
                  <c:v>2026-06-29</c:v>
                </c:pt>
                <c:pt idx="442">
                  <c:v>2026-06-30</c:v>
                </c:pt>
                <c:pt idx="443">
                  <c:v>2026-07-01</c:v>
                </c:pt>
                <c:pt idx="444">
                  <c:v>2026-07-02</c:v>
                </c:pt>
                <c:pt idx="445">
                  <c:v>2026-07-03</c:v>
                </c:pt>
                <c:pt idx="446">
                  <c:v>2026-07-08</c:v>
                </c:pt>
                <c:pt idx="447">
                  <c:v>2026-07-13</c:v>
                </c:pt>
                <c:pt idx="448">
                  <c:v>2026-07-14</c:v>
                </c:pt>
                <c:pt idx="449">
                  <c:v>2026-07-15</c:v>
                </c:pt>
                <c:pt idx="450">
                  <c:v>2026-07-16</c:v>
                </c:pt>
                <c:pt idx="451">
                  <c:v>2026-07-17</c:v>
                </c:pt>
                <c:pt idx="452">
                  <c:v>2026-07-20</c:v>
                </c:pt>
                <c:pt idx="453">
                  <c:v>2026-07-21</c:v>
                </c:pt>
                <c:pt idx="454">
                  <c:v>2026-07-22</c:v>
                </c:pt>
                <c:pt idx="455">
                  <c:v>2026-07-23</c:v>
                </c:pt>
                <c:pt idx="456">
                  <c:v>2026-07-24</c:v>
                </c:pt>
                <c:pt idx="457">
                  <c:v>2026-07-27</c:v>
                </c:pt>
                <c:pt idx="458">
                  <c:v>2026-07-28</c:v>
                </c:pt>
                <c:pt idx="459">
                  <c:v>2026-07-29</c:v>
                </c:pt>
                <c:pt idx="460">
                  <c:v>2026-07-30</c:v>
                </c:pt>
                <c:pt idx="461">
                  <c:v>2026-07-31</c:v>
                </c:pt>
                <c:pt idx="462">
                  <c:v>2026-08-03</c:v>
                </c:pt>
                <c:pt idx="463">
                  <c:v>2026-08-04</c:v>
                </c:pt>
                <c:pt idx="464">
                  <c:v>2026-08-05</c:v>
                </c:pt>
                <c:pt idx="465">
                  <c:v>2026-08-06</c:v>
                </c:pt>
                <c:pt idx="466">
                  <c:v>2026-08-07</c:v>
                </c:pt>
                <c:pt idx="467">
                  <c:v>2026-08-10</c:v>
                </c:pt>
                <c:pt idx="468">
                  <c:v>2026-08-11</c:v>
                </c:pt>
                <c:pt idx="469">
                  <c:v>2026-08-12</c:v>
                </c:pt>
                <c:pt idx="470">
                  <c:v>2026-08-13</c:v>
                </c:pt>
                <c:pt idx="471">
                  <c:v>2026-08-14</c:v>
                </c:pt>
                <c:pt idx="472">
                  <c:v>2026-08-17</c:v>
                </c:pt>
                <c:pt idx="473">
                  <c:v>2026-08-18</c:v>
                </c:pt>
                <c:pt idx="474">
                  <c:v>2026-08-19</c:v>
                </c:pt>
                <c:pt idx="475">
                  <c:v>2026-08-20</c:v>
                </c:pt>
                <c:pt idx="476">
                  <c:v>2026-08-21</c:v>
                </c:pt>
                <c:pt idx="477">
                  <c:v>2026-08-24</c:v>
                </c:pt>
                <c:pt idx="478">
                  <c:v>2026-08-25</c:v>
                </c:pt>
                <c:pt idx="479">
                  <c:v>2026-08-26</c:v>
                </c:pt>
                <c:pt idx="480">
                  <c:v>2026-08-27</c:v>
                </c:pt>
                <c:pt idx="481">
                  <c:v>2026-09-01</c:v>
                </c:pt>
                <c:pt idx="482">
                  <c:v>2026-09-02</c:v>
                </c:pt>
                <c:pt idx="483">
                  <c:v>2026-09-03</c:v>
                </c:pt>
                <c:pt idx="484">
                  <c:v>2026-09-08</c:v>
                </c:pt>
                <c:pt idx="485">
                  <c:v>2026-09-09</c:v>
                </c:pt>
                <c:pt idx="486">
                  <c:v>2026-09-10</c:v>
                </c:pt>
                <c:pt idx="487">
                  <c:v>2026-09-11</c:v>
                </c:pt>
                <c:pt idx="488">
                  <c:v>2026-09-15</c:v>
                </c:pt>
                <c:pt idx="489">
                  <c:v>2026-09-16</c:v>
                </c:pt>
                <c:pt idx="490">
                  <c:v>2026-09-17</c:v>
                </c:pt>
                <c:pt idx="491">
                  <c:v>2026-09-18</c:v>
                </c:pt>
                <c:pt idx="492">
                  <c:v>2026-09-21</c:v>
                </c:pt>
                <c:pt idx="493">
                  <c:v>2026-09-24</c:v>
                </c:pt>
                <c:pt idx="494">
                  <c:v>2026-09-25</c:v>
                </c:pt>
                <c:pt idx="495">
                  <c:v>2026-09-28</c:v>
                </c:pt>
              </c:numCache>
            </c:numRef>
          </c:cat>
          <c:val>
            <c:numRef>
              <c:f>'Daily Analysis'!$O$5:$O$500</c:f>
              <c:numCache>
                <c:formatCode>0.0000</c:formatCode>
                <c:ptCount val="496"/>
                <c:pt idx="0">
                  <c:v>0.613567382430444</c:v>
                </c:pt>
                <c:pt idx="1">
                  <c:v>0.613567382430444</c:v>
                </c:pt>
                <c:pt idx="2">
                  <c:v>0.613567382430444</c:v>
                </c:pt>
                <c:pt idx="3">
                  <c:v>0.613567382430444</c:v>
                </c:pt>
                <c:pt idx="4">
                  <c:v>0.613567382430444</c:v>
                </c:pt>
                <c:pt idx="5">
                  <c:v>0.613567382430444</c:v>
                </c:pt>
                <c:pt idx="6">
                  <c:v>0.613567382430444</c:v>
                </c:pt>
                <c:pt idx="7">
                  <c:v>0.613567382430444</c:v>
                </c:pt>
                <c:pt idx="8">
                  <c:v>0.613567382430444</c:v>
                </c:pt>
                <c:pt idx="9">
                  <c:v>0.613567382430444</c:v>
                </c:pt>
                <c:pt idx="10">
                  <c:v>0.613567382430444</c:v>
                </c:pt>
                <c:pt idx="11">
                  <c:v>0.613567382430444</c:v>
                </c:pt>
                <c:pt idx="12">
                  <c:v>0.613567382430444</c:v>
                </c:pt>
                <c:pt idx="13">
                  <c:v>0.613567382430444</c:v>
                </c:pt>
                <c:pt idx="14">
                  <c:v>0.613567382430444</c:v>
                </c:pt>
                <c:pt idx="15">
                  <c:v>0.613567382430444</c:v>
                </c:pt>
                <c:pt idx="16">
                  <c:v>0.613567382430444</c:v>
                </c:pt>
                <c:pt idx="17">
                  <c:v>0.613567382430444</c:v>
                </c:pt>
                <c:pt idx="18">
                  <c:v>0.613567382430444</c:v>
                </c:pt>
                <c:pt idx="19">
                  <c:v>0.613567382430444</c:v>
                </c:pt>
                <c:pt idx="20">
                  <c:v>0.613567382430444</c:v>
                </c:pt>
                <c:pt idx="21">
                  <c:v>0.613567382430444</c:v>
                </c:pt>
                <c:pt idx="22">
                  <c:v>0.613567382430444</c:v>
                </c:pt>
                <c:pt idx="23">
                  <c:v>0.613567382430444</c:v>
                </c:pt>
                <c:pt idx="24">
                  <c:v>0.613567382430444</c:v>
                </c:pt>
                <c:pt idx="25">
                  <c:v>0.613567382430444</c:v>
                </c:pt>
                <c:pt idx="26">
                  <c:v>0.613567382430444</c:v>
                </c:pt>
                <c:pt idx="27">
                  <c:v>0.613567382430444</c:v>
                </c:pt>
                <c:pt idx="28">
                  <c:v>0.613567382430444</c:v>
                </c:pt>
                <c:pt idx="29">
                  <c:v>0.613567382430444</c:v>
                </c:pt>
                <c:pt idx="30">
                  <c:v>0.613567382430444</c:v>
                </c:pt>
                <c:pt idx="31">
                  <c:v>0.613567382430444</c:v>
                </c:pt>
                <c:pt idx="32">
                  <c:v>0.613567382430444</c:v>
                </c:pt>
                <c:pt idx="33">
                  <c:v>0.613567382430444</c:v>
                </c:pt>
                <c:pt idx="34">
                  <c:v>0.613567382430444</c:v>
                </c:pt>
                <c:pt idx="35">
                  <c:v>0.613567382430444</c:v>
                </c:pt>
                <c:pt idx="36">
                  <c:v>0.613567382430444</c:v>
                </c:pt>
                <c:pt idx="37">
                  <c:v>0.613567382430444</c:v>
                </c:pt>
                <c:pt idx="38">
                  <c:v>0.613567382430444</c:v>
                </c:pt>
                <c:pt idx="39">
                  <c:v>0.613567382430444</c:v>
                </c:pt>
                <c:pt idx="40">
                  <c:v>0.613567382430444</c:v>
                </c:pt>
                <c:pt idx="41">
                  <c:v>0.613567382430444</c:v>
                </c:pt>
                <c:pt idx="42">
                  <c:v>0.613567382430444</c:v>
                </c:pt>
                <c:pt idx="43">
                  <c:v>0.613567382430444</c:v>
                </c:pt>
                <c:pt idx="44">
                  <c:v>0.613567382430444</c:v>
                </c:pt>
                <c:pt idx="45">
                  <c:v>0.613567382430444</c:v>
                </c:pt>
                <c:pt idx="46">
                  <c:v>0.613567382430444</c:v>
                </c:pt>
                <c:pt idx="47">
                  <c:v>0.613567382430444</c:v>
                </c:pt>
                <c:pt idx="48">
                  <c:v>0.613567382430444</c:v>
                </c:pt>
                <c:pt idx="49">
                  <c:v>0.613567382430444</c:v>
                </c:pt>
                <c:pt idx="50">
                  <c:v>0.613567382430444</c:v>
                </c:pt>
                <c:pt idx="51">
                  <c:v>0.613567382430444</c:v>
                </c:pt>
                <c:pt idx="52">
                  <c:v>0.613567382430444</c:v>
                </c:pt>
                <c:pt idx="53">
                  <c:v>0.613567382430444</c:v>
                </c:pt>
                <c:pt idx="54">
                  <c:v>0.613567382430444</c:v>
                </c:pt>
                <c:pt idx="55">
                  <c:v>0.613567382430444</c:v>
                </c:pt>
                <c:pt idx="56">
                  <c:v>0.613567382430444</c:v>
                </c:pt>
                <c:pt idx="57">
                  <c:v>0.613567382430444</c:v>
                </c:pt>
                <c:pt idx="58">
                  <c:v>0.613567382430444</c:v>
                </c:pt>
                <c:pt idx="59">
                  <c:v>0.613567382430444</c:v>
                </c:pt>
                <c:pt idx="60">
                  <c:v>0.613567382430444</c:v>
                </c:pt>
                <c:pt idx="61">
                  <c:v>0.613567382430444</c:v>
                </c:pt>
                <c:pt idx="62">
                  <c:v>0.613567382430444</c:v>
                </c:pt>
                <c:pt idx="63">
                  <c:v>0.613567382430444</c:v>
                </c:pt>
                <c:pt idx="64">
                  <c:v>0.613567382430444</c:v>
                </c:pt>
                <c:pt idx="65">
                  <c:v>0.613567382430444</c:v>
                </c:pt>
                <c:pt idx="66">
                  <c:v>0.613567382430444</c:v>
                </c:pt>
                <c:pt idx="67">
                  <c:v>0.613567382430444</c:v>
                </c:pt>
                <c:pt idx="68">
                  <c:v>0.613567382430444</c:v>
                </c:pt>
                <c:pt idx="69">
                  <c:v>0.613567382430444</c:v>
                </c:pt>
                <c:pt idx="70">
                  <c:v>0.613567382430444</c:v>
                </c:pt>
                <c:pt idx="71">
                  <c:v>0.613567382430444</c:v>
                </c:pt>
                <c:pt idx="72">
                  <c:v>0.613567382430444</c:v>
                </c:pt>
                <c:pt idx="73">
                  <c:v>0.613567382430444</c:v>
                </c:pt>
                <c:pt idx="74">
                  <c:v>0.613567382430444</c:v>
                </c:pt>
                <c:pt idx="75">
                  <c:v>0.613567382430444</c:v>
                </c:pt>
                <c:pt idx="76">
                  <c:v>0.613567382430444</c:v>
                </c:pt>
                <c:pt idx="77">
                  <c:v>0.613567382430444</c:v>
                </c:pt>
                <c:pt idx="78">
                  <c:v>0.613567382430444</c:v>
                </c:pt>
                <c:pt idx="79">
                  <c:v>0.613567382430444</c:v>
                </c:pt>
                <c:pt idx="80">
                  <c:v>0.613567382430444</c:v>
                </c:pt>
                <c:pt idx="81">
                  <c:v>0.613567382430444</c:v>
                </c:pt>
                <c:pt idx="82">
                  <c:v>0.613567382430444</c:v>
                </c:pt>
                <c:pt idx="83">
                  <c:v>0.613567382430444</c:v>
                </c:pt>
                <c:pt idx="84">
                  <c:v>0.613567382430444</c:v>
                </c:pt>
                <c:pt idx="85">
                  <c:v>0.613567382430444</c:v>
                </c:pt>
                <c:pt idx="86">
                  <c:v>0.613567382430444</c:v>
                </c:pt>
                <c:pt idx="87">
                  <c:v>0.613567382430444</c:v>
                </c:pt>
                <c:pt idx="88">
                  <c:v>0.613567382430444</c:v>
                </c:pt>
                <c:pt idx="89">
                  <c:v>0.613567382430444</c:v>
                </c:pt>
                <c:pt idx="90">
                  <c:v>0.613567382430444</c:v>
                </c:pt>
                <c:pt idx="91">
                  <c:v>0.613567382430444</c:v>
                </c:pt>
                <c:pt idx="92">
                  <c:v>0.613567382430444</c:v>
                </c:pt>
                <c:pt idx="93">
                  <c:v>0.613567382430444</c:v>
                </c:pt>
                <c:pt idx="94">
                  <c:v>0.613567382430444</c:v>
                </c:pt>
                <c:pt idx="95">
                  <c:v>0.613567382430444</c:v>
                </c:pt>
                <c:pt idx="96">
                  <c:v>0.613567382430444</c:v>
                </c:pt>
                <c:pt idx="97">
                  <c:v>0.613567382430444</c:v>
                </c:pt>
                <c:pt idx="98">
                  <c:v>0.613567382430444</c:v>
                </c:pt>
                <c:pt idx="99">
                  <c:v>0.613567382430444</c:v>
                </c:pt>
                <c:pt idx="100">
                  <c:v>0.613567382430444</c:v>
                </c:pt>
                <c:pt idx="101">
                  <c:v>0.613567382430444</c:v>
                </c:pt>
                <c:pt idx="102">
                  <c:v>0.613567382430444</c:v>
                </c:pt>
                <c:pt idx="103">
                  <c:v>0.613567382430444</c:v>
                </c:pt>
                <c:pt idx="104">
                  <c:v>0.613567382430444</c:v>
                </c:pt>
                <c:pt idx="105">
                  <c:v>0.613567382430444</c:v>
                </c:pt>
                <c:pt idx="106">
                  <c:v>0.613567382430444</c:v>
                </c:pt>
                <c:pt idx="107">
                  <c:v>0.613567382430444</c:v>
                </c:pt>
                <c:pt idx="108">
                  <c:v>0.613567382430444</c:v>
                </c:pt>
                <c:pt idx="109">
                  <c:v>0.613567382430444</c:v>
                </c:pt>
                <c:pt idx="110">
                  <c:v>0.613567382430444</c:v>
                </c:pt>
                <c:pt idx="111">
                  <c:v>0.613567382430444</c:v>
                </c:pt>
                <c:pt idx="112">
                  <c:v>0.613567382430444</c:v>
                </c:pt>
                <c:pt idx="113">
                  <c:v>0.613567382430444</c:v>
                </c:pt>
                <c:pt idx="114">
                  <c:v>0.613567382430444</c:v>
                </c:pt>
                <c:pt idx="115">
                  <c:v>0.613567382430444</c:v>
                </c:pt>
                <c:pt idx="116">
                  <c:v>0.613567382430444</c:v>
                </c:pt>
                <c:pt idx="117">
                  <c:v>0.613567382430444</c:v>
                </c:pt>
                <c:pt idx="118">
                  <c:v>0.613567382430444</c:v>
                </c:pt>
                <c:pt idx="119">
                  <c:v>0.613567382430444</c:v>
                </c:pt>
                <c:pt idx="120">
                  <c:v>0.613567382430444</c:v>
                </c:pt>
                <c:pt idx="121">
                  <c:v>0.613567382430444</c:v>
                </c:pt>
                <c:pt idx="122">
                  <c:v>0.613567382430444</c:v>
                </c:pt>
                <c:pt idx="123">
                  <c:v>0.613567382430444</c:v>
                </c:pt>
                <c:pt idx="124">
                  <c:v>0.613567382430444</c:v>
                </c:pt>
                <c:pt idx="125">
                  <c:v>0.613567382430444</c:v>
                </c:pt>
                <c:pt idx="126">
                  <c:v>0.613567382430444</c:v>
                </c:pt>
                <c:pt idx="127">
                  <c:v>0.613567382430444</c:v>
                </c:pt>
                <c:pt idx="128">
                  <c:v>0.613567382430444</c:v>
                </c:pt>
                <c:pt idx="129">
                  <c:v>0.613567382430444</c:v>
                </c:pt>
                <c:pt idx="130">
                  <c:v>0.613567382430444</c:v>
                </c:pt>
                <c:pt idx="131">
                  <c:v>0.613567382430444</c:v>
                </c:pt>
                <c:pt idx="132">
                  <c:v>0.613567382430444</c:v>
                </c:pt>
                <c:pt idx="133">
                  <c:v>0.613567382430444</c:v>
                </c:pt>
                <c:pt idx="134">
                  <c:v>0.613567382430444</c:v>
                </c:pt>
                <c:pt idx="135">
                  <c:v>0.613567382430444</c:v>
                </c:pt>
                <c:pt idx="136">
                  <c:v>0.613567382430444</c:v>
                </c:pt>
                <c:pt idx="137">
                  <c:v>0.613567382430444</c:v>
                </c:pt>
                <c:pt idx="138">
                  <c:v>0.613567382430444</c:v>
                </c:pt>
                <c:pt idx="139">
                  <c:v>0.613567382430444</c:v>
                </c:pt>
                <c:pt idx="140">
                  <c:v>0.613567382430444</c:v>
                </c:pt>
                <c:pt idx="141">
                  <c:v>0.613567382430444</c:v>
                </c:pt>
                <c:pt idx="142">
                  <c:v>0.613567382430444</c:v>
                </c:pt>
                <c:pt idx="143">
                  <c:v>0.613567382430444</c:v>
                </c:pt>
                <c:pt idx="144">
                  <c:v>0.613567382430444</c:v>
                </c:pt>
                <c:pt idx="145">
                  <c:v>0.613567382430444</c:v>
                </c:pt>
                <c:pt idx="146">
                  <c:v>0.613567382430444</c:v>
                </c:pt>
                <c:pt idx="147">
                  <c:v>0.613567382430444</c:v>
                </c:pt>
                <c:pt idx="148">
                  <c:v>0.613567382430444</c:v>
                </c:pt>
                <c:pt idx="149">
                  <c:v>0.613567382430444</c:v>
                </c:pt>
                <c:pt idx="150">
                  <c:v>0.613567382430444</c:v>
                </c:pt>
                <c:pt idx="151">
                  <c:v>0.613567382430444</c:v>
                </c:pt>
                <c:pt idx="152">
                  <c:v>0.613567382430444</c:v>
                </c:pt>
                <c:pt idx="153">
                  <c:v>0.613567382430444</c:v>
                </c:pt>
                <c:pt idx="154">
                  <c:v>0.613567382430444</c:v>
                </c:pt>
                <c:pt idx="155">
                  <c:v>0.613567382430444</c:v>
                </c:pt>
                <c:pt idx="156">
                  <c:v>0.613567382430444</c:v>
                </c:pt>
                <c:pt idx="157">
                  <c:v>0.613567382430444</c:v>
                </c:pt>
                <c:pt idx="158">
                  <c:v>0.613567382430444</c:v>
                </c:pt>
                <c:pt idx="159">
                  <c:v>0.613567382430444</c:v>
                </c:pt>
                <c:pt idx="160">
                  <c:v>0.613567382430444</c:v>
                </c:pt>
                <c:pt idx="161">
                  <c:v>0.613567382430444</c:v>
                </c:pt>
                <c:pt idx="162">
                  <c:v>0.613567382430444</c:v>
                </c:pt>
                <c:pt idx="163">
                  <c:v>0.613567382430444</c:v>
                </c:pt>
                <c:pt idx="164">
                  <c:v>0.613567382430444</c:v>
                </c:pt>
                <c:pt idx="165">
                  <c:v>0.613567382430444</c:v>
                </c:pt>
                <c:pt idx="166">
                  <c:v>0.613567382430444</c:v>
                </c:pt>
                <c:pt idx="167">
                  <c:v>0.613567382430444</c:v>
                </c:pt>
                <c:pt idx="168">
                  <c:v>0.613567382430444</c:v>
                </c:pt>
                <c:pt idx="169">
                  <c:v>0.613567382430444</c:v>
                </c:pt>
                <c:pt idx="170">
                  <c:v>0.613567382430444</c:v>
                </c:pt>
                <c:pt idx="171">
                  <c:v>0.613567382430444</c:v>
                </c:pt>
                <c:pt idx="172">
                  <c:v>0.613567382430444</c:v>
                </c:pt>
                <c:pt idx="173">
                  <c:v>0.613567382430444</c:v>
                </c:pt>
                <c:pt idx="174">
                  <c:v>0.613567382430444</c:v>
                </c:pt>
                <c:pt idx="175">
                  <c:v>0.613567382430444</c:v>
                </c:pt>
                <c:pt idx="176">
                  <c:v>0.613567382430444</c:v>
                </c:pt>
                <c:pt idx="177">
                  <c:v>0.613567382430444</c:v>
                </c:pt>
                <c:pt idx="178">
                  <c:v>0.613567382430444</c:v>
                </c:pt>
                <c:pt idx="179">
                  <c:v>0.613567382430444</c:v>
                </c:pt>
                <c:pt idx="180">
                  <c:v>0.613567382430444</c:v>
                </c:pt>
                <c:pt idx="181">
                  <c:v>0.613567382430444</c:v>
                </c:pt>
                <c:pt idx="182">
                  <c:v>0.613567382430444</c:v>
                </c:pt>
                <c:pt idx="183">
                  <c:v>0.613567382430444</c:v>
                </c:pt>
                <c:pt idx="184">
                  <c:v>0.613567382430444</c:v>
                </c:pt>
                <c:pt idx="185">
                  <c:v>0.613567382430444</c:v>
                </c:pt>
                <c:pt idx="186">
                  <c:v>0.613567382430444</c:v>
                </c:pt>
                <c:pt idx="187">
                  <c:v>0.613567382430444</c:v>
                </c:pt>
                <c:pt idx="188">
                  <c:v>0.613567382430444</c:v>
                </c:pt>
                <c:pt idx="189">
                  <c:v>0.613567382430444</c:v>
                </c:pt>
                <c:pt idx="190">
                  <c:v>0.613567382430444</c:v>
                </c:pt>
                <c:pt idx="191">
                  <c:v>0.613567382430444</c:v>
                </c:pt>
                <c:pt idx="192">
                  <c:v>0.613567382430444</c:v>
                </c:pt>
                <c:pt idx="193">
                  <c:v>0.613567382430444</c:v>
                </c:pt>
                <c:pt idx="194">
                  <c:v>0.613567382430444</c:v>
                </c:pt>
                <c:pt idx="195">
                  <c:v>0.613567382430444</c:v>
                </c:pt>
                <c:pt idx="196">
                  <c:v>0.613567382430444</c:v>
                </c:pt>
                <c:pt idx="197">
                  <c:v>0.613567382430444</c:v>
                </c:pt>
                <c:pt idx="198">
                  <c:v>0.613567382430444</c:v>
                </c:pt>
                <c:pt idx="199">
                  <c:v>0.613567382430444</c:v>
                </c:pt>
                <c:pt idx="200">
                  <c:v>0.613567382430444</c:v>
                </c:pt>
                <c:pt idx="201">
                  <c:v>0.613567382430444</c:v>
                </c:pt>
                <c:pt idx="202">
                  <c:v>0.613567382430444</c:v>
                </c:pt>
                <c:pt idx="203">
                  <c:v>0.613567382430444</c:v>
                </c:pt>
                <c:pt idx="204">
                  <c:v>0.613567382430444</c:v>
                </c:pt>
                <c:pt idx="205">
                  <c:v>0.613567382430444</c:v>
                </c:pt>
                <c:pt idx="206">
                  <c:v>0.613567382430444</c:v>
                </c:pt>
                <c:pt idx="207">
                  <c:v>0.613567382430444</c:v>
                </c:pt>
                <c:pt idx="208">
                  <c:v>0.613567382430444</c:v>
                </c:pt>
                <c:pt idx="209">
                  <c:v>0.613567382430444</c:v>
                </c:pt>
                <c:pt idx="210">
                  <c:v>0.613567382430444</c:v>
                </c:pt>
                <c:pt idx="211">
                  <c:v>0.613567382430444</c:v>
                </c:pt>
                <c:pt idx="212">
                  <c:v>0.613567382430444</c:v>
                </c:pt>
                <c:pt idx="213">
                  <c:v>0.613567382430444</c:v>
                </c:pt>
                <c:pt idx="214">
                  <c:v>0.613567382430444</c:v>
                </c:pt>
                <c:pt idx="215">
                  <c:v>0.613567382430444</c:v>
                </c:pt>
                <c:pt idx="216">
                  <c:v>0.613567382430444</c:v>
                </c:pt>
                <c:pt idx="217">
                  <c:v>0.613567382430444</c:v>
                </c:pt>
                <c:pt idx="218">
                  <c:v>0.613567382430444</c:v>
                </c:pt>
                <c:pt idx="219">
                  <c:v>0.613567382430444</c:v>
                </c:pt>
                <c:pt idx="220">
                  <c:v>0.613567382430444</c:v>
                </c:pt>
                <c:pt idx="221">
                  <c:v>0.613567382430444</c:v>
                </c:pt>
                <c:pt idx="222">
                  <c:v>0.613567382430444</c:v>
                </c:pt>
                <c:pt idx="223">
                  <c:v>0.613567382430444</c:v>
                </c:pt>
                <c:pt idx="224">
                  <c:v>0.613567382430444</c:v>
                </c:pt>
                <c:pt idx="225">
                  <c:v>0.613567382430444</c:v>
                </c:pt>
                <c:pt idx="226">
                  <c:v>0.613567382430444</c:v>
                </c:pt>
                <c:pt idx="227">
                  <c:v>0.613567382430444</c:v>
                </c:pt>
                <c:pt idx="228">
                  <c:v>0.613567382430444</c:v>
                </c:pt>
                <c:pt idx="229">
                  <c:v>0.613567382430444</c:v>
                </c:pt>
                <c:pt idx="230">
                  <c:v>0.613567382430444</c:v>
                </c:pt>
                <c:pt idx="231">
                  <c:v>0.613567382430444</c:v>
                </c:pt>
                <c:pt idx="232">
                  <c:v>0.613567382430444</c:v>
                </c:pt>
                <c:pt idx="233">
                  <c:v>0.613567382430444</c:v>
                </c:pt>
                <c:pt idx="234">
                  <c:v>0.613567382430444</c:v>
                </c:pt>
                <c:pt idx="235">
                  <c:v>0.613567382430444</c:v>
                </c:pt>
                <c:pt idx="236">
                  <c:v>0.613567382430444</c:v>
                </c:pt>
                <c:pt idx="237">
                  <c:v>0.613567382430444</c:v>
                </c:pt>
                <c:pt idx="238">
                  <c:v>0.613567382430444</c:v>
                </c:pt>
                <c:pt idx="239">
                  <c:v>0.613567382430444</c:v>
                </c:pt>
                <c:pt idx="240">
                  <c:v>0.613567382430444</c:v>
                </c:pt>
                <c:pt idx="241">
                  <c:v>0.613567382430444</c:v>
                </c:pt>
                <c:pt idx="242">
                  <c:v>0.613567382430444</c:v>
                </c:pt>
                <c:pt idx="243">
                  <c:v>0.613567382430444</c:v>
                </c:pt>
                <c:pt idx="244">
                  <c:v>0.613567382430444</c:v>
                </c:pt>
                <c:pt idx="245">
                  <c:v>0.613567382430444</c:v>
                </c:pt>
                <c:pt idx="246">
                  <c:v>0.613567382430444</c:v>
                </c:pt>
                <c:pt idx="247">
                  <c:v>0.613567382430444</c:v>
                </c:pt>
                <c:pt idx="248">
                  <c:v>0.613567382430444</c:v>
                </c:pt>
                <c:pt idx="249">
                  <c:v>0.613567382430444</c:v>
                </c:pt>
                <c:pt idx="250">
                  <c:v>0.613567382430444</c:v>
                </c:pt>
                <c:pt idx="251">
                  <c:v>0.613567382430444</c:v>
                </c:pt>
                <c:pt idx="252">
                  <c:v>0.613567382430444</c:v>
                </c:pt>
                <c:pt idx="253">
                  <c:v>0.613567382430444</c:v>
                </c:pt>
                <c:pt idx="254">
                  <c:v>0.613567382430444</c:v>
                </c:pt>
                <c:pt idx="255">
                  <c:v>0.613567382430444</c:v>
                </c:pt>
                <c:pt idx="256">
                  <c:v>0.613567382430444</c:v>
                </c:pt>
                <c:pt idx="257">
                  <c:v>0.613567382430444</c:v>
                </c:pt>
                <c:pt idx="258">
                  <c:v>0.613567382430444</c:v>
                </c:pt>
                <c:pt idx="259">
                  <c:v>0.613567382430444</c:v>
                </c:pt>
                <c:pt idx="260">
                  <c:v>0.613567382430444</c:v>
                </c:pt>
                <c:pt idx="261">
                  <c:v>0.613567382430444</c:v>
                </c:pt>
                <c:pt idx="262">
                  <c:v>0.613567382430444</c:v>
                </c:pt>
                <c:pt idx="263">
                  <c:v>0.613567382430444</c:v>
                </c:pt>
                <c:pt idx="264">
                  <c:v>0.613567382430444</c:v>
                </c:pt>
                <c:pt idx="265">
                  <c:v>0.613567382430444</c:v>
                </c:pt>
                <c:pt idx="266">
                  <c:v>0.613567382430444</c:v>
                </c:pt>
                <c:pt idx="267">
                  <c:v>0.613567382430444</c:v>
                </c:pt>
                <c:pt idx="268">
                  <c:v>0.613567382430444</c:v>
                </c:pt>
                <c:pt idx="269">
                  <c:v>0.613567382430444</c:v>
                </c:pt>
                <c:pt idx="270">
                  <c:v>0.613567382430444</c:v>
                </c:pt>
                <c:pt idx="271">
                  <c:v>0.613567382430444</c:v>
                </c:pt>
                <c:pt idx="272">
                  <c:v>0.613567382430444</c:v>
                </c:pt>
                <c:pt idx="273">
                  <c:v>0.613567382430444</c:v>
                </c:pt>
                <c:pt idx="274">
                  <c:v>0.613567382430444</c:v>
                </c:pt>
                <c:pt idx="275">
                  <c:v>0.613567382430444</c:v>
                </c:pt>
                <c:pt idx="276">
                  <c:v>0.613567382430444</c:v>
                </c:pt>
                <c:pt idx="277">
                  <c:v>0.613567382430444</c:v>
                </c:pt>
                <c:pt idx="278">
                  <c:v>0.613567382430444</c:v>
                </c:pt>
                <c:pt idx="279">
                  <c:v>0.613567382430444</c:v>
                </c:pt>
                <c:pt idx="280">
                  <c:v>0.613567382430444</c:v>
                </c:pt>
                <c:pt idx="281">
                  <c:v>0.613567382430444</c:v>
                </c:pt>
                <c:pt idx="282">
                  <c:v>0.613567382430444</c:v>
                </c:pt>
                <c:pt idx="283">
                  <c:v>0.613567382430444</c:v>
                </c:pt>
                <c:pt idx="284">
                  <c:v>0.613567382430444</c:v>
                </c:pt>
                <c:pt idx="285">
                  <c:v>0.613567382430444</c:v>
                </c:pt>
                <c:pt idx="286">
                  <c:v>0.613567382430444</c:v>
                </c:pt>
                <c:pt idx="287">
                  <c:v>0.613567382430444</c:v>
                </c:pt>
                <c:pt idx="288">
                  <c:v>0.613567382430444</c:v>
                </c:pt>
                <c:pt idx="289">
                  <c:v>0.613567382430444</c:v>
                </c:pt>
                <c:pt idx="290">
                  <c:v>0.613567382430444</c:v>
                </c:pt>
                <c:pt idx="291">
                  <c:v>0.613567382430444</c:v>
                </c:pt>
                <c:pt idx="292">
                  <c:v>0.613567382430444</c:v>
                </c:pt>
                <c:pt idx="293">
                  <c:v>0.613567382430444</c:v>
                </c:pt>
                <c:pt idx="294">
                  <c:v>0.613567382430444</c:v>
                </c:pt>
                <c:pt idx="295">
                  <c:v>0.613567382430444</c:v>
                </c:pt>
                <c:pt idx="296">
                  <c:v>0.613567382430444</c:v>
                </c:pt>
                <c:pt idx="297">
                  <c:v>0.613567382430444</c:v>
                </c:pt>
                <c:pt idx="298">
                  <c:v>0.613567382430444</c:v>
                </c:pt>
                <c:pt idx="299">
                  <c:v>0.613567382430444</c:v>
                </c:pt>
                <c:pt idx="300">
                  <c:v>0.613567382430444</c:v>
                </c:pt>
                <c:pt idx="301">
                  <c:v>0.613567382430444</c:v>
                </c:pt>
                <c:pt idx="302">
                  <c:v>0.613567382430444</c:v>
                </c:pt>
                <c:pt idx="303">
                  <c:v>0.613567382430444</c:v>
                </c:pt>
                <c:pt idx="304">
                  <c:v>0.613567382430444</c:v>
                </c:pt>
                <c:pt idx="305">
                  <c:v>0.613567382430444</c:v>
                </c:pt>
                <c:pt idx="306">
                  <c:v>0.613567382430444</c:v>
                </c:pt>
                <c:pt idx="307">
                  <c:v>0.613567382430444</c:v>
                </c:pt>
                <c:pt idx="308">
                  <c:v>0.613567382430444</c:v>
                </c:pt>
                <c:pt idx="309">
                  <c:v>0.613567382430444</c:v>
                </c:pt>
                <c:pt idx="310">
                  <c:v>0.613567382430444</c:v>
                </c:pt>
                <c:pt idx="311">
                  <c:v>0.613567382430444</c:v>
                </c:pt>
                <c:pt idx="312">
                  <c:v>0.613567382430444</c:v>
                </c:pt>
                <c:pt idx="313">
                  <c:v>0.613567382430444</c:v>
                </c:pt>
                <c:pt idx="314">
                  <c:v>0.613567382430444</c:v>
                </c:pt>
                <c:pt idx="315">
                  <c:v>0.613567382430444</c:v>
                </c:pt>
                <c:pt idx="316">
                  <c:v>0.613567382430444</c:v>
                </c:pt>
                <c:pt idx="317">
                  <c:v>0.613567382430444</c:v>
                </c:pt>
                <c:pt idx="318">
                  <c:v>0.613567382430444</c:v>
                </c:pt>
                <c:pt idx="319">
                  <c:v>0.613567382430444</c:v>
                </c:pt>
                <c:pt idx="320">
                  <c:v>0.613567382430444</c:v>
                </c:pt>
                <c:pt idx="321">
                  <c:v>0.613567382430444</c:v>
                </c:pt>
                <c:pt idx="322">
                  <c:v>0.613567382430444</c:v>
                </c:pt>
                <c:pt idx="323">
                  <c:v>0.613567382430444</c:v>
                </c:pt>
                <c:pt idx="324">
                  <c:v>0.613567382430444</c:v>
                </c:pt>
                <c:pt idx="325">
                  <c:v>0.613567382430444</c:v>
                </c:pt>
                <c:pt idx="326">
                  <c:v>0.613567382430444</c:v>
                </c:pt>
                <c:pt idx="327">
                  <c:v>0.613567382430444</c:v>
                </c:pt>
                <c:pt idx="328">
                  <c:v>0.613567382430444</c:v>
                </c:pt>
                <c:pt idx="329">
                  <c:v>0.613567382430444</c:v>
                </c:pt>
                <c:pt idx="330">
                  <c:v>0.613567382430444</c:v>
                </c:pt>
                <c:pt idx="331">
                  <c:v>0.613567382430444</c:v>
                </c:pt>
                <c:pt idx="332">
                  <c:v>0.613567382430444</c:v>
                </c:pt>
                <c:pt idx="333">
                  <c:v>0.613567382430444</c:v>
                </c:pt>
                <c:pt idx="334">
                  <c:v>0.613567382430444</c:v>
                </c:pt>
                <c:pt idx="335">
                  <c:v>0.613567382430444</c:v>
                </c:pt>
                <c:pt idx="336">
                  <c:v>0.613567382430444</c:v>
                </c:pt>
                <c:pt idx="337">
                  <c:v>0.613567382430444</c:v>
                </c:pt>
                <c:pt idx="338">
                  <c:v>0.613567382430444</c:v>
                </c:pt>
                <c:pt idx="339">
                  <c:v>0.613567382430444</c:v>
                </c:pt>
                <c:pt idx="340">
                  <c:v>0.613567382430444</c:v>
                </c:pt>
                <c:pt idx="341">
                  <c:v>0.613567382430444</c:v>
                </c:pt>
                <c:pt idx="342">
                  <c:v>0.613567382430444</c:v>
                </c:pt>
                <c:pt idx="343">
                  <c:v>0.613567382430444</c:v>
                </c:pt>
                <c:pt idx="344">
                  <c:v>0.613567382430444</c:v>
                </c:pt>
                <c:pt idx="345">
                  <c:v>0.613567382430444</c:v>
                </c:pt>
                <c:pt idx="346">
                  <c:v>0.613567382430444</c:v>
                </c:pt>
                <c:pt idx="347">
                  <c:v>0.613567382430444</c:v>
                </c:pt>
                <c:pt idx="348">
                  <c:v>0.613567382430444</c:v>
                </c:pt>
                <c:pt idx="349">
                  <c:v>0.613567382430444</c:v>
                </c:pt>
                <c:pt idx="350">
                  <c:v>0.613567382430444</c:v>
                </c:pt>
                <c:pt idx="351">
                  <c:v>0.613567382430444</c:v>
                </c:pt>
                <c:pt idx="352">
                  <c:v>0.613567382430444</c:v>
                </c:pt>
                <c:pt idx="353">
                  <c:v>0.613567382430444</c:v>
                </c:pt>
                <c:pt idx="354">
                  <c:v>0.613567382430444</c:v>
                </c:pt>
                <c:pt idx="355">
                  <c:v>0.613567382430444</c:v>
                </c:pt>
                <c:pt idx="356">
                  <c:v>0.613567382430444</c:v>
                </c:pt>
                <c:pt idx="357">
                  <c:v>0.613567382430444</c:v>
                </c:pt>
                <c:pt idx="358">
                  <c:v>0.613567382430444</c:v>
                </c:pt>
                <c:pt idx="359">
                  <c:v>0.613567382430444</c:v>
                </c:pt>
                <c:pt idx="360">
                  <c:v>0.613567382430444</c:v>
                </c:pt>
                <c:pt idx="361">
                  <c:v>0.613567382430444</c:v>
                </c:pt>
                <c:pt idx="362">
                  <c:v>0.613567382430444</c:v>
                </c:pt>
                <c:pt idx="363">
                  <c:v>0.613567382430444</c:v>
                </c:pt>
                <c:pt idx="364">
                  <c:v>0.613567382430444</c:v>
                </c:pt>
                <c:pt idx="365">
                  <c:v>0.613567382430444</c:v>
                </c:pt>
                <c:pt idx="366">
                  <c:v>0.613567382430444</c:v>
                </c:pt>
                <c:pt idx="367">
                  <c:v>0.613567382430444</c:v>
                </c:pt>
                <c:pt idx="368">
                  <c:v>0.613567382430444</c:v>
                </c:pt>
                <c:pt idx="369">
                  <c:v>0.613567382430444</c:v>
                </c:pt>
                <c:pt idx="370">
                  <c:v>0.613567382430444</c:v>
                </c:pt>
                <c:pt idx="371">
                  <c:v>0.613567382430444</c:v>
                </c:pt>
                <c:pt idx="372">
                  <c:v>0.613567382430444</c:v>
                </c:pt>
                <c:pt idx="373">
                  <c:v>0.613567382430444</c:v>
                </c:pt>
                <c:pt idx="374">
                  <c:v>0.613567382430444</c:v>
                </c:pt>
                <c:pt idx="375">
                  <c:v>0.613567382430444</c:v>
                </c:pt>
                <c:pt idx="376">
                  <c:v>0.613567382430444</c:v>
                </c:pt>
                <c:pt idx="377">
                  <c:v>0.613567382430444</c:v>
                </c:pt>
                <c:pt idx="378">
                  <c:v>0.613567382430444</c:v>
                </c:pt>
                <c:pt idx="379">
                  <c:v>0.613567382430444</c:v>
                </c:pt>
                <c:pt idx="380">
                  <c:v>0.613567382430444</c:v>
                </c:pt>
                <c:pt idx="381">
                  <c:v>0.613567382430444</c:v>
                </c:pt>
                <c:pt idx="382">
                  <c:v>0.613567382430444</c:v>
                </c:pt>
                <c:pt idx="383">
                  <c:v>0.613567382430444</c:v>
                </c:pt>
                <c:pt idx="384">
                  <c:v>0.613567382430444</c:v>
                </c:pt>
                <c:pt idx="385">
                  <c:v>0.613567382430444</c:v>
                </c:pt>
                <c:pt idx="386">
                  <c:v>0.613567382430444</c:v>
                </c:pt>
                <c:pt idx="387">
                  <c:v>0.613567382430444</c:v>
                </c:pt>
                <c:pt idx="388">
                  <c:v>0.613567382430444</c:v>
                </c:pt>
                <c:pt idx="389">
                  <c:v>0.613567382430444</c:v>
                </c:pt>
                <c:pt idx="390">
                  <c:v>0.613567382430444</c:v>
                </c:pt>
                <c:pt idx="391">
                  <c:v>0.613567382430444</c:v>
                </c:pt>
                <c:pt idx="392">
                  <c:v>0.613567382430444</c:v>
                </c:pt>
                <c:pt idx="393">
                  <c:v>0.613567382430444</c:v>
                </c:pt>
                <c:pt idx="394">
                  <c:v>0.613567382430444</c:v>
                </c:pt>
                <c:pt idx="395">
                  <c:v>0.613567382430444</c:v>
                </c:pt>
                <c:pt idx="396">
                  <c:v>0.613567382430444</c:v>
                </c:pt>
                <c:pt idx="397">
                  <c:v>0.613567382430444</c:v>
                </c:pt>
                <c:pt idx="398">
                  <c:v>0.613567382430444</c:v>
                </c:pt>
                <c:pt idx="399">
                  <c:v>0.613567382430444</c:v>
                </c:pt>
                <c:pt idx="400">
                  <c:v>0.613567382430444</c:v>
                </c:pt>
                <c:pt idx="401">
                  <c:v>0.613567382430444</c:v>
                </c:pt>
                <c:pt idx="402">
                  <c:v>0.613567382430444</c:v>
                </c:pt>
                <c:pt idx="403">
                  <c:v>0.613567382430444</c:v>
                </c:pt>
                <c:pt idx="404">
                  <c:v>0.613567382430444</c:v>
                </c:pt>
                <c:pt idx="405">
                  <c:v>0.613567382430444</c:v>
                </c:pt>
                <c:pt idx="406">
                  <c:v>0.613567382430444</c:v>
                </c:pt>
                <c:pt idx="407">
                  <c:v>0.613567382430444</c:v>
                </c:pt>
                <c:pt idx="408">
                  <c:v>0.613567382430444</c:v>
                </c:pt>
                <c:pt idx="409">
                  <c:v>0.613567382430444</c:v>
                </c:pt>
                <c:pt idx="410">
                  <c:v>0.613567382430444</c:v>
                </c:pt>
                <c:pt idx="411">
                  <c:v>0.613567382430444</c:v>
                </c:pt>
                <c:pt idx="412">
                  <c:v>0.613567382430444</c:v>
                </c:pt>
                <c:pt idx="413">
                  <c:v>0.613567382430444</c:v>
                </c:pt>
                <c:pt idx="414">
                  <c:v>0.613567382430444</c:v>
                </c:pt>
                <c:pt idx="415">
                  <c:v>0.613567382430444</c:v>
                </c:pt>
                <c:pt idx="416">
                  <c:v>0.613567382430444</c:v>
                </c:pt>
                <c:pt idx="417">
                  <c:v>0.613567382430444</c:v>
                </c:pt>
                <c:pt idx="418">
                  <c:v>0.613567382430444</c:v>
                </c:pt>
                <c:pt idx="419">
                  <c:v>0.613567382430444</c:v>
                </c:pt>
                <c:pt idx="420">
                  <c:v>0.613567382430444</c:v>
                </c:pt>
                <c:pt idx="421">
                  <c:v>0.613567382430444</c:v>
                </c:pt>
                <c:pt idx="422">
                  <c:v>0.613567382430444</c:v>
                </c:pt>
                <c:pt idx="423">
                  <c:v>0.613567382430444</c:v>
                </c:pt>
                <c:pt idx="424">
                  <c:v>0.613567382430444</c:v>
                </c:pt>
                <c:pt idx="425">
                  <c:v>0.613567382430444</c:v>
                </c:pt>
                <c:pt idx="426">
                  <c:v>0.613567382430444</c:v>
                </c:pt>
                <c:pt idx="427">
                  <c:v>0.613567382430444</c:v>
                </c:pt>
                <c:pt idx="428">
                  <c:v>0.613567382430444</c:v>
                </c:pt>
                <c:pt idx="429">
                  <c:v>0.613567382430444</c:v>
                </c:pt>
                <c:pt idx="430">
                  <c:v>0.613567382430444</c:v>
                </c:pt>
                <c:pt idx="431">
                  <c:v>0.613567382430444</c:v>
                </c:pt>
                <c:pt idx="432">
                  <c:v>0.613567382430444</c:v>
                </c:pt>
                <c:pt idx="433">
                  <c:v>0.613567382430444</c:v>
                </c:pt>
                <c:pt idx="434">
                  <c:v>0.613567382430444</c:v>
                </c:pt>
                <c:pt idx="435">
                  <c:v>0.613567382430444</c:v>
                </c:pt>
                <c:pt idx="436">
                  <c:v>0.613567382430444</c:v>
                </c:pt>
                <c:pt idx="437">
                  <c:v>0.613567382430444</c:v>
                </c:pt>
                <c:pt idx="438">
                  <c:v>0.613567382430444</c:v>
                </c:pt>
                <c:pt idx="439">
                  <c:v>0.613567382430444</c:v>
                </c:pt>
                <c:pt idx="440">
                  <c:v>0.613567382430444</c:v>
                </c:pt>
                <c:pt idx="441">
                  <c:v>0.613567382430444</c:v>
                </c:pt>
                <c:pt idx="442">
                  <c:v>0.613567382430444</c:v>
                </c:pt>
                <c:pt idx="443">
                  <c:v>0.613567382430444</c:v>
                </c:pt>
                <c:pt idx="444">
                  <c:v>0.613567382430444</c:v>
                </c:pt>
                <c:pt idx="445">
                  <c:v>0.613567382430444</c:v>
                </c:pt>
                <c:pt idx="446">
                  <c:v>0.613567382430444</c:v>
                </c:pt>
                <c:pt idx="447">
                  <c:v>0.613567382430444</c:v>
                </c:pt>
                <c:pt idx="448">
                  <c:v>0.613567382430444</c:v>
                </c:pt>
                <c:pt idx="449">
                  <c:v>0.613567382430444</c:v>
                </c:pt>
                <c:pt idx="450">
                  <c:v>0.613567382430444</c:v>
                </c:pt>
                <c:pt idx="451">
                  <c:v>0.613567382430444</c:v>
                </c:pt>
                <c:pt idx="452">
                  <c:v>0.613567382430444</c:v>
                </c:pt>
                <c:pt idx="453">
                  <c:v>0.613567382430444</c:v>
                </c:pt>
                <c:pt idx="454">
                  <c:v>0.613567382430444</c:v>
                </c:pt>
                <c:pt idx="455">
                  <c:v>0.613567382430444</c:v>
                </c:pt>
                <c:pt idx="456">
                  <c:v>0.613567382430444</c:v>
                </c:pt>
                <c:pt idx="457">
                  <c:v>0.613567382430444</c:v>
                </c:pt>
                <c:pt idx="458">
                  <c:v>0.613567382430444</c:v>
                </c:pt>
                <c:pt idx="459">
                  <c:v>0.613567382430444</c:v>
                </c:pt>
                <c:pt idx="460">
                  <c:v>0.613567382430444</c:v>
                </c:pt>
                <c:pt idx="461">
                  <c:v>0.613567382430444</c:v>
                </c:pt>
                <c:pt idx="462">
                  <c:v>0.613567382430444</c:v>
                </c:pt>
                <c:pt idx="463">
                  <c:v>0.613567382430444</c:v>
                </c:pt>
                <c:pt idx="464">
                  <c:v>0.613567382430444</c:v>
                </c:pt>
                <c:pt idx="465">
                  <c:v>0.613567382430444</c:v>
                </c:pt>
                <c:pt idx="466">
                  <c:v>0.613567382430444</c:v>
                </c:pt>
                <c:pt idx="467">
                  <c:v>0.613567382430444</c:v>
                </c:pt>
                <c:pt idx="468">
                  <c:v>0.613567382430444</c:v>
                </c:pt>
                <c:pt idx="469">
                  <c:v>0.613567382430444</c:v>
                </c:pt>
                <c:pt idx="470">
                  <c:v>0.613567382430444</c:v>
                </c:pt>
                <c:pt idx="471">
                  <c:v>0.613567382430444</c:v>
                </c:pt>
                <c:pt idx="472">
                  <c:v>0.613567382430444</c:v>
                </c:pt>
                <c:pt idx="473">
                  <c:v>0.613567382430444</c:v>
                </c:pt>
                <c:pt idx="474">
                  <c:v>0.613567382430444</c:v>
                </c:pt>
                <c:pt idx="475">
                  <c:v>0.613567382430444</c:v>
                </c:pt>
                <c:pt idx="476">
                  <c:v>0.613567382430444</c:v>
                </c:pt>
                <c:pt idx="477">
                  <c:v>0.613567382430444</c:v>
                </c:pt>
                <c:pt idx="478">
                  <c:v>0.613567382430444</c:v>
                </c:pt>
                <c:pt idx="479">
                  <c:v>0.613567382430444</c:v>
                </c:pt>
                <c:pt idx="480">
                  <c:v>0.613567382430444</c:v>
                </c:pt>
                <c:pt idx="481">
                  <c:v>0.613567382430444</c:v>
                </c:pt>
                <c:pt idx="482">
                  <c:v>0.613567382430444</c:v>
                </c:pt>
                <c:pt idx="483">
                  <c:v>0.613567382430444</c:v>
                </c:pt>
                <c:pt idx="484">
                  <c:v>0.613567382430444</c:v>
                </c:pt>
                <c:pt idx="485">
                  <c:v>0.613567382430444</c:v>
                </c:pt>
                <c:pt idx="486">
                  <c:v>0.613567382430444</c:v>
                </c:pt>
                <c:pt idx="487">
                  <c:v>0.613567382430444</c:v>
                </c:pt>
                <c:pt idx="488">
                  <c:v>0.613567382430444</c:v>
                </c:pt>
                <c:pt idx="489">
                  <c:v>0.613567382430444</c:v>
                </c:pt>
                <c:pt idx="490">
                  <c:v>0.613567382430444</c:v>
                </c:pt>
                <c:pt idx="491">
                  <c:v>0.613567382430444</c:v>
                </c:pt>
                <c:pt idx="492">
                  <c:v>0.613567382430444</c:v>
                </c:pt>
                <c:pt idx="493">
                  <c:v>0.613567382430444</c:v>
                </c:pt>
                <c:pt idx="494">
                  <c:v>0.613567382430444</c:v>
                </c:pt>
                <c:pt idx="495">
                  <c:v>0.613567382430444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3196357"/>
        <c:axId val="42139605"/>
      </c:lineChart>
      <c:dateAx>
        <c:axId val="631963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39605"/>
        <c:crosses val="autoZero"/>
        <c:auto val="1"/>
        <c:lblOffset val="100"/>
        <c:noMultiLvlLbl val="0"/>
      </c:dateAx>
      <c:valAx>
        <c:axId val="42139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Hedge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963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175680</xdr:rowOff>
    </xdr:from>
    <xdr:to>
      <xdr:col>22</xdr:col>
      <xdr:colOff>581400</xdr:colOff>
      <xdr:row>17</xdr:row>
      <xdr:rowOff>7560</xdr:rowOff>
    </xdr:to>
    <xdr:graphicFrame>
      <xdr:nvGraphicFramePr>
        <xdr:cNvPr id="0" name="Chart 1"/>
        <xdr:cNvGraphicFramePr/>
      </xdr:nvGraphicFramePr>
      <xdr:xfrm>
        <a:off x="12875760" y="3808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18</xdr:row>
      <xdr:rowOff>175680</xdr:rowOff>
    </xdr:from>
    <xdr:to>
      <xdr:col>22</xdr:col>
      <xdr:colOff>581400</xdr:colOff>
      <xdr:row>34</xdr:row>
      <xdr:rowOff>7560</xdr:rowOff>
    </xdr:to>
    <xdr:graphicFrame>
      <xdr:nvGraphicFramePr>
        <xdr:cNvPr id="1" name="Chart 2"/>
        <xdr:cNvGraphicFramePr/>
      </xdr:nvGraphicFramePr>
      <xdr:xfrm>
        <a:off x="12875760" y="361944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35</xdr:row>
      <xdr:rowOff>176040</xdr:rowOff>
    </xdr:from>
    <xdr:to>
      <xdr:col>19</xdr:col>
      <xdr:colOff>255960</xdr:colOff>
      <xdr:row>51</xdr:row>
      <xdr:rowOff>7560</xdr:rowOff>
    </xdr:to>
    <xdr:graphicFrame>
      <xdr:nvGraphicFramePr>
        <xdr:cNvPr id="2" name="Chart 3"/>
        <xdr:cNvGraphicFramePr/>
      </xdr:nvGraphicFramePr>
      <xdr:xfrm>
        <a:off x="12875760" y="6858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52</xdr:row>
      <xdr:rowOff>176040</xdr:rowOff>
    </xdr:from>
    <xdr:to>
      <xdr:col>22</xdr:col>
      <xdr:colOff>581400</xdr:colOff>
      <xdr:row>68</xdr:row>
      <xdr:rowOff>7560</xdr:rowOff>
    </xdr:to>
    <xdr:graphicFrame>
      <xdr:nvGraphicFramePr>
        <xdr:cNvPr id="3" name="Chart 4"/>
        <xdr:cNvGraphicFramePr/>
      </xdr:nvGraphicFramePr>
      <xdr:xfrm>
        <a:off x="12875760" y="100965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0"/>
    <col collapsed="false" customWidth="true" hidden="false" outlineLevel="0" max="3" min="3" style="0" width="60"/>
    <col collapsed="false" customWidth="true" hidden="false" outlineLevel="0" max="4" min="4" style="0" width="40"/>
    <col collapsed="false" customWidth="true" hidden="false" outlineLevel="0" max="5" min="5" style="0" width="26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</row>
    <row r="8" customFormat="false" ht="26.85" hidden="false" customHeight="false" outlineLevel="0" collapsed="false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</row>
    <row r="9" customFormat="false" ht="26.85" hidden="false" customHeight="false" outlineLevel="0" collapsed="false">
      <c r="A9" s="5" t="s">
        <v>14</v>
      </c>
      <c r="B9" s="5" t="s">
        <v>15</v>
      </c>
      <c r="C9" s="5" t="s">
        <v>16</v>
      </c>
      <c r="D9" s="5" t="s">
        <v>17</v>
      </c>
      <c r="E9" s="5" t="s">
        <v>18</v>
      </c>
    </row>
    <row r="10" customFormat="false" ht="39.55" hidden="false" customHeight="false" outlineLevel="0" collapsed="false">
      <c r="A10" s="5" t="s">
        <v>19</v>
      </c>
      <c r="B10" s="5" t="s">
        <v>20</v>
      </c>
      <c r="C10" s="5" t="s">
        <v>21</v>
      </c>
      <c r="D10" s="5" t="s">
        <v>22</v>
      </c>
      <c r="E10" s="5"/>
    </row>
    <row r="11" customFormat="false" ht="26.85" hidden="false" customHeight="false" outlineLevel="0" collapsed="false">
      <c r="A11" s="5" t="s">
        <v>23</v>
      </c>
      <c r="B11" s="5" t="s">
        <v>24</v>
      </c>
      <c r="C11" s="5" t="s">
        <v>25</v>
      </c>
      <c r="D11" s="5" t="s">
        <v>26</v>
      </c>
      <c r="E11" s="5"/>
    </row>
    <row r="12" customFormat="false" ht="39.55" hidden="false" customHeight="false" outlineLevel="0" collapsed="false">
      <c r="A12" s="5" t="s">
        <v>27</v>
      </c>
      <c r="B12" s="5" t="s">
        <v>28</v>
      </c>
      <c r="C12" s="5" t="s">
        <v>29</v>
      </c>
      <c r="D12" s="5"/>
      <c r="E12" s="5"/>
    </row>
    <row r="14" customFormat="false" ht="15" hidden="false" customHeight="false" outlineLevel="0" collapsed="false">
      <c r="A14" s="2" t="s">
        <v>30</v>
      </c>
    </row>
    <row r="15" customFormat="false" ht="15" hidden="false" customHeight="false" outlineLevel="0" collapsed="false">
      <c r="A15" s="3" t="s">
        <v>31</v>
      </c>
      <c r="C15" s="6" t="str">
        <f aca="false">TEXT(_xlfn.MINIFS('Spot Data'!$A$5:$A$651,'Spot Data'!$H$5:$H$651,"YES"),"dd mmm yyyy")&amp;" to "&amp;TEXT(_xlfn.MAXIFS('Spot Data'!$A$5:$A$651,'Spot Data'!$H$5:$H$651,"YES"),"dd mmm yyyy")&amp;" ("&amp;COUNTIF('Spot Data'!$H$5:$H$651,"YES")&amp;" quotes)"</f>
        <v>25 Sep 2023 to 28 Sep 2026 (546 quotes)</v>
      </c>
    </row>
    <row r="16" customFormat="false" ht="15" hidden="false" customHeight="false" outlineLevel="0" collapsed="false">
      <c r="A16" s="3" t="s">
        <v>32</v>
      </c>
      <c r="C16" s="6" t="str">
        <f aca="false">TEXT(MIN('Roll Schedule'!A47:A790),"dd mmm yyyy")&amp;" to "&amp;TEXT(MAX('Roll Schedule'!A47:A790),"dd mmm yyyy")&amp;" ("&amp;COUNT('Roll Schedule'!A47:A790)&amp;" days)"</f>
        <v>25 Sep 2023 to 28 Sep 2026 (744 days)</v>
      </c>
    </row>
    <row r="17" customFormat="false" ht="15" hidden="false" customHeight="false" outlineLevel="0" collapsed="false">
      <c r="A17" s="3" t="s">
        <v>33</v>
      </c>
      <c r="C17" s="6" t="str">
        <f aca="false">TEXT(_xlfn.MINIFS('Spot Data'!$A$5:$A$651,'Spot Data'!$H$5:$H$651,"YES",'Spot Data'!$I$5:$I$651,TRUE()),"dd mmm yyyy")&amp;" to "&amp;TEXT(_xlfn.MAXIFS('Spot Data'!$A$5:$A$651,'Spot Data'!$H$5:$H$651,"YES",'Spot Data'!$I$5:$I$651,TRUE()),"dd mmm yyyy")&amp;" ("&amp;COUNTIFS('Spot Data'!$H$5:$H$651,"YES",'Spot Data'!$I$5:$I$651,TRUE())&amp;" dates)"</f>
        <v>25 Sep 2023 to 28 Sep 2026 (535 dates)</v>
      </c>
    </row>
    <row r="18" customFormat="false" ht="15" hidden="false" customHeight="false" outlineLevel="0" collapsed="false">
      <c r="A18" s="3" t="s">
        <v>34</v>
      </c>
      <c r="C18" s="6" t="str">
        <f aca="false">TEXT(MIN('Daily Analysis'!A5:A500),"dd mmm yyyy")&amp;" to "&amp;TEXT(MAX('Daily Analysis'!A5:A500),"dd mmm yyyy")&amp;" ("&amp;COUNT('Daily Analysis'!H5:H500)&amp;" returns)"</f>
        <v>26 Sep 2023 to 28 Sep 2026 (496 returns)</v>
      </c>
    </row>
    <row r="19" customFormat="false" ht="15" hidden="false" customHeight="false" outlineLevel="0" collapsed="false">
      <c r="A19" s="3" t="s">
        <v>35</v>
      </c>
      <c r="C19" s="6" t="str">
        <f aca="false">TEXT('Results &amp; Charts'!D18,"dd mmm yyyy")&amp;" to "&amp;TEXT('Results &amp; Charts'!E18,"dd mmm yyyy")&amp;" ("&amp;'Results &amp; Charts'!F18&amp;")"</f>
        <v>26 Sep 2023 to 26 Sep 2025 (275)</v>
      </c>
    </row>
    <row r="20" customFormat="false" ht="15" hidden="false" customHeight="false" outlineLevel="0" collapsed="false">
      <c r="A20" s="3" t="s">
        <v>36</v>
      </c>
      <c r="C20" s="6" t="str">
        <f aca="false">TEXT('Results &amp; Charts'!D19,"dd mmm yyyy")&amp;" to "&amp;TEXT('Results &amp; Charts'!E19,"dd mmm yyyy")&amp;" ("&amp;'Results &amp; Charts'!F19&amp;")"</f>
        <v>01 Oct 2025 to 28 Sep 2026 (221)</v>
      </c>
    </row>
    <row r="21" customFormat="false" ht="15" hidden="false" customHeight="false" outlineLevel="0" collapsed="false">
      <c r="A21" s="3" t="s">
        <v>37</v>
      </c>
    </row>
    <row r="23" customFormat="false" ht="15" hidden="false" customHeight="false" outlineLevel="0" collapsed="false">
      <c r="A23" s="2" t="s">
        <v>38</v>
      </c>
    </row>
    <row r="24" customFormat="false" ht="15" hidden="false" customHeight="false" outlineLevel="0" collapsed="false">
      <c r="A24" s="4" t="s">
        <v>39</v>
      </c>
      <c r="B24" s="4" t="s">
        <v>40</v>
      </c>
      <c r="C24" s="4" t="s">
        <v>41</v>
      </c>
      <c r="D24" s="4" t="s">
        <v>42</v>
      </c>
      <c r="E24" s="4" t="s">
        <v>43</v>
      </c>
    </row>
    <row r="25" customFormat="false" ht="26.85" hidden="false" customHeight="false" outlineLevel="0" collapsed="false">
      <c r="A25" s="5" t="s">
        <v>44</v>
      </c>
      <c r="B25" s="5" t="s">
        <v>45</v>
      </c>
      <c r="C25" s="5" t="s">
        <v>46</v>
      </c>
      <c r="D25" s="5" t="s">
        <v>47</v>
      </c>
      <c r="E25" s="5" t="s">
        <v>48</v>
      </c>
    </row>
    <row r="26" customFormat="false" ht="26.85" hidden="false" customHeight="false" outlineLevel="0" collapsed="false">
      <c r="A26" s="5" t="s">
        <v>49</v>
      </c>
      <c r="B26" s="5" t="s">
        <v>50</v>
      </c>
      <c r="C26" s="5" t="s">
        <v>51</v>
      </c>
      <c r="D26" s="5" t="s">
        <v>52</v>
      </c>
      <c r="E26" s="5" t="s">
        <v>53</v>
      </c>
    </row>
    <row r="27" customFormat="false" ht="26.85" hidden="false" customHeight="false" outlineLevel="0" collapsed="false">
      <c r="A27" s="5" t="s">
        <v>54</v>
      </c>
      <c r="B27" s="5" t="s">
        <v>55</v>
      </c>
      <c r="C27" s="5" t="s">
        <v>56</v>
      </c>
      <c r="D27" s="5" t="s">
        <v>57</v>
      </c>
      <c r="E27" s="5" t="s">
        <v>58</v>
      </c>
    </row>
    <row r="28" customFormat="false" ht="26.85" hidden="false" customHeight="false" outlineLevel="0" collapsed="false">
      <c r="A28" s="5" t="s">
        <v>59</v>
      </c>
      <c r="B28" s="5" t="s">
        <v>60</v>
      </c>
      <c r="C28" s="5" t="s">
        <v>61</v>
      </c>
      <c r="D28" s="5" t="s">
        <v>62</v>
      </c>
      <c r="E28" s="5" t="s">
        <v>63</v>
      </c>
    </row>
    <row r="29" customFormat="false" ht="26.85" hidden="false" customHeight="false" outlineLevel="0" collapsed="false">
      <c r="A29" s="5" t="s">
        <v>64</v>
      </c>
      <c r="B29" s="5" t="s">
        <v>65</v>
      </c>
      <c r="C29" s="5" t="s">
        <v>66</v>
      </c>
      <c r="D29" s="5" t="s">
        <v>47</v>
      </c>
      <c r="E29" s="5" t="s">
        <v>67</v>
      </c>
    </row>
    <row r="30" customFormat="false" ht="26.85" hidden="false" customHeight="false" outlineLevel="0" collapsed="false">
      <c r="A30" s="5" t="s">
        <v>68</v>
      </c>
      <c r="B30" s="5" t="s">
        <v>69</v>
      </c>
      <c r="C30" s="5" t="s">
        <v>70</v>
      </c>
      <c r="D30" s="5" t="s">
        <v>71</v>
      </c>
      <c r="E30" s="5" t="s">
        <v>72</v>
      </c>
    </row>
    <row r="31" customFormat="false" ht="15" hidden="false" customHeight="false" outlineLevel="0" collapsed="false">
      <c r="A31" s="5" t="s">
        <v>73</v>
      </c>
      <c r="B31" s="5" t="s">
        <v>74</v>
      </c>
      <c r="C31" s="5" t="s">
        <v>75</v>
      </c>
      <c r="D31" s="5" t="s">
        <v>76</v>
      </c>
      <c r="E31" s="5" t="s">
        <v>77</v>
      </c>
    </row>
    <row r="32" customFormat="false" ht="15" hidden="false" customHeight="false" outlineLevel="0" collapsed="false">
      <c r="A32" s="5" t="s">
        <v>78</v>
      </c>
      <c r="B32" s="5" t="s">
        <v>79</v>
      </c>
      <c r="C32" s="5" t="s">
        <v>80</v>
      </c>
      <c r="D32" s="5" t="s">
        <v>76</v>
      </c>
      <c r="E32" s="5" t="s">
        <v>81</v>
      </c>
    </row>
    <row r="33" customFormat="false" ht="26.85" hidden="false" customHeight="false" outlineLevel="0" collapsed="false">
      <c r="A33" s="5" t="s">
        <v>82</v>
      </c>
      <c r="B33" s="5" t="s">
        <v>83</v>
      </c>
      <c r="C33" s="5" t="s">
        <v>84</v>
      </c>
      <c r="D33" s="5" t="s">
        <v>85</v>
      </c>
      <c r="E33" s="5" t="s">
        <v>86</v>
      </c>
    </row>
    <row r="34" customFormat="false" ht="26.85" hidden="false" customHeight="false" outlineLevel="0" collapsed="false">
      <c r="A34" s="5" t="s">
        <v>87</v>
      </c>
      <c r="B34" s="5" t="s">
        <v>88</v>
      </c>
      <c r="C34" s="5" t="s">
        <v>89</v>
      </c>
      <c r="D34" s="5" t="s">
        <v>90</v>
      </c>
      <c r="E34" s="5" t="s">
        <v>81</v>
      </c>
    </row>
    <row r="35" customFormat="false" ht="15" hidden="false" customHeight="false" outlineLevel="0" collapsed="false">
      <c r="A35" s="5" t="s">
        <v>91</v>
      </c>
      <c r="B35" s="5" t="s">
        <v>92</v>
      </c>
      <c r="C35" s="5" t="s">
        <v>93</v>
      </c>
      <c r="D35" s="5" t="s">
        <v>94</v>
      </c>
      <c r="E35" s="5" t="s">
        <v>81</v>
      </c>
    </row>
    <row r="36" customFormat="false" ht="26.85" hidden="false" customHeight="false" outlineLevel="0" collapsed="false">
      <c r="A36" s="5" t="s">
        <v>95</v>
      </c>
      <c r="B36" s="5" t="s">
        <v>96</v>
      </c>
      <c r="C36" s="5" t="s">
        <v>97</v>
      </c>
      <c r="D36" s="5" t="s">
        <v>98</v>
      </c>
      <c r="E36" s="5" t="s">
        <v>99</v>
      </c>
    </row>
    <row r="37" customFormat="false" ht="15" hidden="false" customHeight="false" outlineLevel="0" collapsed="false">
      <c r="A37" s="5" t="s">
        <v>100</v>
      </c>
      <c r="B37" s="5" t="s">
        <v>101</v>
      </c>
      <c r="C37" s="5" t="s">
        <v>102</v>
      </c>
      <c r="D37" s="5" t="s">
        <v>103</v>
      </c>
      <c r="E37" s="5" t="s">
        <v>104</v>
      </c>
    </row>
    <row r="39" customFormat="false" ht="15" hidden="false" customHeight="false" outlineLevel="0" collapsed="false">
      <c r="A39" s="3" t="s">
        <v>105</v>
      </c>
    </row>
    <row r="41" customFormat="false" ht="15" hidden="false" customHeight="false" outlineLevel="0" collapsed="false">
      <c r="A41" s="2" t="s">
        <v>106</v>
      </c>
    </row>
    <row r="42" customFormat="false" ht="15" hidden="false" customHeight="false" outlineLevel="0" collapsed="false">
      <c r="A42" s="3" t="s">
        <v>107</v>
      </c>
    </row>
    <row r="43" customFormat="false" ht="15" hidden="false" customHeight="false" outlineLevel="0" collapsed="false">
      <c r="A43" s="3" t="s">
        <v>108</v>
      </c>
    </row>
    <row r="44" customFormat="false" ht="15" hidden="false" customHeight="false" outlineLevel="0" collapsed="false">
      <c r="A44" s="3" t="s">
        <v>109</v>
      </c>
    </row>
    <row r="45" customFormat="false" ht="15" hidden="false" customHeight="false" outlineLevel="0" collapsed="false">
      <c r="A45" s="3" t="s">
        <v>110</v>
      </c>
    </row>
    <row r="46" customFormat="false" ht="15" hidden="false" customHeight="false" outlineLevel="0" collapsed="false">
      <c r="A46" s="3" t="s">
        <v>111</v>
      </c>
    </row>
    <row r="47" customFormat="false" ht="15" hidden="false" customHeight="false" outlineLevel="0" collapsed="false">
      <c r="A47" s="3" t="s">
        <v>112</v>
      </c>
    </row>
    <row r="49" customFormat="false" ht="15" hidden="false" customHeight="false" outlineLevel="0" collapsed="false">
      <c r="A49" s="3" t="s">
        <v>113</v>
      </c>
    </row>
    <row r="50" customFormat="false" ht="15" hidden="false" customHeight="false" outlineLevel="0" collapsed="false">
      <c r="A50" s="3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34"/>
    <col collapsed="false" customWidth="true" hidden="false" outlineLevel="0" max="9" min="8" style="0" width="9"/>
    <col collapsed="false" customWidth="true" hidden="false" outlineLevel="0" max="10" min="10" style="0" width="26"/>
    <col collapsed="false" customWidth="true" hidden="false" outlineLevel="0" max="11" min="11" style="0" width="55"/>
  </cols>
  <sheetData>
    <row r="1" customFormat="false" ht="16.1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3" t="s">
        <v>116</v>
      </c>
    </row>
    <row r="4" customFormat="false" ht="39.55" hidden="false" customHeight="false" outlineLevel="0" collapsed="false">
      <c r="A4" s="4" t="s">
        <v>117</v>
      </c>
      <c r="B4" s="4" t="s">
        <v>118</v>
      </c>
      <c r="C4" s="4" t="s">
        <v>119</v>
      </c>
      <c r="D4" s="4" t="s">
        <v>120</v>
      </c>
      <c r="E4" s="4" t="s">
        <v>121</v>
      </c>
      <c r="F4" s="4" t="s">
        <v>122</v>
      </c>
      <c r="G4" s="4" t="s">
        <v>123</v>
      </c>
      <c r="H4" s="4" t="s">
        <v>124</v>
      </c>
      <c r="I4" s="4" t="s">
        <v>125</v>
      </c>
      <c r="J4" s="4" t="s">
        <v>126</v>
      </c>
      <c r="K4" s="4" t="s">
        <v>127</v>
      </c>
    </row>
    <row r="5" customFormat="false" ht="15" hidden="false" customHeight="false" outlineLevel="0" collapsed="false">
      <c r="A5" s="7" t="n">
        <v>45194</v>
      </c>
      <c r="B5" s="8" t="s">
        <v>128</v>
      </c>
      <c r="C5" s="8" t="s">
        <v>129</v>
      </c>
      <c r="D5" s="8" t="s">
        <v>130</v>
      </c>
      <c r="E5" s="8" t="n">
        <v>9575</v>
      </c>
      <c r="F5" s="8" t="s">
        <v>131</v>
      </c>
      <c r="G5" s="8" t="s">
        <v>132</v>
      </c>
      <c r="H5" s="3" t="str">
        <f aca="false">IF(G5="OK","YES","no")</f>
        <v>YES</v>
      </c>
      <c r="I5" s="9" t="b">
        <f aca="false">COUNTIF('Roll Schedule'!$A$47:$A$790,A5)&gt;0</f>
        <v>1</v>
      </c>
      <c r="J5" s="8" t="s">
        <v>133</v>
      </c>
      <c r="K5" s="8" t="s">
        <v>134</v>
      </c>
    </row>
    <row r="6" customFormat="false" ht="15" hidden="false" customHeight="false" outlineLevel="0" collapsed="false">
      <c r="A6" s="7" t="n">
        <v>45195</v>
      </c>
      <c r="B6" s="8" t="s">
        <v>135</v>
      </c>
      <c r="C6" s="8" t="s">
        <v>136</v>
      </c>
      <c r="D6" s="8" t="s">
        <v>137</v>
      </c>
      <c r="E6" s="8" t="n">
        <v>9500</v>
      </c>
      <c r="F6" s="8" t="s">
        <v>131</v>
      </c>
      <c r="G6" s="8" t="s">
        <v>132</v>
      </c>
      <c r="H6" s="3" t="str">
        <f aca="false">IF(G6="OK","YES","no")</f>
        <v>YES</v>
      </c>
      <c r="I6" s="9" t="b">
        <f aca="false">COUNTIF('Roll Schedule'!$A$47:$A$790,A6)&gt;0</f>
        <v>1</v>
      </c>
      <c r="J6" s="8" t="s">
        <v>133</v>
      </c>
      <c r="K6" s="8" t="s">
        <v>138</v>
      </c>
    </row>
    <row r="7" customFormat="false" ht="15" hidden="false" customHeight="false" outlineLevel="0" collapsed="false">
      <c r="A7" s="7" t="n">
        <v>45196</v>
      </c>
      <c r="B7" s="8" t="s">
        <v>139</v>
      </c>
      <c r="C7" s="8" t="s">
        <v>140</v>
      </c>
      <c r="D7" s="8" t="s">
        <v>141</v>
      </c>
      <c r="E7" s="8" t="n">
        <v>9450</v>
      </c>
      <c r="F7" s="8" t="s">
        <v>142</v>
      </c>
      <c r="G7" s="8" t="s">
        <v>143</v>
      </c>
      <c r="H7" s="3" t="str">
        <f aca="false">IF(G7="OK","YES","no")</f>
        <v>no</v>
      </c>
      <c r="I7" s="9" t="b">
        <f aca="false">COUNTIF('Roll Schedule'!$A$47:$A$790,A7)&gt;0</f>
        <v>1</v>
      </c>
      <c r="J7" s="8" t="s">
        <v>133</v>
      </c>
      <c r="K7" s="8" t="s">
        <v>144</v>
      </c>
    </row>
    <row r="8" customFormat="false" ht="15" hidden="false" customHeight="false" outlineLevel="0" collapsed="false">
      <c r="A8" s="7" t="n">
        <v>45198</v>
      </c>
      <c r="B8" s="8" t="s">
        <v>145</v>
      </c>
      <c r="C8" s="8" t="s">
        <v>146</v>
      </c>
      <c r="D8" s="8" t="s">
        <v>141</v>
      </c>
      <c r="E8" s="8" t="n">
        <v>9450</v>
      </c>
      <c r="F8" s="8" t="s">
        <v>131</v>
      </c>
      <c r="G8" s="8" t="s">
        <v>132</v>
      </c>
      <c r="H8" s="3" t="str">
        <f aca="false">IF(G8="OK","YES","no")</f>
        <v>YES</v>
      </c>
      <c r="I8" s="9" t="b">
        <f aca="false">COUNTIF('Roll Schedule'!$A$47:$A$790,A8)&gt;0</f>
        <v>1</v>
      </c>
      <c r="J8" s="8" t="s">
        <v>133</v>
      </c>
      <c r="K8" s="8" t="s">
        <v>147</v>
      </c>
    </row>
    <row r="9" customFormat="false" ht="15" hidden="false" customHeight="false" outlineLevel="0" collapsed="false">
      <c r="A9" s="7" t="n">
        <v>45202</v>
      </c>
      <c r="B9" s="8" t="s">
        <v>148</v>
      </c>
      <c r="C9" s="8" t="s">
        <v>149</v>
      </c>
      <c r="D9" s="8" t="s">
        <v>150</v>
      </c>
      <c r="E9" s="8" t="n">
        <v>9350</v>
      </c>
      <c r="F9" s="8" t="s">
        <v>131</v>
      </c>
      <c r="G9" s="8" t="s">
        <v>132</v>
      </c>
      <c r="H9" s="3" t="str">
        <f aca="false">IF(G9="OK","YES","no")</f>
        <v>YES</v>
      </c>
      <c r="I9" s="9" t="b">
        <f aca="false">COUNTIF('Roll Schedule'!$A$47:$A$790,A9)&gt;0</f>
        <v>1</v>
      </c>
      <c r="J9" s="8" t="s">
        <v>151</v>
      </c>
      <c r="K9" s="8" t="s">
        <v>152</v>
      </c>
    </row>
    <row r="10" customFormat="false" ht="15" hidden="false" customHeight="false" outlineLevel="0" collapsed="false">
      <c r="A10" s="7" t="n">
        <v>45203</v>
      </c>
      <c r="B10" s="8" t="s">
        <v>153</v>
      </c>
      <c r="C10" s="8" t="s">
        <v>154</v>
      </c>
      <c r="D10" s="8" t="s">
        <v>155</v>
      </c>
      <c r="E10" s="8" t="n">
        <v>9150</v>
      </c>
      <c r="F10" s="8" t="s">
        <v>131</v>
      </c>
      <c r="G10" s="8" t="s">
        <v>132</v>
      </c>
      <c r="H10" s="3" t="str">
        <f aca="false">IF(G10="OK","YES","no")</f>
        <v>YES</v>
      </c>
      <c r="I10" s="9" t="b">
        <f aca="false">COUNTIF('Roll Schedule'!$A$47:$A$790,A10)&gt;0</f>
        <v>1</v>
      </c>
      <c r="J10" s="8" t="s">
        <v>151</v>
      </c>
      <c r="K10" s="8" t="s">
        <v>156</v>
      </c>
    </row>
    <row r="11" customFormat="false" ht="15" hidden="false" customHeight="false" outlineLevel="0" collapsed="false">
      <c r="A11" s="7" t="n">
        <v>45204</v>
      </c>
      <c r="B11" s="8" t="s">
        <v>157</v>
      </c>
      <c r="C11" s="8" t="s">
        <v>158</v>
      </c>
      <c r="D11" s="8" t="s">
        <v>159</v>
      </c>
      <c r="E11" s="8" t="n">
        <v>9000</v>
      </c>
      <c r="F11" s="8" t="s">
        <v>131</v>
      </c>
      <c r="G11" s="8" t="s">
        <v>132</v>
      </c>
      <c r="H11" s="3" t="str">
        <f aca="false">IF(G11="OK","YES","no")</f>
        <v>YES</v>
      </c>
      <c r="I11" s="9" t="b">
        <f aca="false">COUNTIF('Roll Schedule'!$A$47:$A$790,A11)&gt;0</f>
        <v>1</v>
      </c>
      <c r="J11" s="8" t="s">
        <v>151</v>
      </c>
      <c r="K11" s="8" t="s">
        <v>160</v>
      </c>
    </row>
    <row r="12" customFormat="false" ht="15" hidden="false" customHeight="false" outlineLevel="0" collapsed="false">
      <c r="A12" s="7" t="n">
        <v>45205</v>
      </c>
      <c r="B12" s="8" t="s">
        <v>161</v>
      </c>
      <c r="C12" s="8" t="s">
        <v>162</v>
      </c>
      <c r="D12" s="8" t="s">
        <v>163</v>
      </c>
      <c r="E12" s="8" t="n">
        <v>8950</v>
      </c>
      <c r="F12" s="8" t="s">
        <v>131</v>
      </c>
      <c r="G12" s="8" t="s">
        <v>132</v>
      </c>
      <c r="H12" s="3" t="str">
        <f aca="false">IF(G12="OK","YES","no")</f>
        <v>YES</v>
      </c>
      <c r="I12" s="9" t="b">
        <f aca="false">COUNTIF('Roll Schedule'!$A$47:$A$790,A12)&gt;0</f>
        <v>1</v>
      </c>
      <c r="J12" s="8" t="s">
        <v>151</v>
      </c>
      <c r="K12" s="8" t="s">
        <v>164</v>
      </c>
    </row>
    <row r="13" customFormat="false" ht="15" hidden="false" customHeight="false" outlineLevel="0" collapsed="false">
      <c r="A13" s="7" t="n">
        <v>45208</v>
      </c>
      <c r="B13" s="8" t="s">
        <v>165</v>
      </c>
      <c r="C13" s="8" t="s">
        <v>166</v>
      </c>
      <c r="D13" s="8" t="s">
        <v>167</v>
      </c>
      <c r="E13" s="8" t="n">
        <v>8875</v>
      </c>
      <c r="F13" s="8" t="s">
        <v>131</v>
      </c>
      <c r="G13" s="8" t="s">
        <v>132</v>
      </c>
      <c r="H13" s="3" t="str">
        <f aca="false">IF(G13="OK","YES","no")</f>
        <v>YES</v>
      </c>
      <c r="I13" s="9" t="b">
        <f aca="false">COUNTIF('Roll Schedule'!$A$47:$A$790,A13)&gt;0</f>
        <v>1</v>
      </c>
      <c r="J13" s="8" t="s">
        <v>151</v>
      </c>
      <c r="K13" s="8" t="s">
        <v>168</v>
      </c>
    </row>
    <row r="14" customFormat="false" ht="15" hidden="false" customHeight="false" outlineLevel="0" collapsed="false">
      <c r="A14" s="7" t="n">
        <v>45209</v>
      </c>
      <c r="B14" s="8" t="s">
        <v>169</v>
      </c>
      <c r="C14" s="8" t="s">
        <v>170</v>
      </c>
      <c r="D14" s="8" t="s">
        <v>163</v>
      </c>
      <c r="E14" s="8" t="n">
        <v>8950</v>
      </c>
      <c r="F14" s="8" t="s">
        <v>131</v>
      </c>
      <c r="G14" s="8" t="s">
        <v>132</v>
      </c>
      <c r="H14" s="3" t="str">
        <f aca="false">IF(G14="OK","YES","no")</f>
        <v>YES</v>
      </c>
      <c r="I14" s="9" t="b">
        <f aca="false">COUNTIF('Roll Schedule'!$A$47:$A$790,A14)&gt;0</f>
        <v>1</v>
      </c>
      <c r="J14" s="8" t="s">
        <v>151</v>
      </c>
      <c r="K14" s="8" t="s">
        <v>171</v>
      </c>
    </row>
    <row r="15" customFormat="false" ht="15" hidden="false" customHeight="false" outlineLevel="0" collapsed="false">
      <c r="A15" s="7" t="n">
        <v>45210</v>
      </c>
      <c r="B15" s="8" t="s">
        <v>172</v>
      </c>
      <c r="C15" s="8" t="s">
        <v>173</v>
      </c>
      <c r="D15" s="8" t="s">
        <v>174</v>
      </c>
      <c r="E15" s="8" t="n">
        <v>8800</v>
      </c>
      <c r="F15" s="8" t="s">
        <v>131</v>
      </c>
      <c r="G15" s="8" t="s">
        <v>132</v>
      </c>
      <c r="H15" s="3" t="str">
        <f aca="false">IF(G15="OK","YES","no")</f>
        <v>YES</v>
      </c>
      <c r="I15" s="9" t="b">
        <f aca="false">COUNTIF('Roll Schedule'!$A$47:$A$790,A15)&gt;0</f>
        <v>1</v>
      </c>
      <c r="J15" s="8" t="s">
        <v>151</v>
      </c>
      <c r="K15" s="8" t="s">
        <v>175</v>
      </c>
    </row>
    <row r="16" customFormat="false" ht="15" hidden="false" customHeight="false" outlineLevel="0" collapsed="false">
      <c r="A16" s="7" t="n">
        <v>45211</v>
      </c>
      <c r="B16" s="8" t="s">
        <v>176</v>
      </c>
      <c r="C16" s="8" t="s">
        <v>177</v>
      </c>
      <c r="D16" s="8" t="s">
        <v>178</v>
      </c>
      <c r="E16" s="8" t="n">
        <v>8700</v>
      </c>
      <c r="F16" s="8" t="s">
        <v>131</v>
      </c>
      <c r="G16" s="8" t="s">
        <v>132</v>
      </c>
      <c r="H16" s="3" t="str">
        <f aca="false">IF(G16="OK","YES","no")</f>
        <v>YES</v>
      </c>
      <c r="I16" s="9" t="b">
        <f aca="false">COUNTIF('Roll Schedule'!$A$47:$A$790,A16)&gt;0</f>
        <v>1</v>
      </c>
      <c r="J16" s="8" t="s">
        <v>151</v>
      </c>
      <c r="K16" s="8" t="s">
        <v>179</v>
      </c>
    </row>
    <row r="17" customFormat="false" ht="15" hidden="false" customHeight="false" outlineLevel="0" collapsed="false">
      <c r="A17" s="7" t="n">
        <v>45212</v>
      </c>
      <c r="B17" s="8" t="s">
        <v>180</v>
      </c>
      <c r="C17" s="8" t="s">
        <v>181</v>
      </c>
      <c r="D17" s="8" t="s">
        <v>178</v>
      </c>
      <c r="E17" s="8" t="n">
        <v>8700</v>
      </c>
      <c r="F17" s="8" t="s">
        <v>131</v>
      </c>
      <c r="G17" s="8" t="s">
        <v>132</v>
      </c>
      <c r="H17" s="3" t="str">
        <f aca="false">IF(G17="OK","YES","no")</f>
        <v>YES</v>
      </c>
      <c r="I17" s="9" t="b">
        <f aca="false">COUNTIF('Roll Schedule'!$A$47:$A$790,A17)&gt;0</f>
        <v>1</v>
      </c>
      <c r="J17" s="8" t="s">
        <v>151</v>
      </c>
      <c r="K17" s="8" t="s">
        <v>182</v>
      </c>
    </row>
    <row r="18" customFormat="false" ht="15" hidden="false" customHeight="false" outlineLevel="0" collapsed="false">
      <c r="A18" s="7" t="n">
        <v>45215</v>
      </c>
      <c r="B18" s="8" t="s">
        <v>183</v>
      </c>
      <c r="C18" s="8" t="s">
        <v>184</v>
      </c>
      <c r="D18" s="8" t="s">
        <v>185</v>
      </c>
      <c r="E18" s="8" t="n">
        <v>8650</v>
      </c>
      <c r="F18" s="8" t="s">
        <v>131</v>
      </c>
      <c r="G18" s="8" t="s">
        <v>132</v>
      </c>
      <c r="H18" s="3" t="str">
        <f aca="false">IF(G18="OK","YES","no")</f>
        <v>YES</v>
      </c>
      <c r="I18" s="9" t="b">
        <f aca="false">COUNTIF('Roll Schedule'!$A$47:$A$790,A18)&gt;0</f>
        <v>1</v>
      </c>
      <c r="J18" s="8" t="s">
        <v>151</v>
      </c>
      <c r="K18" s="8" t="s">
        <v>186</v>
      </c>
    </row>
    <row r="19" customFormat="false" ht="15" hidden="false" customHeight="false" outlineLevel="0" collapsed="false">
      <c r="A19" s="7" t="n">
        <v>45217</v>
      </c>
      <c r="B19" s="8" t="s">
        <v>187</v>
      </c>
      <c r="C19" s="8" t="s">
        <v>188</v>
      </c>
      <c r="D19" s="8" t="s">
        <v>189</v>
      </c>
      <c r="E19" s="8" t="n">
        <v>8600</v>
      </c>
      <c r="F19" s="8" t="s">
        <v>131</v>
      </c>
      <c r="G19" s="8" t="s">
        <v>132</v>
      </c>
      <c r="H19" s="3" t="str">
        <f aca="false">IF(G19="OK","YES","no")</f>
        <v>YES</v>
      </c>
      <c r="I19" s="9" t="b">
        <f aca="false">COUNTIF('Roll Schedule'!$A$47:$A$790,A19)&gt;0</f>
        <v>1</v>
      </c>
      <c r="J19" s="8" t="s">
        <v>151</v>
      </c>
      <c r="K19" s="8" t="s">
        <v>190</v>
      </c>
    </row>
    <row r="20" customFormat="false" ht="15" hidden="false" customHeight="false" outlineLevel="0" collapsed="false">
      <c r="A20" s="7" t="n">
        <v>45218</v>
      </c>
      <c r="B20" s="8" t="s">
        <v>191</v>
      </c>
      <c r="C20" s="8" t="s">
        <v>192</v>
      </c>
      <c r="D20" s="8" t="s">
        <v>193</v>
      </c>
      <c r="E20" s="8" t="n">
        <v>8550</v>
      </c>
      <c r="F20" s="8" t="s">
        <v>131</v>
      </c>
      <c r="G20" s="8" t="s">
        <v>132</v>
      </c>
      <c r="H20" s="3" t="str">
        <f aca="false">IF(G20="OK","YES","no")</f>
        <v>YES</v>
      </c>
      <c r="I20" s="9" t="b">
        <f aca="false">COUNTIF('Roll Schedule'!$A$47:$A$790,A20)&gt;0</f>
        <v>1</v>
      </c>
      <c r="J20" s="8" t="s">
        <v>151</v>
      </c>
      <c r="K20" s="8" t="s">
        <v>194</v>
      </c>
    </row>
    <row r="21" customFormat="false" ht="15" hidden="false" customHeight="false" outlineLevel="0" collapsed="false">
      <c r="A21" s="7" t="n">
        <v>45219</v>
      </c>
      <c r="B21" s="8" t="s">
        <v>195</v>
      </c>
      <c r="C21" s="8" t="s">
        <v>196</v>
      </c>
      <c r="D21" s="8" t="s">
        <v>197</v>
      </c>
      <c r="E21" s="8" t="n">
        <v>8450</v>
      </c>
      <c r="F21" s="8" t="s">
        <v>131</v>
      </c>
      <c r="G21" s="8" t="s">
        <v>132</v>
      </c>
      <c r="H21" s="3" t="str">
        <f aca="false">IF(G21="OK","YES","no")</f>
        <v>YES</v>
      </c>
      <c r="I21" s="9" t="b">
        <f aca="false">COUNTIF('Roll Schedule'!$A$47:$A$790,A21)&gt;0</f>
        <v>1</v>
      </c>
      <c r="J21" s="8" t="s">
        <v>151</v>
      </c>
      <c r="K21" s="8" t="s">
        <v>198</v>
      </c>
    </row>
    <row r="22" customFormat="false" ht="15" hidden="false" customHeight="false" outlineLevel="0" collapsed="false">
      <c r="A22" s="7" t="n">
        <v>45222</v>
      </c>
      <c r="B22" s="8" t="s">
        <v>199</v>
      </c>
      <c r="C22" s="8" t="s">
        <v>200</v>
      </c>
      <c r="D22" s="8" t="s">
        <v>197</v>
      </c>
      <c r="E22" s="8" t="n">
        <v>8450</v>
      </c>
      <c r="F22" s="8" t="s">
        <v>131</v>
      </c>
      <c r="G22" s="8" t="s">
        <v>132</v>
      </c>
      <c r="H22" s="3" t="str">
        <f aca="false">IF(G22="OK","YES","no")</f>
        <v>YES</v>
      </c>
      <c r="I22" s="9" t="b">
        <f aca="false">COUNTIF('Roll Schedule'!$A$47:$A$790,A22)&gt;0</f>
        <v>1</v>
      </c>
      <c r="J22" s="8" t="s">
        <v>151</v>
      </c>
      <c r="K22" s="8" t="s">
        <v>201</v>
      </c>
    </row>
    <row r="23" customFormat="false" ht="15" hidden="false" customHeight="false" outlineLevel="0" collapsed="false">
      <c r="A23" s="7" t="n">
        <v>45224</v>
      </c>
      <c r="B23" s="8" t="s">
        <v>202</v>
      </c>
      <c r="C23" s="8" t="s">
        <v>203</v>
      </c>
      <c r="D23" s="8" t="s">
        <v>204</v>
      </c>
      <c r="E23" s="8" t="n">
        <v>8400</v>
      </c>
      <c r="F23" s="8" t="s">
        <v>131</v>
      </c>
      <c r="G23" s="8" t="s">
        <v>132</v>
      </c>
      <c r="H23" s="3" t="str">
        <f aca="false">IF(G23="OK","YES","no")</f>
        <v>YES</v>
      </c>
      <c r="I23" s="9" t="b">
        <f aca="false">COUNTIF('Roll Schedule'!$A$47:$A$790,A23)&gt;0</f>
        <v>1</v>
      </c>
      <c r="J23" s="8" t="s">
        <v>151</v>
      </c>
      <c r="K23" s="8" t="s">
        <v>205</v>
      </c>
    </row>
    <row r="24" customFormat="false" ht="15" hidden="false" customHeight="false" outlineLevel="0" collapsed="false">
      <c r="A24" s="7" t="n">
        <v>45225</v>
      </c>
      <c r="B24" s="8" t="s">
        <v>206</v>
      </c>
      <c r="C24" s="8" t="s">
        <v>207</v>
      </c>
      <c r="D24" s="8" t="s">
        <v>208</v>
      </c>
      <c r="E24" s="8" t="n">
        <v>8150</v>
      </c>
      <c r="F24" s="8" t="s">
        <v>131</v>
      </c>
      <c r="G24" s="8" t="s">
        <v>132</v>
      </c>
      <c r="H24" s="3" t="str">
        <f aca="false">IF(G24="OK","YES","no")</f>
        <v>YES</v>
      </c>
      <c r="I24" s="9" t="b">
        <f aca="false">COUNTIF('Roll Schedule'!$A$47:$A$790,A24)&gt;0</f>
        <v>1</v>
      </c>
      <c r="J24" s="8" t="s">
        <v>151</v>
      </c>
      <c r="K24" s="8" t="s">
        <v>209</v>
      </c>
    </row>
    <row r="25" customFormat="false" ht="15" hidden="false" customHeight="false" outlineLevel="0" collapsed="false">
      <c r="A25" s="7" t="n">
        <v>45226</v>
      </c>
      <c r="B25" s="8" t="s">
        <v>210</v>
      </c>
      <c r="C25" s="8" t="s">
        <v>211</v>
      </c>
      <c r="D25" s="8" t="s">
        <v>212</v>
      </c>
      <c r="E25" s="8" t="n">
        <v>8050</v>
      </c>
      <c r="F25" s="8" t="s">
        <v>131</v>
      </c>
      <c r="G25" s="8" t="s">
        <v>132</v>
      </c>
      <c r="H25" s="3" t="str">
        <f aca="false">IF(G25="OK","YES","no")</f>
        <v>YES</v>
      </c>
      <c r="I25" s="9" t="b">
        <f aca="false">COUNTIF('Roll Schedule'!$A$47:$A$790,A25)&gt;0</f>
        <v>1</v>
      </c>
      <c r="J25" s="8" t="s">
        <v>151</v>
      </c>
      <c r="K25" s="8" t="s">
        <v>213</v>
      </c>
    </row>
    <row r="26" customFormat="false" ht="15" hidden="false" customHeight="false" outlineLevel="0" collapsed="false">
      <c r="A26" s="7" t="n">
        <v>45229</v>
      </c>
      <c r="B26" s="8" t="s">
        <v>214</v>
      </c>
      <c r="C26" s="8" t="s">
        <v>215</v>
      </c>
      <c r="D26" s="8" t="s">
        <v>216</v>
      </c>
      <c r="E26" s="8" t="n">
        <v>7950</v>
      </c>
      <c r="F26" s="8" t="s">
        <v>131</v>
      </c>
      <c r="G26" s="8" t="s">
        <v>132</v>
      </c>
      <c r="H26" s="3" t="str">
        <f aca="false">IF(G26="OK","YES","no")</f>
        <v>YES</v>
      </c>
      <c r="I26" s="9" t="b">
        <f aca="false">COUNTIF('Roll Schedule'!$A$47:$A$790,A26)&gt;0</f>
        <v>1</v>
      </c>
      <c r="J26" s="8" t="s">
        <v>151</v>
      </c>
      <c r="K26" s="8" t="s">
        <v>217</v>
      </c>
    </row>
    <row r="27" customFormat="false" ht="15" hidden="false" customHeight="false" outlineLevel="0" collapsed="false">
      <c r="A27" s="7" t="n">
        <v>45230</v>
      </c>
      <c r="B27" s="8" t="s">
        <v>218</v>
      </c>
      <c r="C27" s="8" t="s">
        <v>219</v>
      </c>
      <c r="D27" s="8" t="s">
        <v>220</v>
      </c>
      <c r="E27" s="8" t="n">
        <v>7850</v>
      </c>
      <c r="F27" s="8" t="s">
        <v>131</v>
      </c>
      <c r="G27" s="8" t="s">
        <v>132</v>
      </c>
      <c r="H27" s="3" t="str">
        <f aca="false">IF(G27="OK","YES","no")</f>
        <v>YES</v>
      </c>
      <c r="I27" s="9" t="b">
        <f aca="false">COUNTIF('Roll Schedule'!$A$47:$A$790,A27)&gt;0</f>
        <v>1</v>
      </c>
      <c r="J27" s="8" t="s">
        <v>151</v>
      </c>
      <c r="K27" s="8" t="s">
        <v>221</v>
      </c>
    </row>
    <row r="28" customFormat="false" ht="15" hidden="false" customHeight="false" outlineLevel="0" collapsed="false">
      <c r="A28" s="7" t="n">
        <v>45231</v>
      </c>
      <c r="B28" s="8" t="s">
        <v>222</v>
      </c>
      <c r="C28" s="8" t="s">
        <v>223</v>
      </c>
      <c r="D28" s="8" t="s">
        <v>224</v>
      </c>
      <c r="E28" s="8" t="n">
        <v>7750</v>
      </c>
      <c r="F28" s="8" t="s">
        <v>131</v>
      </c>
      <c r="G28" s="8" t="s">
        <v>132</v>
      </c>
      <c r="H28" s="3" t="str">
        <f aca="false">IF(G28="OK","YES","no")</f>
        <v>YES</v>
      </c>
      <c r="I28" s="9" t="b">
        <f aca="false">COUNTIF('Roll Schedule'!$A$47:$A$790,A28)&gt;0</f>
        <v>1</v>
      </c>
      <c r="J28" s="8" t="s">
        <v>151</v>
      </c>
      <c r="K28" s="8" t="s">
        <v>225</v>
      </c>
    </row>
    <row r="29" customFormat="false" ht="15" hidden="false" customHeight="false" outlineLevel="0" collapsed="false">
      <c r="A29" s="7" t="n">
        <v>45232</v>
      </c>
      <c r="B29" s="8" t="s">
        <v>226</v>
      </c>
      <c r="C29" s="8" t="s">
        <v>227</v>
      </c>
      <c r="D29" s="8" t="s">
        <v>228</v>
      </c>
      <c r="E29" s="8" t="n">
        <v>7800</v>
      </c>
      <c r="F29" s="8" t="s">
        <v>131</v>
      </c>
      <c r="G29" s="8" t="s">
        <v>132</v>
      </c>
      <c r="H29" s="3" t="str">
        <f aca="false">IF(G29="OK","YES","no")</f>
        <v>YES</v>
      </c>
      <c r="I29" s="9" t="b">
        <f aca="false">COUNTIF('Roll Schedule'!$A$47:$A$790,A29)&gt;0</f>
        <v>1</v>
      </c>
      <c r="J29" s="8" t="s">
        <v>151</v>
      </c>
      <c r="K29" s="8" t="s">
        <v>229</v>
      </c>
    </row>
    <row r="30" customFormat="false" ht="15" hidden="false" customHeight="false" outlineLevel="0" collapsed="false">
      <c r="A30" s="7" t="n">
        <v>45233</v>
      </c>
      <c r="B30" s="8"/>
      <c r="C30" s="8" t="s">
        <v>230</v>
      </c>
      <c r="D30" s="8" t="s">
        <v>231</v>
      </c>
      <c r="E30" s="8" t="n">
        <v>7950</v>
      </c>
      <c r="F30" s="8" t="s">
        <v>232</v>
      </c>
      <c r="G30" s="8" t="s">
        <v>143</v>
      </c>
      <c r="H30" s="3" t="str">
        <f aca="false">IF(G30="OK","YES","no")</f>
        <v>no</v>
      </c>
      <c r="I30" s="9" t="b">
        <f aca="false">COUNTIF('Roll Schedule'!$A$47:$A$790,A30)&gt;0</f>
        <v>1</v>
      </c>
      <c r="J30" s="8" t="s">
        <v>151</v>
      </c>
      <c r="K30" s="8" t="s">
        <v>233</v>
      </c>
    </row>
    <row r="31" customFormat="false" ht="15" hidden="false" customHeight="false" outlineLevel="0" collapsed="false">
      <c r="A31" s="7" t="n">
        <v>45237</v>
      </c>
      <c r="B31" s="8" t="s">
        <v>234</v>
      </c>
      <c r="C31" s="8" t="s">
        <v>235</v>
      </c>
      <c r="D31" s="8" t="s">
        <v>216</v>
      </c>
      <c r="E31" s="8" t="n">
        <v>7950</v>
      </c>
      <c r="F31" s="8" t="s">
        <v>131</v>
      </c>
      <c r="G31" s="8" t="s">
        <v>132</v>
      </c>
      <c r="H31" s="3" t="str">
        <f aca="false">IF(G31="OK","YES","no")</f>
        <v>YES</v>
      </c>
      <c r="I31" s="9" t="b">
        <f aca="false">COUNTIF('Roll Schedule'!$A$47:$A$790,A31)&gt;0</f>
        <v>1</v>
      </c>
      <c r="J31" s="8" t="s">
        <v>151</v>
      </c>
      <c r="K31" s="8" t="s">
        <v>236</v>
      </c>
    </row>
    <row r="32" customFormat="false" ht="15" hidden="false" customHeight="false" outlineLevel="0" collapsed="false">
      <c r="A32" s="7" t="n">
        <v>45239</v>
      </c>
      <c r="B32" s="8" t="s">
        <v>237</v>
      </c>
      <c r="C32" s="8" t="s">
        <v>238</v>
      </c>
      <c r="D32" s="8" t="s">
        <v>216</v>
      </c>
      <c r="E32" s="8" t="n">
        <v>7950</v>
      </c>
      <c r="F32" s="8" t="s">
        <v>131</v>
      </c>
      <c r="G32" s="8" t="s">
        <v>132</v>
      </c>
      <c r="H32" s="3" t="str">
        <f aca="false">IF(G32="OK","YES","no")</f>
        <v>YES</v>
      </c>
      <c r="I32" s="9" t="b">
        <f aca="false">COUNTIF('Roll Schedule'!$A$47:$A$790,A32)&gt;0</f>
        <v>1</v>
      </c>
      <c r="J32" s="8" t="s">
        <v>151</v>
      </c>
      <c r="K32" s="8" t="s">
        <v>239</v>
      </c>
    </row>
    <row r="33" customFormat="false" ht="15" hidden="false" customHeight="false" outlineLevel="0" collapsed="false">
      <c r="A33" s="7" t="n">
        <v>45240</v>
      </c>
      <c r="B33" s="8"/>
      <c r="C33" s="8" t="s">
        <v>240</v>
      </c>
      <c r="D33" s="8" t="s">
        <v>216</v>
      </c>
      <c r="E33" s="8" t="n">
        <v>7950</v>
      </c>
      <c r="F33" s="8" t="s">
        <v>232</v>
      </c>
      <c r="G33" s="8" t="s">
        <v>143</v>
      </c>
      <c r="H33" s="3" t="str">
        <f aca="false">IF(G33="OK","YES","no")</f>
        <v>no</v>
      </c>
      <c r="I33" s="9" t="b">
        <f aca="false">COUNTIF('Roll Schedule'!$A$47:$A$790,A33)&gt;0</f>
        <v>1</v>
      </c>
      <c r="J33" s="8" t="s">
        <v>151</v>
      </c>
      <c r="K33" s="8" t="s">
        <v>241</v>
      </c>
    </row>
    <row r="34" customFormat="false" ht="15" hidden="false" customHeight="false" outlineLevel="0" collapsed="false">
      <c r="A34" s="7" t="n">
        <v>45246</v>
      </c>
      <c r="B34" s="8" t="s">
        <v>242</v>
      </c>
      <c r="C34" s="8" t="s">
        <v>243</v>
      </c>
      <c r="D34" s="8" t="s">
        <v>244</v>
      </c>
      <c r="E34" s="8"/>
      <c r="F34" s="8" t="s">
        <v>131</v>
      </c>
      <c r="G34" s="8" t="s">
        <v>245</v>
      </c>
      <c r="H34" s="3" t="str">
        <f aca="false">IF(G34="OK","YES","no")</f>
        <v>no</v>
      </c>
      <c r="I34" s="9" t="b">
        <f aca="false">COUNTIF('Roll Schedule'!$A$47:$A$790,A34)&gt;0</f>
        <v>1</v>
      </c>
      <c r="J34" s="8" t="s">
        <v>151</v>
      </c>
      <c r="K34" s="8" t="s">
        <v>246</v>
      </c>
    </row>
    <row r="35" customFormat="false" ht="15" hidden="false" customHeight="false" outlineLevel="0" collapsed="false">
      <c r="A35" s="7" t="n">
        <v>45247</v>
      </c>
      <c r="B35" s="8" t="s">
        <v>247</v>
      </c>
      <c r="C35" s="8" t="s">
        <v>248</v>
      </c>
      <c r="D35" s="8" t="s">
        <v>244</v>
      </c>
      <c r="E35" s="8"/>
      <c r="F35" s="8" t="s">
        <v>131</v>
      </c>
      <c r="G35" s="8" t="s">
        <v>245</v>
      </c>
      <c r="H35" s="3" t="str">
        <f aca="false">IF(G35="OK","YES","no")</f>
        <v>no</v>
      </c>
      <c r="I35" s="9" t="b">
        <f aca="false">COUNTIF('Roll Schedule'!$A$47:$A$790,A35)&gt;0</f>
        <v>1</v>
      </c>
      <c r="J35" s="8" t="s">
        <v>151</v>
      </c>
      <c r="K35" s="8" t="s">
        <v>249</v>
      </c>
    </row>
    <row r="36" customFormat="false" ht="15" hidden="false" customHeight="false" outlineLevel="0" collapsed="false">
      <c r="A36" s="7" t="n">
        <v>45247</v>
      </c>
      <c r="B36" s="8" t="s">
        <v>247</v>
      </c>
      <c r="C36" s="8" t="s">
        <v>250</v>
      </c>
      <c r="D36" s="8" t="s">
        <v>244</v>
      </c>
      <c r="E36" s="8"/>
      <c r="F36" s="8" t="s">
        <v>131</v>
      </c>
      <c r="G36" s="8" t="s">
        <v>251</v>
      </c>
      <c r="H36" s="3" t="str">
        <f aca="false">IF(G36="OK","YES","no")</f>
        <v>no</v>
      </c>
      <c r="I36" s="9" t="b">
        <f aca="false">COUNTIF('Roll Schedule'!$A$47:$A$790,A36)&gt;0</f>
        <v>1</v>
      </c>
      <c r="J36" s="8" t="s">
        <v>151</v>
      </c>
      <c r="K36" s="8" t="s">
        <v>252</v>
      </c>
    </row>
    <row r="37" customFormat="false" ht="15" hidden="false" customHeight="false" outlineLevel="0" collapsed="false">
      <c r="A37" s="7" t="n">
        <v>45250</v>
      </c>
      <c r="B37" s="8" t="s">
        <v>253</v>
      </c>
      <c r="C37" s="8" t="s">
        <v>254</v>
      </c>
      <c r="D37" s="8" t="s">
        <v>216</v>
      </c>
      <c r="E37" s="8" t="n">
        <v>7950</v>
      </c>
      <c r="F37" s="8" t="s">
        <v>131</v>
      </c>
      <c r="G37" s="8" t="s">
        <v>132</v>
      </c>
      <c r="H37" s="3" t="str">
        <f aca="false">IF(G37="OK","YES","no")</f>
        <v>YES</v>
      </c>
      <c r="I37" s="9" t="b">
        <f aca="false">COUNTIF('Roll Schedule'!$A$47:$A$790,A37)&gt;0</f>
        <v>1</v>
      </c>
      <c r="J37" s="8" t="s">
        <v>151</v>
      </c>
      <c r="K37" s="8" t="s">
        <v>255</v>
      </c>
    </row>
    <row r="38" customFormat="false" ht="15" hidden="false" customHeight="false" outlineLevel="0" collapsed="false">
      <c r="A38" s="7" t="n">
        <v>45251</v>
      </c>
      <c r="B38" s="8" t="s">
        <v>256</v>
      </c>
      <c r="C38" s="8" t="s">
        <v>257</v>
      </c>
      <c r="D38" s="8" t="s">
        <v>204</v>
      </c>
      <c r="E38" s="8" t="n">
        <v>8400</v>
      </c>
      <c r="F38" s="8" t="s">
        <v>131</v>
      </c>
      <c r="G38" s="8" t="s">
        <v>132</v>
      </c>
      <c r="H38" s="3" t="str">
        <f aca="false">IF(G38="OK","YES","no")</f>
        <v>YES</v>
      </c>
      <c r="I38" s="9" t="b">
        <f aca="false">COUNTIF('Roll Schedule'!$A$47:$A$790,A38)&gt;0</f>
        <v>1</v>
      </c>
      <c r="J38" s="8" t="s">
        <v>151</v>
      </c>
      <c r="K38" s="8" t="s">
        <v>258</v>
      </c>
    </row>
    <row r="39" customFormat="false" ht="15" hidden="false" customHeight="false" outlineLevel="0" collapsed="false">
      <c r="A39" s="7" t="n">
        <v>45252</v>
      </c>
      <c r="B39" s="8" t="s">
        <v>259</v>
      </c>
      <c r="C39" s="8" t="s">
        <v>260</v>
      </c>
      <c r="D39" s="8" t="s">
        <v>178</v>
      </c>
      <c r="E39" s="8" t="n">
        <v>8700</v>
      </c>
      <c r="F39" s="8" t="s">
        <v>131</v>
      </c>
      <c r="G39" s="8" t="s">
        <v>132</v>
      </c>
      <c r="H39" s="3" t="str">
        <f aca="false">IF(G39="OK","YES","no")</f>
        <v>YES</v>
      </c>
      <c r="I39" s="9" t="b">
        <f aca="false">COUNTIF('Roll Schedule'!$A$47:$A$790,A39)&gt;0</f>
        <v>1</v>
      </c>
      <c r="J39" s="8" t="s">
        <v>151</v>
      </c>
      <c r="K39" s="8" t="s">
        <v>261</v>
      </c>
    </row>
    <row r="40" customFormat="false" ht="15" hidden="false" customHeight="false" outlineLevel="0" collapsed="false">
      <c r="A40" s="7" t="n">
        <v>45253</v>
      </c>
      <c r="B40" s="8" t="s">
        <v>262</v>
      </c>
      <c r="C40" s="8" t="s">
        <v>263</v>
      </c>
      <c r="D40" s="8" t="s">
        <v>163</v>
      </c>
      <c r="E40" s="8" t="n">
        <v>8950</v>
      </c>
      <c r="F40" s="8" t="s">
        <v>131</v>
      </c>
      <c r="G40" s="8" t="s">
        <v>132</v>
      </c>
      <c r="H40" s="3" t="str">
        <f aca="false">IF(G40="OK","YES","no")</f>
        <v>YES</v>
      </c>
      <c r="I40" s="9" t="b">
        <f aca="false">COUNTIF('Roll Schedule'!$A$47:$A$790,A40)&gt;0</f>
        <v>1</v>
      </c>
      <c r="J40" s="8" t="s">
        <v>151</v>
      </c>
      <c r="K40" s="8" t="s">
        <v>264</v>
      </c>
    </row>
    <row r="41" customFormat="false" ht="15" hidden="false" customHeight="false" outlineLevel="0" collapsed="false">
      <c r="A41" s="7" t="n">
        <v>45254</v>
      </c>
      <c r="B41" s="8" t="s">
        <v>265</v>
      </c>
      <c r="C41" s="8" t="s">
        <v>266</v>
      </c>
      <c r="D41" s="8" t="s">
        <v>267</v>
      </c>
      <c r="E41" s="8" t="n">
        <v>8900</v>
      </c>
      <c r="F41" s="8" t="s">
        <v>131</v>
      </c>
      <c r="G41" s="8" t="s">
        <v>132</v>
      </c>
      <c r="H41" s="3" t="str">
        <f aca="false">IF(G41="OK","YES","no")</f>
        <v>YES</v>
      </c>
      <c r="I41" s="9" t="b">
        <f aca="false">COUNTIF('Roll Schedule'!$A$47:$A$790,A41)&gt;0</f>
        <v>1</v>
      </c>
      <c r="J41" s="8" t="s">
        <v>151</v>
      </c>
      <c r="K41" s="8" t="s">
        <v>268</v>
      </c>
    </row>
    <row r="42" customFormat="false" ht="15" hidden="false" customHeight="false" outlineLevel="0" collapsed="false">
      <c r="A42" s="7" t="n">
        <v>45258</v>
      </c>
      <c r="B42" s="8" t="s">
        <v>269</v>
      </c>
      <c r="C42" s="8" t="s">
        <v>270</v>
      </c>
      <c r="D42" s="8" t="s">
        <v>271</v>
      </c>
      <c r="E42" s="8" t="n">
        <v>9050</v>
      </c>
      <c r="F42" s="8" t="s">
        <v>131</v>
      </c>
      <c r="G42" s="8" t="s">
        <v>132</v>
      </c>
      <c r="H42" s="3" t="str">
        <f aca="false">IF(G42="OK","YES","no")</f>
        <v>YES</v>
      </c>
      <c r="I42" s="9" t="b">
        <f aca="false">COUNTIF('Roll Schedule'!$A$47:$A$790,A42)&gt;0</f>
        <v>1</v>
      </c>
      <c r="J42" s="8" t="s">
        <v>151</v>
      </c>
      <c r="K42" s="8" t="s">
        <v>272</v>
      </c>
    </row>
    <row r="43" customFormat="false" ht="15" hidden="false" customHeight="false" outlineLevel="0" collapsed="false">
      <c r="A43" s="7" t="n">
        <v>45259</v>
      </c>
      <c r="B43" s="8" t="s">
        <v>273</v>
      </c>
      <c r="C43" s="8" t="s">
        <v>274</v>
      </c>
      <c r="D43" s="8" t="s">
        <v>159</v>
      </c>
      <c r="E43" s="8" t="n">
        <v>9000</v>
      </c>
      <c r="F43" s="8" t="s">
        <v>131</v>
      </c>
      <c r="G43" s="8" t="s">
        <v>132</v>
      </c>
      <c r="H43" s="3" t="str">
        <f aca="false">IF(G43="OK","YES","no")</f>
        <v>YES</v>
      </c>
      <c r="I43" s="9" t="b">
        <f aca="false">COUNTIF('Roll Schedule'!$A$47:$A$790,A43)&gt;0</f>
        <v>1</v>
      </c>
      <c r="J43" s="8" t="s">
        <v>151</v>
      </c>
      <c r="K43" s="8" t="s">
        <v>275</v>
      </c>
    </row>
    <row r="44" customFormat="false" ht="15" hidden="false" customHeight="false" outlineLevel="0" collapsed="false">
      <c r="A44" s="7" t="n">
        <v>45260</v>
      </c>
      <c r="B44" s="8" t="s">
        <v>276</v>
      </c>
      <c r="C44" s="8" t="s">
        <v>277</v>
      </c>
      <c r="D44" s="8" t="s">
        <v>267</v>
      </c>
      <c r="E44" s="8" t="n">
        <v>8900</v>
      </c>
      <c r="F44" s="8" t="s">
        <v>131</v>
      </c>
      <c r="G44" s="8" t="s">
        <v>132</v>
      </c>
      <c r="H44" s="3" t="str">
        <f aca="false">IF(G44="OK","YES","no")</f>
        <v>YES</v>
      </c>
      <c r="I44" s="9" t="b">
        <f aca="false">COUNTIF('Roll Schedule'!$A$47:$A$790,A44)&gt;0</f>
        <v>1</v>
      </c>
      <c r="J44" s="8" t="s">
        <v>151</v>
      </c>
      <c r="K44" s="8" t="s">
        <v>278</v>
      </c>
    </row>
    <row r="45" customFormat="false" ht="15" hidden="false" customHeight="false" outlineLevel="0" collapsed="false">
      <c r="A45" s="7" t="n">
        <v>45261</v>
      </c>
      <c r="B45" s="8" t="s">
        <v>279</v>
      </c>
      <c r="C45" s="8" t="s">
        <v>280</v>
      </c>
      <c r="D45" s="8" t="s">
        <v>281</v>
      </c>
      <c r="E45" s="8" t="n">
        <v>8850</v>
      </c>
      <c r="F45" s="8" t="s">
        <v>131</v>
      </c>
      <c r="G45" s="8" t="s">
        <v>132</v>
      </c>
      <c r="H45" s="3" t="str">
        <f aca="false">IF(G45="OK","YES","no")</f>
        <v>YES</v>
      </c>
      <c r="I45" s="9" t="b">
        <f aca="false">COUNTIF('Roll Schedule'!$A$47:$A$790,A45)&gt;0</f>
        <v>1</v>
      </c>
      <c r="J45" s="8" t="s">
        <v>151</v>
      </c>
      <c r="K45" s="8" t="s">
        <v>282</v>
      </c>
    </row>
    <row r="46" customFormat="false" ht="15" hidden="false" customHeight="false" outlineLevel="0" collapsed="false">
      <c r="A46" s="7" t="n">
        <v>45264</v>
      </c>
      <c r="B46" s="8" t="s">
        <v>283</v>
      </c>
      <c r="C46" s="8" t="s">
        <v>284</v>
      </c>
      <c r="D46" s="8" t="s">
        <v>285</v>
      </c>
      <c r="E46" s="8" t="n">
        <v>8750</v>
      </c>
      <c r="F46" s="8" t="s">
        <v>131</v>
      </c>
      <c r="G46" s="8" t="s">
        <v>132</v>
      </c>
      <c r="H46" s="3" t="str">
        <f aca="false">IF(G46="OK","YES","no")</f>
        <v>YES</v>
      </c>
      <c r="I46" s="9" t="b">
        <f aca="false">COUNTIF('Roll Schedule'!$A$47:$A$790,A46)&gt;0</f>
        <v>1</v>
      </c>
      <c r="J46" s="8" t="s">
        <v>151</v>
      </c>
      <c r="K46" s="8" t="s">
        <v>286</v>
      </c>
    </row>
    <row r="47" customFormat="false" ht="15" hidden="false" customHeight="false" outlineLevel="0" collapsed="false">
      <c r="A47" s="7" t="n">
        <v>45266</v>
      </c>
      <c r="B47" s="8" t="s">
        <v>287</v>
      </c>
      <c r="C47" s="8" t="s">
        <v>288</v>
      </c>
      <c r="D47" s="8" t="s">
        <v>281</v>
      </c>
      <c r="E47" s="8" t="n">
        <v>8850</v>
      </c>
      <c r="F47" s="8" t="s">
        <v>131</v>
      </c>
      <c r="G47" s="8" t="s">
        <v>132</v>
      </c>
      <c r="H47" s="3" t="str">
        <f aca="false">IF(G47="OK","YES","no")</f>
        <v>YES</v>
      </c>
      <c r="I47" s="9" t="b">
        <f aca="false">COUNTIF('Roll Schedule'!$A$47:$A$790,A47)&gt;0</f>
        <v>1</v>
      </c>
      <c r="J47" s="8" t="s">
        <v>151</v>
      </c>
      <c r="K47" s="8" t="s">
        <v>289</v>
      </c>
    </row>
    <row r="48" customFormat="false" ht="15" hidden="false" customHeight="false" outlineLevel="0" collapsed="false">
      <c r="A48" s="7" t="n">
        <v>45267</v>
      </c>
      <c r="B48" s="8" t="s">
        <v>290</v>
      </c>
      <c r="C48" s="8" t="s">
        <v>291</v>
      </c>
      <c r="D48" s="8" t="s">
        <v>185</v>
      </c>
      <c r="E48" s="8" t="n">
        <v>8650</v>
      </c>
      <c r="F48" s="8" t="s">
        <v>131</v>
      </c>
      <c r="G48" s="8" t="s">
        <v>132</v>
      </c>
      <c r="H48" s="3" t="str">
        <f aca="false">IF(G48="OK","YES","no")</f>
        <v>YES</v>
      </c>
      <c r="I48" s="9" t="b">
        <f aca="false">COUNTIF('Roll Schedule'!$A$47:$A$790,A48)&gt;0</f>
        <v>1</v>
      </c>
      <c r="J48" s="8" t="s">
        <v>151</v>
      </c>
      <c r="K48" s="8" t="s">
        <v>292</v>
      </c>
    </row>
    <row r="49" customFormat="false" ht="15" hidden="false" customHeight="false" outlineLevel="0" collapsed="false">
      <c r="A49" s="7" t="n">
        <v>45271</v>
      </c>
      <c r="B49" s="8" t="s">
        <v>293</v>
      </c>
      <c r="C49" s="8" t="s">
        <v>294</v>
      </c>
      <c r="D49" s="8" t="s">
        <v>185</v>
      </c>
      <c r="E49" s="8" t="n">
        <v>8650</v>
      </c>
      <c r="F49" s="8" t="s">
        <v>131</v>
      </c>
      <c r="G49" s="8" t="s">
        <v>132</v>
      </c>
      <c r="H49" s="3" t="str">
        <f aca="false">IF(G49="OK","YES","no")</f>
        <v>YES</v>
      </c>
      <c r="I49" s="9" t="b">
        <f aca="false">COUNTIF('Roll Schedule'!$A$47:$A$790,A49)&gt;0</f>
        <v>1</v>
      </c>
      <c r="J49" s="8" t="s">
        <v>151</v>
      </c>
      <c r="K49" s="8" t="s">
        <v>295</v>
      </c>
    </row>
    <row r="50" customFormat="false" ht="15" hidden="false" customHeight="false" outlineLevel="0" collapsed="false">
      <c r="A50" s="7" t="n">
        <v>45272</v>
      </c>
      <c r="B50" s="8" t="s">
        <v>296</v>
      </c>
      <c r="C50" s="8" t="s">
        <v>297</v>
      </c>
      <c r="D50" s="8" t="s">
        <v>185</v>
      </c>
      <c r="E50" s="8" t="n">
        <v>8650</v>
      </c>
      <c r="F50" s="8" t="s">
        <v>131</v>
      </c>
      <c r="G50" s="8" t="s">
        <v>132</v>
      </c>
      <c r="H50" s="3" t="str">
        <f aca="false">IF(G50="OK","YES","no")</f>
        <v>YES</v>
      </c>
      <c r="I50" s="9" t="b">
        <f aca="false">COUNTIF('Roll Schedule'!$A$47:$A$790,A50)&gt;0</f>
        <v>1</v>
      </c>
      <c r="J50" s="8" t="s">
        <v>151</v>
      </c>
      <c r="K50" s="8" t="s">
        <v>298</v>
      </c>
    </row>
    <row r="51" customFormat="false" ht="15" hidden="false" customHeight="false" outlineLevel="0" collapsed="false">
      <c r="A51" s="7" t="n">
        <v>45274</v>
      </c>
      <c r="B51" s="8" t="s">
        <v>299</v>
      </c>
      <c r="C51" s="8" t="s">
        <v>300</v>
      </c>
      <c r="D51" s="8" t="s">
        <v>185</v>
      </c>
      <c r="E51" s="8" t="n">
        <v>8650</v>
      </c>
      <c r="F51" s="8" t="s">
        <v>131</v>
      </c>
      <c r="G51" s="8" t="s">
        <v>132</v>
      </c>
      <c r="H51" s="3" t="str">
        <f aca="false">IF(G51="OK","YES","no")</f>
        <v>YES</v>
      </c>
      <c r="I51" s="9" t="b">
        <f aca="false">COUNTIF('Roll Schedule'!$A$47:$A$790,A51)&gt;0</f>
        <v>1</v>
      </c>
      <c r="J51" s="8" t="s">
        <v>151</v>
      </c>
      <c r="K51" s="8" t="s">
        <v>301</v>
      </c>
    </row>
    <row r="52" customFormat="false" ht="15" hidden="false" customHeight="false" outlineLevel="0" collapsed="false">
      <c r="A52" s="7" t="n">
        <v>45275</v>
      </c>
      <c r="B52" s="8" t="s">
        <v>302</v>
      </c>
      <c r="C52" s="8" t="s">
        <v>303</v>
      </c>
      <c r="D52" s="8" t="s">
        <v>197</v>
      </c>
      <c r="E52" s="8" t="n">
        <v>8450</v>
      </c>
      <c r="F52" s="8" t="s">
        <v>131</v>
      </c>
      <c r="G52" s="8" t="s">
        <v>132</v>
      </c>
      <c r="H52" s="3" t="str">
        <f aca="false">IF(G52="OK","YES","no")</f>
        <v>YES</v>
      </c>
      <c r="I52" s="9" t="b">
        <f aca="false">COUNTIF('Roll Schedule'!$A$47:$A$790,A52)&gt;0</f>
        <v>1</v>
      </c>
      <c r="J52" s="8" t="s">
        <v>151</v>
      </c>
      <c r="K52" s="8" t="s">
        <v>304</v>
      </c>
    </row>
    <row r="53" customFormat="false" ht="15" hidden="false" customHeight="false" outlineLevel="0" collapsed="false">
      <c r="A53" s="7" t="n">
        <v>45286</v>
      </c>
      <c r="B53" s="8" t="s">
        <v>305</v>
      </c>
      <c r="C53" s="8" t="s">
        <v>306</v>
      </c>
      <c r="D53" s="8" t="s">
        <v>216</v>
      </c>
      <c r="E53" s="8" t="n">
        <v>7950</v>
      </c>
      <c r="F53" s="8" t="s">
        <v>131</v>
      </c>
      <c r="G53" s="8" t="s">
        <v>132</v>
      </c>
      <c r="H53" s="3" t="str">
        <f aca="false">IF(G53="OK","YES","no")</f>
        <v>YES</v>
      </c>
      <c r="I53" s="9" t="b">
        <f aca="false">COUNTIF('Roll Schedule'!$A$47:$A$790,A53)&gt;0</f>
        <v>1</v>
      </c>
      <c r="J53" s="8" t="s">
        <v>151</v>
      </c>
      <c r="K53" s="8" t="s">
        <v>307</v>
      </c>
    </row>
    <row r="54" customFormat="false" ht="15" hidden="false" customHeight="false" outlineLevel="0" collapsed="false">
      <c r="A54" s="7" t="n">
        <v>45287</v>
      </c>
      <c r="B54" s="8" t="s">
        <v>308</v>
      </c>
      <c r="C54" s="8" t="s">
        <v>309</v>
      </c>
      <c r="D54" s="8" t="s">
        <v>310</v>
      </c>
      <c r="E54" s="8" t="n">
        <v>7900</v>
      </c>
      <c r="F54" s="8" t="s">
        <v>131</v>
      </c>
      <c r="G54" s="8" t="s">
        <v>132</v>
      </c>
      <c r="H54" s="3" t="str">
        <f aca="false">IF(G54="OK","YES","no")</f>
        <v>YES</v>
      </c>
      <c r="I54" s="9" t="b">
        <f aca="false">COUNTIF('Roll Schedule'!$A$47:$A$790,A54)&gt;0</f>
        <v>1</v>
      </c>
      <c r="J54" s="8" t="s">
        <v>151</v>
      </c>
      <c r="K54" s="8" t="s">
        <v>311</v>
      </c>
    </row>
    <row r="55" customFormat="false" ht="15" hidden="false" customHeight="false" outlineLevel="0" collapsed="false">
      <c r="A55" s="7" t="n">
        <v>45287</v>
      </c>
      <c r="B55" s="8" t="s">
        <v>312</v>
      </c>
      <c r="C55" s="8" t="s">
        <v>313</v>
      </c>
      <c r="D55" s="8" t="s">
        <v>310</v>
      </c>
      <c r="E55" s="8" t="n">
        <v>7900</v>
      </c>
      <c r="F55" s="8" t="s">
        <v>131</v>
      </c>
      <c r="G55" s="8" t="s">
        <v>251</v>
      </c>
      <c r="H55" s="3" t="str">
        <f aca="false">IF(G55="OK","YES","no")</f>
        <v>no</v>
      </c>
      <c r="I55" s="9" t="b">
        <f aca="false">COUNTIF('Roll Schedule'!$A$47:$A$790,A55)&gt;0</f>
        <v>1</v>
      </c>
      <c r="J55" s="8" t="s">
        <v>151</v>
      </c>
      <c r="K55" s="8" t="s">
        <v>314</v>
      </c>
    </row>
    <row r="56" customFormat="false" ht="15" hidden="false" customHeight="false" outlineLevel="0" collapsed="false">
      <c r="A56" s="7" t="n">
        <v>45295</v>
      </c>
      <c r="B56" s="8" t="s">
        <v>315</v>
      </c>
      <c r="C56" s="8" t="s">
        <v>316</v>
      </c>
      <c r="D56" s="8" t="s">
        <v>317</v>
      </c>
      <c r="E56" s="8" t="n">
        <v>7650</v>
      </c>
      <c r="F56" s="8" t="s">
        <v>131</v>
      </c>
      <c r="G56" s="8" t="s">
        <v>132</v>
      </c>
      <c r="H56" s="3" t="str">
        <f aca="false">IF(G56="OK","YES","no")</f>
        <v>YES</v>
      </c>
      <c r="I56" s="9" t="b">
        <f aca="false">COUNTIF('Roll Schedule'!$A$47:$A$790,A56)&gt;0</f>
        <v>1</v>
      </c>
      <c r="J56" s="8" t="s">
        <v>151</v>
      </c>
      <c r="K56" s="8" t="s">
        <v>318</v>
      </c>
    </row>
    <row r="57" customFormat="false" ht="15" hidden="false" customHeight="false" outlineLevel="0" collapsed="false">
      <c r="A57" s="7" t="n">
        <v>45296</v>
      </c>
      <c r="B57" s="8" t="s">
        <v>319</v>
      </c>
      <c r="C57" s="8" t="s">
        <v>320</v>
      </c>
      <c r="D57" s="8" t="s">
        <v>321</v>
      </c>
      <c r="E57" s="8" t="n">
        <v>7600</v>
      </c>
      <c r="F57" s="8" t="s">
        <v>131</v>
      </c>
      <c r="G57" s="8" t="s">
        <v>132</v>
      </c>
      <c r="H57" s="3" t="str">
        <f aca="false">IF(G57="OK","YES","no")</f>
        <v>YES</v>
      </c>
      <c r="I57" s="9" t="b">
        <f aca="false">COUNTIF('Roll Schedule'!$A$47:$A$790,A57)&gt;0</f>
        <v>1</v>
      </c>
      <c r="J57" s="8" t="s">
        <v>151</v>
      </c>
      <c r="K57" s="8" t="s">
        <v>322</v>
      </c>
    </row>
    <row r="58" customFormat="false" ht="15" hidden="false" customHeight="false" outlineLevel="0" collapsed="false">
      <c r="A58" s="7" t="n">
        <v>45299</v>
      </c>
      <c r="B58" s="8" t="s">
        <v>323</v>
      </c>
      <c r="C58" s="8" t="s">
        <v>324</v>
      </c>
      <c r="D58" s="8" t="s">
        <v>325</v>
      </c>
      <c r="E58" s="8" t="n">
        <v>7150</v>
      </c>
      <c r="F58" s="8" t="s">
        <v>326</v>
      </c>
      <c r="G58" s="8" t="s">
        <v>132</v>
      </c>
      <c r="H58" s="3" t="str">
        <f aca="false">IF(G58="OK","YES","no")</f>
        <v>YES</v>
      </c>
      <c r="I58" s="9" t="b">
        <f aca="false">COUNTIF('Roll Schedule'!$A$47:$A$790,A58)&gt;0</f>
        <v>1</v>
      </c>
      <c r="J58" s="8" t="s">
        <v>151</v>
      </c>
      <c r="K58" s="8" t="s">
        <v>327</v>
      </c>
    </row>
    <row r="59" customFormat="false" ht="15" hidden="false" customHeight="false" outlineLevel="0" collapsed="false">
      <c r="A59" s="7" t="n">
        <v>45300</v>
      </c>
      <c r="B59" s="8" t="s">
        <v>328</v>
      </c>
      <c r="C59" s="8" t="s">
        <v>329</v>
      </c>
      <c r="D59" s="8" t="s">
        <v>330</v>
      </c>
      <c r="E59" s="8" t="n">
        <v>7400</v>
      </c>
      <c r="F59" s="8" t="s">
        <v>131</v>
      </c>
      <c r="G59" s="8" t="s">
        <v>132</v>
      </c>
      <c r="H59" s="3" t="str">
        <f aca="false">IF(G59="OK","YES","no")</f>
        <v>YES</v>
      </c>
      <c r="I59" s="9" t="b">
        <f aca="false">COUNTIF('Roll Schedule'!$A$47:$A$790,A59)&gt;0</f>
        <v>1</v>
      </c>
      <c r="J59" s="8" t="s">
        <v>151</v>
      </c>
      <c r="K59" s="8" t="s">
        <v>331</v>
      </c>
    </row>
    <row r="60" customFormat="false" ht="15" hidden="false" customHeight="false" outlineLevel="0" collapsed="false">
      <c r="A60" s="7" t="n">
        <v>45301</v>
      </c>
      <c r="B60" s="8" t="s">
        <v>332</v>
      </c>
      <c r="C60" s="8" t="s">
        <v>333</v>
      </c>
      <c r="D60" s="8" t="s">
        <v>334</v>
      </c>
      <c r="E60" s="8" t="n">
        <v>7200</v>
      </c>
      <c r="F60" s="8" t="s">
        <v>131</v>
      </c>
      <c r="G60" s="8" t="s">
        <v>132</v>
      </c>
      <c r="H60" s="3" t="str">
        <f aca="false">IF(G60="OK","YES","no")</f>
        <v>YES</v>
      </c>
      <c r="I60" s="9" t="b">
        <f aca="false">COUNTIF('Roll Schedule'!$A$47:$A$790,A60)&gt;0</f>
        <v>1</v>
      </c>
      <c r="J60" s="8" t="s">
        <v>151</v>
      </c>
      <c r="K60" s="8" t="s">
        <v>335</v>
      </c>
    </row>
    <row r="61" customFormat="false" ht="15" hidden="false" customHeight="false" outlineLevel="0" collapsed="false">
      <c r="A61" s="7" t="n">
        <v>45302</v>
      </c>
      <c r="B61" s="8" t="s">
        <v>336</v>
      </c>
      <c r="C61" s="8" t="s">
        <v>337</v>
      </c>
      <c r="D61" s="8" t="s">
        <v>338</v>
      </c>
      <c r="E61" s="8" t="n">
        <v>7100</v>
      </c>
      <c r="F61" s="8" t="s">
        <v>131</v>
      </c>
      <c r="G61" s="8" t="s">
        <v>132</v>
      </c>
      <c r="H61" s="3" t="str">
        <f aca="false">IF(G61="OK","YES","no")</f>
        <v>YES</v>
      </c>
      <c r="I61" s="9" t="b">
        <f aca="false">COUNTIF('Roll Schedule'!$A$47:$A$790,A61)&gt;0</f>
        <v>1</v>
      </c>
      <c r="J61" s="8" t="s">
        <v>151</v>
      </c>
      <c r="K61" s="8" t="s">
        <v>339</v>
      </c>
    </row>
    <row r="62" customFormat="false" ht="15" hidden="false" customHeight="false" outlineLevel="0" collapsed="false">
      <c r="A62" s="7" t="n">
        <v>45303</v>
      </c>
      <c r="B62" s="8" t="s">
        <v>340</v>
      </c>
      <c r="C62" s="8" t="s">
        <v>341</v>
      </c>
      <c r="D62" s="8" t="s">
        <v>342</v>
      </c>
      <c r="E62" s="8" t="n">
        <v>70500</v>
      </c>
      <c r="F62" s="8" t="s">
        <v>131</v>
      </c>
      <c r="G62" s="8" t="s">
        <v>343</v>
      </c>
      <c r="H62" s="3" t="str">
        <f aca="false">IF(G62="OK","YES","no")</f>
        <v>no</v>
      </c>
      <c r="I62" s="9" t="b">
        <f aca="false">COUNTIF('Roll Schedule'!$A$47:$A$790,A62)&gt;0</f>
        <v>1</v>
      </c>
      <c r="J62" s="8" t="s">
        <v>151</v>
      </c>
      <c r="K62" s="8" t="s">
        <v>344</v>
      </c>
    </row>
    <row r="63" customFormat="false" ht="15" hidden="false" customHeight="false" outlineLevel="0" collapsed="false">
      <c r="A63" s="7" t="n">
        <v>45306</v>
      </c>
      <c r="B63" s="8" t="s">
        <v>345</v>
      </c>
      <c r="C63" s="8" t="s">
        <v>346</v>
      </c>
      <c r="D63" s="8" t="s">
        <v>347</v>
      </c>
      <c r="E63" s="8" t="n">
        <v>69500</v>
      </c>
      <c r="F63" s="8" t="s">
        <v>131</v>
      </c>
      <c r="G63" s="8" t="s">
        <v>343</v>
      </c>
      <c r="H63" s="3" t="str">
        <f aca="false">IF(G63="OK","YES","no")</f>
        <v>no</v>
      </c>
      <c r="I63" s="9" t="b">
        <f aca="false">COUNTIF('Roll Schedule'!$A$47:$A$790,A63)&gt;0</f>
        <v>1</v>
      </c>
      <c r="J63" s="8" t="s">
        <v>151</v>
      </c>
      <c r="K63" s="8" t="s">
        <v>348</v>
      </c>
    </row>
    <row r="64" customFormat="false" ht="15" hidden="false" customHeight="false" outlineLevel="0" collapsed="false">
      <c r="A64" s="7" t="n">
        <v>45307</v>
      </c>
      <c r="B64" s="8" t="s">
        <v>349</v>
      </c>
      <c r="C64" s="8" t="s">
        <v>350</v>
      </c>
      <c r="D64" s="8" t="s">
        <v>351</v>
      </c>
      <c r="E64" s="8" t="n">
        <v>6950</v>
      </c>
      <c r="F64" s="8" t="s">
        <v>326</v>
      </c>
      <c r="G64" s="8" t="s">
        <v>132</v>
      </c>
      <c r="H64" s="3" t="str">
        <f aca="false">IF(G64="OK","YES","no")</f>
        <v>YES</v>
      </c>
      <c r="I64" s="9" t="b">
        <f aca="false">COUNTIF('Roll Schedule'!$A$47:$A$790,A64)&gt;0</f>
        <v>1</v>
      </c>
      <c r="J64" s="8" t="s">
        <v>151</v>
      </c>
      <c r="K64" s="8" t="s">
        <v>352</v>
      </c>
    </row>
    <row r="65" customFormat="false" ht="15" hidden="false" customHeight="false" outlineLevel="0" collapsed="false">
      <c r="A65" s="7" t="n">
        <v>45308</v>
      </c>
      <c r="B65" s="8" t="s">
        <v>353</v>
      </c>
      <c r="C65" s="8" t="s">
        <v>354</v>
      </c>
      <c r="D65" s="8" t="s">
        <v>351</v>
      </c>
      <c r="E65" s="8" t="n">
        <v>6950</v>
      </c>
      <c r="F65" s="8" t="s">
        <v>131</v>
      </c>
      <c r="G65" s="8" t="s">
        <v>132</v>
      </c>
      <c r="H65" s="3" t="str">
        <f aca="false">IF(G65="OK","YES","no")</f>
        <v>YES</v>
      </c>
      <c r="I65" s="9" t="b">
        <f aca="false">COUNTIF('Roll Schedule'!$A$47:$A$790,A65)&gt;0</f>
        <v>1</v>
      </c>
      <c r="J65" s="8" t="s">
        <v>151</v>
      </c>
      <c r="K65" s="8" t="s">
        <v>355</v>
      </c>
    </row>
    <row r="66" customFormat="false" ht="15" hidden="false" customHeight="false" outlineLevel="0" collapsed="false">
      <c r="A66" s="7" t="n">
        <v>45309</v>
      </c>
      <c r="B66" s="8" t="s">
        <v>356</v>
      </c>
      <c r="C66" s="8" t="s">
        <v>357</v>
      </c>
      <c r="D66" s="8" t="s">
        <v>358</v>
      </c>
      <c r="E66" s="8" t="n">
        <v>6850</v>
      </c>
      <c r="F66" s="8" t="s">
        <v>131</v>
      </c>
      <c r="G66" s="8" t="s">
        <v>132</v>
      </c>
      <c r="H66" s="3" t="str">
        <f aca="false">IF(G66="OK","YES","no")</f>
        <v>YES</v>
      </c>
      <c r="I66" s="9" t="b">
        <f aca="false">COUNTIF('Roll Schedule'!$A$47:$A$790,A66)&gt;0</f>
        <v>1</v>
      </c>
      <c r="J66" s="8" t="s">
        <v>151</v>
      </c>
      <c r="K66" s="8" t="s">
        <v>359</v>
      </c>
    </row>
    <row r="67" customFormat="false" ht="15" hidden="false" customHeight="false" outlineLevel="0" collapsed="false">
      <c r="A67" s="7" t="n">
        <v>45315</v>
      </c>
      <c r="B67" s="8" t="s">
        <v>360</v>
      </c>
      <c r="C67" s="8" t="s">
        <v>361</v>
      </c>
      <c r="D67" s="8" t="s">
        <v>358</v>
      </c>
      <c r="E67" s="8" t="n">
        <v>6850</v>
      </c>
      <c r="F67" s="8" t="s">
        <v>131</v>
      </c>
      <c r="G67" s="8" t="s">
        <v>132</v>
      </c>
      <c r="H67" s="3" t="str">
        <f aca="false">IF(G67="OK","YES","no")</f>
        <v>YES</v>
      </c>
      <c r="I67" s="9" t="b">
        <f aca="false">COUNTIF('Roll Schedule'!$A$47:$A$790,A67)&gt;0</f>
        <v>1</v>
      </c>
      <c r="J67" s="8" t="s">
        <v>151</v>
      </c>
      <c r="K67" s="8" t="s">
        <v>362</v>
      </c>
    </row>
    <row r="68" customFormat="false" ht="15" hidden="false" customHeight="false" outlineLevel="0" collapsed="false">
      <c r="A68" s="7" t="n">
        <v>45316</v>
      </c>
      <c r="B68" s="8" t="s">
        <v>363</v>
      </c>
      <c r="C68" s="8" t="s">
        <v>364</v>
      </c>
      <c r="D68" s="8" t="s">
        <v>358</v>
      </c>
      <c r="E68" s="8" t="n">
        <v>6850</v>
      </c>
      <c r="F68" s="8" t="s">
        <v>131</v>
      </c>
      <c r="G68" s="8" t="s">
        <v>132</v>
      </c>
      <c r="H68" s="3" t="str">
        <f aca="false">IF(G68="OK","YES","no")</f>
        <v>YES</v>
      </c>
      <c r="I68" s="9" t="b">
        <f aca="false">COUNTIF('Roll Schedule'!$A$47:$A$790,A68)&gt;0</f>
        <v>1</v>
      </c>
      <c r="J68" s="8" t="s">
        <v>151</v>
      </c>
      <c r="K68" s="8" t="s">
        <v>365</v>
      </c>
    </row>
    <row r="69" customFormat="false" ht="15" hidden="false" customHeight="false" outlineLevel="0" collapsed="false">
      <c r="A69" s="7" t="n">
        <v>45320</v>
      </c>
      <c r="B69" s="8" t="s">
        <v>366</v>
      </c>
      <c r="C69" s="8" t="s">
        <v>367</v>
      </c>
      <c r="D69" s="8" t="s">
        <v>368</v>
      </c>
      <c r="E69" s="8" t="n">
        <v>6750</v>
      </c>
      <c r="F69" s="8" t="s">
        <v>131</v>
      </c>
      <c r="G69" s="8" t="s">
        <v>132</v>
      </c>
      <c r="H69" s="3" t="str">
        <f aca="false">IF(G69="OK","YES","no")</f>
        <v>YES</v>
      </c>
      <c r="I69" s="9" t="b">
        <f aca="false">COUNTIF('Roll Schedule'!$A$47:$A$790,A69)&gt;0</f>
        <v>1</v>
      </c>
      <c r="J69" s="8" t="s">
        <v>151</v>
      </c>
      <c r="K69" s="8" t="s">
        <v>369</v>
      </c>
    </row>
    <row r="70" customFormat="false" ht="15" hidden="false" customHeight="false" outlineLevel="0" collapsed="false">
      <c r="A70" s="7" t="n">
        <v>45321</v>
      </c>
      <c r="B70" s="8" t="s">
        <v>370</v>
      </c>
      <c r="C70" s="8" t="s">
        <v>371</v>
      </c>
      <c r="D70" s="8" t="s">
        <v>372</v>
      </c>
      <c r="E70" s="8" t="n">
        <v>6700</v>
      </c>
      <c r="F70" s="8" t="s">
        <v>131</v>
      </c>
      <c r="G70" s="8" t="s">
        <v>132</v>
      </c>
      <c r="H70" s="3" t="str">
        <f aca="false">IF(G70="OK","YES","no")</f>
        <v>YES</v>
      </c>
      <c r="I70" s="9" t="b">
        <f aca="false">COUNTIF('Roll Schedule'!$A$47:$A$790,A70)&gt;0</f>
        <v>1</v>
      </c>
      <c r="J70" s="8" t="s">
        <v>151</v>
      </c>
      <c r="K70" s="8" t="s">
        <v>373</v>
      </c>
    </row>
    <row r="71" customFormat="false" ht="15" hidden="false" customHeight="false" outlineLevel="0" collapsed="false">
      <c r="A71" s="7" t="n">
        <v>45322</v>
      </c>
      <c r="B71" s="8" t="s">
        <v>374</v>
      </c>
      <c r="C71" s="8" t="s">
        <v>375</v>
      </c>
      <c r="D71" s="8" t="s">
        <v>376</v>
      </c>
      <c r="E71" s="8" t="n">
        <v>6650</v>
      </c>
      <c r="F71" s="8" t="s">
        <v>131</v>
      </c>
      <c r="G71" s="8" t="s">
        <v>132</v>
      </c>
      <c r="H71" s="3" t="str">
        <f aca="false">IF(G71="OK","YES","no")</f>
        <v>YES</v>
      </c>
      <c r="I71" s="9" t="b">
        <f aca="false">COUNTIF('Roll Schedule'!$A$47:$A$790,A71)&gt;0</f>
        <v>1</v>
      </c>
      <c r="J71" s="8" t="s">
        <v>151</v>
      </c>
      <c r="K71" s="8" t="s">
        <v>377</v>
      </c>
    </row>
    <row r="72" customFormat="false" ht="15" hidden="false" customHeight="false" outlineLevel="0" collapsed="false">
      <c r="A72" s="7" t="n">
        <v>45323</v>
      </c>
      <c r="B72" s="8" t="s">
        <v>378</v>
      </c>
      <c r="C72" s="8" t="s">
        <v>379</v>
      </c>
      <c r="D72" s="8" t="s">
        <v>380</v>
      </c>
      <c r="E72" s="8" t="n">
        <v>6550</v>
      </c>
      <c r="F72" s="8" t="s">
        <v>131</v>
      </c>
      <c r="G72" s="8" t="s">
        <v>132</v>
      </c>
      <c r="H72" s="3" t="str">
        <f aca="false">IF(G72="OK","YES","no")</f>
        <v>YES</v>
      </c>
      <c r="I72" s="9" t="b">
        <f aca="false">COUNTIF('Roll Schedule'!$A$47:$A$790,A72)&gt;0</f>
        <v>1</v>
      </c>
      <c r="J72" s="8" t="s">
        <v>151</v>
      </c>
      <c r="K72" s="8" t="s">
        <v>381</v>
      </c>
    </row>
    <row r="73" customFormat="false" ht="15" hidden="false" customHeight="false" outlineLevel="0" collapsed="false">
      <c r="A73" s="7" t="n">
        <v>45324</v>
      </c>
      <c r="B73" s="8" t="s">
        <v>382</v>
      </c>
      <c r="C73" s="8" t="s">
        <v>383</v>
      </c>
      <c r="D73" s="8" t="s">
        <v>384</v>
      </c>
      <c r="E73" s="8" t="n">
        <v>6350</v>
      </c>
      <c r="F73" s="8" t="s">
        <v>131</v>
      </c>
      <c r="G73" s="8" t="s">
        <v>132</v>
      </c>
      <c r="H73" s="3" t="str">
        <f aca="false">IF(G73="OK","YES","no")</f>
        <v>YES</v>
      </c>
      <c r="I73" s="9" t="b">
        <f aca="false">COUNTIF('Roll Schedule'!$A$47:$A$790,A73)&gt;0</f>
        <v>1</v>
      </c>
      <c r="J73" s="8" t="s">
        <v>151</v>
      </c>
      <c r="K73" s="8" t="s">
        <v>385</v>
      </c>
    </row>
    <row r="74" customFormat="false" ht="15" hidden="false" customHeight="false" outlineLevel="0" collapsed="false">
      <c r="A74" s="7" t="n">
        <v>45327</v>
      </c>
      <c r="B74" s="8" t="s">
        <v>386</v>
      </c>
      <c r="C74" s="8" t="s">
        <v>387</v>
      </c>
      <c r="D74" s="8" t="s">
        <v>388</v>
      </c>
      <c r="E74" s="8" t="n">
        <v>6050</v>
      </c>
      <c r="F74" s="8" t="s">
        <v>131</v>
      </c>
      <c r="G74" s="8" t="s">
        <v>132</v>
      </c>
      <c r="H74" s="3" t="str">
        <f aca="false">IF(G74="OK","YES","no")</f>
        <v>YES</v>
      </c>
      <c r="I74" s="9" t="b">
        <f aca="false">COUNTIF('Roll Schedule'!$A$47:$A$790,A74)&gt;0</f>
        <v>1</v>
      </c>
      <c r="J74" s="8" t="s">
        <v>151</v>
      </c>
      <c r="K74" s="8" t="s">
        <v>389</v>
      </c>
    </row>
    <row r="75" customFormat="false" ht="15" hidden="false" customHeight="false" outlineLevel="0" collapsed="false">
      <c r="A75" s="7" t="n">
        <v>45328</v>
      </c>
      <c r="B75" s="8" t="s">
        <v>390</v>
      </c>
      <c r="C75" s="8" t="s">
        <v>391</v>
      </c>
      <c r="D75" s="8" t="s">
        <v>388</v>
      </c>
      <c r="E75" s="8" t="n">
        <v>6050</v>
      </c>
      <c r="F75" s="8" t="s">
        <v>131</v>
      </c>
      <c r="G75" s="8" t="s">
        <v>132</v>
      </c>
      <c r="H75" s="3" t="str">
        <f aca="false">IF(G75="OK","YES","no")</f>
        <v>YES</v>
      </c>
      <c r="I75" s="9" t="b">
        <f aca="false">COUNTIF('Roll Schedule'!$A$47:$A$790,A75)&gt;0</f>
        <v>1</v>
      </c>
      <c r="J75" s="8" t="s">
        <v>151</v>
      </c>
      <c r="K75" s="8" t="s">
        <v>392</v>
      </c>
    </row>
    <row r="76" customFormat="false" ht="15" hidden="false" customHeight="false" outlineLevel="0" collapsed="false">
      <c r="A76" s="7" t="n">
        <v>45329</v>
      </c>
      <c r="B76" s="8" t="s">
        <v>393</v>
      </c>
      <c r="C76" s="8" t="s">
        <v>394</v>
      </c>
      <c r="D76" s="8" t="s">
        <v>395</v>
      </c>
      <c r="E76" s="8" t="n">
        <v>6250</v>
      </c>
      <c r="F76" s="8" t="s">
        <v>131</v>
      </c>
      <c r="G76" s="8" t="s">
        <v>132</v>
      </c>
      <c r="H76" s="3" t="str">
        <f aca="false">IF(G76="OK","YES","no")</f>
        <v>YES</v>
      </c>
      <c r="I76" s="9" t="b">
        <f aca="false">COUNTIF('Roll Schedule'!$A$47:$A$790,A76)&gt;0</f>
        <v>1</v>
      </c>
      <c r="J76" s="8" t="s">
        <v>151</v>
      </c>
      <c r="K76" s="8" t="s">
        <v>396</v>
      </c>
    </row>
    <row r="77" customFormat="false" ht="15" hidden="false" customHeight="false" outlineLevel="0" collapsed="false">
      <c r="A77" s="7" t="n">
        <v>45330</v>
      </c>
      <c r="B77" s="8" t="s">
        <v>397</v>
      </c>
      <c r="C77" s="8" t="s">
        <v>398</v>
      </c>
      <c r="D77" s="8" t="s">
        <v>399</v>
      </c>
      <c r="E77" s="8" t="n">
        <v>6150</v>
      </c>
      <c r="F77" s="8" t="s">
        <v>131</v>
      </c>
      <c r="G77" s="8" t="s">
        <v>132</v>
      </c>
      <c r="H77" s="3" t="str">
        <f aca="false">IF(G77="OK","YES","no")</f>
        <v>YES</v>
      </c>
      <c r="I77" s="9" t="b">
        <f aca="false">COUNTIF('Roll Schedule'!$A$47:$A$790,A77)&gt;0</f>
        <v>1</v>
      </c>
      <c r="J77" s="8" t="s">
        <v>151</v>
      </c>
      <c r="K77" s="8" t="s">
        <v>400</v>
      </c>
    </row>
    <row r="78" customFormat="false" ht="15" hidden="false" customHeight="false" outlineLevel="0" collapsed="false">
      <c r="A78" s="7" t="n">
        <v>45331</v>
      </c>
      <c r="B78" s="8" t="s">
        <v>401</v>
      </c>
      <c r="C78" s="8" t="s">
        <v>402</v>
      </c>
      <c r="D78" s="8" t="s">
        <v>399</v>
      </c>
      <c r="E78" s="8" t="n">
        <v>6150</v>
      </c>
      <c r="F78" s="8" t="s">
        <v>131</v>
      </c>
      <c r="G78" s="8" t="s">
        <v>132</v>
      </c>
      <c r="H78" s="3" t="str">
        <f aca="false">IF(G78="OK","YES","no")</f>
        <v>YES</v>
      </c>
      <c r="I78" s="9" t="b">
        <f aca="false">COUNTIF('Roll Schedule'!$A$47:$A$790,A78)&gt;0</f>
        <v>1</v>
      </c>
      <c r="J78" s="8" t="s">
        <v>151</v>
      </c>
      <c r="K78" s="8" t="s">
        <v>403</v>
      </c>
    </row>
    <row r="79" customFormat="false" ht="15" hidden="false" customHeight="false" outlineLevel="0" collapsed="false">
      <c r="A79" s="7" t="n">
        <v>45334</v>
      </c>
      <c r="B79" s="8" t="s">
        <v>404</v>
      </c>
      <c r="C79" s="8" t="s">
        <v>405</v>
      </c>
      <c r="D79" s="8" t="s">
        <v>399</v>
      </c>
      <c r="E79" s="8" t="n">
        <v>6150</v>
      </c>
      <c r="F79" s="8" t="s">
        <v>131</v>
      </c>
      <c r="G79" s="8" t="s">
        <v>132</v>
      </c>
      <c r="H79" s="3" t="str">
        <f aca="false">IF(G79="OK","YES","no")</f>
        <v>YES</v>
      </c>
      <c r="I79" s="9" t="b">
        <f aca="false">COUNTIF('Roll Schedule'!$A$47:$A$790,A79)&gt;0</f>
        <v>1</v>
      </c>
      <c r="J79" s="8" t="s">
        <v>151</v>
      </c>
      <c r="K79" s="8" t="s">
        <v>406</v>
      </c>
    </row>
    <row r="80" customFormat="false" ht="15" hidden="false" customHeight="false" outlineLevel="0" collapsed="false">
      <c r="A80" s="7" t="n">
        <v>45336</v>
      </c>
      <c r="B80" s="8" t="s">
        <v>407</v>
      </c>
      <c r="C80" s="8" t="s">
        <v>408</v>
      </c>
      <c r="D80" s="8" t="s">
        <v>388</v>
      </c>
      <c r="E80" s="8" t="n">
        <v>6050</v>
      </c>
      <c r="F80" s="8" t="s">
        <v>131</v>
      </c>
      <c r="G80" s="8" t="s">
        <v>132</v>
      </c>
      <c r="H80" s="3" t="str">
        <f aca="false">IF(G80="OK","YES","no")</f>
        <v>YES</v>
      </c>
      <c r="I80" s="9" t="b">
        <f aca="false">COUNTIF('Roll Schedule'!$A$47:$A$790,A80)&gt;0</f>
        <v>1</v>
      </c>
      <c r="J80" s="8" t="s">
        <v>151</v>
      </c>
      <c r="K80" s="8" t="s">
        <v>409</v>
      </c>
    </row>
    <row r="81" customFormat="false" ht="15" hidden="false" customHeight="false" outlineLevel="0" collapsed="false">
      <c r="A81" s="7" t="n">
        <v>45337</v>
      </c>
      <c r="B81" s="8" t="s">
        <v>410</v>
      </c>
      <c r="C81" s="8" t="s">
        <v>411</v>
      </c>
      <c r="D81" s="8" t="s">
        <v>399</v>
      </c>
      <c r="E81" s="8" t="n">
        <v>6150</v>
      </c>
      <c r="F81" s="8" t="s">
        <v>131</v>
      </c>
      <c r="G81" s="8" t="s">
        <v>132</v>
      </c>
      <c r="H81" s="3" t="str">
        <f aca="false">IF(G81="OK","YES","no")</f>
        <v>YES</v>
      </c>
      <c r="I81" s="9" t="b">
        <f aca="false">COUNTIF('Roll Schedule'!$A$47:$A$790,A81)&gt;0</f>
        <v>1</v>
      </c>
      <c r="J81" s="8" t="s">
        <v>151</v>
      </c>
      <c r="K81" s="8" t="s">
        <v>412</v>
      </c>
    </row>
    <row r="82" customFormat="false" ht="15" hidden="false" customHeight="false" outlineLevel="0" collapsed="false">
      <c r="A82" s="7" t="n">
        <v>45338</v>
      </c>
      <c r="B82" s="8" t="s">
        <v>413</v>
      </c>
      <c r="C82" s="8" t="s">
        <v>414</v>
      </c>
      <c r="D82" s="8" t="s">
        <v>415</v>
      </c>
      <c r="E82" s="8" t="n">
        <v>6450</v>
      </c>
      <c r="F82" s="8" t="s">
        <v>131</v>
      </c>
      <c r="G82" s="8" t="s">
        <v>132</v>
      </c>
      <c r="H82" s="3" t="str">
        <f aca="false">IF(G82="OK","YES","no")</f>
        <v>YES</v>
      </c>
      <c r="I82" s="9" t="b">
        <f aca="false">COUNTIF('Roll Schedule'!$A$47:$A$790,A82)&gt;0</f>
        <v>1</v>
      </c>
      <c r="J82" s="8" t="s">
        <v>151</v>
      </c>
      <c r="K82" s="8" t="s">
        <v>416</v>
      </c>
    </row>
    <row r="83" customFormat="false" ht="15" hidden="false" customHeight="false" outlineLevel="0" collapsed="false">
      <c r="A83" s="7" t="n">
        <v>45341</v>
      </c>
      <c r="B83" s="8" t="s">
        <v>417</v>
      </c>
      <c r="C83" s="8" t="s">
        <v>418</v>
      </c>
      <c r="D83" s="8" t="s">
        <v>415</v>
      </c>
      <c r="E83" s="8" t="n">
        <v>6450</v>
      </c>
      <c r="F83" s="8" t="s">
        <v>131</v>
      </c>
      <c r="G83" s="8" t="s">
        <v>132</v>
      </c>
      <c r="H83" s="3" t="str">
        <f aca="false">IF(G83="OK","YES","no")</f>
        <v>YES</v>
      </c>
      <c r="I83" s="9" t="b">
        <f aca="false">COUNTIF('Roll Schedule'!$A$47:$A$790,A83)&gt;0</f>
        <v>1</v>
      </c>
      <c r="J83" s="8" t="s">
        <v>151</v>
      </c>
      <c r="K83" s="8" t="s">
        <v>419</v>
      </c>
    </row>
    <row r="84" customFormat="false" ht="15" hidden="false" customHeight="false" outlineLevel="0" collapsed="false">
      <c r="A84" s="7" t="n">
        <v>45342</v>
      </c>
      <c r="B84" s="8" t="s">
        <v>420</v>
      </c>
      <c r="C84" s="8" t="s">
        <v>421</v>
      </c>
      <c r="D84" s="8" t="s">
        <v>422</v>
      </c>
      <c r="E84" s="8" t="n">
        <v>6500</v>
      </c>
      <c r="F84" s="8" t="s">
        <v>131</v>
      </c>
      <c r="G84" s="8" t="s">
        <v>132</v>
      </c>
      <c r="H84" s="3" t="str">
        <f aca="false">IF(G84="OK","YES","no")</f>
        <v>YES</v>
      </c>
      <c r="I84" s="9" t="b">
        <f aca="false">COUNTIF('Roll Schedule'!$A$47:$A$790,A84)&gt;0</f>
        <v>1</v>
      </c>
      <c r="J84" s="8" t="s">
        <v>151</v>
      </c>
      <c r="K84" s="8" t="s">
        <v>423</v>
      </c>
    </row>
    <row r="85" customFormat="false" ht="15" hidden="false" customHeight="false" outlineLevel="0" collapsed="false">
      <c r="A85" s="7" t="n">
        <v>45343</v>
      </c>
      <c r="B85" s="8" t="s">
        <v>424</v>
      </c>
      <c r="C85" s="8" t="s">
        <v>425</v>
      </c>
      <c r="D85" s="8" t="s">
        <v>415</v>
      </c>
      <c r="E85" s="8" t="n">
        <v>6450</v>
      </c>
      <c r="F85" s="8" t="s">
        <v>326</v>
      </c>
      <c r="G85" s="8" t="s">
        <v>132</v>
      </c>
      <c r="H85" s="3" t="str">
        <f aca="false">IF(G85="OK","YES","no")</f>
        <v>YES</v>
      </c>
      <c r="I85" s="9" t="b">
        <f aca="false">COUNTIF('Roll Schedule'!$A$47:$A$790,A85)&gt;0</f>
        <v>1</v>
      </c>
      <c r="J85" s="8" t="s">
        <v>151</v>
      </c>
      <c r="K85" s="8" t="s">
        <v>426</v>
      </c>
    </row>
    <row r="86" customFormat="false" ht="15" hidden="false" customHeight="false" outlineLevel="0" collapsed="false">
      <c r="A86" s="7" t="n">
        <v>45344</v>
      </c>
      <c r="B86" s="8" t="s">
        <v>427</v>
      </c>
      <c r="C86" s="8" t="s">
        <v>428</v>
      </c>
      <c r="D86" s="8" t="s">
        <v>415</v>
      </c>
      <c r="E86" s="8" t="n">
        <v>6450</v>
      </c>
      <c r="F86" s="8" t="s">
        <v>131</v>
      </c>
      <c r="G86" s="8" t="s">
        <v>132</v>
      </c>
      <c r="H86" s="3" t="str">
        <f aca="false">IF(G86="OK","YES","no")</f>
        <v>YES</v>
      </c>
      <c r="I86" s="9" t="b">
        <f aca="false">COUNTIF('Roll Schedule'!$A$47:$A$790,A86)&gt;0</f>
        <v>1</v>
      </c>
      <c r="J86" s="8" t="s">
        <v>151</v>
      </c>
      <c r="K86" s="8" t="s">
        <v>429</v>
      </c>
    </row>
    <row r="87" customFormat="false" ht="15" hidden="false" customHeight="false" outlineLevel="0" collapsed="false">
      <c r="A87" s="7" t="n">
        <v>45345</v>
      </c>
      <c r="B87" s="8" t="s">
        <v>430</v>
      </c>
      <c r="C87" s="8" t="s">
        <v>431</v>
      </c>
      <c r="D87" s="8" t="s">
        <v>415</v>
      </c>
      <c r="E87" s="8" t="n">
        <v>6450</v>
      </c>
      <c r="F87" s="8" t="s">
        <v>131</v>
      </c>
      <c r="G87" s="8" t="s">
        <v>132</v>
      </c>
      <c r="H87" s="3" t="str">
        <f aca="false">IF(G87="OK","YES","no")</f>
        <v>YES</v>
      </c>
      <c r="I87" s="9" t="b">
        <f aca="false">COUNTIF('Roll Schedule'!$A$47:$A$790,A87)&gt;0</f>
        <v>1</v>
      </c>
      <c r="J87" s="8" t="s">
        <v>151</v>
      </c>
      <c r="K87" s="8" t="s">
        <v>432</v>
      </c>
    </row>
    <row r="88" customFormat="false" ht="15" hidden="false" customHeight="false" outlineLevel="0" collapsed="false">
      <c r="A88" s="7" t="n">
        <v>45348</v>
      </c>
      <c r="B88" s="8" t="s">
        <v>433</v>
      </c>
      <c r="C88" s="8" t="s">
        <v>434</v>
      </c>
      <c r="D88" s="8" t="s">
        <v>415</v>
      </c>
      <c r="E88" s="8" t="n">
        <v>6450</v>
      </c>
      <c r="F88" s="8" t="s">
        <v>131</v>
      </c>
      <c r="G88" s="8" t="s">
        <v>132</v>
      </c>
      <c r="H88" s="3" t="str">
        <f aca="false">IF(G88="OK","YES","no")</f>
        <v>YES</v>
      </c>
      <c r="I88" s="9" t="b">
        <f aca="false">COUNTIF('Roll Schedule'!$A$47:$A$790,A88)&gt;0</f>
        <v>1</v>
      </c>
      <c r="J88" s="8" t="s">
        <v>151</v>
      </c>
      <c r="K88" s="8" t="s">
        <v>435</v>
      </c>
    </row>
    <row r="89" customFormat="false" ht="15" hidden="false" customHeight="false" outlineLevel="0" collapsed="false">
      <c r="A89" s="7" t="n">
        <v>45349</v>
      </c>
      <c r="B89" s="8" t="s">
        <v>436</v>
      </c>
      <c r="C89" s="8" t="s">
        <v>437</v>
      </c>
      <c r="D89" s="8" t="s">
        <v>415</v>
      </c>
      <c r="E89" s="8" t="n">
        <v>6450</v>
      </c>
      <c r="F89" s="8" t="s">
        <v>131</v>
      </c>
      <c r="G89" s="8" t="s">
        <v>132</v>
      </c>
      <c r="H89" s="3" t="str">
        <f aca="false">IF(G89="OK","YES","no")</f>
        <v>YES</v>
      </c>
      <c r="I89" s="9" t="b">
        <f aca="false">COUNTIF('Roll Schedule'!$A$47:$A$790,A89)&gt;0</f>
        <v>1</v>
      </c>
      <c r="J89" s="8" t="s">
        <v>151</v>
      </c>
      <c r="K89" s="8" t="s">
        <v>438</v>
      </c>
    </row>
    <row r="90" customFormat="false" ht="15" hidden="false" customHeight="false" outlineLevel="0" collapsed="false">
      <c r="A90" s="7" t="n">
        <v>45350</v>
      </c>
      <c r="B90" s="8" t="s">
        <v>439</v>
      </c>
      <c r="C90" s="8" t="s">
        <v>440</v>
      </c>
      <c r="D90" s="8" t="s">
        <v>415</v>
      </c>
      <c r="E90" s="8" t="n">
        <v>6450</v>
      </c>
      <c r="F90" s="8" t="s">
        <v>131</v>
      </c>
      <c r="G90" s="8" t="s">
        <v>132</v>
      </c>
      <c r="H90" s="3" t="str">
        <f aca="false">IF(G90="OK","YES","no")</f>
        <v>YES</v>
      </c>
      <c r="I90" s="9" t="b">
        <f aca="false">COUNTIF('Roll Schedule'!$A$47:$A$790,A90)&gt;0</f>
        <v>1</v>
      </c>
      <c r="J90" s="8" t="s">
        <v>151</v>
      </c>
      <c r="K90" s="8" t="s">
        <v>441</v>
      </c>
    </row>
    <row r="91" customFormat="false" ht="15" hidden="false" customHeight="false" outlineLevel="0" collapsed="false">
      <c r="A91" s="7" t="n">
        <v>45355</v>
      </c>
      <c r="B91" s="8" t="s">
        <v>442</v>
      </c>
      <c r="C91" s="8" t="s">
        <v>443</v>
      </c>
      <c r="D91" s="8" t="s">
        <v>380</v>
      </c>
      <c r="E91" s="8" t="n">
        <v>6550</v>
      </c>
      <c r="F91" s="8" t="s">
        <v>131</v>
      </c>
      <c r="G91" s="8" t="s">
        <v>132</v>
      </c>
      <c r="H91" s="3" t="str">
        <f aca="false">IF(G91="OK","YES","no")</f>
        <v>YES</v>
      </c>
      <c r="I91" s="9" t="b">
        <f aca="false">COUNTIF('Roll Schedule'!$A$47:$A$790,A91)&gt;0</f>
        <v>1</v>
      </c>
      <c r="J91" s="8" t="s">
        <v>151</v>
      </c>
      <c r="K91" s="8" t="s">
        <v>444</v>
      </c>
    </row>
    <row r="92" customFormat="false" ht="15" hidden="false" customHeight="false" outlineLevel="0" collapsed="false">
      <c r="A92" s="7" t="n">
        <v>45356</v>
      </c>
      <c r="B92" s="8" t="s">
        <v>445</v>
      </c>
      <c r="C92" s="8" t="s">
        <v>446</v>
      </c>
      <c r="D92" s="8" t="s">
        <v>376</v>
      </c>
      <c r="E92" s="8" t="n">
        <v>6650</v>
      </c>
      <c r="F92" s="8" t="s">
        <v>131</v>
      </c>
      <c r="G92" s="8" t="s">
        <v>132</v>
      </c>
      <c r="H92" s="3" t="str">
        <f aca="false">IF(G92="OK","YES","no")</f>
        <v>YES</v>
      </c>
      <c r="I92" s="9" t="b">
        <f aca="false">COUNTIF('Roll Schedule'!$A$47:$A$790,A92)&gt;0</f>
        <v>1</v>
      </c>
      <c r="J92" s="8" t="s">
        <v>151</v>
      </c>
      <c r="K92" s="8" t="s">
        <v>447</v>
      </c>
    </row>
    <row r="93" customFormat="false" ht="15" hidden="false" customHeight="false" outlineLevel="0" collapsed="false">
      <c r="A93" s="7" t="n">
        <v>45358</v>
      </c>
      <c r="B93" s="8" t="s">
        <v>448</v>
      </c>
      <c r="C93" s="8" t="s">
        <v>449</v>
      </c>
      <c r="D93" s="8" t="s">
        <v>450</v>
      </c>
      <c r="E93" s="8" t="n">
        <v>6600</v>
      </c>
      <c r="F93" s="8" t="s">
        <v>131</v>
      </c>
      <c r="G93" s="8" t="s">
        <v>132</v>
      </c>
      <c r="H93" s="3" t="str">
        <f aca="false">IF(G93="OK","YES","no")</f>
        <v>YES</v>
      </c>
      <c r="I93" s="9" t="b">
        <f aca="false">COUNTIF('Roll Schedule'!$A$47:$A$790,A93)&gt;0</f>
        <v>1</v>
      </c>
      <c r="J93" s="8" t="s">
        <v>151</v>
      </c>
      <c r="K93" s="8" t="s">
        <v>451</v>
      </c>
    </row>
    <row r="94" customFormat="false" ht="15" hidden="false" customHeight="false" outlineLevel="0" collapsed="false">
      <c r="A94" s="7" t="n">
        <v>45362</v>
      </c>
      <c r="B94" s="8" t="s">
        <v>452</v>
      </c>
      <c r="C94" s="8" t="s">
        <v>453</v>
      </c>
      <c r="D94" s="8" t="s">
        <v>376</v>
      </c>
      <c r="E94" s="8" t="n">
        <v>6650</v>
      </c>
      <c r="F94" s="8" t="s">
        <v>131</v>
      </c>
      <c r="G94" s="8" t="s">
        <v>132</v>
      </c>
      <c r="H94" s="3" t="str">
        <f aca="false">IF(G94="OK","YES","no")</f>
        <v>YES</v>
      </c>
      <c r="I94" s="9" t="b">
        <f aca="false">COUNTIF('Roll Schedule'!$A$47:$A$790,A94)&gt;0</f>
        <v>1</v>
      </c>
      <c r="J94" s="8" t="s">
        <v>151</v>
      </c>
      <c r="K94" s="8" t="s">
        <v>454</v>
      </c>
    </row>
    <row r="95" customFormat="false" ht="15" hidden="false" customHeight="false" outlineLevel="0" collapsed="false">
      <c r="A95" s="7" t="n">
        <v>45363</v>
      </c>
      <c r="B95" s="8" t="s">
        <v>455</v>
      </c>
      <c r="C95" s="8" t="s">
        <v>456</v>
      </c>
      <c r="D95" s="8" t="s">
        <v>450</v>
      </c>
      <c r="E95" s="8" t="n">
        <v>6600</v>
      </c>
      <c r="F95" s="8" t="s">
        <v>326</v>
      </c>
      <c r="G95" s="8" t="s">
        <v>132</v>
      </c>
      <c r="H95" s="3" t="str">
        <f aca="false">IF(G95="OK","YES","no")</f>
        <v>YES</v>
      </c>
      <c r="I95" s="9" t="b">
        <f aca="false">COUNTIF('Roll Schedule'!$A$47:$A$790,A95)&gt;0</f>
        <v>1</v>
      </c>
      <c r="J95" s="8" t="s">
        <v>151</v>
      </c>
      <c r="K95" s="8" t="s">
        <v>457</v>
      </c>
    </row>
    <row r="96" customFormat="false" ht="15" hidden="false" customHeight="false" outlineLevel="0" collapsed="false">
      <c r="A96" s="7" t="n">
        <v>45363</v>
      </c>
      <c r="B96" s="8" t="s">
        <v>458</v>
      </c>
      <c r="C96" s="8" t="s">
        <v>459</v>
      </c>
      <c r="D96" s="8" t="s">
        <v>450</v>
      </c>
      <c r="E96" s="8" t="n">
        <v>6600</v>
      </c>
      <c r="F96" s="8" t="s">
        <v>131</v>
      </c>
      <c r="G96" s="8" t="s">
        <v>251</v>
      </c>
      <c r="H96" s="3" t="str">
        <f aca="false">IF(G96="OK","YES","no")</f>
        <v>no</v>
      </c>
      <c r="I96" s="9" t="b">
        <f aca="false">COUNTIF('Roll Schedule'!$A$47:$A$790,A96)&gt;0</f>
        <v>1</v>
      </c>
      <c r="J96" s="8" t="s">
        <v>151</v>
      </c>
      <c r="K96" s="8" t="s">
        <v>460</v>
      </c>
    </row>
    <row r="97" customFormat="false" ht="15" hidden="false" customHeight="false" outlineLevel="0" collapsed="false">
      <c r="A97" s="7" t="n">
        <v>45364</v>
      </c>
      <c r="B97" s="8" t="s">
        <v>461</v>
      </c>
      <c r="C97" s="8" t="s">
        <v>462</v>
      </c>
      <c r="D97" s="8" t="s">
        <v>376</v>
      </c>
      <c r="E97" s="8" t="n">
        <v>6650</v>
      </c>
      <c r="F97" s="8" t="s">
        <v>131</v>
      </c>
      <c r="G97" s="8" t="s">
        <v>132</v>
      </c>
      <c r="H97" s="3" t="str">
        <f aca="false">IF(G97="OK","YES","no")</f>
        <v>YES</v>
      </c>
      <c r="I97" s="9" t="b">
        <f aca="false">COUNTIF('Roll Schedule'!$A$47:$A$790,A97)&gt;0</f>
        <v>1</v>
      </c>
      <c r="J97" s="8" t="s">
        <v>151</v>
      </c>
      <c r="K97" s="8" t="s">
        <v>463</v>
      </c>
    </row>
    <row r="98" customFormat="false" ht="15" hidden="false" customHeight="false" outlineLevel="0" collapsed="false">
      <c r="A98" s="7" t="n">
        <v>45365</v>
      </c>
      <c r="B98" s="8" t="s">
        <v>464</v>
      </c>
      <c r="C98" s="8" t="s">
        <v>465</v>
      </c>
      <c r="D98" s="8" t="s">
        <v>450</v>
      </c>
      <c r="E98" s="8" t="n">
        <v>6600</v>
      </c>
      <c r="F98" s="8" t="s">
        <v>131</v>
      </c>
      <c r="G98" s="8" t="s">
        <v>132</v>
      </c>
      <c r="H98" s="3" t="str">
        <f aca="false">IF(G98="OK","YES","no")</f>
        <v>YES</v>
      </c>
      <c r="I98" s="9" t="b">
        <f aca="false">COUNTIF('Roll Schedule'!$A$47:$A$790,A98)&gt;0</f>
        <v>1</v>
      </c>
      <c r="J98" s="8" t="s">
        <v>151</v>
      </c>
      <c r="K98" s="8" t="s">
        <v>466</v>
      </c>
    </row>
    <row r="99" customFormat="false" ht="15" hidden="false" customHeight="false" outlineLevel="0" collapsed="false">
      <c r="A99" s="7" t="n">
        <v>45366</v>
      </c>
      <c r="B99" s="8" t="s">
        <v>467</v>
      </c>
      <c r="C99" s="8" t="s">
        <v>468</v>
      </c>
      <c r="D99" s="8" t="s">
        <v>384</v>
      </c>
      <c r="E99" s="8" t="n">
        <v>6350</v>
      </c>
      <c r="F99" s="8" t="s">
        <v>131</v>
      </c>
      <c r="G99" s="8" t="s">
        <v>132</v>
      </c>
      <c r="H99" s="3" t="str">
        <f aca="false">IF(G99="OK","YES","no")</f>
        <v>YES</v>
      </c>
      <c r="I99" s="9" t="b">
        <f aca="false">COUNTIF('Roll Schedule'!$A$47:$A$790,A99)&gt;0</f>
        <v>1</v>
      </c>
      <c r="J99" s="8" t="s">
        <v>151</v>
      </c>
      <c r="K99" s="8" t="s">
        <v>469</v>
      </c>
    </row>
    <row r="100" customFormat="false" ht="15" hidden="false" customHeight="false" outlineLevel="0" collapsed="false">
      <c r="A100" s="7" t="n">
        <v>45369</v>
      </c>
      <c r="B100" s="8" t="s">
        <v>470</v>
      </c>
      <c r="C100" s="8" t="s">
        <v>471</v>
      </c>
      <c r="D100" s="8" t="s">
        <v>395</v>
      </c>
      <c r="E100" s="8" t="n">
        <v>6250</v>
      </c>
      <c r="F100" s="8" t="s">
        <v>131</v>
      </c>
      <c r="G100" s="8" t="s">
        <v>132</v>
      </c>
      <c r="H100" s="3" t="str">
        <f aca="false">IF(G100="OK","YES","no")</f>
        <v>YES</v>
      </c>
      <c r="I100" s="9" t="b">
        <f aca="false">COUNTIF('Roll Schedule'!$A$47:$A$790,A100)&gt;0</f>
        <v>1</v>
      </c>
      <c r="J100" s="8" t="s">
        <v>151</v>
      </c>
      <c r="K100" s="8" t="s">
        <v>472</v>
      </c>
    </row>
    <row r="101" customFormat="false" ht="15" hidden="false" customHeight="false" outlineLevel="0" collapsed="false">
      <c r="A101" s="7" t="n">
        <v>45370</v>
      </c>
      <c r="B101" s="8" t="s">
        <v>473</v>
      </c>
      <c r="C101" s="8" t="s">
        <v>474</v>
      </c>
      <c r="D101" s="8" t="s">
        <v>384</v>
      </c>
      <c r="E101" s="8" t="n">
        <v>6350</v>
      </c>
      <c r="F101" s="8" t="s">
        <v>131</v>
      </c>
      <c r="G101" s="8" t="s">
        <v>132</v>
      </c>
      <c r="H101" s="3" t="str">
        <f aca="false">IF(G101="OK","YES","no")</f>
        <v>YES</v>
      </c>
      <c r="I101" s="9" t="b">
        <f aca="false">COUNTIF('Roll Schedule'!$A$47:$A$790,A101)&gt;0</f>
        <v>1</v>
      </c>
      <c r="J101" s="8" t="s">
        <v>151</v>
      </c>
      <c r="K101" s="8" t="s">
        <v>475</v>
      </c>
    </row>
    <row r="102" customFormat="false" ht="15" hidden="false" customHeight="false" outlineLevel="0" collapsed="false">
      <c r="A102" s="7" t="n">
        <v>45371</v>
      </c>
      <c r="B102" s="8" t="s">
        <v>476</v>
      </c>
      <c r="C102" s="8" t="s">
        <v>477</v>
      </c>
      <c r="D102" s="8" t="s">
        <v>384</v>
      </c>
      <c r="E102" s="8" t="n">
        <v>6350</v>
      </c>
      <c r="F102" s="8" t="s">
        <v>142</v>
      </c>
      <c r="G102" s="8" t="s">
        <v>143</v>
      </c>
      <c r="H102" s="3" t="str">
        <f aca="false">IF(G102="OK","YES","no")</f>
        <v>no</v>
      </c>
      <c r="I102" s="9" t="b">
        <f aca="false">COUNTIF('Roll Schedule'!$A$47:$A$790,A102)&gt;0</f>
        <v>1</v>
      </c>
      <c r="J102" s="8" t="s">
        <v>151</v>
      </c>
      <c r="K102" s="8" t="s">
        <v>478</v>
      </c>
    </row>
    <row r="103" customFormat="false" ht="15" hidden="false" customHeight="false" outlineLevel="0" collapsed="false">
      <c r="A103" s="7" t="n">
        <v>45372</v>
      </c>
      <c r="B103" s="8" t="s">
        <v>479</v>
      </c>
      <c r="C103" s="8" t="s">
        <v>480</v>
      </c>
      <c r="D103" s="8" t="s">
        <v>384</v>
      </c>
      <c r="E103" s="8" t="n">
        <v>6350</v>
      </c>
      <c r="F103" s="8" t="s">
        <v>131</v>
      </c>
      <c r="G103" s="8" t="s">
        <v>132</v>
      </c>
      <c r="H103" s="3" t="str">
        <f aca="false">IF(G103="OK","YES","no")</f>
        <v>YES</v>
      </c>
      <c r="I103" s="9" t="b">
        <f aca="false">COUNTIF('Roll Schedule'!$A$47:$A$790,A103)&gt;0</f>
        <v>1</v>
      </c>
      <c r="J103" s="8" t="s">
        <v>151</v>
      </c>
      <c r="K103" s="8" t="s">
        <v>481</v>
      </c>
    </row>
    <row r="104" customFormat="false" ht="15" hidden="false" customHeight="false" outlineLevel="0" collapsed="false">
      <c r="A104" s="7" t="n">
        <v>45373</v>
      </c>
      <c r="B104" s="8" t="s">
        <v>482</v>
      </c>
      <c r="C104" s="8" t="s">
        <v>483</v>
      </c>
      <c r="D104" s="8" t="s">
        <v>415</v>
      </c>
      <c r="E104" s="8" t="n">
        <v>6450</v>
      </c>
      <c r="F104" s="8" t="s">
        <v>131</v>
      </c>
      <c r="G104" s="8" t="s">
        <v>132</v>
      </c>
      <c r="H104" s="3" t="str">
        <f aca="false">IF(G104="OK","YES","no")</f>
        <v>YES</v>
      </c>
      <c r="I104" s="9" t="b">
        <f aca="false">COUNTIF('Roll Schedule'!$A$47:$A$790,A104)&gt;0</f>
        <v>1</v>
      </c>
      <c r="J104" s="8" t="s">
        <v>151</v>
      </c>
      <c r="K104" s="8" t="s">
        <v>484</v>
      </c>
    </row>
    <row r="105" customFormat="false" ht="15" hidden="false" customHeight="false" outlineLevel="0" collapsed="false">
      <c r="A105" s="7" t="n">
        <v>45378</v>
      </c>
      <c r="B105" s="8" t="s">
        <v>485</v>
      </c>
      <c r="C105" s="8" t="s">
        <v>486</v>
      </c>
      <c r="D105" s="8" t="s">
        <v>384</v>
      </c>
      <c r="E105" s="8" t="n">
        <v>6350</v>
      </c>
      <c r="F105" s="8" t="s">
        <v>131</v>
      </c>
      <c r="G105" s="8" t="s">
        <v>132</v>
      </c>
      <c r="H105" s="3" t="str">
        <f aca="false">IF(G105="OK","YES","no")</f>
        <v>YES</v>
      </c>
      <c r="I105" s="9" t="b">
        <f aca="false">COUNTIF('Roll Schedule'!$A$47:$A$790,A105)&gt;0</f>
        <v>1</v>
      </c>
      <c r="J105" s="8" t="s">
        <v>151</v>
      </c>
      <c r="K105" s="8" t="s">
        <v>487</v>
      </c>
    </row>
    <row r="106" customFormat="false" ht="15" hidden="false" customHeight="false" outlineLevel="0" collapsed="false">
      <c r="A106" s="7" t="n">
        <v>45379</v>
      </c>
      <c r="B106" s="8" t="s">
        <v>488</v>
      </c>
      <c r="C106" s="8" t="s">
        <v>489</v>
      </c>
      <c r="D106" s="8" t="s">
        <v>384</v>
      </c>
      <c r="E106" s="8" t="n">
        <v>6350</v>
      </c>
      <c r="F106" s="8" t="s">
        <v>131</v>
      </c>
      <c r="G106" s="8" t="s">
        <v>132</v>
      </c>
      <c r="H106" s="3" t="str">
        <f aca="false">IF(G106="OK","YES","no")</f>
        <v>YES</v>
      </c>
      <c r="I106" s="9" t="b">
        <f aca="false">COUNTIF('Roll Schedule'!$A$47:$A$790,A106)&gt;0</f>
        <v>1</v>
      </c>
      <c r="J106" s="8" t="s">
        <v>151</v>
      </c>
      <c r="K106" s="8" t="s">
        <v>490</v>
      </c>
    </row>
    <row r="107" customFormat="false" ht="15" hidden="false" customHeight="false" outlineLevel="0" collapsed="false">
      <c r="A107" s="7" t="n">
        <v>45383</v>
      </c>
      <c r="B107" s="8" t="s">
        <v>491</v>
      </c>
      <c r="C107" s="8" t="s">
        <v>492</v>
      </c>
      <c r="D107" s="8" t="s">
        <v>395</v>
      </c>
      <c r="E107" s="8" t="n">
        <v>6250</v>
      </c>
      <c r="F107" s="8" t="s">
        <v>131</v>
      </c>
      <c r="G107" s="8" t="s">
        <v>132</v>
      </c>
      <c r="H107" s="3" t="str">
        <f aca="false">IF(G107="OK","YES","no")</f>
        <v>YES</v>
      </c>
      <c r="I107" s="9" t="b">
        <f aca="false">COUNTIF('Roll Schedule'!$A$47:$A$790,A107)&gt;0</f>
        <v>1</v>
      </c>
      <c r="J107" s="8" t="s">
        <v>151</v>
      </c>
      <c r="K107" s="8" t="s">
        <v>493</v>
      </c>
    </row>
    <row r="108" customFormat="false" ht="15" hidden="false" customHeight="false" outlineLevel="0" collapsed="false">
      <c r="A108" s="7" t="n">
        <v>45384</v>
      </c>
      <c r="B108" s="8" t="s">
        <v>494</v>
      </c>
      <c r="C108" s="8" t="s">
        <v>495</v>
      </c>
      <c r="D108" s="8" t="s">
        <v>395</v>
      </c>
      <c r="E108" s="8" t="n">
        <v>6250</v>
      </c>
      <c r="F108" s="8" t="s">
        <v>131</v>
      </c>
      <c r="G108" s="8" t="s">
        <v>132</v>
      </c>
      <c r="H108" s="3" t="str">
        <f aca="false">IF(G108="OK","YES","no")</f>
        <v>YES</v>
      </c>
      <c r="I108" s="9" t="b">
        <f aca="false">COUNTIF('Roll Schedule'!$A$47:$A$790,A108)&gt;0</f>
        <v>1</v>
      </c>
      <c r="J108" s="8" t="s">
        <v>151</v>
      </c>
      <c r="K108" s="8" t="s">
        <v>496</v>
      </c>
    </row>
    <row r="109" customFormat="false" ht="15" hidden="false" customHeight="false" outlineLevel="0" collapsed="false">
      <c r="A109" s="7" t="n">
        <v>45385</v>
      </c>
      <c r="B109" s="8" t="s">
        <v>497</v>
      </c>
      <c r="C109" s="8" t="s">
        <v>498</v>
      </c>
      <c r="D109" s="8" t="s">
        <v>395</v>
      </c>
      <c r="E109" s="8" t="n">
        <v>6250</v>
      </c>
      <c r="F109" s="8" t="s">
        <v>131</v>
      </c>
      <c r="G109" s="8" t="s">
        <v>132</v>
      </c>
      <c r="H109" s="3" t="str">
        <f aca="false">IF(G109="OK","YES","no")</f>
        <v>YES</v>
      </c>
      <c r="I109" s="9" t="b">
        <f aca="false">COUNTIF('Roll Schedule'!$A$47:$A$790,A109)&gt;0</f>
        <v>1</v>
      </c>
      <c r="J109" s="8" t="s">
        <v>151</v>
      </c>
      <c r="K109" s="8" t="s">
        <v>499</v>
      </c>
    </row>
    <row r="110" customFormat="false" ht="15" hidden="false" customHeight="false" outlineLevel="0" collapsed="false">
      <c r="A110" s="7" t="n">
        <v>45386</v>
      </c>
      <c r="B110" s="8" t="s">
        <v>500</v>
      </c>
      <c r="C110" s="8" t="s">
        <v>501</v>
      </c>
      <c r="D110" s="8" t="s">
        <v>384</v>
      </c>
      <c r="E110" s="8" t="n">
        <v>6350</v>
      </c>
      <c r="F110" s="8" t="s">
        <v>131</v>
      </c>
      <c r="G110" s="8" t="s">
        <v>132</v>
      </c>
      <c r="H110" s="3" t="str">
        <f aca="false">IF(G110="OK","YES","no")</f>
        <v>YES</v>
      </c>
      <c r="I110" s="9" t="b">
        <f aca="false">COUNTIF('Roll Schedule'!$A$47:$A$790,A110)&gt;0</f>
        <v>1</v>
      </c>
      <c r="J110" s="8" t="s">
        <v>151</v>
      </c>
      <c r="K110" s="8" t="s">
        <v>502</v>
      </c>
    </row>
    <row r="111" customFormat="false" ht="15" hidden="false" customHeight="false" outlineLevel="0" collapsed="false">
      <c r="A111" s="7" t="n">
        <v>45387</v>
      </c>
      <c r="B111" s="8" t="s">
        <v>503</v>
      </c>
      <c r="C111" s="8" t="s">
        <v>504</v>
      </c>
      <c r="D111" s="8" t="s">
        <v>384</v>
      </c>
      <c r="E111" s="8" t="n">
        <v>6350</v>
      </c>
      <c r="F111" s="8" t="s">
        <v>131</v>
      </c>
      <c r="G111" s="8" t="s">
        <v>132</v>
      </c>
      <c r="H111" s="3" t="str">
        <f aca="false">IF(G111="OK","YES","no")</f>
        <v>YES</v>
      </c>
      <c r="I111" s="9" t="b">
        <f aca="false">COUNTIF('Roll Schedule'!$A$47:$A$790,A111)&gt;0</f>
        <v>1</v>
      </c>
      <c r="J111" s="8" t="s">
        <v>151</v>
      </c>
      <c r="K111" s="8" t="s">
        <v>505</v>
      </c>
    </row>
    <row r="112" customFormat="false" ht="15" hidden="false" customHeight="false" outlineLevel="0" collapsed="false">
      <c r="A112" s="7" t="n">
        <v>45390</v>
      </c>
      <c r="B112" s="8" t="s">
        <v>506</v>
      </c>
      <c r="C112" s="8" t="s">
        <v>507</v>
      </c>
      <c r="D112" s="8" t="s">
        <v>395</v>
      </c>
      <c r="E112" s="8" t="n">
        <v>6250</v>
      </c>
      <c r="F112" s="8" t="s">
        <v>131</v>
      </c>
      <c r="G112" s="8" t="s">
        <v>132</v>
      </c>
      <c r="H112" s="3" t="str">
        <f aca="false">IF(G112="OK","YES","no")</f>
        <v>YES</v>
      </c>
      <c r="I112" s="9" t="b">
        <f aca="false">COUNTIF('Roll Schedule'!$A$47:$A$790,A112)&gt;0</f>
        <v>1</v>
      </c>
      <c r="J112" s="8" t="s">
        <v>151</v>
      </c>
      <c r="K112" s="8" t="s">
        <v>508</v>
      </c>
    </row>
    <row r="113" customFormat="false" ht="15" hidden="false" customHeight="false" outlineLevel="0" collapsed="false">
      <c r="A113" s="7" t="n">
        <v>45392</v>
      </c>
      <c r="B113" s="8" t="s">
        <v>509</v>
      </c>
      <c r="C113" s="8" t="s">
        <v>510</v>
      </c>
      <c r="D113" s="8" t="s">
        <v>511</v>
      </c>
      <c r="E113" s="8" t="n">
        <v>63000</v>
      </c>
      <c r="F113" s="8" t="s">
        <v>131</v>
      </c>
      <c r="G113" s="8" t="s">
        <v>343</v>
      </c>
      <c r="H113" s="3" t="str">
        <f aca="false">IF(G113="OK","YES","no")</f>
        <v>no</v>
      </c>
      <c r="I113" s="9" t="b">
        <f aca="false">COUNTIF('Roll Schedule'!$A$47:$A$790,A113)&gt;0</f>
        <v>1</v>
      </c>
      <c r="J113" s="8" t="s">
        <v>151</v>
      </c>
      <c r="K113" s="8" t="s">
        <v>512</v>
      </c>
    </row>
    <row r="114" customFormat="false" ht="15" hidden="false" customHeight="false" outlineLevel="0" collapsed="false">
      <c r="A114" s="7" t="n">
        <v>45394</v>
      </c>
      <c r="B114" s="8" t="s">
        <v>513</v>
      </c>
      <c r="C114" s="8" t="s">
        <v>514</v>
      </c>
      <c r="D114" s="8" t="s">
        <v>395</v>
      </c>
      <c r="E114" s="8" t="n">
        <v>6250</v>
      </c>
      <c r="F114" s="8" t="s">
        <v>131</v>
      </c>
      <c r="G114" s="8" t="s">
        <v>132</v>
      </c>
      <c r="H114" s="3" t="str">
        <f aca="false">IF(G114="OK","YES","no")</f>
        <v>YES</v>
      </c>
      <c r="I114" s="9" t="b">
        <f aca="false">COUNTIF('Roll Schedule'!$A$47:$A$790,A114)&gt;0</f>
        <v>1</v>
      </c>
      <c r="J114" s="8" t="s">
        <v>151</v>
      </c>
      <c r="K114" s="8" t="s">
        <v>515</v>
      </c>
    </row>
    <row r="115" customFormat="false" ht="15" hidden="false" customHeight="false" outlineLevel="0" collapsed="false">
      <c r="A115" s="7" t="n">
        <v>45397</v>
      </c>
      <c r="B115" s="8" t="s">
        <v>516</v>
      </c>
      <c r="C115" s="8" t="s">
        <v>517</v>
      </c>
      <c r="D115" s="8" t="s">
        <v>395</v>
      </c>
      <c r="E115" s="8" t="n">
        <v>6250</v>
      </c>
      <c r="F115" s="8" t="s">
        <v>131</v>
      </c>
      <c r="G115" s="8" t="s">
        <v>132</v>
      </c>
      <c r="H115" s="3" t="str">
        <f aca="false">IF(G115="OK","YES","no")</f>
        <v>YES</v>
      </c>
      <c r="I115" s="9" t="b">
        <f aca="false">COUNTIF('Roll Schedule'!$A$47:$A$790,A115)&gt;0</f>
        <v>1</v>
      </c>
      <c r="J115" s="8" t="s">
        <v>151</v>
      </c>
      <c r="K115" s="8" t="s">
        <v>518</v>
      </c>
    </row>
    <row r="116" customFormat="false" ht="15" hidden="false" customHeight="false" outlineLevel="0" collapsed="false">
      <c r="A116" s="7" t="n">
        <v>45398</v>
      </c>
      <c r="B116" s="8" t="s">
        <v>519</v>
      </c>
      <c r="C116" s="8" t="s">
        <v>520</v>
      </c>
      <c r="D116" s="8" t="s">
        <v>399</v>
      </c>
      <c r="E116" s="8" t="n">
        <v>6150</v>
      </c>
      <c r="F116" s="8" t="s">
        <v>131</v>
      </c>
      <c r="G116" s="8" t="s">
        <v>132</v>
      </c>
      <c r="H116" s="3" t="str">
        <f aca="false">IF(G116="OK","YES","no")</f>
        <v>YES</v>
      </c>
      <c r="I116" s="9" t="b">
        <f aca="false">COUNTIF('Roll Schedule'!$A$47:$A$790,A116)&gt;0</f>
        <v>1</v>
      </c>
      <c r="J116" s="8" t="s">
        <v>151</v>
      </c>
      <c r="K116" s="8" t="s">
        <v>521</v>
      </c>
    </row>
    <row r="117" customFormat="false" ht="15" hidden="false" customHeight="false" outlineLevel="0" collapsed="false">
      <c r="A117" s="7" t="n">
        <v>45399</v>
      </c>
      <c r="B117" s="8" t="s">
        <v>522</v>
      </c>
      <c r="C117" s="8" t="s">
        <v>523</v>
      </c>
      <c r="D117" s="8" t="s">
        <v>399</v>
      </c>
      <c r="E117" s="8" t="n">
        <v>6150</v>
      </c>
      <c r="F117" s="8" t="s">
        <v>131</v>
      </c>
      <c r="G117" s="8" t="s">
        <v>132</v>
      </c>
      <c r="H117" s="3" t="str">
        <f aca="false">IF(G117="OK","YES","no")</f>
        <v>YES</v>
      </c>
      <c r="I117" s="9" t="b">
        <f aca="false">COUNTIF('Roll Schedule'!$A$47:$A$790,A117)&gt;0</f>
        <v>0</v>
      </c>
      <c r="J117" s="8" t="s">
        <v>151</v>
      </c>
      <c r="K117" s="8" t="s">
        <v>524</v>
      </c>
    </row>
    <row r="118" customFormat="false" ht="15" hidden="false" customHeight="false" outlineLevel="0" collapsed="false">
      <c r="A118" s="7" t="n">
        <v>45400</v>
      </c>
      <c r="B118" s="8" t="s">
        <v>525</v>
      </c>
      <c r="C118" s="8" t="s">
        <v>526</v>
      </c>
      <c r="D118" s="8" t="s">
        <v>399</v>
      </c>
      <c r="E118" s="8" t="n">
        <v>6150</v>
      </c>
      <c r="F118" s="8" t="s">
        <v>131</v>
      </c>
      <c r="G118" s="8" t="s">
        <v>132</v>
      </c>
      <c r="H118" s="3" t="str">
        <f aca="false">IF(G118="OK","YES","no")</f>
        <v>YES</v>
      </c>
      <c r="I118" s="9" t="b">
        <f aca="false">COUNTIF('Roll Schedule'!$A$47:$A$790,A118)&gt;0</f>
        <v>1</v>
      </c>
      <c r="J118" s="8" t="s">
        <v>151</v>
      </c>
      <c r="K118" s="8" t="s">
        <v>527</v>
      </c>
    </row>
    <row r="119" customFormat="false" ht="15" hidden="false" customHeight="false" outlineLevel="0" collapsed="false">
      <c r="A119" s="7" t="n">
        <v>45404</v>
      </c>
      <c r="B119" s="8" t="s">
        <v>528</v>
      </c>
      <c r="C119" s="8" t="s">
        <v>529</v>
      </c>
      <c r="D119" s="8" t="s">
        <v>399</v>
      </c>
      <c r="E119" s="8" t="n">
        <v>6150</v>
      </c>
      <c r="F119" s="8" t="s">
        <v>131</v>
      </c>
      <c r="G119" s="8" t="s">
        <v>132</v>
      </c>
      <c r="H119" s="3" t="str">
        <f aca="false">IF(G119="OK","YES","no")</f>
        <v>YES</v>
      </c>
      <c r="I119" s="9" t="b">
        <f aca="false">COUNTIF('Roll Schedule'!$A$47:$A$790,A119)&gt;0</f>
        <v>1</v>
      </c>
      <c r="J119" s="8" t="s">
        <v>151</v>
      </c>
      <c r="K119" s="8" t="s">
        <v>530</v>
      </c>
    </row>
    <row r="120" customFormat="false" ht="15" hidden="false" customHeight="false" outlineLevel="0" collapsed="false">
      <c r="A120" s="7" t="n">
        <v>45405</v>
      </c>
      <c r="B120" s="8" t="s">
        <v>531</v>
      </c>
      <c r="C120" s="8" t="s">
        <v>532</v>
      </c>
      <c r="D120" s="8" t="s">
        <v>399</v>
      </c>
      <c r="E120" s="8" t="n">
        <v>6150</v>
      </c>
      <c r="F120" s="8" t="s">
        <v>131</v>
      </c>
      <c r="G120" s="8" t="s">
        <v>132</v>
      </c>
      <c r="H120" s="3" t="str">
        <f aca="false">IF(G120="OK","YES","no")</f>
        <v>YES</v>
      </c>
      <c r="I120" s="9" t="b">
        <f aca="false">COUNTIF('Roll Schedule'!$A$47:$A$790,A120)&gt;0</f>
        <v>1</v>
      </c>
      <c r="J120" s="8" t="s">
        <v>151</v>
      </c>
      <c r="K120" s="8" t="s">
        <v>533</v>
      </c>
    </row>
    <row r="121" customFormat="false" ht="15" hidden="false" customHeight="false" outlineLevel="0" collapsed="false">
      <c r="A121" s="7" t="n">
        <v>45406</v>
      </c>
      <c r="B121" s="8" t="s">
        <v>534</v>
      </c>
      <c r="C121" s="8" t="s">
        <v>535</v>
      </c>
      <c r="D121" s="8" t="s">
        <v>388</v>
      </c>
      <c r="E121" s="8" t="n">
        <v>6050</v>
      </c>
      <c r="F121" s="8" t="s">
        <v>131</v>
      </c>
      <c r="G121" s="8" t="s">
        <v>132</v>
      </c>
      <c r="H121" s="3" t="str">
        <f aca="false">IF(G121="OK","YES","no")</f>
        <v>YES</v>
      </c>
      <c r="I121" s="9" t="b">
        <f aca="false">COUNTIF('Roll Schedule'!$A$47:$A$790,A121)&gt;0</f>
        <v>1</v>
      </c>
      <c r="J121" s="8" t="s">
        <v>151</v>
      </c>
      <c r="K121" s="8" t="s">
        <v>536</v>
      </c>
    </row>
    <row r="122" customFormat="false" ht="15" hidden="false" customHeight="false" outlineLevel="0" collapsed="false">
      <c r="A122" s="7" t="n">
        <v>45407</v>
      </c>
      <c r="B122" s="8" t="s">
        <v>537</v>
      </c>
      <c r="C122" s="8" t="s">
        <v>538</v>
      </c>
      <c r="D122" s="8" t="s">
        <v>388</v>
      </c>
      <c r="E122" s="8" t="n">
        <v>6050</v>
      </c>
      <c r="F122" s="8" t="s">
        <v>131</v>
      </c>
      <c r="G122" s="8" t="s">
        <v>132</v>
      </c>
      <c r="H122" s="3" t="str">
        <f aca="false">IF(G122="OK","YES","no")</f>
        <v>YES</v>
      </c>
      <c r="I122" s="9" t="b">
        <f aca="false">COUNTIF('Roll Schedule'!$A$47:$A$790,A122)&gt;0</f>
        <v>1</v>
      </c>
      <c r="J122" s="8" t="s">
        <v>151</v>
      </c>
      <c r="K122" s="8" t="s">
        <v>539</v>
      </c>
    </row>
    <row r="123" customFormat="false" ht="15" hidden="false" customHeight="false" outlineLevel="0" collapsed="false">
      <c r="A123" s="7" t="n">
        <v>45408</v>
      </c>
      <c r="B123" s="8" t="s">
        <v>540</v>
      </c>
      <c r="C123" s="8" t="s">
        <v>541</v>
      </c>
      <c r="D123" s="8" t="s">
        <v>388</v>
      </c>
      <c r="E123" s="8" t="n">
        <v>6050</v>
      </c>
      <c r="F123" s="8" t="s">
        <v>131</v>
      </c>
      <c r="G123" s="8" t="s">
        <v>132</v>
      </c>
      <c r="H123" s="3" t="str">
        <f aca="false">IF(G123="OK","YES","no")</f>
        <v>YES</v>
      </c>
      <c r="I123" s="9" t="b">
        <f aca="false">COUNTIF('Roll Schedule'!$A$47:$A$790,A123)&gt;0</f>
        <v>1</v>
      </c>
      <c r="J123" s="8" t="s">
        <v>151</v>
      </c>
      <c r="K123" s="8" t="s">
        <v>542</v>
      </c>
    </row>
    <row r="124" customFormat="false" ht="15" hidden="false" customHeight="false" outlineLevel="0" collapsed="false">
      <c r="A124" s="7" t="n">
        <v>45411</v>
      </c>
      <c r="B124" s="8" t="s">
        <v>366</v>
      </c>
      <c r="C124" s="8" t="s">
        <v>543</v>
      </c>
      <c r="D124" s="8" t="s">
        <v>388</v>
      </c>
      <c r="E124" s="8" t="n">
        <v>6050</v>
      </c>
      <c r="F124" s="8" t="s">
        <v>142</v>
      </c>
      <c r="G124" s="8" t="s">
        <v>143</v>
      </c>
      <c r="H124" s="3" t="str">
        <f aca="false">IF(G124="OK","YES","no")</f>
        <v>no</v>
      </c>
      <c r="I124" s="9" t="b">
        <f aca="false">COUNTIF('Roll Schedule'!$A$47:$A$790,A124)&gt;0</f>
        <v>1</v>
      </c>
      <c r="J124" s="8" t="s">
        <v>151</v>
      </c>
      <c r="K124" s="8" t="s">
        <v>544</v>
      </c>
    </row>
    <row r="125" customFormat="false" ht="15" hidden="false" customHeight="false" outlineLevel="0" collapsed="false">
      <c r="A125" s="7" t="n">
        <v>45412</v>
      </c>
      <c r="B125" s="8" t="s">
        <v>545</v>
      </c>
      <c r="C125" s="8" t="s">
        <v>546</v>
      </c>
      <c r="D125" s="8" t="s">
        <v>547</v>
      </c>
      <c r="E125" s="8"/>
      <c r="F125" s="8" t="s">
        <v>131</v>
      </c>
      <c r="G125" s="8" t="s">
        <v>245</v>
      </c>
      <c r="H125" s="3" t="str">
        <f aca="false">IF(G125="OK","YES","no")</f>
        <v>no</v>
      </c>
      <c r="I125" s="9" t="b">
        <f aca="false">COUNTIF('Roll Schedule'!$A$47:$A$790,A125)&gt;0</f>
        <v>1</v>
      </c>
      <c r="J125" s="8" t="s">
        <v>151</v>
      </c>
      <c r="K125" s="8" t="s">
        <v>548</v>
      </c>
    </row>
    <row r="126" customFormat="false" ht="15" hidden="false" customHeight="false" outlineLevel="0" collapsed="false">
      <c r="A126" s="7" t="n">
        <v>45414</v>
      </c>
      <c r="B126" s="8" t="s">
        <v>549</v>
      </c>
      <c r="C126" s="8" t="s">
        <v>550</v>
      </c>
      <c r="D126" s="8" t="s">
        <v>547</v>
      </c>
      <c r="E126" s="8"/>
      <c r="F126" s="8" t="s">
        <v>131</v>
      </c>
      <c r="G126" s="8" t="s">
        <v>245</v>
      </c>
      <c r="H126" s="3" t="str">
        <f aca="false">IF(G126="OK","YES","no")</f>
        <v>no</v>
      </c>
      <c r="I126" s="9" t="b">
        <f aca="false">COUNTIF('Roll Schedule'!$A$47:$A$790,A126)&gt;0</f>
        <v>1</v>
      </c>
      <c r="J126" s="8" t="s">
        <v>151</v>
      </c>
      <c r="K126" s="8" t="s">
        <v>551</v>
      </c>
    </row>
    <row r="127" customFormat="false" ht="15" hidden="false" customHeight="false" outlineLevel="0" collapsed="false">
      <c r="A127" s="7" t="n">
        <v>45415</v>
      </c>
      <c r="B127" s="8" t="s">
        <v>552</v>
      </c>
      <c r="C127" s="8" t="s">
        <v>553</v>
      </c>
      <c r="D127" s="8" t="s">
        <v>547</v>
      </c>
      <c r="E127" s="8"/>
      <c r="F127" s="8" t="s">
        <v>131</v>
      </c>
      <c r="G127" s="8" t="s">
        <v>245</v>
      </c>
      <c r="H127" s="3" t="str">
        <f aca="false">IF(G127="OK","YES","no")</f>
        <v>no</v>
      </c>
      <c r="I127" s="9" t="b">
        <f aca="false">COUNTIF('Roll Schedule'!$A$47:$A$790,A127)&gt;0</f>
        <v>1</v>
      </c>
      <c r="J127" s="8" t="s">
        <v>151</v>
      </c>
      <c r="K127" s="8" t="s">
        <v>554</v>
      </c>
    </row>
    <row r="128" customFormat="false" ht="15" hidden="false" customHeight="false" outlineLevel="0" collapsed="false">
      <c r="A128" s="7" t="n">
        <v>45418</v>
      </c>
      <c r="B128" s="8" t="s">
        <v>555</v>
      </c>
      <c r="C128" s="8" t="s">
        <v>556</v>
      </c>
      <c r="D128" s="8" t="s">
        <v>547</v>
      </c>
      <c r="E128" s="8"/>
      <c r="F128" s="8" t="s">
        <v>131</v>
      </c>
      <c r="G128" s="8" t="s">
        <v>245</v>
      </c>
      <c r="H128" s="3" t="str">
        <f aca="false">IF(G128="OK","YES","no")</f>
        <v>no</v>
      </c>
      <c r="I128" s="9" t="b">
        <f aca="false">COUNTIF('Roll Schedule'!$A$47:$A$790,A128)&gt;0</f>
        <v>1</v>
      </c>
      <c r="J128" s="8" t="s">
        <v>151</v>
      </c>
      <c r="K128" s="8" t="s">
        <v>557</v>
      </c>
    </row>
    <row r="129" customFormat="false" ht="15" hidden="false" customHeight="false" outlineLevel="0" collapsed="false">
      <c r="A129" s="7" t="n">
        <v>45420</v>
      </c>
      <c r="B129" s="8" t="s">
        <v>558</v>
      </c>
      <c r="C129" s="8" t="s">
        <v>559</v>
      </c>
      <c r="D129" s="8" t="s">
        <v>547</v>
      </c>
      <c r="E129" s="8"/>
      <c r="F129" s="8" t="s">
        <v>131</v>
      </c>
      <c r="G129" s="8" t="s">
        <v>245</v>
      </c>
      <c r="H129" s="3" t="str">
        <f aca="false">IF(G129="OK","YES","no")</f>
        <v>no</v>
      </c>
      <c r="I129" s="9" t="b">
        <f aca="false">COUNTIF('Roll Schedule'!$A$47:$A$790,A129)&gt;0</f>
        <v>1</v>
      </c>
      <c r="J129" s="8" t="s">
        <v>151</v>
      </c>
      <c r="K129" s="8" t="s">
        <v>560</v>
      </c>
    </row>
    <row r="130" customFormat="false" ht="15" hidden="false" customHeight="false" outlineLevel="0" collapsed="false">
      <c r="A130" s="7" t="n">
        <v>45421</v>
      </c>
      <c r="B130" s="8" t="s">
        <v>561</v>
      </c>
      <c r="C130" s="8" t="s">
        <v>562</v>
      </c>
      <c r="D130" s="8" t="s">
        <v>547</v>
      </c>
      <c r="E130" s="8"/>
      <c r="F130" s="8" t="s">
        <v>131</v>
      </c>
      <c r="G130" s="8" t="s">
        <v>245</v>
      </c>
      <c r="H130" s="3" t="str">
        <f aca="false">IF(G130="OK","YES","no")</f>
        <v>no</v>
      </c>
      <c r="I130" s="9" t="b">
        <f aca="false">COUNTIF('Roll Schedule'!$A$47:$A$790,A130)&gt;0</f>
        <v>1</v>
      </c>
      <c r="J130" s="8" t="s">
        <v>151</v>
      </c>
      <c r="K130" s="8" t="s">
        <v>563</v>
      </c>
    </row>
    <row r="131" customFormat="false" ht="15" hidden="false" customHeight="false" outlineLevel="0" collapsed="false">
      <c r="A131" s="7" t="n">
        <v>45422</v>
      </c>
      <c r="B131" s="8" t="s">
        <v>564</v>
      </c>
      <c r="C131" s="8" t="s">
        <v>565</v>
      </c>
      <c r="D131" s="8" t="s">
        <v>547</v>
      </c>
      <c r="E131" s="8"/>
      <c r="F131" s="8" t="s">
        <v>142</v>
      </c>
      <c r="G131" s="8" t="s">
        <v>143</v>
      </c>
      <c r="H131" s="3" t="str">
        <f aca="false">IF(G131="OK","YES","no")</f>
        <v>no</v>
      </c>
      <c r="I131" s="9" t="b">
        <f aca="false">COUNTIF('Roll Schedule'!$A$47:$A$790,A131)&gt;0</f>
        <v>1</v>
      </c>
      <c r="J131" s="8" t="s">
        <v>151</v>
      </c>
      <c r="K131" s="8" t="s">
        <v>566</v>
      </c>
    </row>
    <row r="132" customFormat="false" ht="15" hidden="false" customHeight="false" outlineLevel="0" collapsed="false">
      <c r="A132" s="7" t="n">
        <v>45425</v>
      </c>
      <c r="B132" s="8" t="s">
        <v>564</v>
      </c>
      <c r="C132" s="8" t="s">
        <v>567</v>
      </c>
      <c r="D132" s="8" t="s">
        <v>547</v>
      </c>
      <c r="E132" s="8"/>
      <c r="F132" s="8" t="s">
        <v>131</v>
      </c>
      <c r="G132" s="8" t="s">
        <v>245</v>
      </c>
      <c r="H132" s="3" t="str">
        <f aca="false">IF(G132="OK","YES","no")</f>
        <v>no</v>
      </c>
      <c r="I132" s="9" t="b">
        <f aca="false">COUNTIF('Roll Schedule'!$A$47:$A$790,A132)&gt;0</f>
        <v>1</v>
      </c>
      <c r="J132" s="8" t="s">
        <v>151</v>
      </c>
      <c r="K132" s="8" t="s">
        <v>568</v>
      </c>
    </row>
    <row r="133" customFormat="false" ht="15" hidden="false" customHeight="false" outlineLevel="0" collapsed="false">
      <c r="A133" s="7" t="n">
        <v>45426</v>
      </c>
      <c r="B133" s="8" t="s">
        <v>569</v>
      </c>
      <c r="C133" s="8" t="s">
        <v>570</v>
      </c>
      <c r="D133" s="8" t="s">
        <v>547</v>
      </c>
      <c r="E133" s="8"/>
      <c r="F133" s="8" t="s">
        <v>131</v>
      </c>
      <c r="G133" s="8" t="s">
        <v>245</v>
      </c>
      <c r="H133" s="3" t="str">
        <f aca="false">IF(G133="OK","YES","no")</f>
        <v>no</v>
      </c>
      <c r="I133" s="9" t="b">
        <f aca="false">COUNTIF('Roll Schedule'!$A$47:$A$790,A133)&gt;0</f>
        <v>1</v>
      </c>
      <c r="J133" s="8" t="s">
        <v>151</v>
      </c>
      <c r="K133" s="8" t="s">
        <v>571</v>
      </c>
    </row>
    <row r="134" customFormat="false" ht="15" hidden="false" customHeight="false" outlineLevel="0" collapsed="false">
      <c r="A134" s="7" t="n">
        <v>45427</v>
      </c>
      <c r="B134" s="8" t="s">
        <v>572</v>
      </c>
      <c r="C134" s="8" t="s">
        <v>573</v>
      </c>
      <c r="D134" s="8" t="s">
        <v>547</v>
      </c>
      <c r="E134" s="8"/>
      <c r="F134" s="8" t="s">
        <v>131</v>
      </c>
      <c r="G134" s="8" t="s">
        <v>245</v>
      </c>
      <c r="H134" s="3" t="str">
        <f aca="false">IF(G134="OK","YES","no")</f>
        <v>no</v>
      </c>
      <c r="I134" s="9" t="b">
        <f aca="false">COUNTIF('Roll Schedule'!$A$47:$A$790,A134)&gt;0</f>
        <v>1</v>
      </c>
      <c r="J134" s="8" t="s">
        <v>151</v>
      </c>
      <c r="K134" s="8" t="s">
        <v>574</v>
      </c>
    </row>
    <row r="135" customFormat="false" ht="15" hidden="false" customHeight="false" outlineLevel="0" collapsed="false">
      <c r="A135" s="7" t="n">
        <v>45428</v>
      </c>
      <c r="B135" s="8" t="s">
        <v>575</v>
      </c>
      <c r="C135" s="8" t="s">
        <v>576</v>
      </c>
      <c r="D135" s="8" t="s">
        <v>547</v>
      </c>
      <c r="E135" s="8"/>
      <c r="F135" s="8" t="s">
        <v>131</v>
      </c>
      <c r="G135" s="8" t="s">
        <v>245</v>
      </c>
      <c r="H135" s="3" t="str">
        <f aca="false">IF(G135="OK","YES","no")</f>
        <v>no</v>
      </c>
      <c r="I135" s="9" t="b">
        <f aca="false">COUNTIF('Roll Schedule'!$A$47:$A$790,A135)&gt;0</f>
        <v>1</v>
      </c>
      <c r="J135" s="8" t="s">
        <v>151</v>
      </c>
      <c r="K135" s="8" t="s">
        <v>577</v>
      </c>
    </row>
    <row r="136" customFormat="false" ht="15" hidden="false" customHeight="false" outlineLevel="0" collapsed="false">
      <c r="A136" s="7" t="n">
        <v>45463</v>
      </c>
      <c r="B136" s="8" t="s">
        <v>578</v>
      </c>
      <c r="C136" s="8" t="s">
        <v>579</v>
      </c>
      <c r="D136" s="8" t="s">
        <v>547</v>
      </c>
      <c r="E136" s="8"/>
      <c r="F136" s="8" t="s">
        <v>131</v>
      </c>
      <c r="G136" s="8" t="s">
        <v>143</v>
      </c>
      <c r="H136" s="3" t="str">
        <f aca="false">IF(G136="OK","YES","no")</f>
        <v>no</v>
      </c>
      <c r="I136" s="9" t="b">
        <f aca="false">COUNTIF('Roll Schedule'!$A$47:$A$790,A136)&gt;0</f>
        <v>1</v>
      </c>
      <c r="J136" s="8" t="s">
        <v>151</v>
      </c>
      <c r="K136" s="8" t="s">
        <v>580</v>
      </c>
    </row>
    <row r="137" customFormat="false" ht="15" hidden="false" customHeight="false" outlineLevel="0" collapsed="false">
      <c r="A137" s="7" t="n">
        <v>45467</v>
      </c>
      <c r="B137" s="8" t="s">
        <v>581</v>
      </c>
      <c r="C137" s="8" t="s">
        <v>582</v>
      </c>
      <c r="D137" s="8" t="s">
        <v>547</v>
      </c>
      <c r="E137" s="8"/>
      <c r="F137" s="8" t="s">
        <v>131</v>
      </c>
      <c r="G137" s="8" t="s">
        <v>245</v>
      </c>
      <c r="H137" s="3" t="str">
        <f aca="false">IF(G137="OK","YES","no")</f>
        <v>no</v>
      </c>
      <c r="I137" s="9" t="b">
        <f aca="false">COUNTIF('Roll Schedule'!$A$47:$A$790,A137)&gt;0</f>
        <v>1</v>
      </c>
      <c r="J137" s="8" t="s">
        <v>151</v>
      </c>
      <c r="K137" s="8" t="s">
        <v>583</v>
      </c>
    </row>
    <row r="138" customFormat="false" ht="15" hidden="false" customHeight="false" outlineLevel="0" collapsed="false">
      <c r="A138" s="7" t="n">
        <v>45468</v>
      </c>
      <c r="B138" s="8" t="s">
        <v>584</v>
      </c>
      <c r="C138" s="8" t="s">
        <v>585</v>
      </c>
      <c r="D138" s="8" t="s">
        <v>547</v>
      </c>
      <c r="E138" s="8"/>
      <c r="F138" s="8" t="s">
        <v>131</v>
      </c>
      <c r="G138" s="8" t="s">
        <v>245</v>
      </c>
      <c r="H138" s="3" t="str">
        <f aca="false">IF(G138="OK","YES","no")</f>
        <v>no</v>
      </c>
      <c r="I138" s="9" t="b">
        <f aca="false">COUNTIF('Roll Schedule'!$A$47:$A$790,A138)&gt;0</f>
        <v>1</v>
      </c>
      <c r="J138" s="8" t="s">
        <v>151</v>
      </c>
      <c r="K138" s="8" t="s">
        <v>586</v>
      </c>
    </row>
    <row r="139" customFormat="false" ht="15" hidden="false" customHeight="false" outlineLevel="0" collapsed="false">
      <c r="A139" s="7" t="n">
        <v>45469</v>
      </c>
      <c r="B139" s="8" t="s">
        <v>587</v>
      </c>
      <c r="C139" s="8" t="s">
        <v>588</v>
      </c>
      <c r="D139" s="8" t="s">
        <v>547</v>
      </c>
      <c r="E139" s="8"/>
      <c r="F139" s="8" t="s">
        <v>131</v>
      </c>
      <c r="G139" s="8" t="s">
        <v>245</v>
      </c>
      <c r="H139" s="3" t="str">
        <f aca="false">IF(G139="OK","YES","no")</f>
        <v>no</v>
      </c>
      <c r="I139" s="9" t="b">
        <f aca="false">COUNTIF('Roll Schedule'!$A$47:$A$790,A139)&gt;0</f>
        <v>1</v>
      </c>
      <c r="J139" s="8" t="s">
        <v>151</v>
      </c>
      <c r="K139" s="8" t="s">
        <v>589</v>
      </c>
    </row>
    <row r="140" customFormat="false" ht="15" hidden="false" customHeight="false" outlineLevel="0" collapsed="false">
      <c r="A140" s="7" t="n">
        <v>45470</v>
      </c>
      <c r="B140" s="8" t="s">
        <v>590</v>
      </c>
      <c r="C140" s="8" t="s">
        <v>591</v>
      </c>
      <c r="D140" s="8" t="s">
        <v>547</v>
      </c>
      <c r="E140" s="8"/>
      <c r="F140" s="8" t="s">
        <v>131</v>
      </c>
      <c r="G140" s="8" t="s">
        <v>245</v>
      </c>
      <c r="H140" s="3" t="str">
        <f aca="false">IF(G140="OK","YES","no")</f>
        <v>no</v>
      </c>
      <c r="I140" s="9" t="b">
        <f aca="false">COUNTIF('Roll Schedule'!$A$47:$A$790,A140)&gt;0</f>
        <v>1</v>
      </c>
      <c r="J140" s="8" t="s">
        <v>151</v>
      </c>
      <c r="K140" s="8" t="s">
        <v>592</v>
      </c>
    </row>
    <row r="141" customFormat="false" ht="15" hidden="false" customHeight="false" outlineLevel="0" collapsed="false">
      <c r="A141" s="7" t="n">
        <v>45474</v>
      </c>
      <c r="B141" s="8" t="s">
        <v>593</v>
      </c>
      <c r="C141" s="8" t="s">
        <v>594</v>
      </c>
      <c r="D141" s="8" t="s">
        <v>547</v>
      </c>
      <c r="E141" s="8"/>
      <c r="F141" s="8" t="s">
        <v>131</v>
      </c>
      <c r="G141" s="8" t="s">
        <v>245</v>
      </c>
      <c r="H141" s="3" t="str">
        <f aca="false">IF(G141="OK","YES","no")</f>
        <v>no</v>
      </c>
      <c r="I141" s="9" t="b">
        <f aca="false">COUNTIF('Roll Schedule'!$A$47:$A$790,A141)&gt;0</f>
        <v>1</v>
      </c>
      <c r="J141" s="8" t="s">
        <v>151</v>
      </c>
      <c r="K141" s="8" t="s">
        <v>595</v>
      </c>
    </row>
    <row r="142" customFormat="false" ht="15" hidden="false" customHeight="false" outlineLevel="0" collapsed="false">
      <c r="A142" s="7" t="n">
        <v>45474</v>
      </c>
      <c r="B142" s="8" t="s">
        <v>593</v>
      </c>
      <c r="C142" s="8" t="s">
        <v>596</v>
      </c>
      <c r="D142" s="8" t="s">
        <v>547</v>
      </c>
      <c r="E142" s="8"/>
      <c r="F142" s="8" t="s">
        <v>131</v>
      </c>
      <c r="G142" s="8" t="s">
        <v>251</v>
      </c>
      <c r="H142" s="3" t="str">
        <f aca="false">IF(G142="OK","YES","no")</f>
        <v>no</v>
      </c>
      <c r="I142" s="9" t="b">
        <f aca="false">COUNTIF('Roll Schedule'!$A$47:$A$790,A142)&gt;0</f>
        <v>1</v>
      </c>
      <c r="J142" s="8" t="s">
        <v>151</v>
      </c>
      <c r="K142" s="8" t="s">
        <v>597</v>
      </c>
    </row>
    <row r="143" customFormat="false" ht="15" hidden="false" customHeight="false" outlineLevel="0" collapsed="false">
      <c r="A143" s="7" t="n">
        <v>45475</v>
      </c>
      <c r="B143" s="8" t="s">
        <v>598</v>
      </c>
      <c r="C143" s="8" t="s">
        <v>599</v>
      </c>
      <c r="D143" s="8" t="s">
        <v>547</v>
      </c>
      <c r="E143" s="8"/>
      <c r="F143" s="8" t="s">
        <v>131</v>
      </c>
      <c r="G143" s="8" t="s">
        <v>245</v>
      </c>
      <c r="H143" s="3" t="str">
        <f aca="false">IF(G143="OK","YES","no")</f>
        <v>no</v>
      </c>
      <c r="I143" s="9" t="b">
        <f aca="false">COUNTIF('Roll Schedule'!$A$47:$A$790,A143)&gt;0</f>
        <v>1</v>
      </c>
      <c r="J143" s="8" t="s">
        <v>151</v>
      </c>
      <c r="K143" s="8" t="s">
        <v>600</v>
      </c>
    </row>
    <row r="144" customFormat="false" ht="15" hidden="false" customHeight="false" outlineLevel="0" collapsed="false">
      <c r="A144" s="7" t="n">
        <v>45476</v>
      </c>
      <c r="B144" s="8" t="s">
        <v>601</v>
      </c>
      <c r="C144" s="8" t="s">
        <v>602</v>
      </c>
      <c r="D144" s="8" t="s">
        <v>547</v>
      </c>
      <c r="E144" s="8"/>
      <c r="F144" s="8" t="s">
        <v>131</v>
      </c>
      <c r="G144" s="8" t="s">
        <v>245</v>
      </c>
      <c r="H144" s="3" t="str">
        <f aca="false">IF(G144="OK","YES","no")</f>
        <v>no</v>
      </c>
      <c r="I144" s="9" t="b">
        <f aca="false">COUNTIF('Roll Schedule'!$A$47:$A$790,A144)&gt;0</f>
        <v>1</v>
      </c>
      <c r="J144" s="8" t="s">
        <v>151</v>
      </c>
      <c r="K144" s="8" t="s">
        <v>603</v>
      </c>
    </row>
    <row r="145" customFormat="false" ht="15" hidden="false" customHeight="false" outlineLevel="0" collapsed="false">
      <c r="A145" s="7" t="n">
        <v>45477</v>
      </c>
      <c r="B145" s="8" t="s">
        <v>604</v>
      </c>
      <c r="C145" s="8" t="s">
        <v>605</v>
      </c>
      <c r="D145" s="8" t="s">
        <v>547</v>
      </c>
      <c r="E145" s="8"/>
      <c r="F145" s="8" t="s">
        <v>131</v>
      </c>
      <c r="G145" s="8" t="s">
        <v>245</v>
      </c>
      <c r="H145" s="3" t="str">
        <f aca="false">IF(G145="OK","YES","no")</f>
        <v>no</v>
      </c>
      <c r="I145" s="9" t="b">
        <f aca="false">COUNTIF('Roll Schedule'!$A$47:$A$790,A145)&gt;0</f>
        <v>1</v>
      </c>
      <c r="J145" s="8" t="s">
        <v>151</v>
      </c>
      <c r="K145" s="8" t="s">
        <v>606</v>
      </c>
    </row>
    <row r="146" customFormat="false" ht="15" hidden="false" customHeight="false" outlineLevel="0" collapsed="false">
      <c r="A146" s="7" t="n">
        <v>45478</v>
      </c>
      <c r="B146" s="8" t="s">
        <v>607</v>
      </c>
      <c r="C146" s="8" t="s">
        <v>608</v>
      </c>
      <c r="D146" s="8" t="s">
        <v>547</v>
      </c>
      <c r="E146" s="8"/>
      <c r="F146" s="8" t="s">
        <v>131</v>
      </c>
      <c r="G146" s="8" t="s">
        <v>245</v>
      </c>
      <c r="H146" s="3" t="str">
        <f aca="false">IF(G146="OK","YES","no")</f>
        <v>no</v>
      </c>
      <c r="I146" s="9" t="b">
        <f aca="false">COUNTIF('Roll Schedule'!$A$47:$A$790,A146)&gt;0</f>
        <v>1</v>
      </c>
      <c r="J146" s="8" t="s">
        <v>151</v>
      </c>
      <c r="K146" s="8" t="s">
        <v>609</v>
      </c>
    </row>
    <row r="147" customFormat="false" ht="15" hidden="false" customHeight="false" outlineLevel="0" collapsed="false">
      <c r="A147" s="7" t="n">
        <v>45481</v>
      </c>
      <c r="B147" s="8" t="s">
        <v>610</v>
      </c>
      <c r="C147" s="8" t="s">
        <v>611</v>
      </c>
      <c r="D147" s="8" t="s">
        <v>547</v>
      </c>
      <c r="E147" s="8"/>
      <c r="F147" s="8" t="s">
        <v>131</v>
      </c>
      <c r="G147" s="8" t="s">
        <v>245</v>
      </c>
      <c r="H147" s="3" t="str">
        <f aca="false">IF(G147="OK","YES","no")</f>
        <v>no</v>
      </c>
      <c r="I147" s="9" t="b">
        <f aca="false">COUNTIF('Roll Schedule'!$A$47:$A$790,A147)&gt;0</f>
        <v>1</v>
      </c>
      <c r="J147" s="8" t="s">
        <v>151</v>
      </c>
      <c r="K147" s="8" t="s">
        <v>612</v>
      </c>
    </row>
    <row r="148" customFormat="false" ht="15" hidden="false" customHeight="false" outlineLevel="0" collapsed="false">
      <c r="A148" s="7" t="n">
        <v>45482</v>
      </c>
      <c r="B148" s="8" t="s">
        <v>613</v>
      </c>
      <c r="C148" s="8" t="s">
        <v>614</v>
      </c>
      <c r="D148" s="8" t="s">
        <v>547</v>
      </c>
      <c r="E148" s="8"/>
      <c r="F148" s="8" t="s">
        <v>131</v>
      </c>
      <c r="G148" s="8" t="s">
        <v>245</v>
      </c>
      <c r="H148" s="3" t="str">
        <f aca="false">IF(G148="OK","YES","no")</f>
        <v>no</v>
      </c>
      <c r="I148" s="9" t="b">
        <f aca="false">COUNTIF('Roll Schedule'!$A$47:$A$790,A148)&gt;0</f>
        <v>1</v>
      </c>
      <c r="J148" s="8" t="s">
        <v>151</v>
      </c>
      <c r="K148" s="8" t="s">
        <v>615</v>
      </c>
    </row>
    <row r="149" customFormat="false" ht="15" hidden="false" customHeight="false" outlineLevel="0" collapsed="false">
      <c r="A149" s="7" t="n">
        <v>45483</v>
      </c>
      <c r="B149" s="8" t="s">
        <v>616</v>
      </c>
      <c r="C149" s="8" t="s">
        <v>617</v>
      </c>
      <c r="D149" s="8" t="s">
        <v>547</v>
      </c>
      <c r="E149" s="8"/>
      <c r="F149" s="8" t="s">
        <v>131</v>
      </c>
      <c r="G149" s="8" t="s">
        <v>245</v>
      </c>
      <c r="H149" s="3" t="str">
        <f aca="false">IF(G149="OK","YES","no")</f>
        <v>no</v>
      </c>
      <c r="I149" s="9" t="b">
        <f aca="false">COUNTIF('Roll Schedule'!$A$47:$A$790,A149)&gt;0</f>
        <v>1</v>
      </c>
      <c r="J149" s="8" t="s">
        <v>151</v>
      </c>
      <c r="K149" s="8" t="s">
        <v>618</v>
      </c>
    </row>
    <row r="150" customFormat="false" ht="15" hidden="false" customHeight="false" outlineLevel="0" collapsed="false">
      <c r="A150" s="7" t="n">
        <v>45484</v>
      </c>
      <c r="B150" s="8" t="s">
        <v>619</v>
      </c>
      <c r="C150" s="8" t="s">
        <v>620</v>
      </c>
      <c r="D150" s="8" t="s">
        <v>547</v>
      </c>
      <c r="E150" s="8"/>
      <c r="F150" s="8" t="s">
        <v>131</v>
      </c>
      <c r="G150" s="8" t="s">
        <v>245</v>
      </c>
      <c r="H150" s="3" t="str">
        <f aca="false">IF(G150="OK","YES","no")</f>
        <v>no</v>
      </c>
      <c r="I150" s="9" t="b">
        <f aca="false">COUNTIF('Roll Schedule'!$A$47:$A$790,A150)&gt;0</f>
        <v>1</v>
      </c>
      <c r="J150" s="8" t="s">
        <v>151</v>
      </c>
      <c r="K150" s="8" t="s">
        <v>621</v>
      </c>
    </row>
    <row r="151" customFormat="false" ht="15" hidden="false" customHeight="false" outlineLevel="0" collapsed="false">
      <c r="A151" s="7" t="n">
        <v>45485</v>
      </c>
      <c r="B151" s="8" t="s">
        <v>622</v>
      </c>
      <c r="C151" s="8" t="s">
        <v>623</v>
      </c>
      <c r="D151" s="8" t="s">
        <v>547</v>
      </c>
      <c r="E151" s="8"/>
      <c r="F151" s="8" t="s">
        <v>131</v>
      </c>
      <c r="G151" s="8" t="s">
        <v>245</v>
      </c>
      <c r="H151" s="3" t="str">
        <f aca="false">IF(G151="OK","YES","no")</f>
        <v>no</v>
      </c>
      <c r="I151" s="9" t="b">
        <f aca="false">COUNTIF('Roll Schedule'!$A$47:$A$790,A151)&gt;0</f>
        <v>1</v>
      </c>
      <c r="J151" s="8" t="s">
        <v>151</v>
      </c>
      <c r="K151" s="8" t="s">
        <v>624</v>
      </c>
    </row>
    <row r="152" customFormat="false" ht="15" hidden="false" customHeight="false" outlineLevel="0" collapsed="false">
      <c r="A152" s="7" t="n">
        <v>45488</v>
      </c>
      <c r="B152" s="8" t="s">
        <v>625</v>
      </c>
      <c r="C152" s="8" t="s">
        <v>626</v>
      </c>
      <c r="D152" s="8" t="s">
        <v>547</v>
      </c>
      <c r="E152" s="8"/>
      <c r="F152" s="8" t="s">
        <v>131</v>
      </c>
      <c r="G152" s="8" t="s">
        <v>245</v>
      </c>
      <c r="H152" s="3" t="str">
        <f aca="false">IF(G152="OK","YES","no")</f>
        <v>no</v>
      </c>
      <c r="I152" s="9" t="b">
        <f aca="false">COUNTIF('Roll Schedule'!$A$47:$A$790,A152)&gt;0</f>
        <v>1</v>
      </c>
      <c r="J152" s="8" t="s">
        <v>151</v>
      </c>
      <c r="K152" s="8" t="s">
        <v>627</v>
      </c>
    </row>
    <row r="153" customFormat="false" ht="15" hidden="false" customHeight="false" outlineLevel="0" collapsed="false">
      <c r="A153" s="7" t="n">
        <v>45489</v>
      </c>
      <c r="B153" s="8" t="s">
        <v>628</v>
      </c>
      <c r="C153" s="8" t="s">
        <v>629</v>
      </c>
      <c r="D153" s="8" t="s">
        <v>547</v>
      </c>
      <c r="E153" s="8"/>
      <c r="F153" s="8" t="s">
        <v>131</v>
      </c>
      <c r="G153" s="8" t="s">
        <v>245</v>
      </c>
      <c r="H153" s="3" t="str">
        <f aca="false">IF(G153="OK","YES","no")</f>
        <v>no</v>
      </c>
      <c r="I153" s="9" t="b">
        <f aca="false">COUNTIF('Roll Schedule'!$A$47:$A$790,A153)&gt;0</f>
        <v>1</v>
      </c>
      <c r="J153" s="8" t="s">
        <v>151</v>
      </c>
      <c r="K153" s="8" t="s">
        <v>630</v>
      </c>
    </row>
    <row r="154" customFormat="false" ht="15" hidden="false" customHeight="false" outlineLevel="0" collapsed="false">
      <c r="A154" s="7" t="n">
        <v>45490</v>
      </c>
      <c r="B154" s="8" t="s">
        <v>631</v>
      </c>
      <c r="C154" s="8" t="s">
        <v>632</v>
      </c>
      <c r="D154" s="8" t="s">
        <v>547</v>
      </c>
      <c r="E154" s="8"/>
      <c r="F154" s="8" t="s">
        <v>131</v>
      </c>
      <c r="G154" s="8" t="s">
        <v>245</v>
      </c>
      <c r="H154" s="3" t="str">
        <f aca="false">IF(G154="OK","YES","no")</f>
        <v>no</v>
      </c>
      <c r="I154" s="9" t="b">
        <f aca="false">COUNTIF('Roll Schedule'!$A$47:$A$790,A154)&gt;0</f>
        <v>0</v>
      </c>
      <c r="J154" s="8" t="s">
        <v>151</v>
      </c>
      <c r="K154" s="8" t="s">
        <v>633</v>
      </c>
    </row>
    <row r="155" customFormat="false" ht="15" hidden="false" customHeight="false" outlineLevel="0" collapsed="false">
      <c r="A155" s="7" t="n">
        <v>45491</v>
      </c>
      <c r="B155" s="8" t="s">
        <v>634</v>
      </c>
      <c r="C155" s="8" t="s">
        <v>635</v>
      </c>
      <c r="D155" s="8" t="s">
        <v>547</v>
      </c>
      <c r="E155" s="8"/>
      <c r="F155" s="8" t="s">
        <v>131</v>
      </c>
      <c r="G155" s="8" t="s">
        <v>245</v>
      </c>
      <c r="H155" s="3" t="str">
        <f aca="false">IF(G155="OK","YES","no")</f>
        <v>no</v>
      </c>
      <c r="I155" s="9" t="b">
        <f aca="false">COUNTIF('Roll Schedule'!$A$47:$A$790,A155)&gt;0</f>
        <v>1</v>
      </c>
      <c r="J155" s="8" t="s">
        <v>151</v>
      </c>
      <c r="K155" s="8" t="s">
        <v>636</v>
      </c>
    </row>
    <row r="156" customFormat="false" ht="15" hidden="false" customHeight="false" outlineLevel="0" collapsed="false">
      <c r="A156" s="7" t="n">
        <v>45492</v>
      </c>
      <c r="B156" s="8" t="s">
        <v>637</v>
      </c>
      <c r="C156" s="8" t="s">
        <v>638</v>
      </c>
      <c r="D156" s="8" t="s">
        <v>547</v>
      </c>
      <c r="E156" s="8"/>
      <c r="F156" s="8" t="s">
        <v>131</v>
      </c>
      <c r="G156" s="8" t="s">
        <v>245</v>
      </c>
      <c r="H156" s="3" t="str">
        <f aca="false">IF(G156="OK","YES","no")</f>
        <v>no</v>
      </c>
      <c r="I156" s="9" t="b">
        <f aca="false">COUNTIF('Roll Schedule'!$A$47:$A$790,A156)&gt;0</f>
        <v>1</v>
      </c>
      <c r="J156" s="8" t="s">
        <v>151</v>
      </c>
      <c r="K156" s="8" t="s">
        <v>639</v>
      </c>
    </row>
    <row r="157" customFormat="false" ht="15" hidden="false" customHeight="false" outlineLevel="0" collapsed="false">
      <c r="A157" s="7" t="n">
        <v>45496</v>
      </c>
      <c r="B157" s="8" t="s">
        <v>640</v>
      </c>
      <c r="C157" s="8" t="s">
        <v>641</v>
      </c>
      <c r="D157" s="8" t="s">
        <v>547</v>
      </c>
      <c r="E157" s="8"/>
      <c r="F157" s="8" t="s">
        <v>131</v>
      </c>
      <c r="G157" s="8" t="s">
        <v>245</v>
      </c>
      <c r="H157" s="3" t="str">
        <f aca="false">IF(G157="OK","YES","no")</f>
        <v>no</v>
      </c>
      <c r="I157" s="9" t="b">
        <f aca="false">COUNTIF('Roll Schedule'!$A$47:$A$790,A157)&gt;0</f>
        <v>1</v>
      </c>
      <c r="J157" s="8" t="s">
        <v>151</v>
      </c>
      <c r="K157" s="8" t="s">
        <v>642</v>
      </c>
    </row>
    <row r="158" customFormat="false" ht="15" hidden="false" customHeight="false" outlineLevel="0" collapsed="false">
      <c r="A158" s="7" t="n">
        <v>45497</v>
      </c>
      <c r="B158" s="8" t="s">
        <v>643</v>
      </c>
      <c r="C158" s="8" t="s">
        <v>644</v>
      </c>
      <c r="D158" s="8" t="s">
        <v>547</v>
      </c>
      <c r="E158" s="8"/>
      <c r="F158" s="8" t="s">
        <v>131</v>
      </c>
      <c r="G158" s="8" t="s">
        <v>245</v>
      </c>
      <c r="H158" s="3" t="str">
        <f aca="false">IF(G158="OK","YES","no")</f>
        <v>no</v>
      </c>
      <c r="I158" s="9" t="b">
        <f aca="false">COUNTIF('Roll Schedule'!$A$47:$A$790,A158)&gt;0</f>
        <v>1</v>
      </c>
      <c r="J158" s="8" t="s">
        <v>151</v>
      </c>
      <c r="K158" s="8" t="s">
        <v>645</v>
      </c>
    </row>
    <row r="159" customFormat="false" ht="15" hidden="false" customHeight="false" outlineLevel="0" collapsed="false">
      <c r="A159" s="7" t="n">
        <v>45498</v>
      </c>
      <c r="B159" s="8" t="s">
        <v>646</v>
      </c>
      <c r="C159" s="8" t="s">
        <v>647</v>
      </c>
      <c r="D159" s="8" t="s">
        <v>547</v>
      </c>
      <c r="E159" s="8"/>
      <c r="F159" s="8" t="s">
        <v>142</v>
      </c>
      <c r="G159" s="8" t="s">
        <v>245</v>
      </c>
      <c r="H159" s="3" t="str">
        <f aca="false">IF(G159="OK","YES","no")</f>
        <v>no</v>
      </c>
      <c r="I159" s="9" t="b">
        <f aca="false">COUNTIF('Roll Schedule'!$A$47:$A$790,A159)&gt;0</f>
        <v>1</v>
      </c>
      <c r="J159" s="8" t="s">
        <v>151</v>
      </c>
      <c r="K159" s="8" t="s">
        <v>648</v>
      </c>
    </row>
    <row r="160" customFormat="false" ht="15" hidden="false" customHeight="false" outlineLevel="0" collapsed="false">
      <c r="A160" s="7" t="n">
        <v>45499</v>
      </c>
      <c r="B160" s="8" t="s">
        <v>649</v>
      </c>
      <c r="C160" s="8" t="s">
        <v>650</v>
      </c>
      <c r="D160" s="8" t="s">
        <v>547</v>
      </c>
      <c r="E160" s="8"/>
      <c r="F160" s="8" t="s">
        <v>131</v>
      </c>
      <c r="G160" s="8" t="s">
        <v>245</v>
      </c>
      <c r="H160" s="3" t="str">
        <f aca="false">IF(G160="OK","YES","no")</f>
        <v>no</v>
      </c>
      <c r="I160" s="9" t="b">
        <f aca="false">COUNTIF('Roll Schedule'!$A$47:$A$790,A160)&gt;0</f>
        <v>1</v>
      </c>
      <c r="J160" s="8" t="s">
        <v>151</v>
      </c>
      <c r="K160" s="8" t="s">
        <v>651</v>
      </c>
    </row>
    <row r="161" customFormat="false" ht="15" hidden="false" customHeight="false" outlineLevel="0" collapsed="false">
      <c r="A161" s="7" t="n">
        <v>45502</v>
      </c>
      <c r="B161" s="8" t="s">
        <v>652</v>
      </c>
      <c r="C161" s="8" t="s">
        <v>653</v>
      </c>
      <c r="D161" s="8" t="s">
        <v>547</v>
      </c>
      <c r="E161" s="8"/>
      <c r="F161" s="8" t="s">
        <v>131</v>
      </c>
      <c r="G161" s="8" t="s">
        <v>245</v>
      </c>
      <c r="H161" s="3" t="str">
        <f aca="false">IF(G161="OK","YES","no")</f>
        <v>no</v>
      </c>
      <c r="I161" s="9" t="b">
        <f aca="false">COUNTIF('Roll Schedule'!$A$47:$A$790,A161)&gt;0</f>
        <v>1</v>
      </c>
      <c r="J161" s="8" t="s">
        <v>151</v>
      </c>
      <c r="K161" s="8" t="s">
        <v>654</v>
      </c>
    </row>
    <row r="162" customFormat="false" ht="15" hidden="false" customHeight="false" outlineLevel="0" collapsed="false">
      <c r="A162" s="7" t="n">
        <v>45503</v>
      </c>
      <c r="B162" s="8" t="s">
        <v>655</v>
      </c>
      <c r="C162" s="8" t="s">
        <v>656</v>
      </c>
      <c r="D162" s="8" t="s">
        <v>547</v>
      </c>
      <c r="E162" s="8"/>
      <c r="F162" s="8" t="s">
        <v>131</v>
      </c>
      <c r="G162" s="8" t="s">
        <v>245</v>
      </c>
      <c r="H162" s="3" t="str">
        <f aca="false">IF(G162="OK","YES","no")</f>
        <v>no</v>
      </c>
      <c r="I162" s="9" t="b">
        <f aca="false">COUNTIF('Roll Schedule'!$A$47:$A$790,A162)&gt;0</f>
        <v>1</v>
      </c>
      <c r="J162" s="8" t="s">
        <v>151</v>
      </c>
      <c r="K162" s="8" t="s">
        <v>657</v>
      </c>
    </row>
    <row r="163" customFormat="false" ht="15" hidden="false" customHeight="false" outlineLevel="0" collapsed="false">
      <c r="A163" s="7" t="n">
        <v>45504</v>
      </c>
      <c r="B163" s="8" t="s">
        <v>658</v>
      </c>
      <c r="C163" s="8" t="s">
        <v>659</v>
      </c>
      <c r="D163" s="8" t="s">
        <v>547</v>
      </c>
      <c r="E163" s="8"/>
      <c r="F163" s="8" t="s">
        <v>131</v>
      </c>
      <c r="G163" s="8" t="s">
        <v>245</v>
      </c>
      <c r="H163" s="3" t="str">
        <f aca="false">IF(G163="OK","YES","no")</f>
        <v>no</v>
      </c>
      <c r="I163" s="9" t="b">
        <f aca="false">COUNTIF('Roll Schedule'!$A$47:$A$790,A163)&gt;0</f>
        <v>1</v>
      </c>
      <c r="J163" s="8" t="s">
        <v>151</v>
      </c>
      <c r="K163" s="8" t="s">
        <v>660</v>
      </c>
    </row>
    <row r="164" customFormat="false" ht="15" hidden="false" customHeight="false" outlineLevel="0" collapsed="false">
      <c r="A164" s="7" t="n">
        <v>45505</v>
      </c>
      <c r="B164" s="8" t="s">
        <v>661</v>
      </c>
      <c r="C164" s="8" t="s">
        <v>662</v>
      </c>
      <c r="D164" s="8" t="s">
        <v>547</v>
      </c>
      <c r="E164" s="8"/>
      <c r="F164" s="8" t="s">
        <v>131</v>
      </c>
      <c r="G164" s="8" t="s">
        <v>245</v>
      </c>
      <c r="H164" s="3" t="str">
        <f aca="false">IF(G164="OK","YES","no")</f>
        <v>no</v>
      </c>
      <c r="I164" s="9" t="b">
        <f aca="false">COUNTIF('Roll Schedule'!$A$47:$A$790,A164)&gt;0</f>
        <v>1</v>
      </c>
      <c r="J164" s="8" t="s">
        <v>151</v>
      </c>
      <c r="K164" s="8" t="s">
        <v>663</v>
      </c>
    </row>
    <row r="165" customFormat="false" ht="15" hidden="false" customHeight="false" outlineLevel="0" collapsed="false">
      <c r="A165" s="7" t="n">
        <v>45506</v>
      </c>
      <c r="B165" s="8" t="s">
        <v>664</v>
      </c>
      <c r="C165" s="8" t="s">
        <v>665</v>
      </c>
      <c r="D165" s="8" t="s">
        <v>547</v>
      </c>
      <c r="E165" s="8"/>
      <c r="F165" s="8" t="s">
        <v>131</v>
      </c>
      <c r="G165" s="8" t="s">
        <v>245</v>
      </c>
      <c r="H165" s="3" t="str">
        <f aca="false">IF(G165="OK","YES","no")</f>
        <v>no</v>
      </c>
      <c r="I165" s="9" t="b">
        <f aca="false">COUNTIF('Roll Schedule'!$A$47:$A$790,A165)&gt;0</f>
        <v>1</v>
      </c>
      <c r="J165" s="8" t="s">
        <v>151</v>
      </c>
      <c r="K165" s="8" t="s">
        <v>666</v>
      </c>
    </row>
    <row r="166" customFormat="false" ht="15" hidden="false" customHeight="false" outlineLevel="0" collapsed="false">
      <c r="A166" s="7" t="n">
        <v>45509</v>
      </c>
      <c r="B166" s="8" t="s">
        <v>667</v>
      </c>
      <c r="C166" s="8" t="s">
        <v>668</v>
      </c>
      <c r="D166" s="8" t="s">
        <v>547</v>
      </c>
      <c r="E166" s="8"/>
      <c r="F166" s="8" t="s">
        <v>131</v>
      </c>
      <c r="G166" s="8" t="s">
        <v>245</v>
      </c>
      <c r="H166" s="3" t="str">
        <f aca="false">IF(G166="OK","YES","no")</f>
        <v>no</v>
      </c>
      <c r="I166" s="9" t="b">
        <f aca="false">COUNTIF('Roll Schedule'!$A$47:$A$790,A166)&gt;0</f>
        <v>1</v>
      </c>
      <c r="J166" s="8" t="s">
        <v>151</v>
      </c>
      <c r="K166" s="8" t="s">
        <v>669</v>
      </c>
    </row>
    <row r="167" customFormat="false" ht="15" hidden="false" customHeight="false" outlineLevel="0" collapsed="false">
      <c r="A167" s="7" t="n">
        <v>45510</v>
      </c>
      <c r="B167" s="8" t="s">
        <v>670</v>
      </c>
      <c r="C167" s="8" t="s">
        <v>671</v>
      </c>
      <c r="D167" s="8" t="s">
        <v>547</v>
      </c>
      <c r="E167" s="8"/>
      <c r="F167" s="8" t="s">
        <v>131</v>
      </c>
      <c r="G167" s="8" t="s">
        <v>245</v>
      </c>
      <c r="H167" s="3" t="str">
        <f aca="false">IF(G167="OK","YES","no")</f>
        <v>no</v>
      </c>
      <c r="I167" s="9" t="b">
        <f aca="false">COUNTIF('Roll Schedule'!$A$47:$A$790,A167)&gt;0</f>
        <v>1</v>
      </c>
      <c r="J167" s="8" t="s">
        <v>151</v>
      </c>
      <c r="K167" s="8" t="s">
        <v>672</v>
      </c>
    </row>
    <row r="168" customFormat="false" ht="15" hidden="false" customHeight="false" outlineLevel="0" collapsed="false">
      <c r="A168" s="7" t="n">
        <v>45511</v>
      </c>
      <c r="B168" s="8" t="s">
        <v>673</v>
      </c>
      <c r="C168" s="8" t="s">
        <v>674</v>
      </c>
      <c r="D168" s="8" t="s">
        <v>547</v>
      </c>
      <c r="E168" s="8"/>
      <c r="F168" s="8" t="s">
        <v>131</v>
      </c>
      <c r="G168" s="8" t="s">
        <v>245</v>
      </c>
      <c r="H168" s="3" t="str">
        <f aca="false">IF(G168="OK","YES","no")</f>
        <v>no</v>
      </c>
      <c r="I168" s="9" t="b">
        <f aca="false">COUNTIF('Roll Schedule'!$A$47:$A$790,A168)&gt;0</f>
        <v>1</v>
      </c>
      <c r="J168" s="8" t="s">
        <v>151</v>
      </c>
      <c r="K168" s="8" t="s">
        <v>675</v>
      </c>
    </row>
    <row r="169" customFormat="false" ht="15" hidden="false" customHeight="false" outlineLevel="0" collapsed="false">
      <c r="A169" s="7" t="n">
        <v>45512</v>
      </c>
      <c r="B169" s="8" t="s">
        <v>676</v>
      </c>
      <c r="C169" s="8" t="s">
        <v>677</v>
      </c>
      <c r="D169" s="8" t="s">
        <v>547</v>
      </c>
      <c r="E169" s="8"/>
      <c r="F169" s="8" t="s">
        <v>131</v>
      </c>
      <c r="G169" s="8" t="s">
        <v>245</v>
      </c>
      <c r="H169" s="3" t="str">
        <f aca="false">IF(G169="OK","YES","no")</f>
        <v>no</v>
      </c>
      <c r="I169" s="9" t="b">
        <f aca="false">COUNTIF('Roll Schedule'!$A$47:$A$790,A169)&gt;0</f>
        <v>1</v>
      </c>
      <c r="J169" s="8" t="s">
        <v>151</v>
      </c>
      <c r="K169" s="8" t="s">
        <v>678</v>
      </c>
    </row>
    <row r="170" customFormat="false" ht="15" hidden="false" customHeight="false" outlineLevel="0" collapsed="false">
      <c r="A170" s="7" t="n">
        <v>45513</v>
      </c>
      <c r="B170" s="8" t="s">
        <v>679</v>
      </c>
      <c r="C170" s="8" t="s">
        <v>680</v>
      </c>
      <c r="D170" s="8" t="s">
        <v>547</v>
      </c>
      <c r="E170" s="8"/>
      <c r="F170" s="8" t="s">
        <v>131</v>
      </c>
      <c r="G170" s="8" t="s">
        <v>245</v>
      </c>
      <c r="H170" s="3" t="str">
        <f aca="false">IF(G170="OK","YES","no")</f>
        <v>no</v>
      </c>
      <c r="I170" s="9" t="b">
        <f aca="false">COUNTIF('Roll Schedule'!$A$47:$A$790,A170)&gt;0</f>
        <v>1</v>
      </c>
      <c r="J170" s="8" t="s">
        <v>151</v>
      </c>
      <c r="K170" s="8" t="s">
        <v>681</v>
      </c>
    </row>
    <row r="171" customFormat="false" ht="15" hidden="false" customHeight="false" outlineLevel="0" collapsed="false">
      <c r="A171" s="7" t="n">
        <v>45516</v>
      </c>
      <c r="B171" s="8" t="s">
        <v>682</v>
      </c>
      <c r="C171" s="8" t="s">
        <v>683</v>
      </c>
      <c r="D171" s="8" t="s">
        <v>547</v>
      </c>
      <c r="E171" s="8"/>
      <c r="F171" s="8" t="s">
        <v>131</v>
      </c>
      <c r="G171" s="8" t="s">
        <v>245</v>
      </c>
      <c r="H171" s="3" t="str">
        <f aca="false">IF(G171="OK","YES","no")</f>
        <v>no</v>
      </c>
      <c r="I171" s="9" t="b">
        <f aca="false">COUNTIF('Roll Schedule'!$A$47:$A$790,A171)&gt;0</f>
        <v>1</v>
      </c>
      <c r="J171" s="8" t="s">
        <v>151</v>
      </c>
      <c r="K171" s="8" t="s">
        <v>684</v>
      </c>
    </row>
    <row r="172" customFormat="false" ht="15" hidden="false" customHeight="false" outlineLevel="0" collapsed="false">
      <c r="A172" s="7" t="n">
        <v>45517</v>
      </c>
      <c r="B172" s="8" t="s">
        <v>685</v>
      </c>
      <c r="C172" s="8" t="s">
        <v>686</v>
      </c>
      <c r="D172" s="8" t="s">
        <v>547</v>
      </c>
      <c r="E172" s="8"/>
      <c r="F172" s="8" t="s">
        <v>131</v>
      </c>
      <c r="G172" s="8" t="s">
        <v>245</v>
      </c>
      <c r="H172" s="3" t="str">
        <f aca="false">IF(G172="OK","YES","no")</f>
        <v>no</v>
      </c>
      <c r="I172" s="9" t="b">
        <f aca="false">COUNTIF('Roll Schedule'!$A$47:$A$790,A172)&gt;0</f>
        <v>1</v>
      </c>
      <c r="J172" s="8" t="s">
        <v>151</v>
      </c>
      <c r="K172" s="8" t="s">
        <v>687</v>
      </c>
    </row>
    <row r="173" customFormat="false" ht="15" hidden="false" customHeight="false" outlineLevel="0" collapsed="false">
      <c r="A173" s="7" t="n">
        <v>45518</v>
      </c>
      <c r="B173" s="8" t="s">
        <v>688</v>
      </c>
      <c r="C173" s="8" t="s">
        <v>689</v>
      </c>
      <c r="D173" s="8" t="s">
        <v>547</v>
      </c>
      <c r="E173" s="8"/>
      <c r="F173" s="8" t="s">
        <v>131</v>
      </c>
      <c r="G173" s="8" t="s">
        <v>245</v>
      </c>
      <c r="H173" s="3" t="str">
        <f aca="false">IF(G173="OK","YES","no")</f>
        <v>no</v>
      </c>
      <c r="I173" s="9" t="b">
        <f aca="false">COUNTIF('Roll Schedule'!$A$47:$A$790,A173)&gt;0</f>
        <v>1</v>
      </c>
      <c r="J173" s="8" t="s">
        <v>151</v>
      </c>
      <c r="K173" s="8" t="s">
        <v>690</v>
      </c>
    </row>
    <row r="174" customFormat="false" ht="15" hidden="false" customHeight="false" outlineLevel="0" collapsed="false">
      <c r="A174" s="7" t="n">
        <v>45520</v>
      </c>
      <c r="B174" s="8" t="s">
        <v>691</v>
      </c>
      <c r="C174" s="8" t="s">
        <v>692</v>
      </c>
      <c r="D174" s="8" t="s">
        <v>547</v>
      </c>
      <c r="E174" s="8"/>
      <c r="F174" s="8" t="s">
        <v>131</v>
      </c>
      <c r="G174" s="8" t="s">
        <v>245</v>
      </c>
      <c r="H174" s="3" t="str">
        <f aca="false">IF(G174="OK","YES","no")</f>
        <v>no</v>
      </c>
      <c r="I174" s="9" t="b">
        <f aca="false">COUNTIF('Roll Schedule'!$A$47:$A$790,A174)&gt;0</f>
        <v>1</v>
      </c>
      <c r="J174" s="8" t="s">
        <v>151</v>
      </c>
      <c r="K174" s="8" t="s">
        <v>693</v>
      </c>
    </row>
    <row r="175" customFormat="false" ht="15" hidden="false" customHeight="false" outlineLevel="0" collapsed="false">
      <c r="A175" s="7" t="n">
        <v>45524</v>
      </c>
      <c r="B175" s="8" t="s">
        <v>694</v>
      </c>
      <c r="C175" s="8" t="s">
        <v>695</v>
      </c>
      <c r="D175" s="8" t="s">
        <v>547</v>
      </c>
      <c r="E175" s="8"/>
      <c r="F175" s="8" t="s">
        <v>131</v>
      </c>
      <c r="G175" s="8" t="s">
        <v>245</v>
      </c>
      <c r="H175" s="3" t="str">
        <f aca="false">IF(G175="OK","YES","no")</f>
        <v>no</v>
      </c>
      <c r="I175" s="9" t="b">
        <f aca="false">COUNTIF('Roll Schedule'!$A$47:$A$790,A175)&gt;0</f>
        <v>1</v>
      </c>
      <c r="J175" s="8" t="s">
        <v>151</v>
      </c>
      <c r="K175" s="8" t="s">
        <v>696</v>
      </c>
    </row>
    <row r="176" customFormat="false" ht="15" hidden="false" customHeight="false" outlineLevel="0" collapsed="false">
      <c r="A176" s="7" t="n">
        <v>45525</v>
      </c>
      <c r="B176" s="8" t="s">
        <v>697</v>
      </c>
      <c r="C176" s="8" t="s">
        <v>698</v>
      </c>
      <c r="D176" s="8" t="s">
        <v>547</v>
      </c>
      <c r="E176" s="8"/>
      <c r="F176" s="8" t="s">
        <v>131</v>
      </c>
      <c r="G176" s="8" t="s">
        <v>245</v>
      </c>
      <c r="H176" s="3" t="str">
        <f aca="false">IF(G176="OK","YES","no")</f>
        <v>no</v>
      </c>
      <c r="I176" s="9" t="b">
        <f aca="false">COUNTIF('Roll Schedule'!$A$47:$A$790,A176)&gt;0</f>
        <v>1</v>
      </c>
      <c r="J176" s="8" t="s">
        <v>151</v>
      </c>
      <c r="K176" s="8" t="s">
        <v>699</v>
      </c>
    </row>
    <row r="177" customFormat="false" ht="15" hidden="false" customHeight="false" outlineLevel="0" collapsed="false">
      <c r="A177" s="7" t="n">
        <v>45527</v>
      </c>
      <c r="B177" s="8" t="s">
        <v>700</v>
      </c>
      <c r="C177" s="8" t="s">
        <v>701</v>
      </c>
      <c r="D177" s="8" t="s">
        <v>547</v>
      </c>
      <c r="E177" s="8"/>
      <c r="F177" s="8" t="s">
        <v>131</v>
      </c>
      <c r="G177" s="8" t="s">
        <v>245</v>
      </c>
      <c r="H177" s="3" t="str">
        <f aca="false">IF(G177="OK","YES","no")</f>
        <v>no</v>
      </c>
      <c r="I177" s="9" t="b">
        <f aca="false">COUNTIF('Roll Schedule'!$A$47:$A$790,A177)&gt;0</f>
        <v>1</v>
      </c>
      <c r="J177" s="8" t="s">
        <v>151</v>
      </c>
      <c r="K177" s="8" t="s">
        <v>702</v>
      </c>
    </row>
    <row r="178" customFormat="false" ht="15" hidden="false" customHeight="false" outlineLevel="0" collapsed="false">
      <c r="A178" s="7" t="n">
        <v>45530</v>
      </c>
      <c r="B178" s="8" t="s">
        <v>703</v>
      </c>
      <c r="C178" s="8" t="s">
        <v>704</v>
      </c>
      <c r="D178" s="8" t="s">
        <v>547</v>
      </c>
      <c r="E178" s="8"/>
      <c r="F178" s="8" t="s">
        <v>131</v>
      </c>
      <c r="G178" s="8" t="s">
        <v>245</v>
      </c>
      <c r="H178" s="3" t="str">
        <f aca="false">IF(G178="OK","YES","no")</f>
        <v>no</v>
      </c>
      <c r="I178" s="9" t="b">
        <f aca="false">COUNTIF('Roll Schedule'!$A$47:$A$790,A178)&gt;0</f>
        <v>1</v>
      </c>
      <c r="J178" s="8" t="s">
        <v>151</v>
      </c>
      <c r="K178" s="8" t="s">
        <v>705</v>
      </c>
    </row>
    <row r="179" customFormat="false" ht="15" hidden="false" customHeight="false" outlineLevel="0" collapsed="false">
      <c r="A179" s="7" t="n">
        <v>45531</v>
      </c>
      <c r="B179" s="8" t="s">
        <v>706</v>
      </c>
      <c r="C179" s="8" t="s">
        <v>707</v>
      </c>
      <c r="D179" s="8" t="s">
        <v>547</v>
      </c>
      <c r="E179" s="8"/>
      <c r="F179" s="8" t="s">
        <v>131</v>
      </c>
      <c r="G179" s="8" t="s">
        <v>245</v>
      </c>
      <c r="H179" s="3" t="str">
        <f aca="false">IF(G179="OK","YES","no")</f>
        <v>no</v>
      </c>
      <c r="I179" s="9" t="b">
        <f aca="false">COUNTIF('Roll Schedule'!$A$47:$A$790,A179)&gt;0</f>
        <v>1</v>
      </c>
      <c r="J179" s="8" t="s">
        <v>151</v>
      </c>
      <c r="K179" s="8" t="s">
        <v>708</v>
      </c>
    </row>
    <row r="180" customFormat="false" ht="15" hidden="false" customHeight="false" outlineLevel="0" collapsed="false">
      <c r="A180" s="7" t="n">
        <v>45532</v>
      </c>
      <c r="B180" s="8" t="s">
        <v>709</v>
      </c>
      <c r="C180" s="8" t="s">
        <v>710</v>
      </c>
      <c r="D180" s="8" t="s">
        <v>547</v>
      </c>
      <c r="E180" s="8"/>
      <c r="F180" s="8" t="s">
        <v>131</v>
      </c>
      <c r="G180" s="8" t="s">
        <v>245</v>
      </c>
      <c r="H180" s="3" t="str">
        <f aca="false">IF(G180="OK","YES","no")</f>
        <v>no</v>
      </c>
      <c r="I180" s="9" t="b">
        <f aca="false">COUNTIF('Roll Schedule'!$A$47:$A$790,A180)&gt;0</f>
        <v>1</v>
      </c>
      <c r="J180" s="8" t="s">
        <v>151</v>
      </c>
      <c r="K180" s="8" t="s">
        <v>711</v>
      </c>
    </row>
    <row r="181" customFormat="false" ht="15" hidden="false" customHeight="false" outlineLevel="0" collapsed="false">
      <c r="A181" s="7" t="n">
        <v>45533</v>
      </c>
      <c r="B181" s="8" t="s">
        <v>712</v>
      </c>
      <c r="C181" s="8" t="s">
        <v>713</v>
      </c>
      <c r="D181" s="8" t="s">
        <v>547</v>
      </c>
      <c r="E181" s="8"/>
      <c r="F181" s="8" t="s">
        <v>131</v>
      </c>
      <c r="G181" s="8" t="s">
        <v>245</v>
      </c>
      <c r="H181" s="3" t="str">
        <f aca="false">IF(G181="OK","YES","no")</f>
        <v>no</v>
      </c>
      <c r="I181" s="9" t="b">
        <f aca="false">COUNTIF('Roll Schedule'!$A$47:$A$790,A181)&gt;0</f>
        <v>1</v>
      </c>
      <c r="J181" s="8" t="s">
        <v>151</v>
      </c>
      <c r="K181" s="8" t="s">
        <v>714</v>
      </c>
    </row>
    <row r="182" customFormat="false" ht="15" hidden="false" customHeight="false" outlineLevel="0" collapsed="false">
      <c r="A182" s="7" t="n">
        <v>45534</v>
      </c>
      <c r="B182" s="8" t="s">
        <v>715</v>
      </c>
      <c r="C182" s="8" t="s">
        <v>716</v>
      </c>
      <c r="D182" s="8" t="s">
        <v>547</v>
      </c>
      <c r="E182" s="8"/>
      <c r="F182" s="8" t="s">
        <v>131</v>
      </c>
      <c r="G182" s="8" t="s">
        <v>245</v>
      </c>
      <c r="H182" s="3" t="str">
        <f aca="false">IF(G182="OK","YES","no")</f>
        <v>no</v>
      </c>
      <c r="I182" s="9" t="b">
        <f aca="false">COUNTIF('Roll Schedule'!$A$47:$A$790,A182)&gt;0</f>
        <v>1</v>
      </c>
      <c r="J182" s="8" t="s">
        <v>151</v>
      </c>
      <c r="K182" s="8" t="s">
        <v>717</v>
      </c>
    </row>
    <row r="183" customFormat="false" ht="15" hidden="false" customHeight="false" outlineLevel="0" collapsed="false">
      <c r="A183" s="7" t="n">
        <v>45537</v>
      </c>
      <c r="B183" s="8" t="s">
        <v>718</v>
      </c>
      <c r="C183" s="8" t="s">
        <v>719</v>
      </c>
      <c r="D183" s="8" t="s">
        <v>547</v>
      </c>
      <c r="E183" s="8"/>
      <c r="F183" s="8" t="s">
        <v>142</v>
      </c>
      <c r="G183" s="8" t="s">
        <v>245</v>
      </c>
      <c r="H183" s="3" t="str">
        <f aca="false">IF(G183="OK","YES","no")</f>
        <v>no</v>
      </c>
      <c r="I183" s="9" t="b">
        <f aca="false">COUNTIF('Roll Schedule'!$A$47:$A$790,A183)&gt;0</f>
        <v>1</v>
      </c>
      <c r="J183" s="8" t="s">
        <v>151</v>
      </c>
      <c r="K183" s="8" t="s">
        <v>720</v>
      </c>
    </row>
    <row r="184" customFormat="false" ht="15" hidden="false" customHeight="false" outlineLevel="0" collapsed="false">
      <c r="A184" s="7" t="n">
        <v>45538</v>
      </c>
      <c r="B184" s="8" t="s">
        <v>721</v>
      </c>
      <c r="C184" s="8" t="s">
        <v>722</v>
      </c>
      <c r="D184" s="8" t="s">
        <v>547</v>
      </c>
      <c r="E184" s="8"/>
      <c r="F184" s="8" t="s">
        <v>131</v>
      </c>
      <c r="G184" s="8" t="s">
        <v>245</v>
      </c>
      <c r="H184" s="3" t="str">
        <f aca="false">IF(G184="OK","YES","no")</f>
        <v>no</v>
      </c>
      <c r="I184" s="9" t="b">
        <f aca="false">COUNTIF('Roll Schedule'!$A$47:$A$790,A184)&gt;0</f>
        <v>1</v>
      </c>
      <c r="J184" s="8" t="s">
        <v>151</v>
      </c>
      <c r="K184" s="8" t="s">
        <v>723</v>
      </c>
    </row>
    <row r="185" customFormat="false" ht="15" hidden="false" customHeight="false" outlineLevel="0" collapsed="false">
      <c r="A185" s="7" t="n">
        <v>45539</v>
      </c>
      <c r="B185" s="8" t="s">
        <v>724</v>
      </c>
      <c r="C185" s="8" t="s">
        <v>725</v>
      </c>
      <c r="D185" s="8" t="s">
        <v>547</v>
      </c>
      <c r="E185" s="8"/>
      <c r="F185" s="8" t="s">
        <v>131</v>
      </c>
      <c r="G185" s="8" t="s">
        <v>245</v>
      </c>
      <c r="H185" s="3" t="str">
        <f aca="false">IF(G185="OK","YES","no")</f>
        <v>no</v>
      </c>
      <c r="I185" s="9" t="b">
        <f aca="false">COUNTIF('Roll Schedule'!$A$47:$A$790,A185)&gt;0</f>
        <v>1</v>
      </c>
      <c r="J185" s="8" t="s">
        <v>151</v>
      </c>
      <c r="K185" s="8" t="s">
        <v>726</v>
      </c>
    </row>
    <row r="186" customFormat="false" ht="15" hidden="false" customHeight="false" outlineLevel="0" collapsed="false">
      <c r="A186" s="7" t="n">
        <v>45540</v>
      </c>
      <c r="B186" s="8" t="s">
        <v>727</v>
      </c>
      <c r="C186" s="8" t="s">
        <v>728</v>
      </c>
      <c r="D186" s="8" t="s">
        <v>547</v>
      </c>
      <c r="E186" s="8"/>
      <c r="F186" s="8" t="s">
        <v>131</v>
      </c>
      <c r="G186" s="8" t="s">
        <v>245</v>
      </c>
      <c r="H186" s="3" t="str">
        <f aca="false">IF(G186="OK","YES","no")</f>
        <v>no</v>
      </c>
      <c r="I186" s="9" t="b">
        <f aca="false">COUNTIF('Roll Schedule'!$A$47:$A$790,A186)&gt;0</f>
        <v>1</v>
      </c>
      <c r="J186" s="8" t="s">
        <v>151</v>
      </c>
      <c r="K186" s="8" t="s">
        <v>729</v>
      </c>
    </row>
    <row r="187" customFormat="false" ht="15" hidden="false" customHeight="false" outlineLevel="0" collapsed="false">
      <c r="A187" s="7" t="n">
        <v>45541</v>
      </c>
      <c r="B187" s="8" t="s">
        <v>730</v>
      </c>
      <c r="C187" s="8" t="s">
        <v>731</v>
      </c>
      <c r="D187" s="8" t="s">
        <v>547</v>
      </c>
      <c r="E187" s="8"/>
      <c r="F187" s="8" t="s">
        <v>131</v>
      </c>
      <c r="G187" s="8" t="s">
        <v>245</v>
      </c>
      <c r="H187" s="3" t="str">
        <f aca="false">IF(G187="OK","YES","no")</f>
        <v>no</v>
      </c>
      <c r="I187" s="9" t="b">
        <f aca="false">COUNTIF('Roll Schedule'!$A$47:$A$790,A187)&gt;0</f>
        <v>1</v>
      </c>
      <c r="J187" s="8" t="s">
        <v>151</v>
      </c>
      <c r="K187" s="8" t="s">
        <v>732</v>
      </c>
    </row>
    <row r="188" customFormat="false" ht="15" hidden="false" customHeight="false" outlineLevel="0" collapsed="false">
      <c r="A188" s="7" t="n">
        <v>45544</v>
      </c>
      <c r="B188" s="8" t="s">
        <v>733</v>
      </c>
      <c r="C188" s="8" t="s">
        <v>734</v>
      </c>
      <c r="D188" s="8" t="s">
        <v>547</v>
      </c>
      <c r="E188" s="8"/>
      <c r="F188" s="8" t="s">
        <v>131</v>
      </c>
      <c r="G188" s="8" t="s">
        <v>245</v>
      </c>
      <c r="H188" s="3" t="str">
        <f aca="false">IF(G188="OK","YES","no")</f>
        <v>no</v>
      </c>
      <c r="I188" s="9" t="b">
        <f aca="false">COUNTIF('Roll Schedule'!$A$47:$A$790,A188)&gt;0</f>
        <v>1</v>
      </c>
      <c r="J188" s="8" t="s">
        <v>151</v>
      </c>
      <c r="K188" s="8" t="s">
        <v>735</v>
      </c>
    </row>
    <row r="189" customFormat="false" ht="15" hidden="false" customHeight="false" outlineLevel="0" collapsed="false">
      <c r="A189" s="7" t="n">
        <v>45545</v>
      </c>
      <c r="B189" s="8" t="s">
        <v>736</v>
      </c>
      <c r="C189" s="8" t="s">
        <v>737</v>
      </c>
      <c r="D189" s="8" t="s">
        <v>547</v>
      </c>
      <c r="E189" s="8"/>
      <c r="F189" s="8" t="s">
        <v>131</v>
      </c>
      <c r="G189" s="8" t="s">
        <v>245</v>
      </c>
      <c r="H189" s="3" t="str">
        <f aca="false">IF(G189="OK","YES","no")</f>
        <v>no</v>
      </c>
      <c r="I189" s="9" t="b">
        <f aca="false">COUNTIF('Roll Schedule'!$A$47:$A$790,A189)&gt;0</f>
        <v>1</v>
      </c>
      <c r="J189" s="8" t="s">
        <v>151</v>
      </c>
      <c r="K189" s="8" t="s">
        <v>738</v>
      </c>
    </row>
    <row r="190" customFormat="false" ht="15" hidden="false" customHeight="false" outlineLevel="0" collapsed="false">
      <c r="A190" s="7" t="n">
        <v>45546</v>
      </c>
      <c r="B190" s="8" t="s">
        <v>739</v>
      </c>
      <c r="C190" s="8" t="s">
        <v>740</v>
      </c>
      <c r="D190" s="8" t="s">
        <v>547</v>
      </c>
      <c r="E190" s="8"/>
      <c r="F190" s="8" t="s">
        <v>131</v>
      </c>
      <c r="G190" s="8" t="s">
        <v>245</v>
      </c>
      <c r="H190" s="3" t="str">
        <f aca="false">IF(G190="OK","YES","no")</f>
        <v>no</v>
      </c>
      <c r="I190" s="9" t="b">
        <f aca="false">COUNTIF('Roll Schedule'!$A$47:$A$790,A190)&gt;0</f>
        <v>1</v>
      </c>
      <c r="J190" s="8" t="s">
        <v>151</v>
      </c>
      <c r="K190" s="8" t="s">
        <v>741</v>
      </c>
    </row>
    <row r="191" customFormat="false" ht="15" hidden="false" customHeight="false" outlineLevel="0" collapsed="false">
      <c r="A191" s="7" t="n">
        <v>45547</v>
      </c>
      <c r="B191" s="8" t="s">
        <v>742</v>
      </c>
      <c r="C191" s="8" t="s">
        <v>743</v>
      </c>
      <c r="D191" s="8" t="s">
        <v>547</v>
      </c>
      <c r="E191" s="8"/>
      <c r="F191" s="8" t="s">
        <v>131</v>
      </c>
      <c r="G191" s="8" t="s">
        <v>245</v>
      </c>
      <c r="H191" s="3" t="str">
        <f aca="false">IF(G191="OK","YES","no")</f>
        <v>no</v>
      </c>
      <c r="I191" s="9" t="b">
        <f aca="false">COUNTIF('Roll Schedule'!$A$47:$A$790,A191)&gt;0</f>
        <v>1</v>
      </c>
      <c r="J191" s="8" t="s">
        <v>151</v>
      </c>
      <c r="K191" s="8" t="s">
        <v>744</v>
      </c>
    </row>
    <row r="192" customFormat="false" ht="15" hidden="false" customHeight="false" outlineLevel="0" collapsed="false">
      <c r="A192" s="7" t="n">
        <v>45548</v>
      </c>
      <c r="B192" s="8" t="s">
        <v>745</v>
      </c>
      <c r="C192" s="8" t="s">
        <v>746</v>
      </c>
      <c r="D192" s="8" t="s">
        <v>547</v>
      </c>
      <c r="E192" s="8"/>
      <c r="F192" s="8" t="s">
        <v>131</v>
      </c>
      <c r="G192" s="8" t="s">
        <v>245</v>
      </c>
      <c r="H192" s="3" t="str">
        <f aca="false">IF(G192="OK","YES","no")</f>
        <v>no</v>
      </c>
      <c r="I192" s="9" t="b">
        <f aca="false">COUNTIF('Roll Schedule'!$A$47:$A$790,A192)&gt;0</f>
        <v>1</v>
      </c>
      <c r="J192" s="8" t="s">
        <v>151</v>
      </c>
      <c r="K192" s="8" t="s">
        <v>747</v>
      </c>
    </row>
    <row r="193" customFormat="false" ht="15" hidden="false" customHeight="false" outlineLevel="0" collapsed="false">
      <c r="A193" s="7" t="n">
        <v>45551</v>
      </c>
      <c r="B193" s="8" t="s">
        <v>748</v>
      </c>
      <c r="C193" s="8" t="s">
        <v>749</v>
      </c>
      <c r="D193" s="8" t="s">
        <v>547</v>
      </c>
      <c r="E193" s="8"/>
      <c r="F193" s="8" t="s">
        <v>131</v>
      </c>
      <c r="G193" s="8" t="s">
        <v>245</v>
      </c>
      <c r="H193" s="3" t="str">
        <f aca="false">IF(G193="OK","YES","no")</f>
        <v>no</v>
      </c>
      <c r="I193" s="9" t="b">
        <f aca="false">COUNTIF('Roll Schedule'!$A$47:$A$790,A193)&gt;0</f>
        <v>1</v>
      </c>
      <c r="J193" s="8" t="s">
        <v>151</v>
      </c>
      <c r="K193" s="8" t="s">
        <v>750</v>
      </c>
    </row>
    <row r="194" customFormat="false" ht="15" hidden="false" customHeight="false" outlineLevel="0" collapsed="false">
      <c r="A194" s="7" t="n">
        <v>45554</v>
      </c>
      <c r="B194" s="8" t="s">
        <v>751</v>
      </c>
      <c r="C194" s="8" t="s">
        <v>752</v>
      </c>
      <c r="D194" s="8" t="s">
        <v>547</v>
      </c>
      <c r="E194" s="8"/>
      <c r="F194" s="8" t="s">
        <v>131</v>
      </c>
      <c r="G194" s="8" t="s">
        <v>245</v>
      </c>
      <c r="H194" s="3" t="str">
        <f aca="false">IF(G194="OK","YES","no")</f>
        <v>no</v>
      </c>
      <c r="I194" s="9" t="b">
        <f aca="false">COUNTIF('Roll Schedule'!$A$47:$A$790,A194)&gt;0</f>
        <v>1</v>
      </c>
      <c r="J194" s="8" t="s">
        <v>151</v>
      </c>
      <c r="K194" s="8" t="s">
        <v>753</v>
      </c>
    </row>
    <row r="195" customFormat="false" ht="15" hidden="false" customHeight="false" outlineLevel="0" collapsed="false">
      <c r="A195" s="7" t="n">
        <v>45558</v>
      </c>
      <c r="B195" s="8" t="s">
        <v>754</v>
      </c>
      <c r="C195" s="8" t="s">
        <v>755</v>
      </c>
      <c r="D195" s="8" t="s">
        <v>547</v>
      </c>
      <c r="E195" s="8"/>
      <c r="F195" s="8" t="s">
        <v>131</v>
      </c>
      <c r="G195" s="8" t="s">
        <v>245</v>
      </c>
      <c r="H195" s="3" t="str">
        <f aca="false">IF(G195="OK","YES","no")</f>
        <v>no</v>
      </c>
      <c r="I195" s="9" t="b">
        <f aca="false">COUNTIF('Roll Schedule'!$A$47:$A$790,A195)&gt;0</f>
        <v>1</v>
      </c>
      <c r="J195" s="8" t="s">
        <v>151</v>
      </c>
      <c r="K195" s="8" t="s">
        <v>756</v>
      </c>
    </row>
    <row r="196" customFormat="false" ht="15" hidden="false" customHeight="false" outlineLevel="0" collapsed="false">
      <c r="A196" s="7" t="n">
        <v>45559</v>
      </c>
      <c r="B196" s="8" t="s">
        <v>757</v>
      </c>
      <c r="C196" s="8" t="s">
        <v>758</v>
      </c>
      <c r="D196" s="8" t="s">
        <v>547</v>
      </c>
      <c r="E196" s="8"/>
      <c r="F196" s="8" t="s">
        <v>131</v>
      </c>
      <c r="G196" s="8" t="s">
        <v>245</v>
      </c>
      <c r="H196" s="3" t="str">
        <f aca="false">IF(G196="OK","YES","no")</f>
        <v>no</v>
      </c>
      <c r="I196" s="9" t="b">
        <f aca="false">COUNTIF('Roll Schedule'!$A$47:$A$790,A196)&gt;0</f>
        <v>1</v>
      </c>
      <c r="J196" s="8" t="s">
        <v>151</v>
      </c>
      <c r="K196" s="8" t="s">
        <v>759</v>
      </c>
    </row>
    <row r="197" customFormat="false" ht="15" hidden="false" customHeight="false" outlineLevel="0" collapsed="false">
      <c r="A197" s="7" t="n">
        <v>45560</v>
      </c>
      <c r="B197" s="8" t="s">
        <v>760</v>
      </c>
      <c r="C197" s="8" t="s">
        <v>761</v>
      </c>
      <c r="D197" s="8" t="s">
        <v>547</v>
      </c>
      <c r="E197" s="8"/>
      <c r="F197" s="8" t="s">
        <v>131</v>
      </c>
      <c r="G197" s="8" t="s">
        <v>245</v>
      </c>
      <c r="H197" s="3" t="str">
        <f aca="false">IF(G197="OK","YES","no")</f>
        <v>no</v>
      </c>
      <c r="I197" s="9" t="b">
        <f aca="false">COUNTIF('Roll Schedule'!$A$47:$A$790,A197)&gt;0</f>
        <v>1</v>
      </c>
      <c r="J197" s="8" t="s">
        <v>151</v>
      </c>
      <c r="K197" s="8" t="s">
        <v>762</v>
      </c>
    </row>
    <row r="198" customFormat="false" ht="15" hidden="false" customHeight="false" outlineLevel="0" collapsed="false">
      <c r="A198" s="7" t="n">
        <v>45562</v>
      </c>
      <c r="B198" s="8"/>
      <c r="C198" s="8" t="s">
        <v>763</v>
      </c>
      <c r="D198" s="8" t="s">
        <v>547</v>
      </c>
      <c r="E198" s="8"/>
      <c r="F198" s="8" t="s">
        <v>232</v>
      </c>
      <c r="G198" s="8" t="s">
        <v>143</v>
      </c>
      <c r="H198" s="3" t="str">
        <f aca="false">IF(G198="OK","YES","no")</f>
        <v>no</v>
      </c>
      <c r="I198" s="9" t="b">
        <f aca="false">COUNTIF('Roll Schedule'!$A$47:$A$790,A198)&gt;0</f>
        <v>1</v>
      </c>
      <c r="J198" s="8" t="s">
        <v>151</v>
      </c>
      <c r="K198" s="8" t="s">
        <v>764</v>
      </c>
    </row>
    <row r="199" customFormat="false" ht="15" hidden="false" customHeight="false" outlineLevel="0" collapsed="false">
      <c r="A199" s="7" t="n">
        <v>45566</v>
      </c>
      <c r="B199" s="8" t="s">
        <v>765</v>
      </c>
      <c r="C199" s="8" t="s">
        <v>766</v>
      </c>
      <c r="D199" s="8" t="s">
        <v>547</v>
      </c>
      <c r="E199" s="8"/>
      <c r="F199" s="8" t="s">
        <v>142</v>
      </c>
      <c r="G199" s="8" t="s">
        <v>245</v>
      </c>
      <c r="H199" s="3" t="str">
        <f aca="false">IF(G199="OK","YES","no")</f>
        <v>no</v>
      </c>
      <c r="I199" s="9" t="b">
        <f aca="false">COUNTIF('Roll Schedule'!$A$47:$A$790,A199)&gt;0</f>
        <v>1</v>
      </c>
      <c r="J199" s="8" t="s">
        <v>151</v>
      </c>
      <c r="K199" s="8" t="s">
        <v>767</v>
      </c>
    </row>
    <row r="200" customFormat="false" ht="15" hidden="false" customHeight="false" outlineLevel="0" collapsed="false">
      <c r="A200" s="7" t="n">
        <v>45601</v>
      </c>
      <c r="B200" s="8" t="s">
        <v>768</v>
      </c>
      <c r="C200" s="8" t="s">
        <v>769</v>
      </c>
      <c r="D200" s="8" t="s">
        <v>547</v>
      </c>
      <c r="E200" s="8"/>
      <c r="F200" s="8" t="s">
        <v>232</v>
      </c>
      <c r="G200" s="8" t="s">
        <v>143</v>
      </c>
      <c r="H200" s="3" t="str">
        <f aca="false">IF(G200="OK","YES","no")</f>
        <v>no</v>
      </c>
      <c r="I200" s="9" t="b">
        <f aca="false">COUNTIF('Roll Schedule'!$A$47:$A$790,A200)&gt;0</f>
        <v>1</v>
      </c>
      <c r="J200" s="8" t="s">
        <v>151</v>
      </c>
      <c r="K200" s="8" t="s">
        <v>770</v>
      </c>
    </row>
    <row r="201" customFormat="false" ht="15" hidden="false" customHeight="false" outlineLevel="0" collapsed="false">
      <c r="A201" s="7" t="n">
        <v>45629</v>
      </c>
      <c r="B201" s="8" t="s">
        <v>771</v>
      </c>
      <c r="C201" s="8" t="s">
        <v>772</v>
      </c>
      <c r="D201" s="8" t="s">
        <v>547</v>
      </c>
      <c r="E201" s="8"/>
      <c r="F201" s="8" t="s">
        <v>131</v>
      </c>
      <c r="G201" s="8" t="s">
        <v>245</v>
      </c>
      <c r="H201" s="3" t="str">
        <f aca="false">IF(G201="OK","YES","no")</f>
        <v>no</v>
      </c>
      <c r="I201" s="9" t="b">
        <f aca="false">COUNTIF('Roll Schedule'!$A$47:$A$790,A201)&gt;0</f>
        <v>1</v>
      </c>
      <c r="J201" s="8" t="s">
        <v>151</v>
      </c>
      <c r="K201" s="8" t="s">
        <v>773</v>
      </c>
    </row>
    <row r="202" customFormat="false" ht="15" hidden="false" customHeight="false" outlineLevel="0" collapsed="false">
      <c r="A202" s="7" t="n">
        <v>45629</v>
      </c>
      <c r="B202" s="8" t="s">
        <v>774</v>
      </c>
      <c r="C202" s="8" t="s">
        <v>775</v>
      </c>
      <c r="D202" s="8" t="s">
        <v>351</v>
      </c>
      <c r="E202" s="8" t="n">
        <v>6950</v>
      </c>
      <c r="F202" s="8" t="s">
        <v>131</v>
      </c>
      <c r="G202" s="8" t="s">
        <v>251</v>
      </c>
      <c r="H202" s="3" t="str">
        <f aca="false">IF(G202="OK","YES","no")</f>
        <v>no</v>
      </c>
      <c r="I202" s="9" t="b">
        <f aca="false">COUNTIF('Roll Schedule'!$A$47:$A$790,A202)&gt;0</f>
        <v>1</v>
      </c>
      <c r="J202" s="8" t="s">
        <v>151</v>
      </c>
      <c r="K202" s="8" t="s">
        <v>776</v>
      </c>
    </row>
    <row r="203" customFormat="false" ht="15" hidden="false" customHeight="false" outlineLevel="0" collapsed="false">
      <c r="A203" s="7" t="n">
        <v>45630</v>
      </c>
      <c r="B203" s="8" t="s">
        <v>777</v>
      </c>
      <c r="C203" s="8" t="s">
        <v>778</v>
      </c>
      <c r="D203" s="8" t="s">
        <v>779</v>
      </c>
      <c r="E203" s="8" t="n">
        <v>6800</v>
      </c>
      <c r="F203" s="8" t="s">
        <v>131</v>
      </c>
      <c r="G203" s="8" t="s">
        <v>132</v>
      </c>
      <c r="H203" s="3" t="str">
        <f aca="false">IF(G203="OK","YES","no")</f>
        <v>YES</v>
      </c>
      <c r="I203" s="9" t="b">
        <f aca="false">COUNTIF('Roll Schedule'!$A$47:$A$790,A203)&gt;0</f>
        <v>1</v>
      </c>
      <c r="J203" s="8" t="s">
        <v>151</v>
      </c>
      <c r="K203" s="8" t="s">
        <v>780</v>
      </c>
    </row>
    <row r="204" customFormat="false" ht="15" hidden="false" customHeight="false" outlineLevel="0" collapsed="false">
      <c r="A204" s="7" t="n">
        <v>45631</v>
      </c>
      <c r="B204" s="8" t="s">
        <v>781</v>
      </c>
      <c r="C204" s="8" t="s">
        <v>782</v>
      </c>
      <c r="D204" s="8" t="s">
        <v>368</v>
      </c>
      <c r="E204" s="8" t="n">
        <v>6750</v>
      </c>
      <c r="F204" s="8" t="s">
        <v>131</v>
      </c>
      <c r="G204" s="8" t="s">
        <v>132</v>
      </c>
      <c r="H204" s="3" t="str">
        <f aca="false">IF(G204="OK","YES","no")</f>
        <v>YES</v>
      </c>
      <c r="I204" s="9" t="b">
        <f aca="false">COUNTIF('Roll Schedule'!$A$47:$A$790,A204)&gt;0</f>
        <v>1</v>
      </c>
      <c r="J204" s="8" t="s">
        <v>151</v>
      </c>
      <c r="K204" s="8" t="s">
        <v>783</v>
      </c>
    </row>
    <row r="205" customFormat="false" ht="15" hidden="false" customHeight="false" outlineLevel="0" collapsed="false">
      <c r="A205" s="7" t="n">
        <v>45632</v>
      </c>
      <c r="B205" s="8" t="s">
        <v>784</v>
      </c>
      <c r="C205" s="8" t="s">
        <v>785</v>
      </c>
      <c r="D205" s="8" t="s">
        <v>376</v>
      </c>
      <c r="E205" s="8" t="n">
        <v>6650</v>
      </c>
      <c r="F205" s="8" t="s">
        <v>131</v>
      </c>
      <c r="G205" s="8" t="s">
        <v>132</v>
      </c>
      <c r="H205" s="3" t="str">
        <f aca="false">IF(G205="OK","YES","no")</f>
        <v>YES</v>
      </c>
      <c r="I205" s="9" t="b">
        <f aca="false">COUNTIF('Roll Schedule'!$A$47:$A$790,A205)&gt;0</f>
        <v>1</v>
      </c>
      <c r="J205" s="8" t="s">
        <v>151</v>
      </c>
      <c r="K205" s="8" t="s">
        <v>786</v>
      </c>
    </row>
    <row r="206" customFormat="false" ht="15" hidden="false" customHeight="false" outlineLevel="0" collapsed="false">
      <c r="A206" s="7" t="n">
        <v>45635</v>
      </c>
      <c r="B206" s="8" t="s">
        <v>787</v>
      </c>
      <c r="C206" s="8" t="s">
        <v>788</v>
      </c>
      <c r="D206" s="8" t="s">
        <v>376</v>
      </c>
      <c r="E206" s="8" t="n">
        <v>6650</v>
      </c>
      <c r="F206" s="8" t="s">
        <v>131</v>
      </c>
      <c r="G206" s="8" t="s">
        <v>132</v>
      </c>
      <c r="H206" s="3" t="str">
        <f aca="false">IF(G206="OK","YES","no")</f>
        <v>YES</v>
      </c>
      <c r="I206" s="9" t="b">
        <f aca="false">COUNTIF('Roll Schedule'!$A$47:$A$790,A206)&gt;0</f>
        <v>1</v>
      </c>
      <c r="J206" s="8" t="s">
        <v>151</v>
      </c>
      <c r="K206" s="8" t="s">
        <v>789</v>
      </c>
    </row>
    <row r="207" customFormat="false" ht="15" hidden="false" customHeight="false" outlineLevel="0" collapsed="false">
      <c r="A207" s="7" t="n">
        <v>45636</v>
      </c>
      <c r="B207" s="8" t="s">
        <v>790</v>
      </c>
      <c r="C207" s="8" t="s">
        <v>791</v>
      </c>
      <c r="D207" s="8" t="s">
        <v>376</v>
      </c>
      <c r="E207" s="8" t="n">
        <v>6650</v>
      </c>
      <c r="F207" s="8" t="s">
        <v>131</v>
      </c>
      <c r="G207" s="8" t="s">
        <v>132</v>
      </c>
      <c r="H207" s="3" t="str">
        <f aca="false">IF(G207="OK","YES","no")</f>
        <v>YES</v>
      </c>
      <c r="I207" s="9" t="b">
        <f aca="false">COUNTIF('Roll Schedule'!$A$47:$A$790,A207)&gt;0</f>
        <v>1</v>
      </c>
      <c r="J207" s="8" t="s">
        <v>151</v>
      </c>
      <c r="K207" s="8" t="s">
        <v>792</v>
      </c>
    </row>
    <row r="208" customFormat="false" ht="15" hidden="false" customHeight="false" outlineLevel="0" collapsed="false">
      <c r="A208" s="7" t="n">
        <v>45637</v>
      </c>
      <c r="B208" s="8" t="s">
        <v>793</v>
      </c>
      <c r="C208" s="8" t="s">
        <v>794</v>
      </c>
      <c r="D208" s="8" t="s">
        <v>368</v>
      </c>
      <c r="E208" s="8" t="n">
        <v>6750</v>
      </c>
      <c r="F208" s="8" t="s">
        <v>131</v>
      </c>
      <c r="G208" s="8" t="s">
        <v>132</v>
      </c>
      <c r="H208" s="3" t="str">
        <f aca="false">IF(G208="OK","YES","no")</f>
        <v>YES</v>
      </c>
      <c r="I208" s="9" t="b">
        <f aca="false">COUNTIF('Roll Schedule'!$A$47:$A$790,A208)&gt;0</f>
        <v>1</v>
      </c>
      <c r="J208" s="8" t="s">
        <v>151</v>
      </c>
      <c r="K208" s="8" t="s">
        <v>795</v>
      </c>
    </row>
    <row r="209" customFormat="false" ht="15" hidden="false" customHeight="false" outlineLevel="0" collapsed="false">
      <c r="A209" s="7" t="n">
        <v>45638</v>
      </c>
      <c r="B209" s="8" t="s">
        <v>796</v>
      </c>
      <c r="C209" s="8" t="s">
        <v>797</v>
      </c>
      <c r="D209" s="8" t="s">
        <v>372</v>
      </c>
      <c r="E209" s="8" t="n">
        <v>6700</v>
      </c>
      <c r="F209" s="8" t="s">
        <v>131</v>
      </c>
      <c r="G209" s="8" t="s">
        <v>132</v>
      </c>
      <c r="H209" s="3" t="str">
        <f aca="false">IF(G209="OK","YES","no")</f>
        <v>YES</v>
      </c>
      <c r="I209" s="9" t="b">
        <f aca="false">COUNTIF('Roll Schedule'!$A$47:$A$790,A209)&gt;0</f>
        <v>1</v>
      </c>
      <c r="J209" s="8" t="s">
        <v>151</v>
      </c>
      <c r="K209" s="8" t="s">
        <v>798</v>
      </c>
    </row>
    <row r="210" customFormat="false" ht="15" hidden="false" customHeight="false" outlineLevel="0" collapsed="false">
      <c r="A210" s="7" t="n">
        <v>45639</v>
      </c>
      <c r="B210" s="8" t="s">
        <v>799</v>
      </c>
      <c r="C210" s="8" t="s">
        <v>800</v>
      </c>
      <c r="D210" s="8" t="s">
        <v>372</v>
      </c>
      <c r="E210" s="8" t="n">
        <v>6700</v>
      </c>
      <c r="F210" s="8" t="s">
        <v>131</v>
      </c>
      <c r="G210" s="8" t="s">
        <v>132</v>
      </c>
      <c r="H210" s="3" t="str">
        <f aca="false">IF(G210="OK","YES","no")</f>
        <v>YES</v>
      </c>
      <c r="I210" s="9" t="b">
        <f aca="false">COUNTIF('Roll Schedule'!$A$47:$A$790,A210)&gt;0</f>
        <v>1</v>
      </c>
      <c r="J210" s="8" t="s">
        <v>151</v>
      </c>
      <c r="K210" s="8" t="s">
        <v>801</v>
      </c>
    </row>
    <row r="211" customFormat="false" ht="15" hidden="false" customHeight="false" outlineLevel="0" collapsed="false">
      <c r="A211" s="7" t="n">
        <v>45642</v>
      </c>
      <c r="B211" s="8" t="s">
        <v>802</v>
      </c>
      <c r="C211" s="8" t="s">
        <v>803</v>
      </c>
      <c r="D211" s="8" t="s">
        <v>376</v>
      </c>
      <c r="E211" s="8" t="n">
        <v>6650</v>
      </c>
      <c r="F211" s="8" t="s">
        <v>131</v>
      </c>
      <c r="G211" s="8" t="s">
        <v>132</v>
      </c>
      <c r="H211" s="3" t="str">
        <f aca="false">IF(G211="OK","YES","no")</f>
        <v>YES</v>
      </c>
      <c r="I211" s="9" t="b">
        <f aca="false">COUNTIF('Roll Schedule'!$A$47:$A$790,A211)&gt;0</f>
        <v>1</v>
      </c>
      <c r="J211" s="8" t="s">
        <v>151</v>
      </c>
      <c r="K211" s="8" t="s">
        <v>804</v>
      </c>
    </row>
    <row r="212" customFormat="false" ht="15" hidden="false" customHeight="false" outlineLevel="0" collapsed="false">
      <c r="A212" s="7" t="n">
        <v>45643</v>
      </c>
      <c r="B212" s="8" t="s">
        <v>805</v>
      </c>
      <c r="C212" s="8" t="s">
        <v>806</v>
      </c>
      <c r="D212" s="8" t="s">
        <v>450</v>
      </c>
      <c r="E212" s="8" t="n">
        <v>6600</v>
      </c>
      <c r="F212" s="8" t="s">
        <v>131</v>
      </c>
      <c r="G212" s="8" t="s">
        <v>132</v>
      </c>
      <c r="H212" s="3" t="str">
        <f aca="false">IF(G212="OK","YES","no")</f>
        <v>YES</v>
      </c>
      <c r="I212" s="9" t="b">
        <f aca="false">COUNTIF('Roll Schedule'!$A$47:$A$790,A212)&gt;0</f>
        <v>1</v>
      </c>
      <c r="J212" s="8" t="s">
        <v>151</v>
      </c>
      <c r="K212" s="8" t="s">
        <v>807</v>
      </c>
    </row>
    <row r="213" customFormat="false" ht="15" hidden="false" customHeight="false" outlineLevel="0" collapsed="false">
      <c r="A213" s="7" t="n">
        <v>45644</v>
      </c>
      <c r="B213" s="8" t="s">
        <v>808</v>
      </c>
      <c r="C213" s="8" t="s">
        <v>809</v>
      </c>
      <c r="D213" s="8" t="s">
        <v>450</v>
      </c>
      <c r="E213" s="8" t="n">
        <v>6600</v>
      </c>
      <c r="F213" s="8" t="s">
        <v>131</v>
      </c>
      <c r="G213" s="8" t="s">
        <v>132</v>
      </c>
      <c r="H213" s="3" t="str">
        <f aca="false">IF(G213="OK","YES","no")</f>
        <v>YES</v>
      </c>
      <c r="I213" s="9" t="b">
        <f aca="false">COUNTIF('Roll Schedule'!$A$47:$A$790,A213)&gt;0</f>
        <v>1</v>
      </c>
      <c r="J213" s="8" t="s">
        <v>151</v>
      </c>
      <c r="K213" s="8" t="s">
        <v>810</v>
      </c>
    </row>
    <row r="214" customFormat="false" ht="15" hidden="false" customHeight="false" outlineLevel="0" collapsed="false">
      <c r="A214" s="7" t="n">
        <v>45645</v>
      </c>
      <c r="B214" s="8" t="s">
        <v>811</v>
      </c>
      <c r="C214" s="8" t="s">
        <v>812</v>
      </c>
      <c r="D214" s="8" t="s">
        <v>376</v>
      </c>
      <c r="E214" s="8" t="n">
        <v>6650</v>
      </c>
      <c r="F214" s="8" t="s">
        <v>131</v>
      </c>
      <c r="G214" s="8" t="s">
        <v>132</v>
      </c>
      <c r="H214" s="3" t="str">
        <f aca="false">IF(G214="OK","YES","no")</f>
        <v>YES</v>
      </c>
      <c r="I214" s="9" t="b">
        <f aca="false">COUNTIF('Roll Schedule'!$A$47:$A$790,A214)&gt;0</f>
        <v>1</v>
      </c>
      <c r="J214" s="8" t="s">
        <v>151</v>
      </c>
      <c r="K214" s="8" t="s">
        <v>813</v>
      </c>
    </row>
    <row r="215" customFormat="false" ht="15" hidden="false" customHeight="false" outlineLevel="0" collapsed="false">
      <c r="A215" s="7" t="n">
        <v>45646</v>
      </c>
      <c r="B215" s="8" t="s">
        <v>814</v>
      </c>
      <c r="C215" s="8" t="s">
        <v>815</v>
      </c>
      <c r="D215" s="8" t="s">
        <v>376</v>
      </c>
      <c r="E215" s="8" t="n">
        <v>6650</v>
      </c>
      <c r="F215" s="8" t="s">
        <v>131</v>
      </c>
      <c r="G215" s="8" t="s">
        <v>132</v>
      </c>
      <c r="H215" s="3" t="str">
        <f aca="false">IF(G215="OK","YES","no")</f>
        <v>YES</v>
      </c>
      <c r="I215" s="9" t="b">
        <f aca="false">COUNTIF('Roll Schedule'!$A$47:$A$790,A215)&gt;0</f>
        <v>1</v>
      </c>
      <c r="J215" s="8" t="s">
        <v>151</v>
      </c>
      <c r="K215" s="8" t="s">
        <v>816</v>
      </c>
    </row>
    <row r="216" customFormat="false" ht="15" hidden="false" customHeight="false" outlineLevel="0" collapsed="false">
      <c r="A216" s="7" t="n">
        <v>45649</v>
      </c>
      <c r="B216" s="8" t="s">
        <v>817</v>
      </c>
      <c r="C216" s="8" t="s">
        <v>818</v>
      </c>
      <c r="D216" s="8" t="s">
        <v>376</v>
      </c>
      <c r="E216" s="8" t="n">
        <v>6650</v>
      </c>
      <c r="F216" s="8" t="s">
        <v>131</v>
      </c>
      <c r="G216" s="8" t="s">
        <v>132</v>
      </c>
      <c r="H216" s="3" t="str">
        <f aca="false">IF(G216="OK","YES","no")</f>
        <v>YES</v>
      </c>
      <c r="I216" s="9" t="b">
        <f aca="false">COUNTIF('Roll Schedule'!$A$47:$A$790,A216)&gt;0</f>
        <v>1</v>
      </c>
      <c r="J216" s="8" t="s">
        <v>151</v>
      </c>
      <c r="K216" s="8" t="s">
        <v>819</v>
      </c>
    </row>
    <row r="217" customFormat="false" ht="15" hidden="false" customHeight="false" outlineLevel="0" collapsed="false">
      <c r="A217" s="7" t="n">
        <v>45650</v>
      </c>
      <c r="B217" s="8" t="s">
        <v>820</v>
      </c>
      <c r="C217" s="8" t="s">
        <v>821</v>
      </c>
      <c r="D217" s="8" t="s">
        <v>376</v>
      </c>
      <c r="E217" s="8" t="n">
        <v>6650</v>
      </c>
      <c r="F217" s="8" t="s">
        <v>131</v>
      </c>
      <c r="G217" s="8" t="s">
        <v>132</v>
      </c>
      <c r="H217" s="3" t="str">
        <f aca="false">IF(G217="OK","YES","no")</f>
        <v>YES</v>
      </c>
      <c r="I217" s="9" t="b">
        <f aca="false">COUNTIF('Roll Schedule'!$A$47:$A$790,A217)&gt;0</f>
        <v>1</v>
      </c>
      <c r="J217" s="8" t="s">
        <v>151</v>
      </c>
      <c r="K217" s="8" t="s">
        <v>822</v>
      </c>
    </row>
    <row r="218" customFormat="false" ht="15" hidden="false" customHeight="false" outlineLevel="0" collapsed="false">
      <c r="A218" s="7" t="n">
        <v>45651</v>
      </c>
      <c r="B218" s="8" t="s">
        <v>823</v>
      </c>
      <c r="C218" s="8" t="s">
        <v>824</v>
      </c>
      <c r="D218" s="8" t="s">
        <v>376</v>
      </c>
      <c r="E218" s="8" t="n">
        <v>6650</v>
      </c>
      <c r="F218" s="8" t="s">
        <v>131</v>
      </c>
      <c r="G218" s="8" t="s">
        <v>132</v>
      </c>
      <c r="H218" s="3" t="str">
        <f aca="false">IF(G218="OK","YES","no")</f>
        <v>YES</v>
      </c>
      <c r="I218" s="9" t="b">
        <f aca="false">COUNTIF('Roll Schedule'!$A$47:$A$790,A218)&gt;0</f>
        <v>0</v>
      </c>
      <c r="J218" s="8" t="s">
        <v>151</v>
      </c>
      <c r="K218" s="8" t="s">
        <v>825</v>
      </c>
    </row>
    <row r="219" customFormat="false" ht="15" hidden="false" customHeight="false" outlineLevel="0" collapsed="false">
      <c r="A219" s="7" t="n">
        <v>45652</v>
      </c>
      <c r="B219" s="8" t="s">
        <v>826</v>
      </c>
      <c r="C219" s="8" t="s">
        <v>827</v>
      </c>
      <c r="D219" s="8" t="s">
        <v>450</v>
      </c>
      <c r="E219" s="8" t="n">
        <v>6600</v>
      </c>
      <c r="F219" s="8" t="s">
        <v>131</v>
      </c>
      <c r="G219" s="8" t="s">
        <v>132</v>
      </c>
      <c r="H219" s="3" t="str">
        <f aca="false">IF(G219="OK","YES","no")</f>
        <v>YES</v>
      </c>
      <c r="I219" s="9" t="b">
        <f aca="false">COUNTIF('Roll Schedule'!$A$47:$A$790,A219)&gt;0</f>
        <v>1</v>
      </c>
      <c r="J219" s="8" t="s">
        <v>151</v>
      </c>
      <c r="K219" s="8" t="s">
        <v>828</v>
      </c>
    </row>
    <row r="220" customFormat="false" ht="15" hidden="false" customHeight="false" outlineLevel="0" collapsed="false">
      <c r="A220" s="7" t="n">
        <v>45653</v>
      </c>
      <c r="B220" s="8" t="s">
        <v>829</v>
      </c>
      <c r="C220" s="8" t="s">
        <v>830</v>
      </c>
      <c r="D220" s="8" t="s">
        <v>450</v>
      </c>
      <c r="E220" s="8" t="n">
        <v>6600</v>
      </c>
      <c r="F220" s="8" t="s">
        <v>131</v>
      </c>
      <c r="G220" s="8" t="s">
        <v>132</v>
      </c>
      <c r="H220" s="3" t="str">
        <f aca="false">IF(G220="OK","YES","no")</f>
        <v>YES</v>
      </c>
      <c r="I220" s="9" t="b">
        <f aca="false">COUNTIF('Roll Schedule'!$A$47:$A$790,A220)&gt;0</f>
        <v>1</v>
      </c>
      <c r="J220" s="8" t="s">
        <v>151</v>
      </c>
      <c r="K220" s="8" t="s">
        <v>831</v>
      </c>
    </row>
    <row r="221" customFormat="false" ht="15" hidden="false" customHeight="false" outlineLevel="0" collapsed="false">
      <c r="A221" s="7" t="n">
        <v>45656</v>
      </c>
      <c r="B221" s="8" t="s">
        <v>832</v>
      </c>
      <c r="C221" s="8" t="s">
        <v>833</v>
      </c>
      <c r="D221" s="8" t="s">
        <v>450</v>
      </c>
      <c r="E221" s="8" t="n">
        <v>6600</v>
      </c>
      <c r="F221" s="8" t="s">
        <v>131</v>
      </c>
      <c r="G221" s="8" t="s">
        <v>132</v>
      </c>
      <c r="H221" s="3" t="str">
        <f aca="false">IF(G221="OK","YES","no")</f>
        <v>YES</v>
      </c>
      <c r="I221" s="9" t="b">
        <f aca="false">COUNTIF('Roll Schedule'!$A$47:$A$790,A221)&gt;0</f>
        <v>1</v>
      </c>
      <c r="J221" s="8" t="s">
        <v>151</v>
      </c>
      <c r="K221" s="8" t="s">
        <v>834</v>
      </c>
    </row>
    <row r="222" customFormat="false" ht="15" hidden="false" customHeight="false" outlineLevel="0" collapsed="false">
      <c r="A222" s="7" t="n">
        <v>45657</v>
      </c>
      <c r="B222" s="8" t="s">
        <v>835</v>
      </c>
      <c r="C222" s="8" t="s">
        <v>836</v>
      </c>
      <c r="D222" s="8" t="s">
        <v>372</v>
      </c>
      <c r="E222" s="8" t="n">
        <v>6700</v>
      </c>
      <c r="F222" s="8" t="s">
        <v>131</v>
      </c>
      <c r="G222" s="8" t="s">
        <v>132</v>
      </c>
      <c r="H222" s="3" t="str">
        <f aca="false">IF(G222="OK","YES","no")</f>
        <v>YES</v>
      </c>
      <c r="I222" s="9" t="b">
        <f aca="false">COUNTIF('Roll Schedule'!$A$47:$A$790,A222)&gt;0</f>
        <v>1</v>
      </c>
      <c r="J222" s="8" t="s">
        <v>151</v>
      </c>
      <c r="K222" s="8" t="s">
        <v>837</v>
      </c>
    </row>
    <row r="223" customFormat="false" ht="15" hidden="false" customHeight="false" outlineLevel="0" collapsed="false">
      <c r="A223" s="7" t="n">
        <v>45658</v>
      </c>
      <c r="B223" s="8" t="s">
        <v>838</v>
      </c>
      <c r="C223" s="8" t="s">
        <v>839</v>
      </c>
      <c r="D223" s="8" t="s">
        <v>372</v>
      </c>
      <c r="E223" s="8" t="n">
        <v>6700</v>
      </c>
      <c r="F223" s="8" t="s">
        <v>131</v>
      </c>
      <c r="G223" s="8" t="s">
        <v>132</v>
      </c>
      <c r="H223" s="3" t="str">
        <f aca="false">IF(G223="OK","YES","no")</f>
        <v>YES</v>
      </c>
      <c r="I223" s="9" t="b">
        <f aca="false">COUNTIF('Roll Schedule'!$A$47:$A$790,A223)&gt;0</f>
        <v>1</v>
      </c>
      <c r="J223" s="8" t="s">
        <v>151</v>
      </c>
      <c r="K223" s="8" t="s">
        <v>840</v>
      </c>
    </row>
    <row r="224" customFormat="false" ht="15" hidden="false" customHeight="false" outlineLevel="0" collapsed="false">
      <c r="A224" s="7" t="n">
        <v>45659</v>
      </c>
      <c r="B224" s="8" t="s">
        <v>841</v>
      </c>
      <c r="C224" s="8" t="s">
        <v>842</v>
      </c>
      <c r="D224" s="8" t="s">
        <v>450</v>
      </c>
      <c r="E224" s="8" t="n">
        <v>6600</v>
      </c>
      <c r="F224" s="8" t="s">
        <v>131</v>
      </c>
      <c r="G224" s="8" t="s">
        <v>132</v>
      </c>
      <c r="H224" s="3" t="str">
        <f aca="false">IF(G224="OK","YES","no")</f>
        <v>YES</v>
      </c>
      <c r="I224" s="9" t="b">
        <f aca="false">COUNTIF('Roll Schedule'!$A$47:$A$790,A224)&gt;0</f>
        <v>1</v>
      </c>
      <c r="J224" s="8" t="s">
        <v>151</v>
      </c>
      <c r="K224" s="8" t="s">
        <v>843</v>
      </c>
    </row>
    <row r="225" customFormat="false" ht="15" hidden="false" customHeight="false" outlineLevel="0" collapsed="false">
      <c r="A225" s="7" t="n">
        <v>45660</v>
      </c>
      <c r="B225" s="8" t="s">
        <v>844</v>
      </c>
      <c r="C225" s="8" t="s">
        <v>845</v>
      </c>
      <c r="D225" s="8" t="s">
        <v>846</v>
      </c>
      <c r="E225" s="8" t="n">
        <v>6300</v>
      </c>
      <c r="F225" s="8" t="s">
        <v>131</v>
      </c>
      <c r="G225" s="8" t="s">
        <v>132</v>
      </c>
      <c r="H225" s="3" t="str">
        <f aca="false">IF(G225="OK","YES","no")</f>
        <v>YES</v>
      </c>
      <c r="I225" s="9" t="b">
        <f aca="false">COUNTIF('Roll Schedule'!$A$47:$A$790,A225)&gt;0</f>
        <v>1</v>
      </c>
      <c r="J225" s="8" t="s">
        <v>151</v>
      </c>
      <c r="K225" s="8" t="s">
        <v>847</v>
      </c>
    </row>
    <row r="226" customFormat="false" ht="15" hidden="false" customHeight="false" outlineLevel="0" collapsed="false">
      <c r="A226" s="7" t="n">
        <v>45663</v>
      </c>
      <c r="B226" s="8" t="s">
        <v>848</v>
      </c>
      <c r="C226" s="8" t="s">
        <v>849</v>
      </c>
      <c r="D226" s="8" t="s">
        <v>450</v>
      </c>
      <c r="E226" s="8" t="n">
        <v>6600</v>
      </c>
      <c r="F226" s="8" t="s">
        <v>131</v>
      </c>
      <c r="G226" s="8" t="s">
        <v>132</v>
      </c>
      <c r="H226" s="3" t="str">
        <f aca="false">IF(G226="OK","YES","no")</f>
        <v>YES</v>
      </c>
      <c r="I226" s="9" t="b">
        <f aca="false">COUNTIF('Roll Schedule'!$A$47:$A$790,A226)&gt;0</f>
        <v>1</v>
      </c>
      <c r="J226" s="8" t="s">
        <v>151</v>
      </c>
      <c r="K226" s="8" t="s">
        <v>850</v>
      </c>
    </row>
    <row r="227" customFormat="false" ht="15" hidden="false" customHeight="false" outlineLevel="0" collapsed="false">
      <c r="A227" s="7" t="n">
        <v>45664</v>
      </c>
      <c r="B227" s="8" t="s">
        <v>851</v>
      </c>
      <c r="C227" s="8" t="s">
        <v>852</v>
      </c>
      <c r="D227" s="8" t="s">
        <v>450</v>
      </c>
      <c r="E227" s="8" t="n">
        <v>6600</v>
      </c>
      <c r="F227" s="8" t="s">
        <v>131</v>
      </c>
      <c r="G227" s="8" t="s">
        <v>132</v>
      </c>
      <c r="H227" s="3" t="str">
        <f aca="false">IF(G227="OK","YES","no")</f>
        <v>YES</v>
      </c>
      <c r="I227" s="9" t="b">
        <f aca="false">COUNTIF('Roll Schedule'!$A$47:$A$790,A227)&gt;0</f>
        <v>1</v>
      </c>
      <c r="J227" s="8" t="s">
        <v>151</v>
      </c>
      <c r="K227" s="8" t="s">
        <v>853</v>
      </c>
    </row>
    <row r="228" customFormat="false" ht="15" hidden="false" customHeight="false" outlineLevel="0" collapsed="false">
      <c r="A228" s="7" t="n">
        <v>45665</v>
      </c>
      <c r="B228" s="8" t="s">
        <v>854</v>
      </c>
      <c r="C228" s="8" t="s">
        <v>855</v>
      </c>
      <c r="D228" s="8" t="s">
        <v>380</v>
      </c>
      <c r="E228" s="8" t="n">
        <v>6550</v>
      </c>
      <c r="F228" s="8" t="s">
        <v>131</v>
      </c>
      <c r="G228" s="8" t="s">
        <v>132</v>
      </c>
      <c r="H228" s="3" t="str">
        <f aca="false">IF(G228="OK","YES","no")</f>
        <v>YES</v>
      </c>
      <c r="I228" s="9" t="b">
        <f aca="false">COUNTIF('Roll Schedule'!$A$47:$A$790,A228)&gt;0</f>
        <v>1</v>
      </c>
      <c r="J228" s="8" t="s">
        <v>151</v>
      </c>
      <c r="K228" s="8" t="s">
        <v>856</v>
      </c>
    </row>
    <row r="229" customFormat="false" ht="15" hidden="false" customHeight="false" outlineLevel="0" collapsed="false">
      <c r="A229" s="7" t="n">
        <v>45666</v>
      </c>
      <c r="B229" s="8" t="s">
        <v>857</v>
      </c>
      <c r="C229" s="8" t="s">
        <v>858</v>
      </c>
      <c r="D229" s="8" t="s">
        <v>450</v>
      </c>
      <c r="E229" s="8" t="n">
        <v>6600</v>
      </c>
      <c r="F229" s="8" t="s">
        <v>131</v>
      </c>
      <c r="G229" s="8" t="s">
        <v>132</v>
      </c>
      <c r="H229" s="3" t="str">
        <f aca="false">IF(G229="OK","YES","no")</f>
        <v>YES</v>
      </c>
      <c r="I229" s="9" t="b">
        <f aca="false">COUNTIF('Roll Schedule'!$A$47:$A$790,A229)&gt;0</f>
        <v>1</v>
      </c>
      <c r="J229" s="8" t="s">
        <v>151</v>
      </c>
      <c r="K229" s="8" t="s">
        <v>859</v>
      </c>
    </row>
    <row r="230" customFormat="false" ht="15" hidden="false" customHeight="false" outlineLevel="0" collapsed="false">
      <c r="A230" s="7" t="n">
        <v>45667</v>
      </c>
      <c r="B230" s="8" t="s">
        <v>860</v>
      </c>
      <c r="C230" s="8" t="s">
        <v>861</v>
      </c>
      <c r="D230" s="8" t="s">
        <v>862</v>
      </c>
      <c r="E230" s="8" t="n">
        <v>6400</v>
      </c>
      <c r="F230" s="8" t="s">
        <v>131</v>
      </c>
      <c r="G230" s="8" t="s">
        <v>132</v>
      </c>
      <c r="H230" s="3" t="str">
        <f aca="false">IF(G230="OK","YES","no")</f>
        <v>YES</v>
      </c>
      <c r="I230" s="9" t="b">
        <f aca="false">COUNTIF('Roll Schedule'!$A$47:$A$790,A230)&gt;0</f>
        <v>1</v>
      </c>
      <c r="J230" s="8" t="s">
        <v>151</v>
      </c>
      <c r="K230" s="8" t="s">
        <v>863</v>
      </c>
    </row>
    <row r="231" customFormat="false" ht="15" hidden="false" customHeight="false" outlineLevel="0" collapsed="false">
      <c r="A231" s="7" t="n">
        <v>45670</v>
      </c>
      <c r="B231" s="8" t="s">
        <v>864</v>
      </c>
      <c r="C231" s="8" t="s">
        <v>865</v>
      </c>
      <c r="D231" s="8" t="s">
        <v>376</v>
      </c>
      <c r="E231" s="8" t="n">
        <v>6650</v>
      </c>
      <c r="F231" s="8" t="s">
        <v>131</v>
      </c>
      <c r="G231" s="8" t="s">
        <v>132</v>
      </c>
      <c r="H231" s="3" t="str">
        <f aca="false">IF(G231="OK","YES","no")</f>
        <v>YES</v>
      </c>
      <c r="I231" s="9" t="b">
        <f aca="false">COUNTIF('Roll Schedule'!$A$47:$A$790,A231)&gt;0</f>
        <v>1</v>
      </c>
      <c r="J231" s="8" t="s">
        <v>151</v>
      </c>
      <c r="K231" s="8" t="s">
        <v>866</v>
      </c>
    </row>
    <row r="232" customFormat="false" ht="15" hidden="false" customHeight="false" outlineLevel="0" collapsed="false">
      <c r="A232" s="7" t="n">
        <v>45671</v>
      </c>
      <c r="B232" s="8" t="s">
        <v>867</v>
      </c>
      <c r="C232" s="8" t="s">
        <v>868</v>
      </c>
      <c r="D232" s="8" t="s">
        <v>869</v>
      </c>
      <c r="E232" s="8"/>
      <c r="F232" s="8" t="s">
        <v>131</v>
      </c>
      <c r="G232" s="8" t="s">
        <v>245</v>
      </c>
      <c r="H232" s="3" t="str">
        <f aca="false">IF(G232="OK","YES","no")</f>
        <v>no</v>
      </c>
      <c r="I232" s="9" t="b">
        <f aca="false">COUNTIF('Roll Schedule'!$A$47:$A$790,A232)&gt;0</f>
        <v>1</v>
      </c>
      <c r="J232" s="8" t="s">
        <v>151</v>
      </c>
      <c r="K232" s="8" t="s">
        <v>870</v>
      </c>
    </row>
    <row r="233" customFormat="false" ht="15" hidden="false" customHeight="false" outlineLevel="0" collapsed="false">
      <c r="A233" s="7" t="n">
        <v>45672</v>
      </c>
      <c r="B233" s="8" t="s">
        <v>871</v>
      </c>
      <c r="C233" s="8" t="s">
        <v>872</v>
      </c>
      <c r="D233" s="8" t="s">
        <v>779</v>
      </c>
      <c r="E233" s="8" t="n">
        <v>6800</v>
      </c>
      <c r="F233" s="8" t="s">
        <v>131</v>
      </c>
      <c r="G233" s="8" t="s">
        <v>132</v>
      </c>
      <c r="H233" s="3" t="str">
        <f aca="false">IF(G233="OK","YES","no")</f>
        <v>YES</v>
      </c>
      <c r="I233" s="9" t="b">
        <f aca="false">COUNTIF('Roll Schedule'!$A$47:$A$790,A233)&gt;0</f>
        <v>1</v>
      </c>
      <c r="J233" s="8" t="s">
        <v>151</v>
      </c>
      <c r="K233" s="8" t="s">
        <v>873</v>
      </c>
    </row>
    <row r="234" customFormat="false" ht="15" hidden="false" customHeight="false" outlineLevel="0" collapsed="false">
      <c r="A234" s="7" t="n">
        <v>45673</v>
      </c>
      <c r="B234" s="8" t="s">
        <v>874</v>
      </c>
      <c r="C234" s="8" t="s">
        <v>875</v>
      </c>
      <c r="D234" s="8" t="s">
        <v>368</v>
      </c>
      <c r="E234" s="8" t="n">
        <v>6750</v>
      </c>
      <c r="F234" s="8" t="s">
        <v>131</v>
      </c>
      <c r="G234" s="8" t="s">
        <v>132</v>
      </c>
      <c r="H234" s="3" t="str">
        <f aca="false">IF(G234="OK","YES","no")</f>
        <v>YES</v>
      </c>
      <c r="I234" s="9" t="b">
        <f aca="false">COUNTIF('Roll Schedule'!$A$47:$A$790,A234)&gt;0</f>
        <v>1</v>
      </c>
      <c r="J234" s="8" t="s">
        <v>151</v>
      </c>
      <c r="K234" s="8" t="s">
        <v>876</v>
      </c>
    </row>
    <row r="235" customFormat="false" ht="15" hidden="false" customHeight="false" outlineLevel="0" collapsed="false">
      <c r="A235" s="7" t="n">
        <v>45674</v>
      </c>
      <c r="B235" s="8" t="s">
        <v>877</v>
      </c>
      <c r="C235" s="8" t="s">
        <v>878</v>
      </c>
      <c r="D235" s="8" t="s">
        <v>368</v>
      </c>
      <c r="E235" s="8" t="n">
        <v>6750</v>
      </c>
      <c r="F235" s="8" t="s">
        <v>131</v>
      </c>
      <c r="G235" s="8" t="s">
        <v>132</v>
      </c>
      <c r="H235" s="3" t="str">
        <f aca="false">IF(G235="OK","YES","no")</f>
        <v>YES</v>
      </c>
      <c r="I235" s="9" t="b">
        <f aca="false">COUNTIF('Roll Schedule'!$A$47:$A$790,A235)&gt;0</f>
        <v>1</v>
      </c>
      <c r="J235" s="8" t="s">
        <v>151</v>
      </c>
      <c r="K235" s="8" t="s">
        <v>879</v>
      </c>
    </row>
    <row r="236" customFormat="false" ht="15" hidden="false" customHeight="false" outlineLevel="0" collapsed="false">
      <c r="A236" s="7" t="n">
        <v>45677</v>
      </c>
      <c r="B236" s="8" t="s">
        <v>880</v>
      </c>
      <c r="C236" s="8" t="s">
        <v>881</v>
      </c>
      <c r="D236" s="8" t="s">
        <v>358</v>
      </c>
      <c r="E236" s="8" t="n">
        <v>6850</v>
      </c>
      <c r="F236" s="8" t="s">
        <v>131</v>
      </c>
      <c r="G236" s="8" t="s">
        <v>132</v>
      </c>
      <c r="H236" s="3" t="str">
        <f aca="false">IF(G236="OK","YES","no")</f>
        <v>YES</v>
      </c>
      <c r="I236" s="9" t="b">
        <f aca="false">COUNTIF('Roll Schedule'!$A$47:$A$790,A236)&gt;0</f>
        <v>1</v>
      </c>
      <c r="J236" s="8" t="s">
        <v>151</v>
      </c>
      <c r="K236" s="8" t="s">
        <v>882</v>
      </c>
    </row>
    <row r="237" customFormat="false" ht="15" hidden="false" customHeight="false" outlineLevel="0" collapsed="false">
      <c r="A237" s="7" t="n">
        <v>45678</v>
      </c>
      <c r="B237" s="8" t="s">
        <v>883</v>
      </c>
      <c r="C237" s="8" t="s">
        <v>884</v>
      </c>
      <c r="D237" s="8" t="s">
        <v>885</v>
      </c>
      <c r="E237" s="8" t="n">
        <v>6900</v>
      </c>
      <c r="F237" s="8" t="s">
        <v>131</v>
      </c>
      <c r="G237" s="8" t="s">
        <v>132</v>
      </c>
      <c r="H237" s="3" t="str">
        <f aca="false">IF(G237="OK","YES","no")</f>
        <v>YES</v>
      </c>
      <c r="I237" s="9" t="b">
        <f aca="false">COUNTIF('Roll Schedule'!$A$47:$A$790,A237)&gt;0</f>
        <v>1</v>
      </c>
      <c r="J237" s="8" t="s">
        <v>151</v>
      </c>
      <c r="K237" s="8" t="s">
        <v>886</v>
      </c>
    </row>
    <row r="238" customFormat="false" ht="15" hidden="false" customHeight="false" outlineLevel="0" collapsed="false">
      <c r="A238" s="7" t="n">
        <v>45679</v>
      </c>
      <c r="B238" s="8" t="s">
        <v>887</v>
      </c>
      <c r="C238" s="8" t="s">
        <v>888</v>
      </c>
      <c r="D238" s="8" t="s">
        <v>889</v>
      </c>
      <c r="E238" s="8" t="n">
        <v>7000</v>
      </c>
      <c r="F238" s="8" t="s">
        <v>131</v>
      </c>
      <c r="G238" s="8" t="s">
        <v>132</v>
      </c>
      <c r="H238" s="3" t="str">
        <f aca="false">IF(G238="OK","YES","no")</f>
        <v>YES</v>
      </c>
      <c r="I238" s="9" t="b">
        <f aca="false">COUNTIF('Roll Schedule'!$A$47:$A$790,A238)&gt;0</f>
        <v>1</v>
      </c>
      <c r="J238" s="8" t="s">
        <v>151</v>
      </c>
      <c r="K238" s="8" t="s">
        <v>890</v>
      </c>
    </row>
    <row r="239" customFormat="false" ht="15" hidden="false" customHeight="false" outlineLevel="0" collapsed="false">
      <c r="A239" s="7" t="n">
        <v>45680</v>
      </c>
      <c r="B239" s="8" t="s">
        <v>891</v>
      </c>
      <c r="C239" s="8" t="s">
        <v>892</v>
      </c>
      <c r="D239" s="8" t="s">
        <v>893</v>
      </c>
      <c r="E239" s="8" t="n">
        <v>7050</v>
      </c>
      <c r="F239" s="8" t="s">
        <v>131</v>
      </c>
      <c r="G239" s="8" t="s">
        <v>132</v>
      </c>
      <c r="H239" s="3" t="str">
        <f aca="false">IF(G239="OK","YES","no")</f>
        <v>YES</v>
      </c>
      <c r="I239" s="9" t="b">
        <f aca="false">COUNTIF('Roll Schedule'!$A$47:$A$790,A239)&gt;0</f>
        <v>1</v>
      </c>
      <c r="J239" s="8" t="s">
        <v>151</v>
      </c>
      <c r="K239" s="8" t="s">
        <v>894</v>
      </c>
    </row>
    <row r="240" customFormat="false" ht="15" hidden="false" customHeight="false" outlineLevel="0" collapsed="false">
      <c r="A240" s="7" t="n">
        <v>45681</v>
      </c>
      <c r="B240" s="8" t="s">
        <v>895</v>
      </c>
      <c r="C240" s="8" t="s">
        <v>896</v>
      </c>
      <c r="D240" s="8" t="s">
        <v>893</v>
      </c>
      <c r="E240" s="8" t="n">
        <v>7050</v>
      </c>
      <c r="F240" s="8" t="s">
        <v>131</v>
      </c>
      <c r="G240" s="8" t="s">
        <v>132</v>
      </c>
      <c r="H240" s="3" t="str">
        <f aca="false">IF(G240="OK","YES","no")</f>
        <v>YES</v>
      </c>
      <c r="I240" s="9" t="b">
        <f aca="false">COUNTIF('Roll Schedule'!$A$47:$A$790,A240)&gt;0</f>
        <v>1</v>
      </c>
      <c r="J240" s="8" t="s">
        <v>151</v>
      </c>
      <c r="K240" s="8" t="s">
        <v>897</v>
      </c>
    </row>
    <row r="241" customFormat="false" ht="15" hidden="false" customHeight="false" outlineLevel="0" collapsed="false">
      <c r="A241" s="7" t="n">
        <v>45684</v>
      </c>
      <c r="B241" s="8" t="s">
        <v>898</v>
      </c>
      <c r="C241" s="8" t="s">
        <v>899</v>
      </c>
      <c r="D241" s="8" t="s">
        <v>338</v>
      </c>
      <c r="E241" s="8" t="n">
        <v>7100</v>
      </c>
      <c r="F241" s="8" t="s">
        <v>131</v>
      </c>
      <c r="G241" s="8" t="s">
        <v>132</v>
      </c>
      <c r="H241" s="3" t="str">
        <f aca="false">IF(G241="OK","YES","no")</f>
        <v>YES</v>
      </c>
      <c r="I241" s="9" t="b">
        <f aca="false">COUNTIF('Roll Schedule'!$A$47:$A$790,A241)&gt;0</f>
        <v>1</v>
      </c>
      <c r="J241" s="8" t="s">
        <v>151</v>
      </c>
      <c r="K241" s="8" t="s">
        <v>900</v>
      </c>
    </row>
    <row r="242" customFormat="false" ht="15" hidden="false" customHeight="false" outlineLevel="0" collapsed="false">
      <c r="A242" s="7" t="n">
        <v>45685</v>
      </c>
      <c r="B242" s="8" t="s">
        <v>901</v>
      </c>
      <c r="C242" s="8" t="s">
        <v>902</v>
      </c>
      <c r="D242" s="8" t="s">
        <v>903</v>
      </c>
      <c r="E242" s="8" t="n">
        <v>7250</v>
      </c>
      <c r="F242" s="8" t="s">
        <v>131</v>
      </c>
      <c r="G242" s="8" t="s">
        <v>132</v>
      </c>
      <c r="H242" s="3" t="str">
        <f aca="false">IF(G242="OK","YES","no")</f>
        <v>YES</v>
      </c>
      <c r="I242" s="9" t="b">
        <f aca="false">COUNTIF('Roll Schedule'!$A$47:$A$790,A242)&gt;0</f>
        <v>1</v>
      </c>
      <c r="J242" s="8" t="s">
        <v>151</v>
      </c>
      <c r="K242" s="8" t="s">
        <v>904</v>
      </c>
    </row>
    <row r="243" customFormat="false" ht="15" hidden="false" customHeight="false" outlineLevel="0" collapsed="false">
      <c r="A243" s="7" t="n">
        <v>45686</v>
      </c>
      <c r="B243" s="8" t="s">
        <v>905</v>
      </c>
      <c r="C243" s="8" t="s">
        <v>906</v>
      </c>
      <c r="D243" s="8" t="s">
        <v>907</v>
      </c>
      <c r="E243" s="8" t="n">
        <v>7150</v>
      </c>
      <c r="F243" s="8" t="s">
        <v>131</v>
      </c>
      <c r="G243" s="8" t="s">
        <v>132</v>
      </c>
      <c r="H243" s="3" t="str">
        <f aca="false">IF(G243="OK","YES","no")</f>
        <v>YES</v>
      </c>
      <c r="I243" s="9" t="b">
        <f aca="false">COUNTIF('Roll Schedule'!$A$47:$A$790,A243)&gt;0</f>
        <v>1</v>
      </c>
      <c r="J243" s="8" t="s">
        <v>151</v>
      </c>
      <c r="K243" s="8" t="s">
        <v>908</v>
      </c>
    </row>
    <row r="244" customFormat="false" ht="15" hidden="false" customHeight="false" outlineLevel="0" collapsed="false">
      <c r="A244" s="7" t="n">
        <v>45687</v>
      </c>
      <c r="B244" s="8" t="s">
        <v>909</v>
      </c>
      <c r="C244" s="8" t="s">
        <v>910</v>
      </c>
      <c r="D244" s="8" t="s">
        <v>911</v>
      </c>
      <c r="E244" s="8" t="n">
        <v>7300</v>
      </c>
      <c r="F244" s="8" t="s">
        <v>131</v>
      </c>
      <c r="G244" s="8" t="s">
        <v>132</v>
      </c>
      <c r="H244" s="3" t="str">
        <f aca="false">IF(G244="OK","YES","no")</f>
        <v>YES</v>
      </c>
      <c r="I244" s="9" t="b">
        <f aca="false">COUNTIF('Roll Schedule'!$A$47:$A$790,A244)&gt;0</f>
        <v>1</v>
      </c>
      <c r="J244" s="8" t="s">
        <v>151</v>
      </c>
      <c r="K244" s="8" t="s">
        <v>912</v>
      </c>
    </row>
    <row r="245" customFormat="false" ht="15" hidden="false" customHeight="false" outlineLevel="0" collapsed="false">
      <c r="A245" s="7" t="n">
        <v>45688</v>
      </c>
      <c r="B245" s="8" t="s">
        <v>913</v>
      </c>
      <c r="C245" s="8" t="s">
        <v>914</v>
      </c>
      <c r="D245" s="8" t="s">
        <v>911</v>
      </c>
      <c r="E245" s="8" t="n">
        <v>7300</v>
      </c>
      <c r="F245" s="8" t="s">
        <v>131</v>
      </c>
      <c r="G245" s="8" t="s">
        <v>132</v>
      </c>
      <c r="H245" s="3" t="str">
        <f aca="false">IF(G245="OK","YES","no")</f>
        <v>YES</v>
      </c>
      <c r="I245" s="9" t="b">
        <f aca="false">COUNTIF('Roll Schedule'!$A$47:$A$790,A245)&gt;0</f>
        <v>1</v>
      </c>
      <c r="J245" s="8" t="s">
        <v>151</v>
      </c>
      <c r="K245" s="8" t="s">
        <v>915</v>
      </c>
    </row>
    <row r="246" customFormat="false" ht="15" hidden="false" customHeight="false" outlineLevel="0" collapsed="false">
      <c r="A246" s="7" t="n">
        <v>45691</v>
      </c>
      <c r="B246" s="8" t="s">
        <v>916</v>
      </c>
      <c r="C246" s="8" t="s">
        <v>917</v>
      </c>
      <c r="D246" s="8" t="s">
        <v>889</v>
      </c>
      <c r="E246" s="8" t="n">
        <v>7000</v>
      </c>
      <c r="F246" s="8" t="s">
        <v>131</v>
      </c>
      <c r="G246" s="8" t="s">
        <v>132</v>
      </c>
      <c r="H246" s="3" t="str">
        <f aca="false">IF(G246="OK","YES","no")</f>
        <v>YES</v>
      </c>
      <c r="I246" s="9" t="b">
        <f aca="false">COUNTIF('Roll Schedule'!$A$47:$A$790,A246)&gt;0</f>
        <v>1</v>
      </c>
      <c r="J246" s="8" t="s">
        <v>151</v>
      </c>
      <c r="K246" s="8" t="s">
        <v>918</v>
      </c>
    </row>
    <row r="247" customFormat="false" ht="15" hidden="false" customHeight="false" outlineLevel="0" collapsed="false">
      <c r="A247" s="7" t="n">
        <v>45692</v>
      </c>
      <c r="B247" s="8" t="s">
        <v>919</v>
      </c>
      <c r="C247" s="8" t="s">
        <v>920</v>
      </c>
      <c r="D247" s="8" t="s">
        <v>351</v>
      </c>
      <c r="E247" s="8" t="n">
        <v>6950</v>
      </c>
      <c r="F247" s="8" t="s">
        <v>131</v>
      </c>
      <c r="G247" s="8" t="s">
        <v>132</v>
      </c>
      <c r="H247" s="3" t="str">
        <f aca="false">IF(G247="OK","YES","no")</f>
        <v>YES</v>
      </c>
      <c r="I247" s="9" t="b">
        <f aca="false">COUNTIF('Roll Schedule'!$A$47:$A$790,A247)&gt;0</f>
        <v>1</v>
      </c>
      <c r="J247" s="8" t="s">
        <v>151</v>
      </c>
      <c r="K247" s="8" t="s">
        <v>921</v>
      </c>
    </row>
    <row r="248" customFormat="false" ht="15" hidden="false" customHeight="false" outlineLevel="0" collapsed="false">
      <c r="A248" s="7" t="n">
        <v>45693</v>
      </c>
      <c r="B248" s="8" t="s">
        <v>922</v>
      </c>
      <c r="C248" s="8" t="s">
        <v>923</v>
      </c>
      <c r="D248" s="8" t="s">
        <v>889</v>
      </c>
      <c r="E248" s="8" t="n">
        <v>7000</v>
      </c>
      <c r="F248" s="8" t="s">
        <v>131</v>
      </c>
      <c r="G248" s="8" t="s">
        <v>132</v>
      </c>
      <c r="H248" s="3" t="str">
        <f aca="false">IF(G248="OK","YES","no")</f>
        <v>YES</v>
      </c>
      <c r="I248" s="9" t="b">
        <f aca="false">COUNTIF('Roll Schedule'!$A$47:$A$790,A248)&gt;0</f>
        <v>1</v>
      </c>
      <c r="J248" s="8" t="s">
        <v>151</v>
      </c>
      <c r="K248" s="8" t="s">
        <v>924</v>
      </c>
    </row>
    <row r="249" customFormat="false" ht="15" hidden="false" customHeight="false" outlineLevel="0" collapsed="false">
      <c r="A249" s="7" t="n">
        <v>45694</v>
      </c>
      <c r="B249" s="8" t="s">
        <v>925</v>
      </c>
      <c r="C249" s="8" t="s">
        <v>926</v>
      </c>
      <c r="D249" s="8" t="s">
        <v>889</v>
      </c>
      <c r="E249" s="8" t="n">
        <v>7000</v>
      </c>
      <c r="F249" s="8" t="s">
        <v>131</v>
      </c>
      <c r="G249" s="8" t="s">
        <v>132</v>
      </c>
      <c r="H249" s="3" t="str">
        <f aca="false">IF(G249="OK","YES","no")</f>
        <v>YES</v>
      </c>
      <c r="I249" s="9" t="b">
        <f aca="false">COUNTIF('Roll Schedule'!$A$47:$A$790,A249)&gt;0</f>
        <v>1</v>
      </c>
      <c r="J249" s="8" t="s">
        <v>151</v>
      </c>
      <c r="K249" s="8" t="s">
        <v>927</v>
      </c>
    </row>
    <row r="250" customFormat="false" ht="15" hidden="false" customHeight="false" outlineLevel="0" collapsed="false">
      <c r="A250" s="7" t="n">
        <v>45695</v>
      </c>
      <c r="B250" s="8" t="s">
        <v>928</v>
      </c>
      <c r="C250" s="8" t="s">
        <v>929</v>
      </c>
      <c r="D250" s="8" t="s">
        <v>889</v>
      </c>
      <c r="E250" s="8" t="n">
        <v>7000</v>
      </c>
      <c r="F250" s="8" t="s">
        <v>131</v>
      </c>
      <c r="G250" s="8" t="s">
        <v>132</v>
      </c>
      <c r="H250" s="3" t="str">
        <f aca="false">IF(G250="OK","YES","no")</f>
        <v>YES</v>
      </c>
      <c r="I250" s="9" t="b">
        <f aca="false">COUNTIF('Roll Schedule'!$A$47:$A$790,A250)&gt;0</f>
        <v>1</v>
      </c>
      <c r="J250" s="8" t="s">
        <v>151</v>
      </c>
      <c r="K250" s="8" t="s">
        <v>930</v>
      </c>
    </row>
    <row r="251" customFormat="false" ht="15" hidden="false" customHeight="false" outlineLevel="0" collapsed="false">
      <c r="A251" s="7" t="n">
        <v>45698</v>
      </c>
      <c r="B251" s="8" t="s">
        <v>931</v>
      </c>
      <c r="C251" s="8" t="s">
        <v>932</v>
      </c>
      <c r="D251" s="8" t="s">
        <v>907</v>
      </c>
      <c r="E251" s="8" t="n">
        <v>7150</v>
      </c>
      <c r="F251" s="8" t="s">
        <v>131</v>
      </c>
      <c r="G251" s="8" t="s">
        <v>132</v>
      </c>
      <c r="H251" s="3" t="str">
        <f aca="false">IF(G251="OK","YES","no")</f>
        <v>YES</v>
      </c>
      <c r="I251" s="9" t="b">
        <f aca="false">COUNTIF('Roll Schedule'!$A$47:$A$790,A251)&gt;0</f>
        <v>1</v>
      </c>
      <c r="J251" s="8" t="s">
        <v>151</v>
      </c>
      <c r="K251" s="8" t="s">
        <v>933</v>
      </c>
    </row>
    <row r="252" customFormat="false" ht="15" hidden="false" customHeight="false" outlineLevel="0" collapsed="false">
      <c r="A252" s="7" t="n">
        <v>45699</v>
      </c>
      <c r="B252" s="8" t="s">
        <v>934</v>
      </c>
      <c r="C252" s="8" t="s">
        <v>935</v>
      </c>
      <c r="D252" s="8" t="s">
        <v>907</v>
      </c>
      <c r="E252" s="8" t="n">
        <v>7150</v>
      </c>
      <c r="F252" s="8" t="s">
        <v>131</v>
      </c>
      <c r="G252" s="8" t="s">
        <v>132</v>
      </c>
      <c r="H252" s="3" t="str">
        <f aca="false">IF(G252="OK","YES","no")</f>
        <v>YES</v>
      </c>
      <c r="I252" s="9" t="b">
        <f aca="false">COUNTIF('Roll Schedule'!$A$47:$A$790,A252)&gt;0</f>
        <v>1</v>
      </c>
      <c r="J252" s="8" t="s">
        <v>151</v>
      </c>
      <c r="K252" s="8" t="s">
        <v>936</v>
      </c>
    </row>
    <row r="253" customFormat="false" ht="15" hidden="false" customHeight="false" outlineLevel="0" collapsed="false">
      <c r="A253" s="7" t="n">
        <v>45700</v>
      </c>
      <c r="B253" s="8" t="s">
        <v>937</v>
      </c>
      <c r="C253" s="8" t="s">
        <v>938</v>
      </c>
      <c r="D253" s="8" t="s">
        <v>893</v>
      </c>
      <c r="E253" s="8" t="n">
        <v>7050</v>
      </c>
      <c r="F253" s="8" t="s">
        <v>131</v>
      </c>
      <c r="G253" s="8" t="s">
        <v>132</v>
      </c>
      <c r="H253" s="3" t="str">
        <f aca="false">IF(G253="OK","YES","no")</f>
        <v>YES</v>
      </c>
      <c r="I253" s="9" t="b">
        <f aca="false">COUNTIF('Roll Schedule'!$A$47:$A$790,A253)&gt;0</f>
        <v>1</v>
      </c>
      <c r="J253" s="8" t="s">
        <v>151</v>
      </c>
      <c r="K253" s="8" t="s">
        <v>939</v>
      </c>
    </row>
    <row r="254" customFormat="false" ht="15" hidden="false" customHeight="false" outlineLevel="0" collapsed="false">
      <c r="A254" s="7" t="n">
        <v>45701</v>
      </c>
      <c r="B254" s="8" t="s">
        <v>940</v>
      </c>
      <c r="C254" s="8" t="s">
        <v>941</v>
      </c>
      <c r="D254" s="8" t="s">
        <v>893</v>
      </c>
      <c r="E254" s="8" t="n">
        <v>7050</v>
      </c>
      <c r="F254" s="8" t="s">
        <v>131</v>
      </c>
      <c r="G254" s="8" t="s">
        <v>132</v>
      </c>
      <c r="H254" s="3" t="str">
        <f aca="false">IF(G254="OK","YES","no")</f>
        <v>YES</v>
      </c>
      <c r="I254" s="9" t="b">
        <f aca="false">COUNTIF('Roll Schedule'!$A$47:$A$790,A254)&gt;0</f>
        <v>1</v>
      </c>
      <c r="J254" s="8" t="s">
        <v>151</v>
      </c>
      <c r="K254" s="8" t="s">
        <v>942</v>
      </c>
    </row>
    <row r="255" customFormat="false" ht="15" hidden="false" customHeight="false" outlineLevel="0" collapsed="false">
      <c r="A255" s="7" t="n">
        <v>45702</v>
      </c>
      <c r="B255" s="8" t="s">
        <v>943</v>
      </c>
      <c r="C255" s="8" t="s">
        <v>944</v>
      </c>
      <c r="D255" s="8" t="s">
        <v>358</v>
      </c>
      <c r="E255" s="8" t="n">
        <v>6850</v>
      </c>
      <c r="F255" s="8" t="s">
        <v>131</v>
      </c>
      <c r="G255" s="8" t="s">
        <v>132</v>
      </c>
      <c r="H255" s="3" t="str">
        <f aca="false">IF(G255="OK","YES","no")</f>
        <v>YES</v>
      </c>
      <c r="I255" s="9" t="b">
        <f aca="false">COUNTIF('Roll Schedule'!$A$47:$A$790,A255)&gt;0</f>
        <v>1</v>
      </c>
      <c r="J255" s="8" t="s">
        <v>151</v>
      </c>
      <c r="K255" s="8" t="s">
        <v>945</v>
      </c>
    </row>
    <row r="256" customFormat="false" ht="15" hidden="false" customHeight="false" outlineLevel="0" collapsed="false">
      <c r="A256" s="7" t="n">
        <v>45705</v>
      </c>
      <c r="B256" s="8" t="s">
        <v>946</v>
      </c>
      <c r="C256" s="8" t="s">
        <v>947</v>
      </c>
      <c r="D256" s="8" t="s">
        <v>948</v>
      </c>
      <c r="E256" s="8" t="n">
        <v>6875</v>
      </c>
      <c r="F256" s="8" t="s">
        <v>131</v>
      </c>
      <c r="G256" s="8" t="s">
        <v>132</v>
      </c>
      <c r="H256" s="3" t="str">
        <f aca="false">IF(G256="OK","YES","no")</f>
        <v>YES</v>
      </c>
      <c r="I256" s="9" t="b">
        <f aca="false">COUNTIF('Roll Schedule'!$A$47:$A$790,A256)&gt;0</f>
        <v>1</v>
      </c>
      <c r="J256" s="8" t="s">
        <v>151</v>
      </c>
      <c r="K256" s="8" t="s">
        <v>949</v>
      </c>
    </row>
    <row r="257" customFormat="false" ht="15" hidden="false" customHeight="false" outlineLevel="0" collapsed="false">
      <c r="A257" s="7" t="n">
        <v>45706</v>
      </c>
      <c r="B257" s="8" t="s">
        <v>950</v>
      </c>
      <c r="C257" s="8" t="s">
        <v>951</v>
      </c>
      <c r="D257" s="8" t="s">
        <v>358</v>
      </c>
      <c r="E257" s="8" t="n">
        <v>6850</v>
      </c>
      <c r="F257" s="8" t="s">
        <v>131</v>
      </c>
      <c r="G257" s="8" t="s">
        <v>132</v>
      </c>
      <c r="H257" s="3" t="str">
        <f aca="false">IF(G257="OK","YES","no")</f>
        <v>YES</v>
      </c>
      <c r="I257" s="9" t="b">
        <f aca="false">COUNTIF('Roll Schedule'!$A$47:$A$790,A257)&gt;0</f>
        <v>1</v>
      </c>
      <c r="J257" s="8" t="s">
        <v>151</v>
      </c>
      <c r="K257" s="8" t="s">
        <v>952</v>
      </c>
    </row>
    <row r="258" customFormat="false" ht="15" hidden="false" customHeight="false" outlineLevel="0" collapsed="false">
      <c r="A258" s="7" t="n">
        <v>45707</v>
      </c>
      <c r="B258" s="8" t="s">
        <v>953</v>
      </c>
      <c r="C258" s="8" t="s">
        <v>954</v>
      </c>
      <c r="D258" s="8" t="s">
        <v>368</v>
      </c>
      <c r="E258" s="8" t="n">
        <v>6750</v>
      </c>
      <c r="F258" s="8" t="s">
        <v>131</v>
      </c>
      <c r="G258" s="8" t="s">
        <v>132</v>
      </c>
      <c r="H258" s="3" t="str">
        <f aca="false">IF(G258="OK","YES","no")</f>
        <v>YES</v>
      </c>
      <c r="I258" s="9" t="b">
        <f aca="false">COUNTIF('Roll Schedule'!$A$47:$A$790,A258)&gt;0</f>
        <v>1</v>
      </c>
      <c r="J258" s="8" t="s">
        <v>151</v>
      </c>
      <c r="K258" s="8" t="s">
        <v>955</v>
      </c>
    </row>
    <row r="259" customFormat="false" ht="15" hidden="false" customHeight="false" outlineLevel="0" collapsed="false">
      <c r="A259" s="7" t="n">
        <v>45708</v>
      </c>
      <c r="B259" s="8" t="s">
        <v>956</v>
      </c>
      <c r="C259" s="8" t="s">
        <v>957</v>
      </c>
      <c r="D259" s="8" t="s">
        <v>368</v>
      </c>
      <c r="E259" s="8" t="n">
        <v>6750</v>
      </c>
      <c r="F259" s="8" t="s">
        <v>131</v>
      </c>
      <c r="G259" s="8" t="s">
        <v>132</v>
      </c>
      <c r="H259" s="3" t="str">
        <f aca="false">IF(G259="OK","YES","no")</f>
        <v>YES</v>
      </c>
      <c r="I259" s="9" t="b">
        <f aca="false">COUNTIF('Roll Schedule'!$A$47:$A$790,A259)&gt;0</f>
        <v>1</v>
      </c>
      <c r="J259" s="8" t="s">
        <v>151</v>
      </c>
      <c r="K259" s="8" t="s">
        <v>958</v>
      </c>
    </row>
    <row r="260" customFormat="false" ht="15" hidden="false" customHeight="false" outlineLevel="0" collapsed="false">
      <c r="A260" s="7" t="n">
        <v>45709</v>
      </c>
      <c r="B260" s="8" t="s">
        <v>959</v>
      </c>
      <c r="C260" s="8" t="s">
        <v>960</v>
      </c>
      <c r="D260" s="8" t="s">
        <v>368</v>
      </c>
      <c r="E260" s="8" t="n">
        <v>6750</v>
      </c>
      <c r="F260" s="8" t="s">
        <v>131</v>
      </c>
      <c r="G260" s="8" t="s">
        <v>132</v>
      </c>
      <c r="H260" s="3" t="str">
        <f aca="false">IF(G260="OK","YES","no")</f>
        <v>YES</v>
      </c>
      <c r="I260" s="9" t="b">
        <f aca="false">COUNTIF('Roll Schedule'!$A$47:$A$790,A260)&gt;0</f>
        <v>1</v>
      </c>
      <c r="J260" s="8" t="s">
        <v>151</v>
      </c>
      <c r="K260" s="8" t="s">
        <v>961</v>
      </c>
    </row>
    <row r="261" customFormat="false" ht="15" hidden="false" customHeight="false" outlineLevel="0" collapsed="false">
      <c r="A261" s="7" t="n">
        <v>45712</v>
      </c>
      <c r="B261" s="8" t="s">
        <v>962</v>
      </c>
      <c r="C261" s="8" t="s">
        <v>963</v>
      </c>
      <c r="D261" s="8" t="s">
        <v>368</v>
      </c>
      <c r="E261" s="8" t="n">
        <v>6750</v>
      </c>
      <c r="F261" s="8" t="s">
        <v>142</v>
      </c>
      <c r="G261" s="8" t="s">
        <v>132</v>
      </c>
      <c r="H261" s="3" t="str">
        <f aca="false">IF(G261="OK","YES","no")</f>
        <v>YES</v>
      </c>
      <c r="I261" s="9" t="b">
        <f aca="false">COUNTIF('Roll Schedule'!$A$47:$A$790,A261)&gt;0</f>
        <v>1</v>
      </c>
      <c r="J261" s="8" t="s">
        <v>151</v>
      </c>
      <c r="K261" s="8" t="s">
        <v>964</v>
      </c>
    </row>
    <row r="262" customFormat="false" ht="15" hidden="false" customHeight="false" outlineLevel="0" collapsed="false">
      <c r="A262" s="7" t="n">
        <v>45713</v>
      </c>
      <c r="B262" s="8" t="s">
        <v>965</v>
      </c>
      <c r="C262" s="8" t="s">
        <v>966</v>
      </c>
      <c r="D262" s="8" t="s">
        <v>372</v>
      </c>
      <c r="E262" s="8" t="n">
        <v>6700</v>
      </c>
      <c r="F262" s="8" t="s">
        <v>131</v>
      </c>
      <c r="G262" s="8" t="s">
        <v>132</v>
      </c>
      <c r="H262" s="3" t="str">
        <f aca="false">IF(G262="OK","YES","no")</f>
        <v>YES</v>
      </c>
      <c r="I262" s="9" t="b">
        <f aca="false">COUNTIF('Roll Schedule'!$A$47:$A$790,A262)&gt;0</f>
        <v>1</v>
      </c>
      <c r="J262" s="8" t="s">
        <v>151</v>
      </c>
      <c r="K262" s="8" t="s">
        <v>967</v>
      </c>
    </row>
    <row r="263" customFormat="false" ht="15" hidden="false" customHeight="false" outlineLevel="0" collapsed="false">
      <c r="A263" s="7" t="n">
        <v>45715</v>
      </c>
      <c r="B263" s="8" t="s">
        <v>968</v>
      </c>
      <c r="C263" s="8" t="s">
        <v>969</v>
      </c>
      <c r="D263" s="8" t="s">
        <v>368</v>
      </c>
      <c r="E263" s="8" t="n">
        <v>6750</v>
      </c>
      <c r="F263" s="8" t="s">
        <v>131</v>
      </c>
      <c r="G263" s="8" t="s">
        <v>132</v>
      </c>
      <c r="H263" s="3" t="str">
        <f aca="false">IF(G263="OK","YES","no")</f>
        <v>YES</v>
      </c>
      <c r="I263" s="9" t="b">
        <f aca="false">COUNTIF('Roll Schedule'!$A$47:$A$790,A263)&gt;0</f>
        <v>1</v>
      </c>
      <c r="J263" s="8" t="s">
        <v>151</v>
      </c>
      <c r="K263" s="8" t="s">
        <v>970</v>
      </c>
    </row>
    <row r="264" customFormat="false" ht="15" hidden="false" customHeight="false" outlineLevel="0" collapsed="false">
      <c r="A264" s="7" t="n">
        <v>45716</v>
      </c>
      <c r="B264" s="8" t="s">
        <v>971</v>
      </c>
      <c r="C264" s="8" t="s">
        <v>972</v>
      </c>
      <c r="D264" s="8" t="s">
        <v>384</v>
      </c>
      <c r="E264" s="8" t="n">
        <v>6350</v>
      </c>
      <c r="F264" s="8" t="s">
        <v>131</v>
      </c>
      <c r="G264" s="8" t="s">
        <v>132</v>
      </c>
      <c r="H264" s="3" t="str">
        <f aca="false">IF(G264="OK","YES","no")</f>
        <v>YES</v>
      </c>
      <c r="I264" s="9" t="b">
        <f aca="false">COUNTIF('Roll Schedule'!$A$47:$A$790,A264)&gt;0</f>
        <v>1</v>
      </c>
      <c r="J264" s="8" t="s">
        <v>151</v>
      </c>
      <c r="K264" s="8" t="s">
        <v>973</v>
      </c>
    </row>
    <row r="265" customFormat="false" ht="15" hidden="false" customHeight="false" outlineLevel="0" collapsed="false">
      <c r="A265" s="7" t="n">
        <v>45719</v>
      </c>
      <c r="B265" s="8" t="s">
        <v>974</v>
      </c>
      <c r="C265" s="8" t="s">
        <v>975</v>
      </c>
      <c r="D265" s="8" t="s">
        <v>384</v>
      </c>
      <c r="E265" s="8" t="n">
        <v>6350</v>
      </c>
      <c r="F265" s="8" t="s">
        <v>131</v>
      </c>
      <c r="G265" s="8" t="s">
        <v>132</v>
      </c>
      <c r="H265" s="3" t="str">
        <f aca="false">IF(G265="OK","YES","no")</f>
        <v>YES</v>
      </c>
      <c r="I265" s="9" t="b">
        <f aca="false">COUNTIF('Roll Schedule'!$A$47:$A$790,A265)&gt;0</f>
        <v>1</v>
      </c>
      <c r="J265" s="8" t="s">
        <v>151</v>
      </c>
      <c r="K265" s="8" t="s">
        <v>976</v>
      </c>
    </row>
    <row r="266" customFormat="false" ht="15" hidden="false" customHeight="false" outlineLevel="0" collapsed="false">
      <c r="A266" s="7" t="n">
        <v>45720</v>
      </c>
      <c r="B266" s="8" t="s">
        <v>977</v>
      </c>
      <c r="C266" s="8" t="s">
        <v>978</v>
      </c>
      <c r="D266" s="8" t="s">
        <v>384</v>
      </c>
      <c r="E266" s="8" t="n">
        <v>6350</v>
      </c>
      <c r="F266" s="8" t="s">
        <v>131</v>
      </c>
      <c r="G266" s="8" t="s">
        <v>132</v>
      </c>
      <c r="H266" s="3" t="str">
        <f aca="false">IF(G266="OK","YES","no")</f>
        <v>YES</v>
      </c>
      <c r="I266" s="9" t="b">
        <f aca="false">COUNTIF('Roll Schedule'!$A$47:$A$790,A266)&gt;0</f>
        <v>1</v>
      </c>
      <c r="J266" s="8" t="s">
        <v>151</v>
      </c>
      <c r="K266" s="8" t="s">
        <v>979</v>
      </c>
    </row>
    <row r="267" customFormat="false" ht="15" hidden="false" customHeight="false" outlineLevel="0" collapsed="false">
      <c r="A267" s="7" t="n">
        <v>45721</v>
      </c>
      <c r="B267" s="8" t="s">
        <v>980</v>
      </c>
      <c r="C267" s="8" t="s">
        <v>981</v>
      </c>
      <c r="D267" s="8" t="s">
        <v>384</v>
      </c>
      <c r="E267" s="8" t="n">
        <v>6350</v>
      </c>
      <c r="F267" s="8" t="s">
        <v>131</v>
      </c>
      <c r="G267" s="8" t="s">
        <v>132</v>
      </c>
      <c r="H267" s="3" t="str">
        <f aca="false">IF(G267="OK","YES","no")</f>
        <v>YES</v>
      </c>
      <c r="I267" s="9" t="b">
        <f aca="false">COUNTIF('Roll Schedule'!$A$47:$A$790,A267)&gt;0</f>
        <v>1</v>
      </c>
      <c r="J267" s="8" t="s">
        <v>151</v>
      </c>
      <c r="K267" s="8" t="s">
        <v>982</v>
      </c>
    </row>
    <row r="268" customFormat="false" ht="15" hidden="false" customHeight="false" outlineLevel="0" collapsed="false">
      <c r="A268" s="7" t="n">
        <v>45722</v>
      </c>
      <c r="B268" s="8" t="s">
        <v>983</v>
      </c>
      <c r="C268" s="8" t="s">
        <v>984</v>
      </c>
      <c r="D268" s="8" t="s">
        <v>384</v>
      </c>
      <c r="E268" s="8" t="n">
        <v>6350</v>
      </c>
      <c r="F268" s="8" t="s">
        <v>131</v>
      </c>
      <c r="G268" s="8" t="s">
        <v>132</v>
      </c>
      <c r="H268" s="3" t="str">
        <f aca="false">IF(G268="OK","YES","no")</f>
        <v>YES</v>
      </c>
      <c r="I268" s="9" t="b">
        <f aca="false">COUNTIF('Roll Schedule'!$A$47:$A$790,A268)&gt;0</f>
        <v>1</v>
      </c>
      <c r="J268" s="8" t="s">
        <v>151</v>
      </c>
      <c r="K268" s="8" t="s">
        <v>985</v>
      </c>
    </row>
    <row r="269" customFormat="false" ht="15" hidden="false" customHeight="false" outlineLevel="0" collapsed="false">
      <c r="A269" s="7" t="n">
        <v>45723</v>
      </c>
      <c r="B269" s="8" t="s">
        <v>986</v>
      </c>
      <c r="C269" s="8" t="s">
        <v>987</v>
      </c>
      <c r="D269" s="8" t="s">
        <v>388</v>
      </c>
      <c r="E269" s="8" t="n">
        <v>6050</v>
      </c>
      <c r="F269" s="8" t="s">
        <v>131</v>
      </c>
      <c r="G269" s="8" t="s">
        <v>132</v>
      </c>
      <c r="H269" s="3" t="str">
        <f aca="false">IF(G269="OK","YES","no")</f>
        <v>YES</v>
      </c>
      <c r="I269" s="9" t="b">
        <f aca="false">COUNTIF('Roll Schedule'!$A$47:$A$790,A269)&gt;0</f>
        <v>1</v>
      </c>
      <c r="J269" s="8" t="s">
        <v>151</v>
      </c>
      <c r="K269" s="8" t="s">
        <v>988</v>
      </c>
    </row>
    <row r="270" customFormat="false" ht="15" hidden="false" customHeight="false" outlineLevel="0" collapsed="false">
      <c r="A270" s="7" t="n">
        <v>45726</v>
      </c>
      <c r="B270" s="8" t="s">
        <v>989</v>
      </c>
      <c r="C270" s="8" t="s">
        <v>990</v>
      </c>
      <c r="D270" s="8" t="s">
        <v>388</v>
      </c>
      <c r="E270" s="8" t="n">
        <v>6050</v>
      </c>
      <c r="F270" s="8" t="s">
        <v>131</v>
      </c>
      <c r="G270" s="8" t="s">
        <v>132</v>
      </c>
      <c r="H270" s="3" t="str">
        <f aca="false">IF(G270="OK","YES","no")</f>
        <v>YES</v>
      </c>
      <c r="I270" s="9" t="b">
        <f aca="false">COUNTIF('Roll Schedule'!$A$47:$A$790,A270)&gt;0</f>
        <v>1</v>
      </c>
      <c r="J270" s="8" t="s">
        <v>151</v>
      </c>
      <c r="K270" s="8" t="s">
        <v>991</v>
      </c>
    </row>
    <row r="271" customFormat="false" ht="15" hidden="false" customHeight="false" outlineLevel="0" collapsed="false">
      <c r="A271" s="7" t="n">
        <v>45727</v>
      </c>
      <c r="B271" s="8" t="s">
        <v>992</v>
      </c>
      <c r="C271" s="8" t="s">
        <v>993</v>
      </c>
      <c r="D271" s="8" t="s">
        <v>388</v>
      </c>
      <c r="E271" s="8" t="n">
        <v>6050</v>
      </c>
      <c r="F271" s="8" t="s">
        <v>131</v>
      </c>
      <c r="G271" s="8" t="s">
        <v>132</v>
      </c>
      <c r="H271" s="3" t="str">
        <f aca="false">IF(G271="OK","YES","no")</f>
        <v>YES</v>
      </c>
      <c r="I271" s="9" t="b">
        <f aca="false">COUNTIF('Roll Schedule'!$A$47:$A$790,A271)&gt;0</f>
        <v>1</v>
      </c>
      <c r="J271" s="8" t="s">
        <v>151</v>
      </c>
      <c r="K271" s="8" t="s">
        <v>994</v>
      </c>
    </row>
    <row r="272" customFormat="false" ht="15" hidden="false" customHeight="false" outlineLevel="0" collapsed="false">
      <c r="A272" s="7" t="n">
        <v>45728</v>
      </c>
      <c r="B272" s="8" t="s">
        <v>995</v>
      </c>
      <c r="C272" s="8" t="s">
        <v>996</v>
      </c>
      <c r="D272" s="8" t="s">
        <v>846</v>
      </c>
      <c r="E272" s="8" t="n">
        <v>6300</v>
      </c>
      <c r="F272" s="8" t="s">
        <v>131</v>
      </c>
      <c r="G272" s="8" t="s">
        <v>132</v>
      </c>
      <c r="H272" s="3" t="str">
        <f aca="false">IF(G272="OK","YES","no")</f>
        <v>YES</v>
      </c>
      <c r="I272" s="9" t="b">
        <f aca="false">COUNTIF('Roll Schedule'!$A$47:$A$790,A272)&gt;0</f>
        <v>1</v>
      </c>
      <c r="J272" s="8" t="s">
        <v>151</v>
      </c>
      <c r="K272" s="8" t="s">
        <v>997</v>
      </c>
    </row>
    <row r="273" customFormat="false" ht="15" hidden="false" customHeight="false" outlineLevel="0" collapsed="false">
      <c r="A273" s="7" t="n">
        <v>45729</v>
      </c>
      <c r="B273" s="8" t="s">
        <v>998</v>
      </c>
      <c r="C273" s="8" t="s">
        <v>999</v>
      </c>
      <c r="D273" s="8" t="s">
        <v>862</v>
      </c>
      <c r="E273" s="8" t="n">
        <v>6400</v>
      </c>
      <c r="F273" s="8" t="s">
        <v>131</v>
      </c>
      <c r="G273" s="8" t="s">
        <v>132</v>
      </c>
      <c r="H273" s="3" t="str">
        <f aca="false">IF(G273="OK","YES","no")</f>
        <v>YES</v>
      </c>
      <c r="I273" s="9" t="b">
        <f aca="false">COUNTIF('Roll Schedule'!$A$47:$A$790,A273)&gt;0</f>
        <v>1</v>
      </c>
      <c r="J273" s="8" t="s">
        <v>151</v>
      </c>
      <c r="K273" s="8" t="s">
        <v>1000</v>
      </c>
    </row>
    <row r="274" customFormat="false" ht="15" hidden="false" customHeight="false" outlineLevel="0" collapsed="false">
      <c r="A274" s="7" t="n">
        <v>45733</v>
      </c>
      <c r="B274" s="8" t="s">
        <v>1001</v>
      </c>
      <c r="C274" s="8" t="s">
        <v>1002</v>
      </c>
      <c r="D274" s="8" t="s">
        <v>846</v>
      </c>
      <c r="E274" s="8" t="n">
        <v>6300</v>
      </c>
      <c r="F274" s="8" t="s">
        <v>131</v>
      </c>
      <c r="G274" s="8" t="s">
        <v>132</v>
      </c>
      <c r="H274" s="3" t="str">
        <f aca="false">IF(G274="OK","YES","no")</f>
        <v>YES</v>
      </c>
      <c r="I274" s="9" t="b">
        <f aca="false">COUNTIF('Roll Schedule'!$A$47:$A$790,A274)&gt;0</f>
        <v>1</v>
      </c>
      <c r="J274" s="8" t="s">
        <v>151</v>
      </c>
      <c r="K274" s="8" t="s">
        <v>1003</v>
      </c>
    </row>
    <row r="275" customFormat="false" ht="15" hidden="false" customHeight="false" outlineLevel="0" collapsed="false">
      <c r="A275" s="7" t="n">
        <v>45734</v>
      </c>
      <c r="B275" s="8" t="s">
        <v>1004</v>
      </c>
      <c r="C275" s="8" t="s">
        <v>1005</v>
      </c>
      <c r="D275" s="8" t="s">
        <v>846</v>
      </c>
      <c r="E275" s="8" t="n">
        <v>6300</v>
      </c>
      <c r="F275" s="8" t="s">
        <v>131</v>
      </c>
      <c r="G275" s="8" t="s">
        <v>132</v>
      </c>
      <c r="H275" s="3" t="str">
        <f aca="false">IF(G275="OK","YES","no")</f>
        <v>YES</v>
      </c>
      <c r="I275" s="9" t="b">
        <f aca="false">COUNTIF('Roll Schedule'!$A$47:$A$790,A275)&gt;0</f>
        <v>1</v>
      </c>
      <c r="J275" s="8" t="s">
        <v>151</v>
      </c>
      <c r="K275" s="8" t="s">
        <v>1006</v>
      </c>
    </row>
    <row r="276" customFormat="false" ht="15" hidden="false" customHeight="false" outlineLevel="0" collapsed="false">
      <c r="A276" s="7" t="n">
        <v>45735</v>
      </c>
      <c r="B276" s="8" t="s">
        <v>1007</v>
      </c>
      <c r="C276" s="8" t="s">
        <v>1008</v>
      </c>
      <c r="D276" s="8" t="s">
        <v>846</v>
      </c>
      <c r="E276" s="8" t="n">
        <v>6300</v>
      </c>
      <c r="F276" s="8" t="s">
        <v>131</v>
      </c>
      <c r="G276" s="8" t="s">
        <v>132</v>
      </c>
      <c r="H276" s="3" t="str">
        <f aca="false">IF(G276="OK","YES","no")</f>
        <v>YES</v>
      </c>
      <c r="I276" s="9" t="b">
        <f aca="false">COUNTIF('Roll Schedule'!$A$47:$A$790,A276)&gt;0</f>
        <v>1</v>
      </c>
      <c r="J276" s="8" t="s">
        <v>151</v>
      </c>
      <c r="K276" s="8" t="s">
        <v>1009</v>
      </c>
    </row>
    <row r="277" customFormat="false" ht="15" hidden="false" customHeight="false" outlineLevel="0" collapsed="false">
      <c r="A277" s="7" t="n">
        <v>45736</v>
      </c>
      <c r="B277" s="8" t="s">
        <v>1010</v>
      </c>
      <c r="C277" s="8" t="s">
        <v>1011</v>
      </c>
      <c r="D277" s="8" t="s">
        <v>846</v>
      </c>
      <c r="E277" s="8" t="n">
        <v>6300</v>
      </c>
      <c r="F277" s="8" t="s">
        <v>131</v>
      </c>
      <c r="G277" s="8" t="s">
        <v>132</v>
      </c>
      <c r="H277" s="3" t="str">
        <f aca="false">IF(G277="OK","YES","no")</f>
        <v>YES</v>
      </c>
      <c r="I277" s="9" t="b">
        <f aca="false">COUNTIF('Roll Schedule'!$A$47:$A$790,A277)&gt;0</f>
        <v>1</v>
      </c>
      <c r="J277" s="8" t="s">
        <v>151</v>
      </c>
      <c r="K277" s="8" t="s">
        <v>1012</v>
      </c>
    </row>
    <row r="278" customFormat="false" ht="15" hidden="false" customHeight="false" outlineLevel="0" collapsed="false">
      <c r="A278" s="7" t="n">
        <v>45737</v>
      </c>
      <c r="B278" s="8" t="s">
        <v>1013</v>
      </c>
      <c r="C278" s="8" t="s">
        <v>1014</v>
      </c>
      <c r="D278" s="8" t="s">
        <v>846</v>
      </c>
      <c r="E278" s="8" t="n">
        <v>6300</v>
      </c>
      <c r="F278" s="8" t="s">
        <v>131</v>
      </c>
      <c r="G278" s="8" t="s">
        <v>132</v>
      </c>
      <c r="H278" s="3" t="str">
        <f aca="false">IF(G278="OK","YES","no")</f>
        <v>YES</v>
      </c>
      <c r="I278" s="9" t="b">
        <f aca="false">COUNTIF('Roll Schedule'!$A$47:$A$790,A278)&gt;0</f>
        <v>1</v>
      </c>
      <c r="J278" s="8" t="s">
        <v>151</v>
      </c>
      <c r="K278" s="8" t="s">
        <v>1015</v>
      </c>
    </row>
    <row r="279" customFormat="false" ht="15" hidden="false" customHeight="false" outlineLevel="0" collapsed="false">
      <c r="A279" s="7" t="n">
        <v>45740</v>
      </c>
      <c r="B279" s="8" t="s">
        <v>1016</v>
      </c>
      <c r="C279" s="8" t="s">
        <v>1017</v>
      </c>
      <c r="D279" s="8" t="s">
        <v>846</v>
      </c>
      <c r="E279" s="8" t="n">
        <v>6300</v>
      </c>
      <c r="F279" s="8" t="s">
        <v>131</v>
      </c>
      <c r="G279" s="8" t="s">
        <v>132</v>
      </c>
      <c r="H279" s="3" t="str">
        <f aca="false">IF(G279="OK","YES","no")</f>
        <v>YES</v>
      </c>
      <c r="I279" s="9" t="b">
        <f aca="false">COUNTIF('Roll Schedule'!$A$47:$A$790,A279)&gt;0</f>
        <v>1</v>
      </c>
      <c r="J279" s="8" t="s">
        <v>151</v>
      </c>
      <c r="K279" s="8" t="s">
        <v>1018</v>
      </c>
    </row>
    <row r="280" customFormat="false" ht="15" hidden="false" customHeight="false" outlineLevel="0" collapsed="false">
      <c r="A280" s="7" t="n">
        <v>45741</v>
      </c>
      <c r="B280" s="8" t="s">
        <v>1019</v>
      </c>
      <c r="C280" s="8" t="s">
        <v>1020</v>
      </c>
      <c r="D280" s="8" t="s">
        <v>846</v>
      </c>
      <c r="E280" s="8" t="n">
        <v>6300</v>
      </c>
      <c r="F280" s="8" t="s">
        <v>131</v>
      </c>
      <c r="G280" s="8" t="s">
        <v>132</v>
      </c>
      <c r="H280" s="3" t="str">
        <f aca="false">IF(G280="OK","YES","no")</f>
        <v>YES</v>
      </c>
      <c r="I280" s="9" t="b">
        <f aca="false">COUNTIF('Roll Schedule'!$A$47:$A$790,A280)&gt;0</f>
        <v>1</v>
      </c>
      <c r="J280" s="8" t="s">
        <v>151</v>
      </c>
      <c r="K280" s="8" t="s">
        <v>1021</v>
      </c>
    </row>
    <row r="281" customFormat="false" ht="15" hidden="false" customHeight="false" outlineLevel="0" collapsed="false">
      <c r="A281" s="7" t="n">
        <v>45742</v>
      </c>
      <c r="B281" s="8" t="s">
        <v>1022</v>
      </c>
      <c r="C281" s="8" t="s">
        <v>1023</v>
      </c>
      <c r="D281" s="8" t="s">
        <v>846</v>
      </c>
      <c r="E281" s="8" t="n">
        <v>6300</v>
      </c>
      <c r="F281" s="8" t="s">
        <v>131</v>
      </c>
      <c r="G281" s="8" t="s">
        <v>132</v>
      </c>
      <c r="H281" s="3" t="str">
        <f aca="false">IF(G281="OK","YES","no")</f>
        <v>YES</v>
      </c>
      <c r="I281" s="9" t="b">
        <f aca="false">COUNTIF('Roll Schedule'!$A$47:$A$790,A281)&gt;0</f>
        <v>1</v>
      </c>
      <c r="J281" s="8" t="s">
        <v>151</v>
      </c>
      <c r="K281" s="8" t="s">
        <v>1024</v>
      </c>
    </row>
    <row r="282" customFormat="false" ht="15" hidden="false" customHeight="false" outlineLevel="0" collapsed="false">
      <c r="A282" s="7" t="n">
        <v>45743</v>
      </c>
      <c r="B282" s="8" t="s">
        <v>1025</v>
      </c>
      <c r="C282" s="8" t="s">
        <v>1026</v>
      </c>
      <c r="D282" s="8" t="s">
        <v>846</v>
      </c>
      <c r="E282" s="8" t="n">
        <v>6300</v>
      </c>
      <c r="F282" s="8" t="s">
        <v>131</v>
      </c>
      <c r="G282" s="8" t="s">
        <v>132</v>
      </c>
      <c r="H282" s="3" t="str">
        <f aca="false">IF(G282="OK","YES","no")</f>
        <v>YES</v>
      </c>
      <c r="I282" s="9" t="b">
        <f aca="false">COUNTIF('Roll Schedule'!$A$47:$A$790,A282)&gt;0</f>
        <v>1</v>
      </c>
      <c r="J282" s="8" t="s">
        <v>151</v>
      </c>
      <c r="K282" s="8" t="s">
        <v>1027</v>
      </c>
    </row>
    <row r="283" customFormat="false" ht="15" hidden="false" customHeight="false" outlineLevel="0" collapsed="false">
      <c r="A283" s="7" t="n">
        <v>45748</v>
      </c>
      <c r="B283" s="8" t="s">
        <v>1028</v>
      </c>
      <c r="C283" s="8" t="s">
        <v>1029</v>
      </c>
      <c r="D283" s="8" t="s">
        <v>395</v>
      </c>
      <c r="E283" s="8" t="n">
        <v>6250</v>
      </c>
      <c r="F283" s="8" t="s">
        <v>131</v>
      </c>
      <c r="G283" s="8" t="s">
        <v>132</v>
      </c>
      <c r="H283" s="3" t="str">
        <f aca="false">IF(G283="OK","YES","no")</f>
        <v>YES</v>
      </c>
      <c r="I283" s="9" t="b">
        <f aca="false">COUNTIF('Roll Schedule'!$A$47:$A$790,A283)&gt;0</f>
        <v>1</v>
      </c>
      <c r="J283" s="8" t="s">
        <v>151</v>
      </c>
      <c r="K283" s="8" t="s">
        <v>1030</v>
      </c>
    </row>
    <row r="284" customFormat="false" ht="15" hidden="false" customHeight="false" outlineLevel="0" collapsed="false">
      <c r="A284" s="7" t="n">
        <v>45749</v>
      </c>
      <c r="B284" s="8" t="s">
        <v>1031</v>
      </c>
      <c r="C284" s="8" t="s">
        <v>1032</v>
      </c>
      <c r="D284" s="8" t="s">
        <v>862</v>
      </c>
      <c r="E284" s="8" t="n">
        <v>6400</v>
      </c>
      <c r="F284" s="8" t="s">
        <v>131</v>
      </c>
      <c r="G284" s="8" t="s">
        <v>132</v>
      </c>
      <c r="H284" s="3" t="str">
        <f aca="false">IF(G284="OK","YES","no")</f>
        <v>YES</v>
      </c>
      <c r="I284" s="9" t="b">
        <f aca="false">COUNTIF('Roll Schedule'!$A$47:$A$790,A284)&gt;0</f>
        <v>1</v>
      </c>
      <c r="J284" s="8" t="s">
        <v>151</v>
      </c>
      <c r="K284" s="8" t="s">
        <v>1033</v>
      </c>
    </row>
    <row r="285" customFormat="false" ht="15" hidden="false" customHeight="false" outlineLevel="0" collapsed="false">
      <c r="A285" s="7" t="n">
        <v>45750</v>
      </c>
      <c r="B285" s="8" t="s">
        <v>1034</v>
      </c>
      <c r="C285" s="8" t="s">
        <v>1035</v>
      </c>
      <c r="D285" s="8" t="s">
        <v>862</v>
      </c>
      <c r="E285" s="8" t="n">
        <v>6400</v>
      </c>
      <c r="F285" s="8" t="s">
        <v>131</v>
      </c>
      <c r="G285" s="8" t="s">
        <v>132</v>
      </c>
      <c r="H285" s="3" t="str">
        <f aca="false">IF(G285="OK","YES","no")</f>
        <v>YES</v>
      </c>
      <c r="I285" s="9" t="b">
        <f aca="false">COUNTIF('Roll Schedule'!$A$47:$A$790,A285)&gt;0</f>
        <v>1</v>
      </c>
      <c r="J285" s="8" t="s">
        <v>151</v>
      </c>
      <c r="K285" s="8" t="s">
        <v>1036</v>
      </c>
    </row>
    <row r="286" customFormat="false" ht="15" hidden="false" customHeight="false" outlineLevel="0" collapsed="false">
      <c r="A286" s="7" t="n">
        <v>45751</v>
      </c>
      <c r="B286" s="8" t="s">
        <v>1037</v>
      </c>
      <c r="C286" s="8" t="s">
        <v>1038</v>
      </c>
      <c r="D286" s="8" t="s">
        <v>376</v>
      </c>
      <c r="E286" s="8" t="n">
        <v>6650</v>
      </c>
      <c r="F286" s="8" t="s">
        <v>131</v>
      </c>
      <c r="G286" s="8" t="s">
        <v>132</v>
      </c>
      <c r="H286" s="3" t="str">
        <f aca="false">IF(G286="OK","YES","no")</f>
        <v>YES</v>
      </c>
      <c r="I286" s="9" t="b">
        <f aca="false">COUNTIF('Roll Schedule'!$A$47:$A$790,A286)&gt;0</f>
        <v>1</v>
      </c>
      <c r="J286" s="8" t="s">
        <v>151</v>
      </c>
      <c r="K286" s="8" t="s">
        <v>1039</v>
      </c>
    </row>
    <row r="287" customFormat="false" ht="15" hidden="false" customHeight="false" outlineLevel="0" collapsed="false">
      <c r="A287" s="7" t="n">
        <v>45754</v>
      </c>
      <c r="B287" s="8" t="s">
        <v>1040</v>
      </c>
      <c r="C287" s="8" t="s">
        <v>1041</v>
      </c>
      <c r="D287" s="8" t="s">
        <v>380</v>
      </c>
      <c r="E287" s="8" t="n">
        <v>6550</v>
      </c>
      <c r="F287" s="8" t="s">
        <v>131</v>
      </c>
      <c r="G287" s="8" t="s">
        <v>132</v>
      </c>
      <c r="H287" s="3" t="str">
        <f aca="false">IF(G287="OK","YES","no")</f>
        <v>YES</v>
      </c>
      <c r="I287" s="9" t="b">
        <f aca="false">COUNTIF('Roll Schedule'!$A$47:$A$790,A287)&gt;0</f>
        <v>1</v>
      </c>
      <c r="J287" s="8" t="s">
        <v>151</v>
      </c>
      <c r="K287" s="8" t="s">
        <v>1042</v>
      </c>
    </row>
    <row r="288" customFormat="false" ht="15" hidden="false" customHeight="false" outlineLevel="0" collapsed="false">
      <c r="A288" s="7" t="n">
        <v>45755</v>
      </c>
      <c r="B288" s="8" t="s">
        <v>1043</v>
      </c>
      <c r="C288" s="8" t="s">
        <v>1044</v>
      </c>
      <c r="D288" s="8" t="s">
        <v>422</v>
      </c>
      <c r="E288" s="8" t="n">
        <v>6500</v>
      </c>
      <c r="F288" s="8" t="s">
        <v>131</v>
      </c>
      <c r="G288" s="8" t="s">
        <v>132</v>
      </c>
      <c r="H288" s="3" t="str">
        <f aca="false">IF(G288="OK","YES","no")</f>
        <v>YES</v>
      </c>
      <c r="I288" s="9" t="b">
        <f aca="false">COUNTIF('Roll Schedule'!$A$47:$A$790,A288)&gt;0</f>
        <v>1</v>
      </c>
      <c r="J288" s="8" t="s">
        <v>151</v>
      </c>
      <c r="K288" s="8" t="s">
        <v>1045</v>
      </c>
    </row>
    <row r="289" customFormat="false" ht="15" hidden="false" customHeight="false" outlineLevel="0" collapsed="false">
      <c r="A289" s="7" t="n">
        <v>45756</v>
      </c>
      <c r="B289" s="8" t="s">
        <v>1046</v>
      </c>
      <c r="C289" s="8" t="s">
        <v>1047</v>
      </c>
      <c r="D289" s="8" t="s">
        <v>869</v>
      </c>
      <c r="E289" s="8"/>
      <c r="F289" s="8" t="s">
        <v>142</v>
      </c>
      <c r="G289" s="8" t="s">
        <v>143</v>
      </c>
      <c r="H289" s="3" t="str">
        <f aca="false">IF(G289="OK","YES","no")</f>
        <v>no</v>
      </c>
      <c r="I289" s="9" t="b">
        <f aca="false">COUNTIF('Roll Schedule'!$A$47:$A$790,A289)&gt;0</f>
        <v>1</v>
      </c>
      <c r="J289" s="8" t="s">
        <v>151</v>
      </c>
      <c r="K289" s="8" t="s">
        <v>1048</v>
      </c>
    </row>
    <row r="290" customFormat="false" ht="15" hidden="false" customHeight="false" outlineLevel="0" collapsed="false">
      <c r="A290" s="7" t="n">
        <v>45756</v>
      </c>
      <c r="B290" s="8" t="s">
        <v>1049</v>
      </c>
      <c r="C290" s="8" t="s">
        <v>1050</v>
      </c>
      <c r="D290" s="8" t="s">
        <v>422</v>
      </c>
      <c r="E290" s="8" t="n">
        <v>6500</v>
      </c>
      <c r="F290" s="8" t="s">
        <v>131</v>
      </c>
      <c r="G290" s="8" t="s">
        <v>251</v>
      </c>
      <c r="H290" s="3" t="str">
        <f aca="false">IF(G290="OK","YES","no")</f>
        <v>no</v>
      </c>
      <c r="I290" s="9" t="b">
        <f aca="false">COUNTIF('Roll Schedule'!$A$47:$A$790,A290)&gt;0</f>
        <v>1</v>
      </c>
      <c r="J290" s="8" t="s">
        <v>151</v>
      </c>
      <c r="K290" s="8" t="s">
        <v>1051</v>
      </c>
    </row>
    <row r="291" customFormat="false" ht="15" hidden="false" customHeight="false" outlineLevel="0" collapsed="false">
      <c r="A291" s="7" t="n">
        <v>45758</v>
      </c>
      <c r="B291" s="8" t="s">
        <v>1052</v>
      </c>
      <c r="C291" s="8" t="s">
        <v>1053</v>
      </c>
      <c r="D291" s="8" t="s">
        <v>358</v>
      </c>
      <c r="E291" s="8" t="n">
        <v>6850</v>
      </c>
      <c r="F291" s="8" t="s">
        <v>131</v>
      </c>
      <c r="G291" s="8" t="s">
        <v>132</v>
      </c>
      <c r="H291" s="3" t="str">
        <f aca="false">IF(G291="OK","YES","no")</f>
        <v>YES</v>
      </c>
      <c r="I291" s="9" t="b">
        <f aca="false">COUNTIF('Roll Schedule'!$A$47:$A$790,A291)&gt;0</f>
        <v>1</v>
      </c>
      <c r="J291" s="8" t="s">
        <v>151</v>
      </c>
      <c r="K291" s="8" t="s">
        <v>1054</v>
      </c>
    </row>
    <row r="292" customFormat="false" ht="15" hidden="false" customHeight="false" outlineLevel="0" collapsed="false">
      <c r="A292" s="7" t="n">
        <v>45761</v>
      </c>
      <c r="B292" s="8" t="s">
        <v>1055</v>
      </c>
      <c r="C292" s="8" t="s">
        <v>1056</v>
      </c>
      <c r="D292" s="8" t="s">
        <v>450</v>
      </c>
      <c r="E292" s="8" t="n">
        <v>6600</v>
      </c>
      <c r="F292" s="8" t="s">
        <v>131</v>
      </c>
      <c r="G292" s="8" t="s">
        <v>132</v>
      </c>
      <c r="H292" s="3" t="str">
        <f aca="false">IF(G292="OK","YES","no")</f>
        <v>YES</v>
      </c>
      <c r="I292" s="9" t="b">
        <f aca="false">COUNTIF('Roll Schedule'!$A$47:$A$790,A292)&gt;0</f>
        <v>0</v>
      </c>
      <c r="J292" s="8" t="s">
        <v>151</v>
      </c>
      <c r="K292" s="8" t="s">
        <v>1057</v>
      </c>
    </row>
    <row r="293" customFormat="false" ht="15" hidden="false" customHeight="false" outlineLevel="0" collapsed="false">
      <c r="A293" s="7" t="n">
        <v>45762</v>
      </c>
      <c r="B293" s="8" t="s">
        <v>1058</v>
      </c>
      <c r="C293" s="8" t="s">
        <v>1059</v>
      </c>
      <c r="D293" s="8" t="s">
        <v>415</v>
      </c>
      <c r="E293" s="8" t="n">
        <v>6450</v>
      </c>
      <c r="F293" s="8" t="s">
        <v>131</v>
      </c>
      <c r="G293" s="8" t="s">
        <v>132</v>
      </c>
      <c r="H293" s="3" t="str">
        <f aca="false">IF(G293="OK","YES","no")</f>
        <v>YES</v>
      </c>
      <c r="I293" s="9" t="b">
        <f aca="false">COUNTIF('Roll Schedule'!$A$47:$A$790,A293)&gt;0</f>
        <v>1</v>
      </c>
      <c r="J293" s="8" t="s">
        <v>151</v>
      </c>
      <c r="K293" s="8" t="s">
        <v>1060</v>
      </c>
    </row>
    <row r="294" customFormat="false" ht="15" hidden="false" customHeight="false" outlineLevel="0" collapsed="false">
      <c r="A294" s="7" t="n">
        <v>45763</v>
      </c>
      <c r="B294" s="8" t="s">
        <v>1061</v>
      </c>
      <c r="C294" s="8" t="s">
        <v>1062</v>
      </c>
      <c r="D294" s="8" t="s">
        <v>422</v>
      </c>
      <c r="E294" s="8" t="n">
        <v>6500</v>
      </c>
      <c r="F294" s="8" t="s">
        <v>131</v>
      </c>
      <c r="G294" s="8" t="s">
        <v>132</v>
      </c>
      <c r="H294" s="3" t="str">
        <f aca="false">IF(G294="OK","YES","no")</f>
        <v>YES</v>
      </c>
      <c r="I294" s="9" t="b">
        <f aca="false">COUNTIF('Roll Schedule'!$A$47:$A$790,A294)&gt;0</f>
        <v>1</v>
      </c>
      <c r="J294" s="8" t="s">
        <v>151</v>
      </c>
      <c r="K294" s="8" t="s">
        <v>1063</v>
      </c>
    </row>
    <row r="295" customFormat="false" ht="15" hidden="false" customHeight="false" outlineLevel="0" collapsed="false">
      <c r="A295" s="7" t="n">
        <v>45764</v>
      </c>
      <c r="B295" s="8" t="s">
        <v>1064</v>
      </c>
      <c r="C295" s="8" t="s">
        <v>1065</v>
      </c>
      <c r="D295" s="8" t="s">
        <v>450</v>
      </c>
      <c r="E295" s="8" t="n">
        <v>6600</v>
      </c>
      <c r="F295" s="8" t="s">
        <v>131</v>
      </c>
      <c r="G295" s="8" t="s">
        <v>132</v>
      </c>
      <c r="H295" s="3" t="str">
        <f aca="false">IF(G295="OK","YES","no")</f>
        <v>YES</v>
      </c>
      <c r="I295" s="9" t="b">
        <f aca="false">COUNTIF('Roll Schedule'!$A$47:$A$790,A295)&gt;0</f>
        <v>1</v>
      </c>
      <c r="J295" s="8" t="s">
        <v>151</v>
      </c>
      <c r="K295" s="8" t="s">
        <v>1066</v>
      </c>
    </row>
    <row r="296" customFormat="false" ht="15" hidden="false" customHeight="false" outlineLevel="0" collapsed="false">
      <c r="A296" s="7" t="n">
        <v>45765</v>
      </c>
      <c r="B296" s="8" t="s">
        <v>1067</v>
      </c>
      <c r="C296" s="8" t="s">
        <v>1068</v>
      </c>
      <c r="D296" s="8" t="s">
        <v>450</v>
      </c>
      <c r="E296" s="8" t="n">
        <v>6600</v>
      </c>
      <c r="F296" s="8" t="s">
        <v>131</v>
      </c>
      <c r="G296" s="8" t="s">
        <v>132</v>
      </c>
      <c r="H296" s="3" t="str">
        <f aca="false">IF(G296="OK","YES","no")</f>
        <v>YES</v>
      </c>
      <c r="I296" s="9" t="b">
        <f aca="false">COUNTIF('Roll Schedule'!$A$47:$A$790,A296)&gt;0</f>
        <v>0</v>
      </c>
      <c r="J296" s="8" t="s">
        <v>151</v>
      </c>
      <c r="K296" s="8" t="s">
        <v>1069</v>
      </c>
    </row>
    <row r="297" customFormat="false" ht="15" hidden="false" customHeight="false" outlineLevel="0" collapsed="false">
      <c r="A297" s="7" t="n">
        <v>45768</v>
      </c>
      <c r="B297" s="8" t="s">
        <v>1070</v>
      </c>
      <c r="C297" s="8" t="s">
        <v>1071</v>
      </c>
      <c r="D297" s="8" t="s">
        <v>380</v>
      </c>
      <c r="E297" s="8" t="n">
        <v>6550</v>
      </c>
      <c r="F297" s="8" t="s">
        <v>131</v>
      </c>
      <c r="G297" s="8" t="s">
        <v>132</v>
      </c>
      <c r="H297" s="3" t="str">
        <f aca="false">IF(G297="OK","YES","no")</f>
        <v>YES</v>
      </c>
      <c r="I297" s="9" t="b">
        <f aca="false">COUNTIF('Roll Schedule'!$A$47:$A$790,A297)&gt;0</f>
        <v>1</v>
      </c>
      <c r="J297" s="8" t="s">
        <v>151</v>
      </c>
      <c r="K297" s="8" t="s">
        <v>1072</v>
      </c>
    </row>
    <row r="298" customFormat="false" ht="15" hidden="false" customHeight="false" outlineLevel="0" collapsed="false">
      <c r="A298" s="7" t="n">
        <v>45769</v>
      </c>
      <c r="B298" s="8" t="s">
        <v>1073</v>
      </c>
      <c r="C298" s="8" t="s">
        <v>1074</v>
      </c>
      <c r="D298" s="8" t="s">
        <v>862</v>
      </c>
      <c r="E298" s="8" t="n">
        <v>6400</v>
      </c>
      <c r="F298" s="8" t="s">
        <v>131</v>
      </c>
      <c r="G298" s="8" t="s">
        <v>132</v>
      </c>
      <c r="H298" s="3" t="str">
        <f aca="false">IF(G298="OK","YES","no")</f>
        <v>YES</v>
      </c>
      <c r="I298" s="9" t="b">
        <f aca="false">COUNTIF('Roll Schedule'!$A$47:$A$790,A298)&gt;0</f>
        <v>1</v>
      </c>
      <c r="J298" s="8" t="s">
        <v>151</v>
      </c>
      <c r="K298" s="8" t="s">
        <v>1075</v>
      </c>
    </row>
    <row r="299" customFormat="false" ht="15" hidden="false" customHeight="false" outlineLevel="0" collapsed="false">
      <c r="A299" s="7" t="n">
        <v>45770</v>
      </c>
      <c r="B299" s="8" t="s">
        <v>1076</v>
      </c>
      <c r="C299" s="8" t="s">
        <v>1077</v>
      </c>
      <c r="D299" s="8" t="s">
        <v>415</v>
      </c>
      <c r="E299" s="8" t="n">
        <v>6450</v>
      </c>
      <c r="F299" s="8" t="s">
        <v>131</v>
      </c>
      <c r="G299" s="8" t="s">
        <v>132</v>
      </c>
      <c r="H299" s="3" t="str">
        <f aca="false">IF(G299="OK","YES","no")</f>
        <v>YES</v>
      </c>
      <c r="I299" s="9" t="b">
        <f aca="false">COUNTIF('Roll Schedule'!$A$47:$A$790,A299)&gt;0</f>
        <v>1</v>
      </c>
      <c r="J299" s="8" t="s">
        <v>151</v>
      </c>
      <c r="K299" s="8" t="s">
        <v>1078</v>
      </c>
    </row>
    <row r="300" customFormat="false" ht="15" hidden="false" customHeight="false" outlineLevel="0" collapsed="false">
      <c r="A300" s="7" t="n">
        <v>45771</v>
      </c>
      <c r="B300" s="8" t="s">
        <v>1079</v>
      </c>
      <c r="C300" s="8" t="s">
        <v>1080</v>
      </c>
      <c r="D300" s="8" t="s">
        <v>415</v>
      </c>
      <c r="E300" s="8" t="n">
        <v>6450</v>
      </c>
      <c r="F300" s="8" t="s">
        <v>131</v>
      </c>
      <c r="G300" s="8" t="s">
        <v>132</v>
      </c>
      <c r="H300" s="3" t="str">
        <f aca="false">IF(G300="OK","YES","no")</f>
        <v>YES</v>
      </c>
      <c r="I300" s="9" t="b">
        <f aca="false">COUNTIF('Roll Schedule'!$A$47:$A$790,A300)&gt;0</f>
        <v>1</v>
      </c>
      <c r="J300" s="8" t="s">
        <v>151</v>
      </c>
      <c r="K300" s="8" t="s">
        <v>1081</v>
      </c>
    </row>
    <row r="301" customFormat="false" ht="15" hidden="false" customHeight="false" outlineLevel="0" collapsed="false">
      <c r="A301" s="7" t="n">
        <v>45772</v>
      </c>
      <c r="B301" s="8" t="s">
        <v>1082</v>
      </c>
      <c r="C301" s="8" t="s">
        <v>1083</v>
      </c>
      <c r="D301" s="8" t="s">
        <v>422</v>
      </c>
      <c r="E301" s="8" t="n">
        <v>6500</v>
      </c>
      <c r="F301" s="8" t="s">
        <v>131</v>
      </c>
      <c r="G301" s="8" t="s">
        <v>132</v>
      </c>
      <c r="H301" s="3" t="str">
        <f aca="false">IF(G301="OK","YES","no")</f>
        <v>YES</v>
      </c>
      <c r="I301" s="9" t="b">
        <f aca="false">COUNTIF('Roll Schedule'!$A$47:$A$790,A301)&gt;0</f>
        <v>1</v>
      </c>
      <c r="J301" s="8" t="s">
        <v>151</v>
      </c>
      <c r="K301" s="8" t="s">
        <v>1084</v>
      </c>
    </row>
    <row r="302" customFormat="false" ht="15" hidden="false" customHeight="false" outlineLevel="0" collapsed="false">
      <c r="A302" s="7" t="n">
        <v>45775</v>
      </c>
      <c r="B302" s="8" t="s">
        <v>1085</v>
      </c>
      <c r="C302" s="8" t="s">
        <v>1086</v>
      </c>
      <c r="D302" s="8" t="s">
        <v>380</v>
      </c>
      <c r="E302" s="8" t="n">
        <v>6550</v>
      </c>
      <c r="F302" s="8" t="s">
        <v>131</v>
      </c>
      <c r="G302" s="8" t="s">
        <v>132</v>
      </c>
      <c r="H302" s="3" t="str">
        <f aca="false">IF(G302="OK","YES","no")</f>
        <v>YES</v>
      </c>
      <c r="I302" s="9" t="b">
        <f aca="false">COUNTIF('Roll Schedule'!$A$47:$A$790,A302)&gt;0</f>
        <v>1</v>
      </c>
      <c r="J302" s="8" t="s">
        <v>151</v>
      </c>
      <c r="K302" s="8" t="s">
        <v>1087</v>
      </c>
    </row>
    <row r="303" customFormat="false" ht="15" hidden="false" customHeight="false" outlineLevel="0" collapsed="false">
      <c r="A303" s="7" t="n">
        <v>45776</v>
      </c>
      <c r="B303" s="8" t="s">
        <v>1088</v>
      </c>
      <c r="C303" s="8" t="s">
        <v>1089</v>
      </c>
      <c r="D303" s="8" t="s">
        <v>415</v>
      </c>
      <c r="E303" s="8" t="n">
        <v>6450</v>
      </c>
      <c r="F303" s="8" t="s">
        <v>131</v>
      </c>
      <c r="G303" s="8" t="s">
        <v>132</v>
      </c>
      <c r="H303" s="3" t="str">
        <f aca="false">IF(G303="OK","YES","no")</f>
        <v>YES</v>
      </c>
      <c r="I303" s="9" t="b">
        <f aca="false">COUNTIF('Roll Schedule'!$A$47:$A$790,A303)&gt;0</f>
        <v>1</v>
      </c>
      <c r="J303" s="8" t="s">
        <v>151</v>
      </c>
      <c r="K303" s="8" t="s">
        <v>1090</v>
      </c>
    </row>
    <row r="304" customFormat="false" ht="15" hidden="false" customHeight="false" outlineLevel="0" collapsed="false">
      <c r="A304" s="7" t="n">
        <v>45777</v>
      </c>
      <c r="B304" s="8" t="s">
        <v>1091</v>
      </c>
      <c r="C304" s="8" t="s">
        <v>1092</v>
      </c>
      <c r="D304" s="8" t="s">
        <v>415</v>
      </c>
      <c r="E304" s="8" t="n">
        <v>6450</v>
      </c>
      <c r="F304" s="8" t="s">
        <v>131</v>
      </c>
      <c r="G304" s="8" t="s">
        <v>132</v>
      </c>
      <c r="H304" s="3" t="str">
        <f aca="false">IF(G304="OK","YES","no")</f>
        <v>YES</v>
      </c>
      <c r="I304" s="9" t="b">
        <f aca="false">COUNTIF('Roll Schedule'!$A$47:$A$790,A304)&gt;0</f>
        <v>1</v>
      </c>
      <c r="J304" s="8" t="s">
        <v>151</v>
      </c>
      <c r="K304" s="8" t="s">
        <v>1093</v>
      </c>
    </row>
    <row r="305" customFormat="false" ht="15" hidden="false" customHeight="false" outlineLevel="0" collapsed="false">
      <c r="A305" s="7" t="n">
        <v>45779</v>
      </c>
      <c r="B305" s="8" t="s">
        <v>1094</v>
      </c>
      <c r="C305" s="8" t="s">
        <v>1095</v>
      </c>
      <c r="D305" s="8" t="s">
        <v>862</v>
      </c>
      <c r="E305" s="8" t="n">
        <v>6400</v>
      </c>
      <c r="F305" s="8" t="s">
        <v>131</v>
      </c>
      <c r="G305" s="8" t="s">
        <v>132</v>
      </c>
      <c r="H305" s="3" t="str">
        <f aca="false">IF(G305="OK","YES","no")</f>
        <v>YES</v>
      </c>
      <c r="I305" s="9" t="b">
        <f aca="false">COUNTIF('Roll Schedule'!$A$47:$A$790,A305)&gt;0</f>
        <v>1</v>
      </c>
      <c r="J305" s="8" t="s">
        <v>151</v>
      </c>
      <c r="K305" s="8" t="s">
        <v>1096</v>
      </c>
    </row>
    <row r="306" customFormat="false" ht="15" hidden="false" customHeight="false" outlineLevel="0" collapsed="false">
      <c r="A306" s="7" t="n">
        <v>45782</v>
      </c>
      <c r="B306" s="8" t="s">
        <v>1097</v>
      </c>
      <c r="C306" s="8" t="s">
        <v>1098</v>
      </c>
      <c r="D306" s="8" t="s">
        <v>384</v>
      </c>
      <c r="E306" s="8" t="n">
        <v>6350</v>
      </c>
      <c r="F306" s="8" t="s">
        <v>131</v>
      </c>
      <c r="G306" s="8" t="s">
        <v>132</v>
      </c>
      <c r="H306" s="3" t="str">
        <f aca="false">IF(G306="OK","YES","no")</f>
        <v>YES</v>
      </c>
      <c r="I306" s="9" t="b">
        <f aca="false">COUNTIF('Roll Schedule'!$A$47:$A$790,A306)&gt;0</f>
        <v>1</v>
      </c>
      <c r="J306" s="8" t="s">
        <v>151</v>
      </c>
      <c r="K306" s="8" t="s">
        <v>1099</v>
      </c>
    </row>
    <row r="307" customFormat="false" ht="15" hidden="false" customHeight="false" outlineLevel="0" collapsed="false">
      <c r="A307" s="7" t="n">
        <v>45783</v>
      </c>
      <c r="B307" s="8" t="s">
        <v>1100</v>
      </c>
      <c r="C307" s="8" t="s">
        <v>1101</v>
      </c>
      <c r="D307" s="8" t="s">
        <v>384</v>
      </c>
      <c r="E307" s="8" t="n">
        <v>6350</v>
      </c>
      <c r="F307" s="8" t="s">
        <v>131</v>
      </c>
      <c r="G307" s="8" t="s">
        <v>132</v>
      </c>
      <c r="H307" s="3" t="str">
        <f aca="false">IF(G307="OK","YES","no")</f>
        <v>YES</v>
      </c>
      <c r="I307" s="9" t="b">
        <f aca="false">COUNTIF('Roll Schedule'!$A$47:$A$790,A307)&gt;0</f>
        <v>1</v>
      </c>
      <c r="J307" s="8" t="s">
        <v>151</v>
      </c>
      <c r="K307" s="8" t="s">
        <v>1102</v>
      </c>
    </row>
    <row r="308" customFormat="false" ht="15" hidden="false" customHeight="false" outlineLevel="0" collapsed="false">
      <c r="A308" s="7" t="n">
        <v>45784</v>
      </c>
      <c r="B308" s="8" t="s">
        <v>1103</v>
      </c>
      <c r="C308" s="8" t="s">
        <v>1104</v>
      </c>
      <c r="D308" s="8" t="s">
        <v>1105</v>
      </c>
      <c r="E308" s="8" t="n">
        <v>6375</v>
      </c>
      <c r="F308" s="8" t="s">
        <v>131</v>
      </c>
      <c r="G308" s="8" t="s">
        <v>132</v>
      </c>
      <c r="H308" s="3" t="str">
        <f aca="false">IF(G308="OK","YES","no")</f>
        <v>YES</v>
      </c>
      <c r="I308" s="9" t="b">
        <f aca="false">COUNTIF('Roll Schedule'!$A$47:$A$790,A308)&gt;0</f>
        <v>1</v>
      </c>
      <c r="J308" s="8" t="s">
        <v>151</v>
      </c>
      <c r="K308" s="8" t="s">
        <v>1106</v>
      </c>
    </row>
    <row r="309" customFormat="false" ht="15" hidden="false" customHeight="false" outlineLevel="0" collapsed="false">
      <c r="A309" s="7" t="n">
        <v>45785</v>
      </c>
      <c r="B309" s="8" t="s">
        <v>1107</v>
      </c>
      <c r="C309" s="8" t="s">
        <v>1108</v>
      </c>
      <c r="D309" s="8" t="s">
        <v>1105</v>
      </c>
      <c r="E309" s="8" t="n">
        <v>6375</v>
      </c>
      <c r="F309" s="8" t="s">
        <v>131</v>
      </c>
      <c r="G309" s="8" t="s">
        <v>132</v>
      </c>
      <c r="H309" s="3" t="str">
        <f aca="false">IF(G309="OK","YES","no")</f>
        <v>YES</v>
      </c>
      <c r="I309" s="9" t="b">
        <f aca="false">COUNTIF('Roll Schedule'!$A$47:$A$790,A309)&gt;0</f>
        <v>1</v>
      </c>
      <c r="J309" s="8" t="s">
        <v>151</v>
      </c>
      <c r="K309" s="8" t="s">
        <v>1109</v>
      </c>
    </row>
    <row r="310" customFormat="false" ht="15" hidden="false" customHeight="false" outlineLevel="0" collapsed="false">
      <c r="A310" s="7" t="n">
        <v>45786</v>
      </c>
      <c r="B310" s="8" t="s">
        <v>1110</v>
      </c>
      <c r="C310" s="8" t="s">
        <v>1111</v>
      </c>
      <c r="D310" s="8" t="s">
        <v>384</v>
      </c>
      <c r="E310" s="8" t="n">
        <v>6350</v>
      </c>
      <c r="F310" s="8" t="s">
        <v>131</v>
      </c>
      <c r="G310" s="8" t="s">
        <v>132</v>
      </c>
      <c r="H310" s="3" t="str">
        <f aca="false">IF(G310="OK","YES","no")</f>
        <v>YES</v>
      </c>
      <c r="I310" s="9" t="b">
        <f aca="false">COUNTIF('Roll Schedule'!$A$47:$A$790,A310)&gt;0</f>
        <v>1</v>
      </c>
      <c r="J310" s="8" t="s">
        <v>151</v>
      </c>
      <c r="K310" s="8" t="s">
        <v>1112</v>
      </c>
    </row>
    <row r="311" customFormat="false" ht="15" hidden="false" customHeight="false" outlineLevel="0" collapsed="false">
      <c r="A311" s="7" t="n">
        <v>45789</v>
      </c>
      <c r="B311" s="8" t="s">
        <v>1113</v>
      </c>
      <c r="C311" s="8" t="s">
        <v>1114</v>
      </c>
      <c r="D311" s="8" t="s">
        <v>384</v>
      </c>
      <c r="E311" s="8" t="n">
        <v>6350</v>
      </c>
      <c r="F311" s="8" t="s">
        <v>131</v>
      </c>
      <c r="G311" s="8" t="s">
        <v>132</v>
      </c>
      <c r="H311" s="3" t="str">
        <f aca="false">IF(G311="OK","YES","no")</f>
        <v>YES</v>
      </c>
      <c r="I311" s="9" t="b">
        <f aca="false">COUNTIF('Roll Schedule'!$A$47:$A$790,A311)&gt;0</f>
        <v>1</v>
      </c>
      <c r="J311" s="8" t="s">
        <v>151</v>
      </c>
      <c r="K311" s="8" t="s">
        <v>1115</v>
      </c>
    </row>
    <row r="312" customFormat="false" ht="15" hidden="false" customHeight="false" outlineLevel="0" collapsed="false">
      <c r="A312" s="7" t="n">
        <v>45790</v>
      </c>
      <c r="B312" s="8" t="s">
        <v>1116</v>
      </c>
      <c r="C312" s="8" t="s">
        <v>1117</v>
      </c>
      <c r="D312" s="8" t="s">
        <v>384</v>
      </c>
      <c r="E312" s="8" t="n">
        <v>6350</v>
      </c>
      <c r="F312" s="8" t="s">
        <v>131</v>
      </c>
      <c r="G312" s="8" t="s">
        <v>132</v>
      </c>
      <c r="H312" s="3" t="str">
        <f aca="false">IF(G312="OK","YES","no")</f>
        <v>YES</v>
      </c>
      <c r="I312" s="9" t="b">
        <f aca="false">COUNTIF('Roll Schedule'!$A$47:$A$790,A312)&gt;0</f>
        <v>1</v>
      </c>
      <c r="J312" s="8" t="s">
        <v>151</v>
      </c>
      <c r="K312" s="8" t="s">
        <v>1118</v>
      </c>
    </row>
    <row r="313" customFormat="false" ht="15" hidden="false" customHeight="false" outlineLevel="0" collapsed="false">
      <c r="A313" s="7" t="n">
        <v>45791</v>
      </c>
      <c r="B313" s="8" t="s">
        <v>1119</v>
      </c>
      <c r="C313" s="8" t="s">
        <v>1120</v>
      </c>
      <c r="D313" s="8" t="s">
        <v>1121</v>
      </c>
      <c r="E313" s="8" t="n">
        <v>6325</v>
      </c>
      <c r="F313" s="8" t="s">
        <v>131</v>
      </c>
      <c r="G313" s="8" t="s">
        <v>132</v>
      </c>
      <c r="H313" s="3" t="str">
        <f aca="false">IF(G313="OK","YES","no")</f>
        <v>YES</v>
      </c>
      <c r="I313" s="9" t="b">
        <f aca="false">COUNTIF('Roll Schedule'!$A$47:$A$790,A313)&gt;0</f>
        <v>1</v>
      </c>
      <c r="J313" s="8" t="s">
        <v>151</v>
      </c>
      <c r="K313" s="8" t="s">
        <v>1122</v>
      </c>
    </row>
    <row r="314" customFormat="false" ht="15" hidden="false" customHeight="false" outlineLevel="0" collapsed="false">
      <c r="A314" s="7" t="n">
        <v>45792</v>
      </c>
      <c r="B314" s="8" t="s">
        <v>1123</v>
      </c>
      <c r="C314" s="8" t="s">
        <v>1124</v>
      </c>
      <c r="D314" s="8" t="s">
        <v>846</v>
      </c>
      <c r="E314" s="8" t="n">
        <v>6300</v>
      </c>
      <c r="F314" s="8" t="s">
        <v>131</v>
      </c>
      <c r="G314" s="8" t="s">
        <v>132</v>
      </c>
      <c r="H314" s="3" t="str">
        <f aca="false">IF(G314="OK","YES","no")</f>
        <v>YES</v>
      </c>
      <c r="I314" s="9" t="b">
        <f aca="false">COUNTIF('Roll Schedule'!$A$47:$A$790,A314)&gt;0</f>
        <v>1</v>
      </c>
      <c r="J314" s="8" t="s">
        <v>151</v>
      </c>
      <c r="K314" s="8" t="s">
        <v>1125</v>
      </c>
    </row>
    <row r="315" customFormat="false" ht="15" hidden="false" customHeight="false" outlineLevel="0" collapsed="false">
      <c r="A315" s="7" t="n">
        <v>45793</v>
      </c>
      <c r="B315" s="8" t="s">
        <v>1126</v>
      </c>
      <c r="C315" s="8" t="s">
        <v>1127</v>
      </c>
      <c r="D315" s="8" t="s">
        <v>846</v>
      </c>
      <c r="E315" s="8" t="n">
        <v>6300</v>
      </c>
      <c r="F315" s="8" t="s">
        <v>131</v>
      </c>
      <c r="G315" s="8" t="s">
        <v>132</v>
      </c>
      <c r="H315" s="3" t="str">
        <f aca="false">IF(G315="OK","YES","no")</f>
        <v>YES</v>
      </c>
      <c r="I315" s="9" t="b">
        <f aca="false">COUNTIF('Roll Schedule'!$A$47:$A$790,A315)&gt;0</f>
        <v>1</v>
      </c>
      <c r="J315" s="8" t="s">
        <v>151</v>
      </c>
      <c r="K315" s="8" t="s">
        <v>1128</v>
      </c>
    </row>
    <row r="316" customFormat="false" ht="15" hidden="false" customHeight="false" outlineLevel="0" collapsed="false">
      <c r="A316" s="7" t="n">
        <v>45796</v>
      </c>
      <c r="B316" s="8" t="s">
        <v>1129</v>
      </c>
      <c r="C316" s="8" t="s">
        <v>1130</v>
      </c>
      <c r="D316" s="8" t="s">
        <v>395</v>
      </c>
      <c r="E316" s="8" t="n">
        <v>6250</v>
      </c>
      <c r="F316" s="8" t="s">
        <v>131</v>
      </c>
      <c r="G316" s="8" t="s">
        <v>132</v>
      </c>
      <c r="H316" s="3" t="str">
        <f aca="false">IF(G316="OK","YES","no")</f>
        <v>YES</v>
      </c>
      <c r="I316" s="9" t="b">
        <f aca="false">COUNTIF('Roll Schedule'!$A$47:$A$790,A316)&gt;0</f>
        <v>1</v>
      </c>
      <c r="J316" s="8" t="s">
        <v>151</v>
      </c>
      <c r="K316" s="8" t="s">
        <v>1131</v>
      </c>
    </row>
    <row r="317" customFormat="false" ht="15" hidden="false" customHeight="false" outlineLevel="0" collapsed="false">
      <c r="A317" s="7" t="n">
        <v>45797</v>
      </c>
      <c r="B317" s="8" t="s">
        <v>1132</v>
      </c>
      <c r="C317" s="8" t="s">
        <v>1133</v>
      </c>
      <c r="D317" s="8" t="s">
        <v>1134</v>
      </c>
      <c r="E317" s="8" t="n">
        <v>6200</v>
      </c>
      <c r="F317" s="8" t="s">
        <v>131</v>
      </c>
      <c r="G317" s="8" t="s">
        <v>132</v>
      </c>
      <c r="H317" s="3" t="str">
        <f aca="false">IF(G317="OK","YES","no")</f>
        <v>YES</v>
      </c>
      <c r="I317" s="9" t="b">
        <f aca="false">COUNTIF('Roll Schedule'!$A$47:$A$790,A317)&gt;0</f>
        <v>1</v>
      </c>
      <c r="J317" s="8" t="s">
        <v>151</v>
      </c>
      <c r="K317" s="8" t="s">
        <v>1135</v>
      </c>
    </row>
    <row r="318" customFormat="false" ht="15" hidden="false" customHeight="false" outlineLevel="0" collapsed="false">
      <c r="A318" s="7" t="n">
        <v>45798</v>
      </c>
      <c r="B318" s="8" t="s">
        <v>1136</v>
      </c>
      <c r="C318" s="8" t="s">
        <v>1137</v>
      </c>
      <c r="D318" s="8" t="s">
        <v>1134</v>
      </c>
      <c r="E318" s="8" t="n">
        <v>6200</v>
      </c>
      <c r="F318" s="8" t="s">
        <v>131</v>
      </c>
      <c r="G318" s="8" t="s">
        <v>132</v>
      </c>
      <c r="H318" s="3" t="str">
        <f aca="false">IF(G318="OK","YES","no")</f>
        <v>YES</v>
      </c>
      <c r="I318" s="9" t="b">
        <f aca="false">COUNTIF('Roll Schedule'!$A$47:$A$790,A318)&gt;0</f>
        <v>1</v>
      </c>
      <c r="J318" s="8" t="s">
        <v>151</v>
      </c>
      <c r="K318" s="8" t="s">
        <v>1138</v>
      </c>
    </row>
    <row r="319" customFormat="false" ht="15" hidden="false" customHeight="false" outlineLevel="0" collapsed="false">
      <c r="A319" s="7" t="n">
        <v>45799</v>
      </c>
      <c r="B319" s="8" t="s">
        <v>1139</v>
      </c>
      <c r="C319" s="8" t="s">
        <v>1140</v>
      </c>
      <c r="D319" s="8" t="s">
        <v>395</v>
      </c>
      <c r="E319" s="8" t="n">
        <v>6250</v>
      </c>
      <c r="F319" s="8" t="s">
        <v>131</v>
      </c>
      <c r="G319" s="8" t="s">
        <v>132</v>
      </c>
      <c r="H319" s="3" t="str">
        <f aca="false">IF(G319="OK","YES","no")</f>
        <v>YES</v>
      </c>
      <c r="I319" s="9" t="b">
        <f aca="false">COUNTIF('Roll Schedule'!$A$47:$A$790,A319)&gt;0</f>
        <v>1</v>
      </c>
      <c r="J319" s="8" t="s">
        <v>151</v>
      </c>
      <c r="K319" s="8" t="s">
        <v>1141</v>
      </c>
    </row>
    <row r="320" customFormat="false" ht="15" hidden="false" customHeight="false" outlineLevel="0" collapsed="false">
      <c r="A320" s="7" t="n">
        <v>45800</v>
      </c>
      <c r="B320" s="8" t="s">
        <v>1142</v>
      </c>
      <c r="C320" s="8" t="s">
        <v>1143</v>
      </c>
      <c r="D320" s="8" t="s">
        <v>1144</v>
      </c>
      <c r="E320" s="8" t="n">
        <v>6225</v>
      </c>
      <c r="F320" s="8" t="s">
        <v>131</v>
      </c>
      <c r="G320" s="8" t="s">
        <v>132</v>
      </c>
      <c r="H320" s="3" t="str">
        <f aca="false">IF(G320="OK","YES","no")</f>
        <v>YES</v>
      </c>
      <c r="I320" s="9" t="b">
        <f aca="false">COUNTIF('Roll Schedule'!$A$47:$A$790,A320)&gt;0</f>
        <v>1</v>
      </c>
      <c r="J320" s="8" t="s">
        <v>151</v>
      </c>
      <c r="K320" s="8" t="s">
        <v>1145</v>
      </c>
    </row>
    <row r="321" customFormat="false" ht="15" hidden="false" customHeight="false" outlineLevel="0" collapsed="false">
      <c r="A321" s="7" t="n">
        <v>45803</v>
      </c>
      <c r="B321" s="8" t="s">
        <v>1146</v>
      </c>
      <c r="C321" s="8" t="s">
        <v>1147</v>
      </c>
      <c r="D321" s="8" t="s">
        <v>1148</v>
      </c>
      <c r="E321" s="8" t="n">
        <v>6175</v>
      </c>
      <c r="F321" s="8" t="s">
        <v>131</v>
      </c>
      <c r="G321" s="8" t="s">
        <v>132</v>
      </c>
      <c r="H321" s="3" t="str">
        <f aca="false">IF(G321="OK","YES","no")</f>
        <v>YES</v>
      </c>
      <c r="I321" s="9" t="b">
        <f aca="false">COUNTIF('Roll Schedule'!$A$47:$A$790,A321)&gt;0</f>
        <v>1</v>
      </c>
      <c r="J321" s="8" t="s">
        <v>151</v>
      </c>
      <c r="K321" s="8" t="s">
        <v>1149</v>
      </c>
    </row>
    <row r="322" customFormat="false" ht="15" hidden="false" customHeight="false" outlineLevel="0" collapsed="false">
      <c r="A322" s="7" t="n">
        <v>45804</v>
      </c>
      <c r="B322" s="8" t="s">
        <v>1150</v>
      </c>
      <c r="C322" s="8" t="s">
        <v>1151</v>
      </c>
      <c r="D322" s="8" t="s">
        <v>1134</v>
      </c>
      <c r="E322" s="8" t="n">
        <v>6200</v>
      </c>
      <c r="F322" s="8" t="s">
        <v>131</v>
      </c>
      <c r="G322" s="8" t="s">
        <v>132</v>
      </c>
      <c r="H322" s="3" t="str">
        <f aca="false">IF(G322="OK","YES","no")</f>
        <v>YES</v>
      </c>
      <c r="I322" s="9" t="b">
        <f aca="false">COUNTIF('Roll Schedule'!$A$47:$A$790,A322)&gt;0</f>
        <v>1</v>
      </c>
      <c r="J322" s="8" t="s">
        <v>151</v>
      </c>
      <c r="K322" s="8" t="s">
        <v>1152</v>
      </c>
    </row>
    <row r="323" customFormat="false" ht="15" hidden="false" customHeight="false" outlineLevel="0" collapsed="false">
      <c r="A323" s="7" t="n">
        <v>45805</v>
      </c>
      <c r="B323" s="8" t="s">
        <v>1153</v>
      </c>
      <c r="C323" s="8" t="s">
        <v>1154</v>
      </c>
      <c r="D323" s="8" t="s">
        <v>1144</v>
      </c>
      <c r="E323" s="8" t="n">
        <v>6225</v>
      </c>
      <c r="F323" s="8" t="s">
        <v>131</v>
      </c>
      <c r="G323" s="8" t="s">
        <v>132</v>
      </c>
      <c r="H323" s="3" t="str">
        <f aca="false">IF(G323="OK","YES","no")</f>
        <v>YES</v>
      </c>
      <c r="I323" s="9" t="b">
        <f aca="false">COUNTIF('Roll Schedule'!$A$47:$A$790,A323)&gt;0</f>
        <v>1</v>
      </c>
      <c r="J323" s="8" t="s">
        <v>151</v>
      </c>
      <c r="K323" s="8" t="s">
        <v>1155</v>
      </c>
    </row>
    <row r="324" customFormat="false" ht="15" hidden="false" customHeight="false" outlineLevel="0" collapsed="false">
      <c r="A324" s="7" t="n">
        <v>45806</v>
      </c>
      <c r="B324" s="8" t="s">
        <v>1156</v>
      </c>
      <c r="C324" s="8" t="s">
        <v>1157</v>
      </c>
      <c r="D324" s="8" t="s">
        <v>1158</v>
      </c>
      <c r="E324" s="8" t="n">
        <v>6275</v>
      </c>
      <c r="F324" s="8" t="s">
        <v>131</v>
      </c>
      <c r="G324" s="8" t="s">
        <v>132</v>
      </c>
      <c r="H324" s="3" t="str">
        <f aca="false">IF(G324="OK","YES","no")</f>
        <v>YES</v>
      </c>
      <c r="I324" s="9" t="b">
        <f aca="false">COUNTIF('Roll Schedule'!$A$47:$A$790,A324)&gt;0</f>
        <v>1</v>
      </c>
      <c r="J324" s="8" t="s">
        <v>151</v>
      </c>
      <c r="K324" s="8" t="s">
        <v>1159</v>
      </c>
    </row>
    <row r="325" customFormat="false" ht="15" hidden="false" customHeight="false" outlineLevel="0" collapsed="false">
      <c r="A325" s="7" t="n">
        <v>45807</v>
      </c>
      <c r="B325" s="8" t="s">
        <v>1160</v>
      </c>
      <c r="C325" s="8" t="s">
        <v>1161</v>
      </c>
      <c r="D325" s="8" t="s">
        <v>1148</v>
      </c>
      <c r="E325" s="8" t="n">
        <v>6175</v>
      </c>
      <c r="F325" s="8" t="s">
        <v>131</v>
      </c>
      <c r="G325" s="8" t="s">
        <v>132</v>
      </c>
      <c r="H325" s="3" t="str">
        <f aca="false">IF(G325="OK","YES","no")</f>
        <v>YES</v>
      </c>
      <c r="I325" s="9" t="b">
        <f aca="false">COUNTIF('Roll Schedule'!$A$47:$A$790,A325)&gt;0</f>
        <v>1</v>
      </c>
      <c r="J325" s="8" t="s">
        <v>151</v>
      </c>
      <c r="K325" s="8" t="s">
        <v>1162</v>
      </c>
    </row>
    <row r="326" customFormat="false" ht="15" hidden="false" customHeight="false" outlineLevel="0" collapsed="false">
      <c r="A326" s="7" t="n">
        <v>45810</v>
      </c>
      <c r="B326" s="8" t="s">
        <v>1163</v>
      </c>
      <c r="C326" s="8" t="s">
        <v>1164</v>
      </c>
      <c r="D326" s="8" t="s">
        <v>1148</v>
      </c>
      <c r="E326" s="8" t="n">
        <v>6175</v>
      </c>
      <c r="F326" s="8" t="s">
        <v>131</v>
      </c>
      <c r="G326" s="8" t="s">
        <v>132</v>
      </c>
      <c r="H326" s="3" t="str">
        <f aca="false">IF(G326="OK","YES","no")</f>
        <v>YES</v>
      </c>
      <c r="I326" s="9" t="b">
        <f aca="false">COUNTIF('Roll Schedule'!$A$47:$A$790,A326)&gt;0</f>
        <v>1</v>
      </c>
      <c r="J326" s="8" t="s">
        <v>151</v>
      </c>
      <c r="K326" s="8" t="s">
        <v>1165</v>
      </c>
    </row>
    <row r="327" customFormat="false" ht="15" hidden="false" customHeight="false" outlineLevel="0" collapsed="false">
      <c r="A327" s="7" t="n">
        <v>45811</v>
      </c>
      <c r="B327" s="8" t="s">
        <v>1166</v>
      </c>
      <c r="C327" s="8" t="s">
        <v>1167</v>
      </c>
      <c r="D327" s="8" t="s">
        <v>1148</v>
      </c>
      <c r="E327" s="8" t="n">
        <v>6175</v>
      </c>
      <c r="F327" s="8" t="s">
        <v>131</v>
      </c>
      <c r="G327" s="8" t="s">
        <v>132</v>
      </c>
      <c r="H327" s="3" t="str">
        <f aca="false">IF(G327="OK","YES","no")</f>
        <v>YES</v>
      </c>
      <c r="I327" s="9" t="b">
        <f aca="false">COUNTIF('Roll Schedule'!$A$47:$A$790,A327)&gt;0</f>
        <v>1</v>
      </c>
      <c r="J327" s="8" t="s">
        <v>151</v>
      </c>
      <c r="K327" s="8" t="s">
        <v>1168</v>
      </c>
    </row>
    <row r="328" customFormat="false" ht="15" hidden="false" customHeight="false" outlineLevel="0" collapsed="false">
      <c r="A328" s="7" t="n">
        <v>45812</v>
      </c>
      <c r="B328" s="8" t="s">
        <v>1169</v>
      </c>
      <c r="C328" s="8" t="s">
        <v>1170</v>
      </c>
      <c r="D328" s="8" t="s">
        <v>395</v>
      </c>
      <c r="E328" s="8" t="n">
        <v>6250</v>
      </c>
      <c r="F328" s="8" t="s">
        <v>131</v>
      </c>
      <c r="G328" s="8" t="s">
        <v>132</v>
      </c>
      <c r="H328" s="3" t="str">
        <f aca="false">IF(G328="OK","YES","no")</f>
        <v>YES</v>
      </c>
      <c r="I328" s="9" t="b">
        <f aca="false">COUNTIF('Roll Schedule'!$A$47:$A$790,A328)&gt;0</f>
        <v>1</v>
      </c>
      <c r="J328" s="8" t="s">
        <v>151</v>
      </c>
      <c r="K328" s="8" t="s">
        <v>1171</v>
      </c>
    </row>
    <row r="329" customFormat="false" ht="15" hidden="false" customHeight="false" outlineLevel="0" collapsed="false">
      <c r="A329" s="7" t="n">
        <v>45813</v>
      </c>
      <c r="B329" s="8" t="s">
        <v>1172</v>
      </c>
      <c r="C329" s="8" t="s">
        <v>1173</v>
      </c>
      <c r="D329" s="8" t="s">
        <v>1158</v>
      </c>
      <c r="E329" s="8" t="n">
        <v>6275</v>
      </c>
      <c r="F329" s="8" t="s">
        <v>131</v>
      </c>
      <c r="G329" s="8" t="s">
        <v>132</v>
      </c>
      <c r="H329" s="3" t="str">
        <f aca="false">IF(G329="OK","YES","no")</f>
        <v>YES</v>
      </c>
      <c r="I329" s="9" t="b">
        <f aca="false">COUNTIF('Roll Schedule'!$A$47:$A$790,A329)&gt;0</f>
        <v>1</v>
      </c>
      <c r="J329" s="8" t="s">
        <v>151</v>
      </c>
      <c r="K329" s="8" t="s">
        <v>1174</v>
      </c>
    </row>
    <row r="330" customFormat="false" ht="15" hidden="false" customHeight="false" outlineLevel="0" collapsed="false">
      <c r="A330" s="7" t="n">
        <v>45814</v>
      </c>
      <c r="B330" s="8" t="s">
        <v>1175</v>
      </c>
      <c r="C330" s="8" t="s">
        <v>1176</v>
      </c>
      <c r="D330" s="8" t="s">
        <v>846</v>
      </c>
      <c r="E330" s="8" t="n">
        <v>6300</v>
      </c>
      <c r="F330" s="8" t="s">
        <v>131</v>
      </c>
      <c r="G330" s="8" t="s">
        <v>132</v>
      </c>
      <c r="H330" s="3" t="str">
        <f aca="false">IF(G330="OK","YES","no")</f>
        <v>YES</v>
      </c>
      <c r="I330" s="9" t="b">
        <f aca="false">COUNTIF('Roll Schedule'!$A$47:$A$790,A330)&gt;0</f>
        <v>1</v>
      </c>
      <c r="J330" s="8" t="s">
        <v>151</v>
      </c>
      <c r="K330" s="8" t="s">
        <v>1177</v>
      </c>
    </row>
    <row r="331" customFormat="false" ht="15" hidden="false" customHeight="false" outlineLevel="0" collapsed="false">
      <c r="A331" s="7" t="n">
        <v>45817</v>
      </c>
      <c r="B331" s="8" t="s">
        <v>1178</v>
      </c>
      <c r="C331" s="8" t="s">
        <v>1179</v>
      </c>
      <c r="D331" s="8" t="s">
        <v>862</v>
      </c>
      <c r="E331" s="8" t="n">
        <v>6400</v>
      </c>
      <c r="F331" s="8" t="s">
        <v>131</v>
      </c>
      <c r="G331" s="8" t="s">
        <v>132</v>
      </c>
      <c r="H331" s="3" t="str">
        <f aca="false">IF(G331="OK","YES","no")</f>
        <v>YES</v>
      </c>
      <c r="I331" s="9" t="b">
        <f aca="false">COUNTIF('Roll Schedule'!$A$47:$A$790,A331)&gt;0</f>
        <v>1</v>
      </c>
      <c r="J331" s="8" t="s">
        <v>151</v>
      </c>
      <c r="K331" s="8" t="s">
        <v>1180</v>
      </c>
    </row>
    <row r="332" customFormat="false" ht="15" hidden="false" customHeight="false" outlineLevel="0" collapsed="false">
      <c r="A332" s="7" t="n">
        <v>45818</v>
      </c>
      <c r="B332" s="8" t="s">
        <v>1181</v>
      </c>
      <c r="C332" s="8" t="s">
        <v>1182</v>
      </c>
      <c r="D332" s="8" t="s">
        <v>415</v>
      </c>
      <c r="E332" s="8" t="n">
        <v>6450</v>
      </c>
      <c r="F332" s="8" t="s">
        <v>131</v>
      </c>
      <c r="G332" s="8" t="s">
        <v>132</v>
      </c>
      <c r="H332" s="3" t="str">
        <f aca="false">IF(G332="OK","YES","no")</f>
        <v>YES</v>
      </c>
      <c r="I332" s="9" t="b">
        <f aca="false">COUNTIF('Roll Schedule'!$A$47:$A$790,A332)&gt;0</f>
        <v>1</v>
      </c>
      <c r="J332" s="8" t="s">
        <v>151</v>
      </c>
      <c r="K332" s="8" t="s">
        <v>1183</v>
      </c>
    </row>
    <row r="333" customFormat="false" ht="15" hidden="false" customHeight="false" outlineLevel="0" collapsed="false">
      <c r="A333" s="7" t="n">
        <v>45819</v>
      </c>
      <c r="B333" s="8" t="s">
        <v>1184</v>
      </c>
      <c r="C333" s="8" t="s">
        <v>1185</v>
      </c>
      <c r="D333" s="8" t="s">
        <v>1186</v>
      </c>
      <c r="E333" s="8" t="n">
        <v>6425</v>
      </c>
      <c r="F333" s="8" t="s">
        <v>131</v>
      </c>
      <c r="G333" s="8" t="s">
        <v>132</v>
      </c>
      <c r="H333" s="3" t="str">
        <f aca="false">IF(G333="OK","YES","no")</f>
        <v>YES</v>
      </c>
      <c r="I333" s="9" t="b">
        <f aca="false">COUNTIF('Roll Schedule'!$A$47:$A$790,A333)&gt;0</f>
        <v>1</v>
      </c>
      <c r="J333" s="8" t="s">
        <v>151</v>
      </c>
      <c r="K333" s="8" t="s">
        <v>1187</v>
      </c>
    </row>
    <row r="334" customFormat="false" ht="15" hidden="false" customHeight="false" outlineLevel="0" collapsed="false">
      <c r="A334" s="7" t="n">
        <v>45820</v>
      </c>
      <c r="B334" s="8" t="s">
        <v>1188</v>
      </c>
      <c r="C334" s="8" t="s">
        <v>1189</v>
      </c>
      <c r="D334" s="8" t="s">
        <v>1105</v>
      </c>
      <c r="E334" s="8" t="n">
        <v>6375</v>
      </c>
      <c r="F334" s="8" t="s">
        <v>131</v>
      </c>
      <c r="G334" s="8" t="s">
        <v>132</v>
      </c>
      <c r="H334" s="3" t="str">
        <f aca="false">IF(G334="OK","YES","no")</f>
        <v>YES</v>
      </c>
      <c r="I334" s="9" t="b">
        <f aca="false">COUNTIF('Roll Schedule'!$A$47:$A$790,A334)&gt;0</f>
        <v>1</v>
      </c>
      <c r="J334" s="8" t="s">
        <v>151</v>
      </c>
      <c r="K334" s="8" t="s">
        <v>1190</v>
      </c>
    </row>
    <row r="335" customFormat="false" ht="15" hidden="false" customHeight="false" outlineLevel="0" collapsed="false">
      <c r="A335" s="7" t="n">
        <v>45821</v>
      </c>
      <c r="B335" s="8" t="s">
        <v>1191</v>
      </c>
      <c r="C335" s="8" t="s">
        <v>1192</v>
      </c>
      <c r="D335" s="8" t="s">
        <v>384</v>
      </c>
      <c r="E335" s="8" t="n">
        <v>6350</v>
      </c>
      <c r="F335" s="8" t="s">
        <v>131</v>
      </c>
      <c r="G335" s="8" t="s">
        <v>132</v>
      </c>
      <c r="H335" s="3" t="str">
        <f aca="false">IF(G335="OK","YES","no")</f>
        <v>YES</v>
      </c>
      <c r="I335" s="9" t="b">
        <f aca="false">COUNTIF('Roll Schedule'!$A$47:$A$790,A335)&gt;0</f>
        <v>1</v>
      </c>
      <c r="J335" s="8" t="s">
        <v>151</v>
      </c>
      <c r="K335" s="8" t="s">
        <v>1193</v>
      </c>
    </row>
    <row r="336" customFormat="false" ht="15" hidden="false" customHeight="false" outlineLevel="0" collapsed="false">
      <c r="A336" s="7" t="n">
        <v>45824</v>
      </c>
      <c r="B336" s="8" t="s">
        <v>1194</v>
      </c>
      <c r="C336" s="8" t="s">
        <v>1195</v>
      </c>
      <c r="D336" s="8" t="s">
        <v>422</v>
      </c>
      <c r="E336" s="8" t="n">
        <v>6500</v>
      </c>
      <c r="F336" s="8" t="s">
        <v>131</v>
      </c>
      <c r="G336" s="8" t="s">
        <v>132</v>
      </c>
      <c r="H336" s="3" t="str">
        <f aca="false">IF(G336="OK","YES","no")</f>
        <v>YES</v>
      </c>
      <c r="I336" s="9" t="b">
        <f aca="false">COUNTIF('Roll Schedule'!$A$47:$A$790,A336)&gt;0</f>
        <v>1</v>
      </c>
      <c r="J336" s="8" t="s">
        <v>151</v>
      </c>
      <c r="K336" s="8" t="s">
        <v>1196</v>
      </c>
    </row>
    <row r="337" customFormat="false" ht="15" hidden="false" customHeight="false" outlineLevel="0" collapsed="false">
      <c r="A337" s="7" t="n">
        <v>45825</v>
      </c>
      <c r="B337" s="8" t="s">
        <v>1197</v>
      </c>
      <c r="C337" s="8" t="s">
        <v>1198</v>
      </c>
      <c r="D337" s="8" t="s">
        <v>422</v>
      </c>
      <c r="E337" s="8" t="n">
        <v>6500</v>
      </c>
      <c r="F337" s="8" t="s">
        <v>131</v>
      </c>
      <c r="G337" s="8" t="s">
        <v>132</v>
      </c>
      <c r="H337" s="3" t="str">
        <f aca="false">IF(G337="OK","YES","no")</f>
        <v>YES</v>
      </c>
      <c r="I337" s="9" t="b">
        <f aca="false">COUNTIF('Roll Schedule'!$A$47:$A$790,A337)&gt;0</f>
        <v>1</v>
      </c>
      <c r="J337" s="8" t="s">
        <v>151</v>
      </c>
      <c r="K337" s="8" t="s">
        <v>1199</v>
      </c>
    </row>
    <row r="338" customFormat="false" ht="15" hidden="false" customHeight="false" outlineLevel="0" collapsed="false">
      <c r="A338" s="7" t="n">
        <v>45826</v>
      </c>
      <c r="B338" s="8" t="s">
        <v>1200</v>
      </c>
      <c r="C338" s="8" t="s">
        <v>1201</v>
      </c>
      <c r="D338" s="8" t="s">
        <v>422</v>
      </c>
      <c r="E338" s="8" t="n">
        <v>6500</v>
      </c>
      <c r="F338" s="8" t="s">
        <v>131</v>
      </c>
      <c r="G338" s="8" t="s">
        <v>132</v>
      </c>
      <c r="H338" s="3" t="str">
        <f aca="false">IF(G338="OK","YES","no")</f>
        <v>YES</v>
      </c>
      <c r="I338" s="9" t="b">
        <f aca="false">COUNTIF('Roll Schedule'!$A$47:$A$790,A338)&gt;0</f>
        <v>1</v>
      </c>
      <c r="J338" s="8" t="s">
        <v>151</v>
      </c>
      <c r="K338" s="8" t="s">
        <v>1202</v>
      </c>
    </row>
    <row r="339" customFormat="false" ht="15" hidden="false" customHeight="false" outlineLevel="0" collapsed="false">
      <c r="A339" s="7" t="n">
        <v>45827</v>
      </c>
      <c r="B339" s="8" t="s">
        <v>1203</v>
      </c>
      <c r="C339" s="8" t="s">
        <v>1204</v>
      </c>
      <c r="D339" s="8" t="s">
        <v>422</v>
      </c>
      <c r="E339" s="8" t="n">
        <v>6500</v>
      </c>
      <c r="F339" s="8" t="s">
        <v>131</v>
      </c>
      <c r="G339" s="8" t="s">
        <v>132</v>
      </c>
      <c r="H339" s="3" t="str">
        <f aca="false">IF(G339="OK","YES","no")</f>
        <v>YES</v>
      </c>
      <c r="I339" s="9" t="b">
        <f aca="false">COUNTIF('Roll Schedule'!$A$47:$A$790,A339)&gt;0</f>
        <v>1</v>
      </c>
      <c r="J339" s="8" t="s">
        <v>151</v>
      </c>
      <c r="K339" s="8" t="s">
        <v>1205</v>
      </c>
    </row>
    <row r="340" customFormat="false" ht="15" hidden="false" customHeight="false" outlineLevel="0" collapsed="false">
      <c r="A340" s="7" t="n">
        <v>45828</v>
      </c>
      <c r="B340" s="8" t="s">
        <v>1206</v>
      </c>
      <c r="C340" s="8" t="s">
        <v>1207</v>
      </c>
      <c r="D340" s="8" t="s">
        <v>380</v>
      </c>
      <c r="E340" s="8" t="n">
        <v>6550</v>
      </c>
      <c r="F340" s="8" t="s">
        <v>131</v>
      </c>
      <c r="G340" s="8" t="s">
        <v>132</v>
      </c>
      <c r="H340" s="3" t="str">
        <f aca="false">IF(G340="OK","YES","no")</f>
        <v>YES</v>
      </c>
      <c r="I340" s="9" t="b">
        <f aca="false">COUNTIF('Roll Schedule'!$A$47:$A$790,A340)&gt;0</f>
        <v>1</v>
      </c>
      <c r="J340" s="8" t="s">
        <v>151</v>
      </c>
      <c r="K340" s="8" t="s">
        <v>1208</v>
      </c>
    </row>
    <row r="341" customFormat="false" ht="15" hidden="false" customHeight="false" outlineLevel="0" collapsed="false">
      <c r="A341" s="7" t="n">
        <v>45831</v>
      </c>
      <c r="B341" s="8" t="s">
        <v>1209</v>
      </c>
      <c r="C341" s="8" t="s">
        <v>1210</v>
      </c>
      <c r="D341" s="8" t="s">
        <v>450</v>
      </c>
      <c r="E341" s="8" t="n">
        <v>6600</v>
      </c>
      <c r="F341" s="8" t="s">
        <v>131</v>
      </c>
      <c r="G341" s="8" t="s">
        <v>132</v>
      </c>
      <c r="H341" s="3" t="str">
        <f aca="false">IF(G341="OK","YES","no")</f>
        <v>YES</v>
      </c>
      <c r="I341" s="9" t="b">
        <f aca="false">COUNTIF('Roll Schedule'!$A$47:$A$790,A341)&gt;0</f>
        <v>1</v>
      </c>
      <c r="J341" s="8" t="s">
        <v>151</v>
      </c>
      <c r="K341" s="8" t="s">
        <v>1211</v>
      </c>
    </row>
    <row r="342" customFormat="false" ht="15" hidden="false" customHeight="false" outlineLevel="0" collapsed="false">
      <c r="A342" s="7" t="n">
        <v>45832</v>
      </c>
      <c r="B342" s="8" t="s">
        <v>1212</v>
      </c>
      <c r="C342" s="8" t="s">
        <v>1213</v>
      </c>
      <c r="D342" s="8" t="s">
        <v>358</v>
      </c>
      <c r="E342" s="8" t="n">
        <v>6850</v>
      </c>
      <c r="F342" s="8" t="s">
        <v>131</v>
      </c>
      <c r="G342" s="8" t="s">
        <v>132</v>
      </c>
      <c r="H342" s="3" t="str">
        <f aca="false">IF(G342="OK","YES","no")</f>
        <v>YES</v>
      </c>
      <c r="I342" s="9" t="b">
        <f aca="false">COUNTIF('Roll Schedule'!$A$47:$A$790,A342)&gt;0</f>
        <v>1</v>
      </c>
      <c r="J342" s="8" t="s">
        <v>151</v>
      </c>
      <c r="K342" s="8" t="s">
        <v>1214</v>
      </c>
    </row>
    <row r="343" customFormat="false" ht="15" hidden="false" customHeight="false" outlineLevel="0" collapsed="false">
      <c r="A343" s="7" t="n">
        <v>45833</v>
      </c>
      <c r="B343" s="8" t="s">
        <v>1215</v>
      </c>
      <c r="C343" s="8" t="s">
        <v>1216</v>
      </c>
      <c r="D343" s="8" t="s">
        <v>368</v>
      </c>
      <c r="E343" s="8" t="n">
        <v>6750</v>
      </c>
      <c r="F343" s="8" t="s">
        <v>131</v>
      </c>
      <c r="G343" s="8" t="s">
        <v>132</v>
      </c>
      <c r="H343" s="3" t="str">
        <f aca="false">IF(G343="OK","YES","no")</f>
        <v>YES</v>
      </c>
      <c r="I343" s="9" t="b">
        <f aca="false">COUNTIF('Roll Schedule'!$A$47:$A$790,A343)&gt;0</f>
        <v>1</v>
      </c>
      <c r="J343" s="8" t="s">
        <v>151</v>
      </c>
      <c r="K343" s="8" t="s">
        <v>1217</v>
      </c>
    </row>
    <row r="344" customFormat="false" ht="15" hidden="false" customHeight="false" outlineLevel="0" collapsed="false">
      <c r="A344" s="7" t="n">
        <v>45834</v>
      </c>
      <c r="B344" s="8" t="s">
        <v>1218</v>
      </c>
      <c r="C344" s="8" t="s">
        <v>1219</v>
      </c>
      <c r="D344" s="8" t="s">
        <v>380</v>
      </c>
      <c r="E344" s="8" t="n">
        <v>6550</v>
      </c>
      <c r="F344" s="8" t="s">
        <v>131</v>
      </c>
      <c r="G344" s="8" t="s">
        <v>132</v>
      </c>
      <c r="H344" s="3" t="str">
        <f aca="false">IF(G344="OK","YES","no")</f>
        <v>YES</v>
      </c>
      <c r="I344" s="9" t="b">
        <f aca="false">COUNTIF('Roll Schedule'!$A$47:$A$790,A344)&gt;0</f>
        <v>1</v>
      </c>
      <c r="J344" s="8" t="s">
        <v>151</v>
      </c>
      <c r="K344" s="8" t="s">
        <v>1220</v>
      </c>
    </row>
    <row r="345" customFormat="false" ht="15" hidden="false" customHeight="false" outlineLevel="0" collapsed="false">
      <c r="A345" s="7" t="n">
        <v>45835</v>
      </c>
      <c r="B345" s="8" t="s">
        <v>1221</v>
      </c>
      <c r="C345" s="8" t="s">
        <v>1222</v>
      </c>
      <c r="D345" s="8" t="s">
        <v>368</v>
      </c>
      <c r="E345" s="8" t="n">
        <v>6750</v>
      </c>
      <c r="F345" s="8" t="s">
        <v>131</v>
      </c>
      <c r="G345" s="8" t="s">
        <v>132</v>
      </c>
      <c r="H345" s="3" t="str">
        <f aca="false">IF(G345="OK","YES","no")</f>
        <v>YES</v>
      </c>
      <c r="I345" s="9" t="b">
        <f aca="false">COUNTIF('Roll Schedule'!$A$47:$A$790,A345)&gt;0</f>
        <v>1</v>
      </c>
      <c r="J345" s="8" t="s">
        <v>151</v>
      </c>
      <c r="K345" s="8" t="s">
        <v>1223</v>
      </c>
    </row>
    <row r="346" customFormat="false" ht="15" hidden="false" customHeight="false" outlineLevel="0" collapsed="false">
      <c r="A346" s="7" t="n">
        <v>45838</v>
      </c>
      <c r="B346" s="8" t="s">
        <v>1224</v>
      </c>
      <c r="C346" s="8" t="s">
        <v>1225</v>
      </c>
      <c r="D346" s="8" t="s">
        <v>450</v>
      </c>
      <c r="E346" s="8" t="n">
        <v>6600</v>
      </c>
      <c r="F346" s="8" t="s">
        <v>131</v>
      </c>
      <c r="G346" s="8" t="s">
        <v>132</v>
      </c>
      <c r="H346" s="3" t="str">
        <f aca="false">IF(G346="OK","YES","no")</f>
        <v>YES</v>
      </c>
      <c r="I346" s="9" t="b">
        <f aca="false">COUNTIF('Roll Schedule'!$A$47:$A$790,A346)&gt;0</f>
        <v>1</v>
      </c>
      <c r="J346" s="8" t="s">
        <v>151</v>
      </c>
      <c r="K346" s="8" t="s">
        <v>1226</v>
      </c>
    </row>
    <row r="347" customFormat="false" ht="15" hidden="false" customHeight="false" outlineLevel="0" collapsed="false">
      <c r="A347" s="7" t="n">
        <v>45839</v>
      </c>
      <c r="B347" s="8" t="s">
        <v>1227</v>
      </c>
      <c r="C347" s="8" t="s">
        <v>1228</v>
      </c>
      <c r="D347" s="8" t="s">
        <v>450</v>
      </c>
      <c r="E347" s="8" t="n">
        <v>6600</v>
      </c>
      <c r="F347" s="8" t="s">
        <v>131</v>
      </c>
      <c r="G347" s="8" t="s">
        <v>132</v>
      </c>
      <c r="H347" s="3" t="str">
        <f aca="false">IF(G347="OK","YES","no")</f>
        <v>YES</v>
      </c>
      <c r="I347" s="9" t="b">
        <f aca="false">COUNTIF('Roll Schedule'!$A$47:$A$790,A347)&gt;0</f>
        <v>1</v>
      </c>
      <c r="J347" s="8" t="s">
        <v>151</v>
      </c>
      <c r="K347" s="8" t="s">
        <v>1229</v>
      </c>
    </row>
    <row r="348" customFormat="false" ht="15" hidden="false" customHeight="false" outlineLevel="0" collapsed="false">
      <c r="A348" s="7" t="n">
        <v>45840</v>
      </c>
      <c r="B348" s="8" t="s">
        <v>1230</v>
      </c>
      <c r="C348" s="8" t="s">
        <v>1231</v>
      </c>
      <c r="D348" s="8" t="s">
        <v>368</v>
      </c>
      <c r="E348" s="8" t="n">
        <v>6750</v>
      </c>
      <c r="F348" s="8" t="s">
        <v>131</v>
      </c>
      <c r="G348" s="8" t="s">
        <v>132</v>
      </c>
      <c r="H348" s="3" t="str">
        <f aca="false">IF(G348="OK","YES","no")</f>
        <v>YES</v>
      </c>
      <c r="I348" s="9" t="b">
        <f aca="false">COUNTIF('Roll Schedule'!$A$47:$A$790,A348)&gt;0</f>
        <v>1</v>
      </c>
      <c r="J348" s="8" t="s">
        <v>151</v>
      </c>
      <c r="K348" s="8" t="s">
        <v>1232</v>
      </c>
    </row>
    <row r="349" customFormat="false" ht="15" hidden="false" customHeight="false" outlineLevel="0" collapsed="false">
      <c r="A349" s="7" t="n">
        <v>45841</v>
      </c>
      <c r="B349" s="8" t="s">
        <v>1233</v>
      </c>
      <c r="C349" s="8" t="s">
        <v>1234</v>
      </c>
      <c r="D349" s="8" t="s">
        <v>893</v>
      </c>
      <c r="E349" s="8" t="n">
        <v>7050</v>
      </c>
      <c r="F349" s="8" t="s">
        <v>131</v>
      </c>
      <c r="G349" s="8" t="s">
        <v>132</v>
      </c>
      <c r="H349" s="3" t="str">
        <f aca="false">IF(G349="OK","YES","no")</f>
        <v>YES</v>
      </c>
      <c r="I349" s="9" t="b">
        <f aca="false">COUNTIF('Roll Schedule'!$A$47:$A$790,A349)&gt;0</f>
        <v>1</v>
      </c>
      <c r="J349" s="8" t="s">
        <v>151</v>
      </c>
      <c r="K349" s="8" t="s">
        <v>1235</v>
      </c>
    </row>
    <row r="350" customFormat="false" ht="15" hidden="false" customHeight="false" outlineLevel="0" collapsed="false">
      <c r="A350" s="7" t="n">
        <v>45842</v>
      </c>
      <c r="B350" s="8" t="s">
        <v>1236</v>
      </c>
      <c r="C350" s="8" t="s">
        <v>1237</v>
      </c>
      <c r="D350" s="8" t="s">
        <v>889</v>
      </c>
      <c r="E350" s="8" t="n">
        <v>7000</v>
      </c>
      <c r="F350" s="8" t="s">
        <v>131</v>
      </c>
      <c r="G350" s="8" t="s">
        <v>132</v>
      </c>
      <c r="H350" s="3" t="str">
        <f aca="false">IF(G350="OK","YES","no")</f>
        <v>YES</v>
      </c>
      <c r="I350" s="9" t="b">
        <f aca="false">COUNTIF('Roll Schedule'!$A$47:$A$790,A350)&gt;0</f>
        <v>1</v>
      </c>
      <c r="J350" s="8" t="s">
        <v>151</v>
      </c>
      <c r="K350" s="8" t="s">
        <v>1238</v>
      </c>
    </row>
    <row r="351" customFormat="false" ht="15" hidden="false" customHeight="false" outlineLevel="0" collapsed="false">
      <c r="A351" s="7" t="n">
        <v>45845</v>
      </c>
      <c r="B351" s="8" t="s">
        <v>1239</v>
      </c>
      <c r="C351" s="8" t="s">
        <v>1240</v>
      </c>
      <c r="D351" s="8" t="s">
        <v>338</v>
      </c>
      <c r="E351" s="8" t="n">
        <v>7100</v>
      </c>
      <c r="F351" s="8" t="s">
        <v>131</v>
      </c>
      <c r="G351" s="8" t="s">
        <v>132</v>
      </c>
      <c r="H351" s="3" t="str">
        <f aca="false">IF(G351="OK","YES","no")</f>
        <v>YES</v>
      </c>
      <c r="I351" s="9" t="b">
        <f aca="false">COUNTIF('Roll Schedule'!$A$47:$A$790,A351)&gt;0</f>
        <v>1</v>
      </c>
      <c r="J351" s="8" t="s">
        <v>151</v>
      </c>
      <c r="K351" s="8" t="s">
        <v>1241</v>
      </c>
    </row>
    <row r="352" customFormat="false" ht="15" hidden="false" customHeight="false" outlineLevel="0" collapsed="false">
      <c r="A352" s="7" t="n">
        <v>45846</v>
      </c>
      <c r="B352" s="8" t="s">
        <v>1242</v>
      </c>
      <c r="C352" s="8" t="s">
        <v>1243</v>
      </c>
      <c r="D352" s="8" t="s">
        <v>338</v>
      </c>
      <c r="E352" s="8" t="n">
        <v>7100</v>
      </c>
      <c r="F352" s="8" t="s">
        <v>131</v>
      </c>
      <c r="G352" s="8" t="s">
        <v>132</v>
      </c>
      <c r="H352" s="3" t="str">
        <f aca="false">IF(G352="OK","YES","no")</f>
        <v>YES</v>
      </c>
      <c r="I352" s="9" t="b">
        <f aca="false">COUNTIF('Roll Schedule'!$A$47:$A$790,A352)&gt;0</f>
        <v>1</v>
      </c>
      <c r="J352" s="8" t="s">
        <v>151</v>
      </c>
      <c r="K352" s="8" t="s">
        <v>1244</v>
      </c>
    </row>
    <row r="353" customFormat="false" ht="15" hidden="false" customHeight="false" outlineLevel="0" collapsed="false">
      <c r="A353" s="7" t="n">
        <v>45847</v>
      </c>
      <c r="B353" s="8" t="s">
        <v>1245</v>
      </c>
      <c r="C353" s="8" t="s">
        <v>1246</v>
      </c>
      <c r="D353" s="8" t="s">
        <v>338</v>
      </c>
      <c r="E353" s="8" t="n">
        <v>7100</v>
      </c>
      <c r="F353" s="8" t="s">
        <v>131</v>
      </c>
      <c r="G353" s="8" t="s">
        <v>132</v>
      </c>
      <c r="H353" s="3" t="str">
        <f aca="false">IF(G353="OK","YES","no")</f>
        <v>YES</v>
      </c>
      <c r="I353" s="9" t="b">
        <f aca="false">COUNTIF('Roll Schedule'!$A$47:$A$790,A353)&gt;0</f>
        <v>1</v>
      </c>
      <c r="J353" s="8" t="s">
        <v>151</v>
      </c>
      <c r="K353" s="8" t="s">
        <v>1247</v>
      </c>
    </row>
    <row r="354" customFormat="false" ht="15" hidden="false" customHeight="false" outlineLevel="0" collapsed="false">
      <c r="A354" s="7" t="n">
        <v>45848</v>
      </c>
      <c r="B354" s="8" t="s">
        <v>1248</v>
      </c>
      <c r="C354" s="8" t="s">
        <v>1249</v>
      </c>
      <c r="D354" s="8" t="s">
        <v>338</v>
      </c>
      <c r="E354" s="8" t="n">
        <v>7100</v>
      </c>
      <c r="F354" s="8" t="s">
        <v>131</v>
      </c>
      <c r="G354" s="8" t="s">
        <v>132</v>
      </c>
      <c r="H354" s="3" t="str">
        <f aca="false">IF(G354="OK","YES","no")</f>
        <v>YES</v>
      </c>
      <c r="I354" s="9" t="b">
        <f aca="false">COUNTIF('Roll Schedule'!$A$47:$A$790,A354)&gt;0</f>
        <v>1</v>
      </c>
      <c r="J354" s="8" t="s">
        <v>151</v>
      </c>
      <c r="K354" s="8" t="s">
        <v>1250</v>
      </c>
    </row>
    <row r="355" customFormat="false" ht="15" hidden="false" customHeight="false" outlineLevel="0" collapsed="false">
      <c r="A355" s="7" t="n">
        <v>45849</v>
      </c>
      <c r="B355" s="8" t="s">
        <v>1251</v>
      </c>
      <c r="C355" s="8" t="s">
        <v>1252</v>
      </c>
      <c r="D355" s="8" t="s">
        <v>338</v>
      </c>
      <c r="E355" s="8" t="n">
        <v>7100</v>
      </c>
      <c r="F355" s="8" t="s">
        <v>131</v>
      </c>
      <c r="G355" s="8" t="s">
        <v>132</v>
      </c>
      <c r="H355" s="3" t="str">
        <f aca="false">IF(G355="OK","YES","no")</f>
        <v>YES</v>
      </c>
      <c r="I355" s="9" t="b">
        <f aca="false">COUNTIF('Roll Schedule'!$A$47:$A$790,A355)&gt;0</f>
        <v>1</v>
      </c>
      <c r="J355" s="8" t="s">
        <v>151</v>
      </c>
      <c r="K355" s="8" t="s">
        <v>1253</v>
      </c>
    </row>
    <row r="356" customFormat="false" ht="15" hidden="false" customHeight="false" outlineLevel="0" collapsed="false">
      <c r="A356" s="7" t="n">
        <v>45852</v>
      </c>
      <c r="B356" s="8" t="s">
        <v>1254</v>
      </c>
      <c r="C356" s="8" t="s">
        <v>1255</v>
      </c>
      <c r="D356" s="8" t="s">
        <v>907</v>
      </c>
      <c r="E356" s="8" t="n">
        <v>7150</v>
      </c>
      <c r="F356" s="8" t="s">
        <v>131</v>
      </c>
      <c r="G356" s="8" t="s">
        <v>132</v>
      </c>
      <c r="H356" s="3" t="str">
        <f aca="false">IF(G356="OK","YES","no")</f>
        <v>YES</v>
      </c>
      <c r="I356" s="9" t="b">
        <f aca="false">COUNTIF('Roll Schedule'!$A$47:$A$790,A356)&gt;0</f>
        <v>1</v>
      </c>
      <c r="J356" s="8" t="s">
        <v>151</v>
      </c>
      <c r="K356" s="8" t="s">
        <v>1256</v>
      </c>
    </row>
    <row r="357" customFormat="false" ht="15" hidden="false" customHeight="false" outlineLevel="0" collapsed="false">
      <c r="A357" s="7" t="n">
        <v>45853</v>
      </c>
      <c r="B357" s="8" t="s">
        <v>1257</v>
      </c>
      <c r="C357" s="8" t="s">
        <v>1258</v>
      </c>
      <c r="D357" s="8" t="s">
        <v>1259</v>
      </c>
      <c r="E357" s="8" t="n">
        <v>7500</v>
      </c>
      <c r="F357" s="8" t="s">
        <v>131</v>
      </c>
      <c r="G357" s="8" t="s">
        <v>132</v>
      </c>
      <c r="H357" s="3" t="str">
        <f aca="false">IF(G357="OK","YES","no")</f>
        <v>YES</v>
      </c>
      <c r="I357" s="9" t="b">
        <f aca="false">COUNTIF('Roll Schedule'!$A$47:$A$790,A357)&gt;0</f>
        <v>1</v>
      </c>
      <c r="J357" s="8" t="s">
        <v>151</v>
      </c>
      <c r="K357" s="8" t="s">
        <v>1260</v>
      </c>
    </row>
    <row r="358" customFormat="false" ht="15" hidden="false" customHeight="false" outlineLevel="0" collapsed="false">
      <c r="A358" s="7" t="n">
        <v>45854</v>
      </c>
      <c r="B358" s="8" t="s">
        <v>1261</v>
      </c>
      <c r="C358" s="8" t="s">
        <v>1262</v>
      </c>
      <c r="D358" s="8" t="s">
        <v>1259</v>
      </c>
      <c r="E358" s="8" t="n">
        <v>7500</v>
      </c>
      <c r="F358" s="8" t="s">
        <v>131</v>
      </c>
      <c r="G358" s="8" t="s">
        <v>132</v>
      </c>
      <c r="H358" s="3" t="str">
        <f aca="false">IF(G358="OK","YES","no")</f>
        <v>YES</v>
      </c>
      <c r="I358" s="9" t="b">
        <f aca="false">COUNTIF('Roll Schedule'!$A$47:$A$790,A358)&gt;0</f>
        <v>1</v>
      </c>
      <c r="J358" s="8" t="s">
        <v>151</v>
      </c>
      <c r="K358" s="8" t="s">
        <v>1263</v>
      </c>
    </row>
    <row r="359" customFormat="false" ht="15" hidden="false" customHeight="false" outlineLevel="0" collapsed="false">
      <c r="A359" s="7" t="n">
        <v>45855</v>
      </c>
      <c r="B359" s="8" t="s">
        <v>1264</v>
      </c>
      <c r="C359" s="8" t="s">
        <v>1265</v>
      </c>
      <c r="D359" s="8" t="s">
        <v>1259</v>
      </c>
      <c r="E359" s="8" t="n">
        <v>7500</v>
      </c>
      <c r="F359" s="8" t="s">
        <v>131</v>
      </c>
      <c r="G359" s="8" t="s">
        <v>132</v>
      </c>
      <c r="H359" s="3" t="str">
        <f aca="false">IF(G359="OK","YES","no")</f>
        <v>YES</v>
      </c>
      <c r="I359" s="9" t="b">
        <f aca="false">COUNTIF('Roll Schedule'!$A$47:$A$790,A359)&gt;0</f>
        <v>1</v>
      </c>
      <c r="J359" s="8" t="s">
        <v>151</v>
      </c>
      <c r="K359" s="8" t="s">
        <v>1266</v>
      </c>
    </row>
    <row r="360" customFormat="false" ht="15" hidden="false" customHeight="false" outlineLevel="0" collapsed="false">
      <c r="A360" s="7" t="n">
        <v>45856</v>
      </c>
      <c r="B360" s="8" t="s">
        <v>1267</v>
      </c>
      <c r="C360" s="8" t="s">
        <v>1268</v>
      </c>
      <c r="D360" s="8" t="s">
        <v>1269</v>
      </c>
      <c r="E360" s="8" t="n">
        <v>7550</v>
      </c>
      <c r="F360" s="8" t="s">
        <v>131</v>
      </c>
      <c r="G360" s="8" t="s">
        <v>132</v>
      </c>
      <c r="H360" s="3" t="str">
        <f aca="false">IF(G360="OK","YES","no")</f>
        <v>YES</v>
      </c>
      <c r="I360" s="9" t="b">
        <f aca="false">COUNTIF('Roll Schedule'!$A$47:$A$790,A360)&gt;0</f>
        <v>1</v>
      </c>
      <c r="J360" s="8" t="s">
        <v>151</v>
      </c>
      <c r="K360" s="8" t="s">
        <v>1270</v>
      </c>
    </row>
    <row r="361" customFormat="false" ht="15" hidden="false" customHeight="false" outlineLevel="0" collapsed="false">
      <c r="A361" s="7" t="n">
        <v>45859</v>
      </c>
      <c r="B361" s="8" t="s">
        <v>1271</v>
      </c>
      <c r="C361" s="8" t="s">
        <v>1272</v>
      </c>
      <c r="D361" s="8" t="s">
        <v>1269</v>
      </c>
      <c r="E361" s="8" t="n">
        <v>7550</v>
      </c>
      <c r="F361" s="8" t="s">
        <v>131</v>
      </c>
      <c r="G361" s="8" t="s">
        <v>132</v>
      </c>
      <c r="H361" s="3" t="str">
        <f aca="false">IF(G361="OK","YES","no")</f>
        <v>YES</v>
      </c>
      <c r="I361" s="9" t="b">
        <f aca="false">COUNTIF('Roll Schedule'!$A$47:$A$790,A361)&gt;0</f>
        <v>1</v>
      </c>
      <c r="J361" s="8" t="s">
        <v>151</v>
      </c>
      <c r="K361" s="8" t="s">
        <v>1273</v>
      </c>
    </row>
    <row r="362" customFormat="false" ht="15" hidden="false" customHeight="false" outlineLevel="0" collapsed="false">
      <c r="A362" s="7" t="n">
        <v>45860</v>
      </c>
      <c r="B362" s="8" t="s">
        <v>1274</v>
      </c>
      <c r="C362" s="8" t="s">
        <v>1275</v>
      </c>
      <c r="D362" s="8" t="s">
        <v>1269</v>
      </c>
      <c r="E362" s="8" t="n">
        <v>7550</v>
      </c>
      <c r="F362" s="8" t="s">
        <v>131</v>
      </c>
      <c r="G362" s="8" t="s">
        <v>132</v>
      </c>
      <c r="H362" s="3" t="str">
        <f aca="false">IF(G362="OK","YES","no")</f>
        <v>YES</v>
      </c>
      <c r="I362" s="9" t="b">
        <f aca="false">COUNTIF('Roll Schedule'!$A$47:$A$790,A362)&gt;0</f>
        <v>1</v>
      </c>
      <c r="J362" s="8" t="s">
        <v>151</v>
      </c>
      <c r="K362" s="8" t="s">
        <v>1276</v>
      </c>
    </row>
    <row r="363" customFormat="false" ht="15" hidden="false" customHeight="false" outlineLevel="0" collapsed="false">
      <c r="A363" s="7" t="n">
        <v>45861</v>
      </c>
      <c r="B363" s="8" t="s">
        <v>1277</v>
      </c>
      <c r="C363" s="8" t="s">
        <v>1278</v>
      </c>
      <c r="D363" s="8" t="s">
        <v>1279</v>
      </c>
      <c r="E363" s="8" t="n">
        <v>7650</v>
      </c>
      <c r="F363" s="8" t="s">
        <v>131</v>
      </c>
      <c r="G363" s="8" t="s">
        <v>132</v>
      </c>
      <c r="H363" s="3" t="str">
        <f aca="false">IF(G363="OK","YES","no")</f>
        <v>YES</v>
      </c>
      <c r="I363" s="9" t="b">
        <f aca="false">COUNTIF('Roll Schedule'!$A$47:$A$790,A363)&gt;0</f>
        <v>1</v>
      </c>
      <c r="J363" s="8" t="s">
        <v>151</v>
      </c>
      <c r="K363" s="8" t="s">
        <v>1280</v>
      </c>
    </row>
    <row r="364" customFormat="false" ht="15" hidden="false" customHeight="false" outlineLevel="0" collapsed="false">
      <c r="A364" s="7" t="n">
        <v>45862</v>
      </c>
      <c r="B364" s="8" t="s">
        <v>1281</v>
      </c>
      <c r="C364" s="8" t="s">
        <v>1282</v>
      </c>
      <c r="D364" s="8" t="s">
        <v>1283</v>
      </c>
      <c r="E364" s="8" t="n">
        <v>7700</v>
      </c>
      <c r="F364" s="8" t="s">
        <v>131</v>
      </c>
      <c r="G364" s="8" t="s">
        <v>132</v>
      </c>
      <c r="H364" s="3" t="str">
        <f aca="false">IF(G364="OK","YES","no")</f>
        <v>YES</v>
      </c>
      <c r="I364" s="9" t="b">
        <f aca="false">COUNTIF('Roll Schedule'!$A$47:$A$790,A364)&gt;0</f>
        <v>1</v>
      </c>
      <c r="J364" s="8" t="s">
        <v>151</v>
      </c>
      <c r="K364" s="8" t="s">
        <v>1284</v>
      </c>
    </row>
    <row r="365" customFormat="false" ht="15" hidden="false" customHeight="false" outlineLevel="0" collapsed="false">
      <c r="A365" s="7" t="n">
        <v>45863</v>
      </c>
      <c r="B365" s="8" t="s">
        <v>1285</v>
      </c>
      <c r="C365" s="8" t="s">
        <v>1286</v>
      </c>
      <c r="D365" s="8" t="s">
        <v>1283</v>
      </c>
      <c r="E365" s="8" t="n">
        <v>7700</v>
      </c>
      <c r="F365" s="8" t="s">
        <v>131</v>
      </c>
      <c r="G365" s="8" t="s">
        <v>132</v>
      </c>
      <c r="H365" s="3" t="str">
        <f aca="false">IF(G365="OK","YES","no")</f>
        <v>YES</v>
      </c>
      <c r="I365" s="9" t="b">
        <f aca="false">COUNTIF('Roll Schedule'!$A$47:$A$790,A365)&gt;0</f>
        <v>1</v>
      </c>
      <c r="J365" s="8" t="s">
        <v>151</v>
      </c>
      <c r="K365" s="8" t="s">
        <v>1287</v>
      </c>
    </row>
    <row r="366" customFormat="false" ht="15" hidden="false" customHeight="false" outlineLevel="0" collapsed="false">
      <c r="A366" s="7" t="n">
        <v>45866</v>
      </c>
      <c r="B366" s="8" t="s">
        <v>1288</v>
      </c>
      <c r="C366" s="8" t="s">
        <v>1289</v>
      </c>
      <c r="D366" s="8" t="s">
        <v>1283</v>
      </c>
      <c r="E366" s="8" t="n">
        <v>7700</v>
      </c>
      <c r="F366" s="8" t="s">
        <v>131</v>
      </c>
      <c r="G366" s="8" t="s">
        <v>132</v>
      </c>
      <c r="H366" s="3" t="str">
        <f aca="false">IF(G366="OK","YES","no")</f>
        <v>YES</v>
      </c>
      <c r="I366" s="9" t="b">
        <f aca="false">COUNTIF('Roll Schedule'!$A$47:$A$790,A366)&gt;0</f>
        <v>1</v>
      </c>
      <c r="J366" s="8" t="s">
        <v>151</v>
      </c>
      <c r="K366" s="8" t="s">
        <v>1290</v>
      </c>
    </row>
    <row r="367" customFormat="false" ht="15" hidden="false" customHeight="false" outlineLevel="0" collapsed="false">
      <c r="A367" s="7" t="n">
        <v>45867</v>
      </c>
      <c r="B367" s="8" t="s">
        <v>1291</v>
      </c>
      <c r="C367" s="8" t="s">
        <v>1292</v>
      </c>
      <c r="D367" s="8" t="s">
        <v>1269</v>
      </c>
      <c r="E367" s="8" t="n">
        <v>7550</v>
      </c>
      <c r="F367" s="8" t="s">
        <v>131</v>
      </c>
      <c r="G367" s="8" t="s">
        <v>132</v>
      </c>
      <c r="H367" s="3" t="str">
        <f aca="false">IF(G367="OK","YES","no")</f>
        <v>YES</v>
      </c>
      <c r="I367" s="9" t="b">
        <f aca="false">COUNTIF('Roll Schedule'!$A$47:$A$790,A367)&gt;0</f>
        <v>1</v>
      </c>
      <c r="J367" s="8" t="s">
        <v>151</v>
      </c>
      <c r="K367" s="8" t="s">
        <v>1293</v>
      </c>
    </row>
    <row r="368" customFormat="false" ht="15" hidden="false" customHeight="false" outlineLevel="0" collapsed="false">
      <c r="A368" s="7" t="n">
        <v>45868</v>
      </c>
      <c r="B368" s="8" t="s">
        <v>1294</v>
      </c>
      <c r="C368" s="8" t="s">
        <v>1295</v>
      </c>
      <c r="D368" s="8" t="s">
        <v>1296</v>
      </c>
      <c r="E368" s="8" t="n">
        <v>7600</v>
      </c>
      <c r="F368" s="8" t="s">
        <v>131</v>
      </c>
      <c r="G368" s="8" t="s">
        <v>132</v>
      </c>
      <c r="H368" s="3" t="str">
        <f aca="false">IF(G368="OK","YES","no")</f>
        <v>YES</v>
      </c>
      <c r="I368" s="9" t="b">
        <f aca="false">COUNTIF('Roll Schedule'!$A$47:$A$790,A368)&gt;0</f>
        <v>1</v>
      </c>
      <c r="J368" s="8" t="s">
        <v>151</v>
      </c>
      <c r="K368" s="8" t="s">
        <v>1297</v>
      </c>
    </row>
    <row r="369" customFormat="false" ht="15" hidden="false" customHeight="false" outlineLevel="0" collapsed="false">
      <c r="A369" s="7" t="n">
        <v>45869</v>
      </c>
      <c r="B369" s="8" t="s">
        <v>1298</v>
      </c>
      <c r="C369" s="8" t="s">
        <v>1299</v>
      </c>
      <c r="D369" s="8" t="s">
        <v>1296</v>
      </c>
      <c r="E369" s="8" t="n">
        <v>7600</v>
      </c>
      <c r="F369" s="8" t="s">
        <v>131</v>
      </c>
      <c r="G369" s="8" t="s">
        <v>132</v>
      </c>
      <c r="H369" s="3" t="str">
        <f aca="false">IF(G369="OK","YES","no")</f>
        <v>YES</v>
      </c>
      <c r="I369" s="9" t="b">
        <f aca="false">COUNTIF('Roll Schedule'!$A$47:$A$790,A369)&gt;0</f>
        <v>1</v>
      </c>
      <c r="J369" s="8" t="s">
        <v>151</v>
      </c>
      <c r="K369" s="8" t="s">
        <v>1300</v>
      </c>
    </row>
    <row r="370" customFormat="false" ht="15" hidden="false" customHeight="false" outlineLevel="0" collapsed="false">
      <c r="A370" s="7" t="n">
        <v>45870</v>
      </c>
      <c r="B370" s="8" t="s">
        <v>1301</v>
      </c>
      <c r="C370" s="8" t="s">
        <v>1302</v>
      </c>
      <c r="D370" s="8" t="s">
        <v>1269</v>
      </c>
      <c r="E370" s="8" t="n">
        <v>7550</v>
      </c>
      <c r="F370" s="8" t="s">
        <v>131</v>
      </c>
      <c r="G370" s="8" t="s">
        <v>132</v>
      </c>
      <c r="H370" s="3" t="str">
        <f aca="false">IF(G370="OK","YES","no")</f>
        <v>YES</v>
      </c>
      <c r="I370" s="9" t="b">
        <f aca="false">COUNTIF('Roll Schedule'!$A$47:$A$790,A370)&gt;0</f>
        <v>1</v>
      </c>
      <c r="J370" s="8" t="s">
        <v>151</v>
      </c>
      <c r="K370" s="8" t="s">
        <v>1303</v>
      </c>
    </row>
    <row r="371" customFormat="false" ht="15" hidden="false" customHeight="false" outlineLevel="0" collapsed="false">
      <c r="A371" s="7" t="n">
        <v>45873</v>
      </c>
      <c r="B371" s="8" t="s">
        <v>1304</v>
      </c>
      <c r="C371" s="8" t="s">
        <v>1305</v>
      </c>
      <c r="D371" s="8" t="s">
        <v>1269</v>
      </c>
      <c r="E371" s="8" t="n">
        <v>7550</v>
      </c>
      <c r="F371" s="8" t="s">
        <v>131</v>
      </c>
      <c r="G371" s="8" t="s">
        <v>132</v>
      </c>
      <c r="H371" s="3" t="str">
        <f aca="false">IF(G371="OK","YES","no")</f>
        <v>YES</v>
      </c>
      <c r="I371" s="9" t="b">
        <f aca="false">COUNTIF('Roll Schedule'!$A$47:$A$790,A371)&gt;0</f>
        <v>1</v>
      </c>
      <c r="J371" s="8" t="s">
        <v>151</v>
      </c>
      <c r="K371" s="8" t="s">
        <v>1306</v>
      </c>
    </row>
    <row r="372" customFormat="false" ht="15" hidden="false" customHeight="false" outlineLevel="0" collapsed="false">
      <c r="A372" s="7" t="n">
        <v>45874</v>
      </c>
      <c r="B372" s="8" t="s">
        <v>1307</v>
      </c>
      <c r="C372" s="8" t="s">
        <v>1308</v>
      </c>
      <c r="D372" s="8" t="s">
        <v>1269</v>
      </c>
      <c r="E372" s="8" t="n">
        <v>7550</v>
      </c>
      <c r="F372" s="8" t="s">
        <v>131</v>
      </c>
      <c r="G372" s="8" t="s">
        <v>132</v>
      </c>
      <c r="H372" s="3" t="str">
        <f aca="false">IF(G372="OK","YES","no")</f>
        <v>YES</v>
      </c>
      <c r="I372" s="9" t="b">
        <f aca="false">COUNTIF('Roll Schedule'!$A$47:$A$790,A372)&gt;0</f>
        <v>1</v>
      </c>
      <c r="J372" s="8" t="s">
        <v>151</v>
      </c>
      <c r="K372" s="8" t="s">
        <v>1309</v>
      </c>
    </row>
    <row r="373" customFormat="false" ht="15" hidden="false" customHeight="false" outlineLevel="0" collapsed="false">
      <c r="A373" s="7" t="n">
        <v>45875</v>
      </c>
      <c r="B373" s="8" t="s">
        <v>1310</v>
      </c>
      <c r="C373" s="8" t="s">
        <v>1311</v>
      </c>
      <c r="D373" s="8" t="s">
        <v>1269</v>
      </c>
      <c r="E373" s="8" t="n">
        <v>7550</v>
      </c>
      <c r="F373" s="8" t="s">
        <v>131</v>
      </c>
      <c r="G373" s="8" t="s">
        <v>132</v>
      </c>
      <c r="H373" s="3" t="str">
        <f aca="false">IF(G373="OK","YES","no")</f>
        <v>YES</v>
      </c>
      <c r="I373" s="9" t="b">
        <f aca="false">COUNTIF('Roll Schedule'!$A$47:$A$790,A373)&gt;0</f>
        <v>1</v>
      </c>
      <c r="J373" s="8" t="s">
        <v>151</v>
      </c>
      <c r="K373" s="8" t="s">
        <v>1312</v>
      </c>
    </row>
    <row r="374" customFormat="false" ht="15" hidden="false" customHeight="false" outlineLevel="0" collapsed="false">
      <c r="A374" s="7" t="n">
        <v>45876</v>
      </c>
      <c r="B374" s="8" t="s">
        <v>1313</v>
      </c>
      <c r="C374" s="8" t="s">
        <v>1314</v>
      </c>
      <c r="D374" s="8" t="s">
        <v>1269</v>
      </c>
      <c r="E374" s="8" t="n">
        <v>7550</v>
      </c>
      <c r="F374" s="8" t="s">
        <v>131</v>
      </c>
      <c r="G374" s="8" t="s">
        <v>132</v>
      </c>
      <c r="H374" s="3" t="str">
        <f aca="false">IF(G374="OK","YES","no")</f>
        <v>YES</v>
      </c>
      <c r="I374" s="9" t="b">
        <f aca="false">COUNTIF('Roll Schedule'!$A$47:$A$790,A374)&gt;0</f>
        <v>1</v>
      </c>
      <c r="J374" s="8" t="s">
        <v>151</v>
      </c>
      <c r="K374" s="8" t="s">
        <v>1315</v>
      </c>
    </row>
    <row r="375" customFormat="false" ht="15" hidden="false" customHeight="false" outlineLevel="0" collapsed="false">
      <c r="A375" s="7" t="n">
        <v>45877</v>
      </c>
      <c r="B375" s="8" t="s">
        <v>1316</v>
      </c>
      <c r="C375" s="8" t="s">
        <v>1317</v>
      </c>
      <c r="D375" s="8" t="s">
        <v>1279</v>
      </c>
      <c r="E375" s="8" t="n">
        <v>7650</v>
      </c>
      <c r="F375" s="8" t="s">
        <v>131</v>
      </c>
      <c r="G375" s="8" t="s">
        <v>132</v>
      </c>
      <c r="H375" s="3" t="str">
        <f aca="false">IF(G375="OK","YES","no")</f>
        <v>YES</v>
      </c>
      <c r="I375" s="9" t="b">
        <f aca="false">COUNTIF('Roll Schedule'!$A$47:$A$790,A375)&gt;0</f>
        <v>1</v>
      </c>
      <c r="J375" s="8" t="s">
        <v>151</v>
      </c>
      <c r="K375" s="8" t="s">
        <v>1318</v>
      </c>
    </row>
    <row r="376" customFormat="false" ht="15" hidden="false" customHeight="false" outlineLevel="0" collapsed="false">
      <c r="A376" s="7" t="n">
        <v>45880</v>
      </c>
      <c r="B376" s="8" t="s">
        <v>1319</v>
      </c>
      <c r="C376" s="8" t="s">
        <v>1320</v>
      </c>
      <c r="D376" s="8" t="s">
        <v>1321</v>
      </c>
      <c r="E376" s="8" t="n">
        <v>7750</v>
      </c>
      <c r="F376" s="8" t="s">
        <v>131</v>
      </c>
      <c r="G376" s="8" t="s">
        <v>132</v>
      </c>
      <c r="H376" s="3" t="str">
        <f aca="false">IF(G376="OK","YES","no")</f>
        <v>YES</v>
      </c>
      <c r="I376" s="9" t="b">
        <f aca="false">COUNTIF('Roll Schedule'!$A$47:$A$790,A376)&gt;0</f>
        <v>1</v>
      </c>
      <c r="J376" s="8" t="s">
        <v>151</v>
      </c>
      <c r="K376" s="8" t="s">
        <v>1322</v>
      </c>
    </row>
    <row r="377" customFormat="false" ht="15" hidden="false" customHeight="false" outlineLevel="0" collapsed="false">
      <c r="A377" s="7" t="n">
        <v>45881</v>
      </c>
      <c r="B377" s="8" t="s">
        <v>1323</v>
      </c>
      <c r="C377" s="8" t="s">
        <v>1324</v>
      </c>
      <c r="D377" s="8" t="s">
        <v>1279</v>
      </c>
      <c r="E377" s="8" t="n">
        <v>7650</v>
      </c>
      <c r="F377" s="8" t="s">
        <v>131</v>
      </c>
      <c r="G377" s="8" t="s">
        <v>132</v>
      </c>
      <c r="H377" s="3" t="str">
        <f aca="false">IF(G377="OK","YES","no")</f>
        <v>YES</v>
      </c>
      <c r="I377" s="9" t="b">
        <f aca="false">COUNTIF('Roll Schedule'!$A$47:$A$790,A377)&gt;0</f>
        <v>1</v>
      </c>
      <c r="J377" s="8" t="s">
        <v>151</v>
      </c>
      <c r="K377" s="8" t="s">
        <v>1325</v>
      </c>
    </row>
    <row r="378" customFormat="false" ht="15" hidden="false" customHeight="false" outlineLevel="0" collapsed="false">
      <c r="A378" s="7" t="n">
        <v>45882</v>
      </c>
      <c r="B378" s="8" t="s">
        <v>1326</v>
      </c>
      <c r="C378" s="8" t="s">
        <v>1327</v>
      </c>
      <c r="D378" s="8" t="s">
        <v>1328</v>
      </c>
      <c r="E378" s="8" t="n">
        <v>7625</v>
      </c>
      <c r="F378" s="8" t="s">
        <v>131</v>
      </c>
      <c r="G378" s="8" t="s">
        <v>132</v>
      </c>
      <c r="H378" s="3" t="str">
        <f aca="false">IF(G378="OK","YES","no")</f>
        <v>YES</v>
      </c>
      <c r="I378" s="9" t="b">
        <f aca="false">COUNTIF('Roll Schedule'!$A$47:$A$790,A378)&gt;0</f>
        <v>1</v>
      </c>
      <c r="J378" s="8" t="s">
        <v>151</v>
      </c>
      <c r="K378" s="8" t="s">
        <v>1329</v>
      </c>
    </row>
    <row r="379" customFormat="false" ht="15" hidden="false" customHeight="false" outlineLevel="0" collapsed="false">
      <c r="A379" s="7" t="n">
        <v>45883</v>
      </c>
      <c r="B379" s="8" t="s">
        <v>1330</v>
      </c>
      <c r="C379" s="8" t="s">
        <v>1331</v>
      </c>
      <c r="D379" s="8" t="s">
        <v>1283</v>
      </c>
      <c r="E379" s="8" t="n">
        <v>7700</v>
      </c>
      <c r="F379" s="8" t="s">
        <v>131</v>
      </c>
      <c r="G379" s="8" t="s">
        <v>132</v>
      </c>
      <c r="H379" s="3" t="str">
        <f aca="false">IF(G379="OK","YES","no")</f>
        <v>YES</v>
      </c>
      <c r="I379" s="9" t="b">
        <f aca="false">COUNTIF('Roll Schedule'!$A$47:$A$790,A379)&gt;0</f>
        <v>1</v>
      </c>
      <c r="J379" s="8" t="s">
        <v>151</v>
      </c>
      <c r="K379" s="8" t="s">
        <v>1332</v>
      </c>
    </row>
    <row r="380" customFormat="false" ht="15" hidden="false" customHeight="false" outlineLevel="0" collapsed="false">
      <c r="A380" s="7" t="n">
        <v>45887</v>
      </c>
      <c r="B380" s="8" t="s">
        <v>1333</v>
      </c>
      <c r="C380" s="8" t="s">
        <v>1334</v>
      </c>
      <c r="D380" s="8" t="s">
        <v>1335</v>
      </c>
      <c r="E380" s="8" t="n">
        <v>8000</v>
      </c>
      <c r="F380" s="8" t="s">
        <v>131</v>
      </c>
      <c r="G380" s="8" t="s">
        <v>132</v>
      </c>
      <c r="H380" s="3" t="str">
        <f aca="false">IF(G380="OK","YES","no")</f>
        <v>YES</v>
      </c>
      <c r="I380" s="9" t="b">
        <f aca="false">COUNTIF('Roll Schedule'!$A$47:$A$790,A380)&gt;0</f>
        <v>1</v>
      </c>
      <c r="J380" s="8" t="s">
        <v>151</v>
      </c>
      <c r="K380" s="8" t="s">
        <v>1336</v>
      </c>
    </row>
    <row r="381" customFormat="false" ht="15" hidden="false" customHeight="false" outlineLevel="0" collapsed="false">
      <c r="A381" s="7" t="n">
        <v>45889</v>
      </c>
      <c r="B381" s="8" t="s">
        <v>1337</v>
      </c>
      <c r="C381" s="8" t="s">
        <v>1338</v>
      </c>
      <c r="D381" s="8" t="s">
        <v>1339</v>
      </c>
      <c r="E381" s="8" t="n">
        <v>8150</v>
      </c>
      <c r="F381" s="8" t="s">
        <v>131</v>
      </c>
      <c r="G381" s="8" t="s">
        <v>132</v>
      </c>
      <c r="H381" s="3" t="str">
        <f aca="false">IF(G381="OK","YES","no")</f>
        <v>YES</v>
      </c>
      <c r="I381" s="9" t="b">
        <f aca="false">COUNTIF('Roll Schedule'!$A$47:$A$790,A381)&gt;0</f>
        <v>1</v>
      </c>
      <c r="J381" s="8" t="s">
        <v>151</v>
      </c>
      <c r="K381" s="8" t="s">
        <v>1340</v>
      </c>
    </row>
    <row r="382" customFormat="false" ht="15" hidden="false" customHeight="false" outlineLevel="0" collapsed="false">
      <c r="A382" s="7" t="n">
        <v>45890</v>
      </c>
      <c r="B382" s="8" t="s">
        <v>1341</v>
      </c>
      <c r="C382" s="8" t="s">
        <v>1342</v>
      </c>
      <c r="D382" s="8" t="s">
        <v>1339</v>
      </c>
      <c r="E382" s="8" t="n">
        <v>8150</v>
      </c>
      <c r="F382" s="8" t="s">
        <v>131</v>
      </c>
      <c r="G382" s="8" t="s">
        <v>132</v>
      </c>
      <c r="H382" s="3" t="str">
        <f aca="false">IF(G382="OK","YES","no")</f>
        <v>YES</v>
      </c>
      <c r="I382" s="9" t="b">
        <f aca="false">COUNTIF('Roll Schedule'!$A$47:$A$790,A382)&gt;0</f>
        <v>1</v>
      </c>
      <c r="J382" s="8" t="s">
        <v>151</v>
      </c>
      <c r="K382" s="8" t="s">
        <v>1343</v>
      </c>
    </row>
    <row r="383" customFormat="false" ht="15" hidden="false" customHeight="false" outlineLevel="0" collapsed="false">
      <c r="A383" s="7" t="n">
        <v>45891</v>
      </c>
      <c r="B383" s="8" t="s">
        <v>1344</v>
      </c>
      <c r="C383" s="8" t="s">
        <v>1345</v>
      </c>
      <c r="D383" s="8" t="s">
        <v>1339</v>
      </c>
      <c r="E383" s="8" t="n">
        <v>8150</v>
      </c>
      <c r="F383" s="8" t="s">
        <v>131</v>
      </c>
      <c r="G383" s="8" t="s">
        <v>132</v>
      </c>
      <c r="H383" s="3" t="str">
        <f aca="false">IF(G383="OK","YES","no")</f>
        <v>YES</v>
      </c>
      <c r="I383" s="9" t="b">
        <f aca="false">COUNTIF('Roll Schedule'!$A$47:$A$790,A383)&gt;0</f>
        <v>1</v>
      </c>
      <c r="J383" s="8" t="s">
        <v>151</v>
      </c>
      <c r="K383" s="8" t="s">
        <v>1346</v>
      </c>
    </row>
    <row r="384" customFormat="false" ht="15" hidden="false" customHeight="false" outlineLevel="0" collapsed="false">
      <c r="A384" s="7" t="n">
        <v>45894</v>
      </c>
      <c r="B384" s="8" t="s">
        <v>1347</v>
      </c>
      <c r="C384" s="8" t="s">
        <v>1348</v>
      </c>
      <c r="D384" s="8" t="s">
        <v>1349</v>
      </c>
      <c r="E384" s="8" t="n">
        <v>8300</v>
      </c>
      <c r="F384" s="8" t="s">
        <v>131</v>
      </c>
      <c r="G384" s="8" t="s">
        <v>132</v>
      </c>
      <c r="H384" s="3" t="str">
        <f aca="false">IF(G384="OK","YES","no")</f>
        <v>YES</v>
      </c>
      <c r="I384" s="9" t="b">
        <f aca="false">COUNTIF('Roll Schedule'!$A$47:$A$790,A384)&gt;0</f>
        <v>1</v>
      </c>
      <c r="J384" s="8" t="s">
        <v>151</v>
      </c>
      <c r="K384" s="8" t="s">
        <v>1350</v>
      </c>
    </row>
    <row r="385" customFormat="false" ht="15" hidden="false" customHeight="false" outlineLevel="0" collapsed="false">
      <c r="A385" s="7" t="n">
        <v>45895</v>
      </c>
      <c r="B385" s="8" t="s">
        <v>1351</v>
      </c>
      <c r="C385" s="8" t="s">
        <v>1352</v>
      </c>
      <c r="D385" s="8" t="s">
        <v>1353</v>
      </c>
      <c r="E385" s="8" t="n">
        <v>8250</v>
      </c>
      <c r="F385" s="8" t="s">
        <v>131</v>
      </c>
      <c r="G385" s="8" t="s">
        <v>132</v>
      </c>
      <c r="H385" s="3" t="str">
        <f aca="false">IF(G385="OK","YES","no")</f>
        <v>YES</v>
      </c>
      <c r="I385" s="9" t="b">
        <f aca="false">COUNTIF('Roll Schedule'!$A$47:$A$790,A385)&gt;0</f>
        <v>1</v>
      </c>
      <c r="J385" s="8" t="s">
        <v>151</v>
      </c>
      <c r="K385" s="8" t="s">
        <v>1354</v>
      </c>
    </row>
    <row r="386" customFormat="false" ht="15" hidden="false" customHeight="false" outlineLevel="0" collapsed="false">
      <c r="A386" s="7" t="n">
        <v>45897</v>
      </c>
      <c r="B386" s="8" t="s">
        <v>1355</v>
      </c>
      <c r="C386" s="8" t="s">
        <v>1356</v>
      </c>
      <c r="D386" s="8" t="s">
        <v>1353</v>
      </c>
      <c r="E386" s="8" t="n">
        <v>8250</v>
      </c>
      <c r="F386" s="8" t="s">
        <v>131</v>
      </c>
      <c r="G386" s="8" t="s">
        <v>132</v>
      </c>
      <c r="H386" s="3" t="str">
        <f aca="false">IF(G386="OK","YES","no")</f>
        <v>YES</v>
      </c>
      <c r="I386" s="9" t="b">
        <f aca="false">COUNTIF('Roll Schedule'!$A$47:$A$790,A386)&gt;0</f>
        <v>1</v>
      </c>
      <c r="J386" s="8" t="s">
        <v>151</v>
      </c>
      <c r="K386" s="8" t="s">
        <v>1357</v>
      </c>
    </row>
    <row r="387" customFormat="false" ht="15" hidden="false" customHeight="false" outlineLevel="0" collapsed="false">
      <c r="A387" s="7" t="n">
        <v>45898</v>
      </c>
      <c r="B387" s="8" t="s">
        <v>1358</v>
      </c>
      <c r="C387" s="8" t="s">
        <v>1359</v>
      </c>
      <c r="D387" s="8" t="s">
        <v>1360</v>
      </c>
      <c r="E387" s="8" t="n">
        <v>8500</v>
      </c>
      <c r="F387" s="8" t="s">
        <v>131</v>
      </c>
      <c r="G387" s="8" t="s">
        <v>132</v>
      </c>
      <c r="H387" s="3" t="str">
        <f aca="false">IF(G387="OK","YES","no")</f>
        <v>YES</v>
      </c>
      <c r="I387" s="9" t="b">
        <f aca="false">COUNTIF('Roll Schedule'!$A$47:$A$790,A387)&gt;0</f>
        <v>1</v>
      </c>
      <c r="J387" s="8" t="s">
        <v>151</v>
      </c>
      <c r="K387" s="8" t="s">
        <v>1361</v>
      </c>
    </row>
    <row r="388" customFormat="false" ht="15" hidden="false" customHeight="false" outlineLevel="0" collapsed="false">
      <c r="A388" s="7" t="n">
        <v>45901</v>
      </c>
      <c r="B388" s="8" t="s">
        <v>1362</v>
      </c>
      <c r="C388" s="8" t="s">
        <v>1363</v>
      </c>
      <c r="D388" s="8" t="s">
        <v>1364</v>
      </c>
      <c r="E388" s="8" t="n">
        <v>8650</v>
      </c>
      <c r="F388" s="8" t="s">
        <v>131</v>
      </c>
      <c r="G388" s="8" t="s">
        <v>132</v>
      </c>
      <c r="H388" s="3" t="str">
        <f aca="false">IF(G388="OK","YES","no")</f>
        <v>YES</v>
      </c>
      <c r="I388" s="9" t="b">
        <f aca="false">COUNTIF('Roll Schedule'!$A$47:$A$790,A388)&gt;0</f>
        <v>1</v>
      </c>
      <c r="J388" s="8" t="s">
        <v>151</v>
      </c>
      <c r="K388" s="8" t="s">
        <v>1365</v>
      </c>
    </row>
    <row r="389" customFormat="false" ht="15" hidden="false" customHeight="false" outlineLevel="0" collapsed="false">
      <c r="A389" s="7" t="n">
        <v>45902</v>
      </c>
      <c r="B389" s="8" t="s">
        <v>1366</v>
      </c>
      <c r="C389" s="8" t="s">
        <v>1367</v>
      </c>
      <c r="D389" s="8" t="s">
        <v>1364</v>
      </c>
      <c r="E389" s="8" t="n">
        <v>8650</v>
      </c>
      <c r="F389" s="8" t="s">
        <v>131</v>
      </c>
      <c r="G389" s="8" t="s">
        <v>132</v>
      </c>
      <c r="H389" s="3" t="str">
        <f aca="false">IF(G389="OK","YES","no")</f>
        <v>YES</v>
      </c>
      <c r="I389" s="9" t="b">
        <f aca="false">COUNTIF('Roll Schedule'!$A$47:$A$790,A389)&gt;0</f>
        <v>1</v>
      </c>
      <c r="J389" s="8" t="s">
        <v>151</v>
      </c>
      <c r="K389" s="8" t="s">
        <v>1368</v>
      </c>
    </row>
    <row r="390" customFormat="false" ht="15" hidden="false" customHeight="false" outlineLevel="0" collapsed="false">
      <c r="A390" s="7" t="n">
        <v>45903</v>
      </c>
      <c r="B390" s="8" t="s">
        <v>1369</v>
      </c>
      <c r="C390" s="8" t="s">
        <v>1370</v>
      </c>
      <c r="D390" s="8" t="s">
        <v>1364</v>
      </c>
      <c r="E390" s="8" t="n">
        <v>8650</v>
      </c>
      <c r="F390" s="8" t="s">
        <v>131</v>
      </c>
      <c r="G390" s="8" t="s">
        <v>132</v>
      </c>
      <c r="H390" s="3" t="str">
        <f aca="false">IF(G390="OK","YES","no")</f>
        <v>YES</v>
      </c>
      <c r="I390" s="9" t="b">
        <f aca="false">COUNTIF('Roll Schedule'!$A$47:$A$790,A390)&gt;0</f>
        <v>1</v>
      </c>
      <c r="J390" s="8" t="s">
        <v>151</v>
      </c>
      <c r="K390" s="8" t="s">
        <v>1371</v>
      </c>
    </row>
    <row r="391" customFormat="false" ht="15" hidden="false" customHeight="false" outlineLevel="0" collapsed="false">
      <c r="A391" s="7" t="n">
        <v>45904</v>
      </c>
      <c r="B391" s="8" t="s">
        <v>1372</v>
      </c>
      <c r="C391" s="8" t="s">
        <v>1373</v>
      </c>
      <c r="D391" s="8" t="s">
        <v>1364</v>
      </c>
      <c r="E391" s="8" t="n">
        <v>8650</v>
      </c>
      <c r="F391" s="8" t="s">
        <v>131</v>
      </c>
      <c r="G391" s="8" t="s">
        <v>132</v>
      </c>
      <c r="H391" s="3" t="str">
        <f aca="false">IF(G391="OK","YES","no")</f>
        <v>YES</v>
      </c>
      <c r="I391" s="9" t="b">
        <f aca="false">COUNTIF('Roll Schedule'!$A$47:$A$790,A391)&gt;0</f>
        <v>1</v>
      </c>
      <c r="J391" s="8" t="s">
        <v>151</v>
      </c>
      <c r="K391" s="8" t="s">
        <v>1374</v>
      </c>
    </row>
    <row r="392" customFormat="false" ht="15" hidden="false" customHeight="false" outlineLevel="0" collapsed="false">
      <c r="A392" s="7" t="n">
        <v>45908</v>
      </c>
      <c r="B392" s="8" t="s">
        <v>1375</v>
      </c>
      <c r="C392" s="8" t="s">
        <v>1376</v>
      </c>
      <c r="D392" s="8" t="s">
        <v>1377</v>
      </c>
      <c r="E392" s="8" t="n">
        <v>9050</v>
      </c>
      <c r="F392" s="8" t="s">
        <v>131</v>
      </c>
      <c r="G392" s="8" t="s">
        <v>132</v>
      </c>
      <c r="H392" s="3" t="str">
        <f aca="false">IF(G392="OK","YES","no")</f>
        <v>YES</v>
      </c>
      <c r="I392" s="9" t="b">
        <f aca="false">COUNTIF('Roll Schedule'!$A$47:$A$790,A392)&gt;0</f>
        <v>1</v>
      </c>
      <c r="J392" s="8" t="s">
        <v>151</v>
      </c>
      <c r="K392" s="8" t="s">
        <v>1378</v>
      </c>
    </row>
    <row r="393" customFormat="false" ht="15" hidden="false" customHeight="false" outlineLevel="0" collapsed="false">
      <c r="A393" s="7" t="n">
        <v>45909</v>
      </c>
      <c r="B393" s="8" t="s">
        <v>1379</v>
      </c>
      <c r="C393" s="8" t="s">
        <v>1380</v>
      </c>
      <c r="D393" s="8" t="s">
        <v>1377</v>
      </c>
      <c r="E393" s="8" t="n">
        <v>9050</v>
      </c>
      <c r="F393" s="8" t="s">
        <v>131</v>
      </c>
      <c r="G393" s="8" t="s">
        <v>132</v>
      </c>
      <c r="H393" s="3" t="str">
        <f aca="false">IF(G393="OK","YES","no")</f>
        <v>YES</v>
      </c>
      <c r="I393" s="9" t="b">
        <f aca="false">COUNTIF('Roll Schedule'!$A$47:$A$790,A393)&gt;0</f>
        <v>1</v>
      </c>
      <c r="J393" s="8" t="s">
        <v>151</v>
      </c>
      <c r="K393" s="8" t="s">
        <v>1381</v>
      </c>
    </row>
    <row r="394" customFormat="false" ht="15" hidden="false" customHeight="false" outlineLevel="0" collapsed="false">
      <c r="A394" s="7" t="n">
        <v>45910</v>
      </c>
      <c r="B394" s="8" t="s">
        <v>1382</v>
      </c>
      <c r="C394" s="8" t="s">
        <v>1383</v>
      </c>
      <c r="D394" s="8" t="s">
        <v>1377</v>
      </c>
      <c r="E394" s="8" t="n">
        <v>9050</v>
      </c>
      <c r="F394" s="8" t="s">
        <v>131</v>
      </c>
      <c r="G394" s="8" t="s">
        <v>132</v>
      </c>
      <c r="H394" s="3" t="str">
        <f aca="false">IF(G394="OK","YES","no")</f>
        <v>YES</v>
      </c>
      <c r="I394" s="9" t="b">
        <f aca="false">COUNTIF('Roll Schedule'!$A$47:$A$790,A394)&gt;0</f>
        <v>1</v>
      </c>
      <c r="J394" s="8" t="s">
        <v>151</v>
      </c>
      <c r="K394" s="8" t="s">
        <v>1384</v>
      </c>
    </row>
    <row r="395" customFormat="false" ht="15" hidden="false" customHeight="false" outlineLevel="0" collapsed="false">
      <c r="A395" s="7" t="n">
        <v>45911</v>
      </c>
      <c r="B395" s="8" t="s">
        <v>1385</v>
      </c>
      <c r="C395" s="8" t="s">
        <v>1386</v>
      </c>
      <c r="D395" s="8" t="s">
        <v>1387</v>
      </c>
      <c r="E395" s="8" t="n">
        <v>8950</v>
      </c>
      <c r="F395" s="8" t="s">
        <v>131</v>
      </c>
      <c r="G395" s="8" t="s">
        <v>132</v>
      </c>
      <c r="H395" s="3" t="str">
        <f aca="false">IF(G395="OK","YES","no")</f>
        <v>YES</v>
      </c>
      <c r="I395" s="9" t="b">
        <f aca="false">COUNTIF('Roll Schedule'!$A$47:$A$790,A395)&gt;0</f>
        <v>1</v>
      </c>
      <c r="J395" s="8" t="s">
        <v>151</v>
      </c>
      <c r="K395" s="8" t="s">
        <v>1388</v>
      </c>
    </row>
    <row r="396" customFormat="false" ht="15" hidden="false" customHeight="false" outlineLevel="0" collapsed="false">
      <c r="A396" s="7" t="n">
        <v>45912</v>
      </c>
      <c r="B396" s="8" t="s">
        <v>1389</v>
      </c>
      <c r="C396" s="8" t="s">
        <v>1390</v>
      </c>
      <c r="D396" s="8" t="s">
        <v>1391</v>
      </c>
      <c r="E396" s="8" t="n">
        <v>8900</v>
      </c>
      <c r="F396" s="8" t="s">
        <v>131</v>
      </c>
      <c r="G396" s="8" t="s">
        <v>132</v>
      </c>
      <c r="H396" s="3" t="str">
        <f aca="false">IF(G396="OK","YES","no")</f>
        <v>YES</v>
      </c>
      <c r="I396" s="9" t="b">
        <f aca="false">COUNTIF('Roll Schedule'!$A$47:$A$790,A396)&gt;0</f>
        <v>1</v>
      </c>
      <c r="J396" s="8" t="s">
        <v>151</v>
      </c>
      <c r="K396" s="8" t="s">
        <v>1392</v>
      </c>
    </row>
    <row r="397" customFormat="false" ht="15" hidden="false" customHeight="false" outlineLevel="0" collapsed="false">
      <c r="A397" s="7" t="n">
        <v>45915</v>
      </c>
      <c r="B397" s="8" t="s">
        <v>1393</v>
      </c>
      <c r="C397" s="8" t="s">
        <v>1394</v>
      </c>
      <c r="D397" s="8" t="s">
        <v>1395</v>
      </c>
      <c r="E397" s="8" t="n">
        <v>8800</v>
      </c>
      <c r="F397" s="8" t="s">
        <v>131</v>
      </c>
      <c r="G397" s="8" t="s">
        <v>132</v>
      </c>
      <c r="H397" s="3" t="str">
        <f aca="false">IF(G397="OK","YES","no")</f>
        <v>YES</v>
      </c>
      <c r="I397" s="9" t="b">
        <f aca="false">COUNTIF('Roll Schedule'!$A$47:$A$790,A397)&gt;0</f>
        <v>1</v>
      </c>
      <c r="J397" s="8" t="s">
        <v>151</v>
      </c>
      <c r="K397" s="8" t="s">
        <v>1396</v>
      </c>
    </row>
    <row r="398" customFormat="false" ht="15" hidden="false" customHeight="false" outlineLevel="0" collapsed="false">
      <c r="A398" s="7" t="n">
        <v>45916</v>
      </c>
      <c r="B398" s="8" t="s">
        <v>1397</v>
      </c>
      <c r="C398" s="8" t="s">
        <v>1398</v>
      </c>
      <c r="D398" s="8" t="s">
        <v>1399</v>
      </c>
      <c r="E398" s="8" t="n">
        <v>8775</v>
      </c>
      <c r="F398" s="8" t="s">
        <v>131</v>
      </c>
      <c r="G398" s="8" t="s">
        <v>132</v>
      </c>
      <c r="H398" s="3" t="str">
        <f aca="false">IF(G398="OK","YES","no")</f>
        <v>YES</v>
      </c>
      <c r="I398" s="9" t="b">
        <f aca="false">COUNTIF('Roll Schedule'!$A$47:$A$790,A398)&gt;0</f>
        <v>1</v>
      </c>
      <c r="J398" s="8" t="s">
        <v>151</v>
      </c>
      <c r="K398" s="8" t="s">
        <v>1400</v>
      </c>
    </row>
    <row r="399" customFormat="false" ht="15" hidden="false" customHeight="false" outlineLevel="0" collapsed="false">
      <c r="A399" s="7" t="n">
        <v>45917</v>
      </c>
      <c r="B399" s="8" t="s">
        <v>1401</v>
      </c>
      <c r="C399" s="8" t="s">
        <v>1402</v>
      </c>
      <c r="D399" s="8" t="s">
        <v>1395</v>
      </c>
      <c r="E399" s="8" t="n">
        <v>8800</v>
      </c>
      <c r="F399" s="8" t="s">
        <v>131</v>
      </c>
      <c r="G399" s="8" t="s">
        <v>132</v>
      </c>
      <c r="H399" s="3" t="str">
        <f aca="false">IF(G399="OK","YES","no")</f>
        <v>YES</v>
      </c>
      <c r="I399" s="9" t="b">
        <f aca="false">COUNTIF('Roll Schedule'!$A$47:$A$790,A399)&gt;0</f>
        <v>1</v>
      </c>
      <c r="J399" s="8" t="s">
        <v>151</v>
      </c>
      <c r="K399" s="8" t="s">
        <v>1403</v>
      </c>
    </row>
    <row r="400" customFormat="false" ht="15" hidden="false" customHeight="false" outlineLevel="0" collapsed="false">
      <c r="A400" s="7" t="n">
        <v>45918</v>
      </c>
      <c r="B400" s="8" t="s">
        <v>1404</v>
      </c>
      <c r="C400" s="8" t="s">
        <v>1405</v>
      </c>
      <c r="D400" s="8" t="s">
        <v>1406</v>
      </c>
      <c r="E400" s="8" t="n">
        <v>8750</v>
      </c>
      <c r="F400" s="8" t="s">
        <v>131</v>
      </c>
      <c r="G400" s="8" t="s">
        <v>132</v>
      </c>
      <c r="H400" s="3" t="str">
        <f aca="false">IF(G400="OK","YES","no")</f>
        <v>YES</v>
      </c>
      <c r="I400" s="9" t="b">
        <f aca="false">COUNTIF('Roll Schedule'!$A$47:$A$790,A400)&gt;0</f>
        <v>1</v>
      </c>
      <c r="J400" s="8" t="s">
        <v>151</v>
      </c>
      <c r="K400" s="8" t="s">
        <v>1407</v>
      </c>
    </row>
    <row r="401" customFormat="false" ht="15" hidden="false" customHeight="false" outlineLevel="0" collapsed="false">
      <c r="A401" s="7" t="n">
        <v>45919</v>
      </c>
      <c r="B401" s="8" t="s">
        <v>1408</v>
      </c>
      <c r="C401" s="8" t="s">
        <v>1409</v>
      </c>
      <c r="D401" s="8" t="s">
        <v>1410</v>
      </c>
      <c r="E401" s="8" t="n">
        <v>8700</v>
      </c>
      <c r="F401" s="8" t="s">
        <v>131</v>
      </c>
      <c r="G401" s="8" t="s">
        <v>132</v>
      </c>
      <c r="H401" s="3" t="str">
        <f aca="false">IF(G401="OK","YES","no")</f>
        <v>YES</v>
      </c>
      <c r="I401" s="9" t="b">
        <f aca="false">COUNTIF('Roll Schedule'!$A$47:$A$790,A401)&gt;0</f>
        <v>1</v>
      </c>
      <c r="J401" s="8" t="s">
        <v>151</v>
      </c>
      <c r="K401" s="8" t="s">
        <v>1411</v>
      </c>
    </row>
    <row r="402" customFormat="false" ht="15" hidden="false" customHeight="false" outlineLevel="0" collapsed="false">
      <c r="A402" s="7" t="n">
        <v>45922</v>
      </c>
      <c r="B402" s="8" t="s">
        <v>1412</v>
      </c>
      <c r="C402" s="8" t="s">
        <v>1413</v>
      </c>
      <c r="D402" s="8" t="s">
        <v>1364</v>
      </c>
      <c r="E402" s="8" t="n">
        <v>8650</v>
      </c>
      <c r="F402" s="8" t="s">
        <v>131</v>
      </c>
      <c r="G402" s="8" t="s">
        <v>132</v>
      </c>
      <c r="H402" s="3" t="str">
        <f aca="false">IF(G402="OK","YES","no")</f>
        <v>YES</v>
      </c>
      <c r="I402" s="9" t="b">
        <f aca="false">COUNTIF('Roll Schedule'!$A$47:$A$790,A402)&gt;0</f>
        <v>1</v>
      </c>
      <c r="J402" s="8" t="s">
        <v>151</v>
      </c>
      <c r="K402" s="8" t="s">
        <v>1414</v>
      </c>
    </row>
    <row r="403" customFormat="false" ht="15" hidden="false" customHeight="false" outlineLevel="0" collapsed="false">
      <c r="A403" s="7" t="n">
        <v>45923</v>
      </c>
      <c r="B403" s="8" t="s">
        <v>1415</v>
      </c>
      <c r="C403" s="8" t="s">
        <v>1416</v>
      </c>
      <c r="D403" s="8" t="s">
        <v>1417</v>
      </c>
      <c r="E403" s="8" t="n">
        <v>8600</v>
      </c>
      <c r="F403" s="8" t="s">
        <v>131</v>
      </c>
      <c r="G403" s="8" t="s">
        <v>132</v>
      </c>
      <c r="H403" s="3" t="str">
        <f aca="false">IF(G403="OK","YES","no")</f>
        <v>YES</v>
      </c>
      <c r="I403" s="9" t="b">
        <f aca="false">COUNTIF('Roll Schedule'!$A$47:$A$790,A403)&gt;0</f>
        <v>1</v>
      </c>
      <c r="J403" s="8" t="s">
        <v>151</v>
      </c>
      <c r="K403" s="8" t="s">
        <v>1418</v>
      </c>
    </row>
    <row r="404" customFormat="false" ht="15" hidden="false" customHeight="false" outlineLevel="0" collapsed="false">
      <c r="A404" s="7" t="n">
        <v>45925</v>
      </c>
      <c r="B404" s="8" t="s">
        <v>1419</v>
      </c>
      <c r="C404" s="8" t="s">
        <v>1420</v>
      </c>
      <c r="D404" s="8" t="s">
        <v>1421</v>
      </c>
      <c r="E404" s="8" t="n">
        <v>8475</v>
      </c>
      <c r="F404" s="8" t="s">
        <v>131</v>
      </c>
      <c r="G404" s="8" t="s">
        <v>132</v>
      </c>
      <c r="H404" s="3" t="str">
        <f aca="false">IF(G404="OK","YES","no")</f>
        <v>YES</v>
      </c>
      <c r="I404" s="9" t="b">
        <f aca="false">COUNTIF('Roll Schedule'!$A$47:$A$790,A404)&gt;0</f>
        <v>1</v>
      </c>
      <c r="J404" s="8" t="s">
        <v>151</v>
      </c>
      <c r="K404" s="8" t="s">
        <v>1422</v>
      </c>
    </row>
    <row r="405" customFormat="false" ht="15" hidden="false" customHeight="false" outlineLevel="0" collapsed="false">
      <c r="A405" s="7" t="n">
        <v>45926</v>
      </c>
      <c r="B405" s="8" t="s">
        <v>1423</v>
      </c>
      <c r="C405" s="8" t="s">
        <v>1424</v>
      </c>
      <c r="D405" s="8" t="s">
        <v>1421</v>
      </c>
      <c r="E405" s="8" t="n">
        <v>8475</v>
      </c>
      <c r="F405" s="8" t="s">
        <v>131</v>
      </c>
      <c r="G405" s="8" t="s">
        <v>132</v>
      </c>
      <c r="H405" s="3" t="str">
        <f aca="false">IF(G405="OK","YES","no")</f>
        <v>YES</v>
      </c>
      <c r="I405" s="9" t="b">
        <f aca="false">COUNTIF('Roll Schedule'!$A$47:$A$790,A405)&gt;0</f>
        <v>1</v>
      </c>
      <c r="J405" s="8" t="s">
        <v>151</v>
      </c>
      <c r="K405" s="8" t="s">
        <v>1425</v>
      </c>
    </row>
    <row r="406" customFormat="false" ht="15" hidden="false" customHeight="false" outlineLevel="0" collapsed="false">
      <c r="A406" s="7" t="n">
        <v>45930</v>
      </c>
      <c r="B406" s="8" t="s">
        <v>1426</v>
      </c>
      <c r="C406" s="8" t="s">
        <v>1427</v>
      </c>
      <c r="D406" s="8" t="s">
        <v>1428</v>
      </c>
      <c r="E406" s="8" t="n">
        <v>8450</v>
      </c>
      <c r="F406" s="8" t="s">
        <v>131</v>
      </c>
      <c r="G406" s="8" t="s">
        <v>132</v>
      </c>
      <c r="H406" s="3" t="str">
        <f aca="false">IF(G406="OK","YES","no")</f>
        <v>YES</v>
      </c>
      <c r="I406" s="9" t="b">
        <f aca="false">COUNTIF('Roll Schedule'!$A$47:$A$790,A406)&gt;0</f>
        <v>1</v>
      </c>
      <c r="J406" s="8" t="s">
        <v>151</v>
      </c>
      <c r="K406" s="8" t="s">
        <v>1429</v>
      </c>
    </row>
    <row r="407" customFormat="false" ht="15" hidden="false" customHeight="false" outlineLevel="0" collapsed="false">
      <c r="A407" s="7" t="n">
        <v>45931</v>
      </c>
      <c r="B407" s="8" t="s">
        <v>1430</v>
      </c>
      <c r="C407" s="8" t="s">
        <v>1431</v>
      </c>
      <c r="D407" s="8" t="s">
        <v>1428</v>
      </c>
      <c r="E407" s="8" t="n">
        <v>8450</v>
      </c>
      <c r="F407" s="8" t="s">
        <v>131</v>
      </c>
      <c r="G407" s="8" t="s">
        <v>132</v>
      </c>
      <c r="H407" s="3" t="str">
        <f aca="false">IF(G407="OK","YES","no")</f>
        <v>YES</v>
      </c>
      <c r="I407" s="9" t="b">
        <f aca="false">COUNTIF('Roll Schedule'!$A$47:$A$790,A407)&gt;0</f>
        <v>1</v>
      </c>
      <c r="J407" s="8" t="s">
        <v>151</v>
      </c>
      <c r="K407" s="8" t="s">
        <v>1432</v>
      </c>
    </row>
    <row r="408" customFormat="false" ht="15" hidden="false" customHeight="false" outlineLevel="0" collapsed="false">
      <c r="A408" s="7" t="n">
        <v>45933</v>
      </c>
      <c r="B408" s="8" t="s">
        <v>1433</v>
      </c>
      <c r="C408" s="8" t="s">
        <v>1434</v>
      </c>
      <c r="D408" s="8" t="s">
        <v>1428</v>
      </c>
      <c r="E408" s="8" t="n">
        <v>8450</v>
      </c>
      <c r="F408" s="8" t="s">
        <v>131</v>
      </c>
      <c r="G408" s="8" t="s">
        <v>132</v>
      </c>
      <c r="H408" s="3" t="str">
        <f aca="false">IF(G408="OK","YES","no")</f>
        <v>YES</v>
      </c>
      <c r="I408" s="9" t="b">
        <f aca="false">COUNTIF('Roll Schedule'!$A$47:$A$790,A408)&gt;0</f>
        <v>1</v>
      </c>
      <c r="J408" s="8" t="s">
        <v>151</v>
      </c>
      <c r="K408" s="8" t="s">
        <v>1435</v>
      </c>
    </row>
    <row r="409" customFormat="false" ht="15" hidden="false" customHeight="false" outlineLevel="0" collapsed="false">
      <c r="A409" s="7" t="n">
        <v>45936</v>
      </c>
      <c r="B409" s="8" t="s">
        <v>1436</v>
      </c>
      <c r="C409" s="8" t="s">
        <v>1437</v>
      </c>
      <c r="D409" s="8" t="s">
        <v>1360</v>
      </c>
      <c r="E409" s="8" t="n">
        <v>8500</v>
      </c>
      <c r="F409" s="8" t="s">
        <v>131</v>
      </c>
      <c r="G409" s="8" t="s">
        <v>132</v>
      </c>
      <c r="H409" s="3" t="str">
        <f aca="false">IF(G409="OK","YES","no")</f>
        <v>YES</v>
      </c>
      <c r="I409" s="9" t="b">
        <f aca="false">COUNTIF('Roll Schedule'!$A$47:$A$790,A409)&gt;0</f>
        <v>1</v>
      </c>
      <c r="J409" s="8" t="s">
        <v>151</v>
      </c>
      <c r="K409" s="8" t="s">
        <v>1438</v>
      </c>
    </row>
    <row r="410" customFormat="false" ht="15" hidden="false" customHeight="false" outlineLevel="0" collapsed="false">
      <c r="A410" s="7" t="n">
        <v>45937</v>
      </c>
      <c r="B410" s="8" t="s">
        <v>1439</v>
      </c>
      <c r="C410" s="8" t="s">
        <v>1440</v>
      </c>
      <c r="D410" s="8" t="s">
        <v>1360</v>
      </c>
      <c r="E410" s="8" t="n">
        <v>8500</v>
      </c>
      <c r="F410" s="8" t="s">
        <v>131</v>
      </c>
      <c r="G410" s="8" t="s">
        <v>132</v>
      </c>
      <c r="H410" s="3" t="str">
        <f aca="false">IF(G410="OK","YES","no")</f>
        <v>YES</v>
      </c>
      <c r="I410" s="9" t="b">
        <f aca="false">COUNTIF('Roll Schedule'!$A$47:$A$790,A410)&gt;0</f>
        <v>1</v>
      </c>
      <c r="J410" s="8" t="s">
        <v>151</v>
      </c>
      <c r="K410" s="8" t="s">
        <v>1441</v>
      </c>
    </row>
    <row r="411" customFormat="false" ht="15" hidden="false" customHeight="false" outlineLevel="0" collapsed="false">
      <c r="A411" s="7" t="n">
        <v>45938</v>
      </c>
      <c r="B411" s="8" t="s">
        <v>1442</v>
      </c>
      <c r="C411" s="8" t="s">
        <v>1443</v>
      </c>
      <c r="D411" s="8" t="s">
        <v>1360</v>
      </c>
      <c r="E411" s="8" t="n">
        <v>8500</v>
      </c>
      <c r="F411" s="8" t="s">
        <v>131</v>
      </c>
      <c r="G411" s="8" t="s">
        <v>132</v>
      </c>
      <c r="H411" s="3" t="str">
        <f aca="false">IF(G411="OK","YES","no")</f>
        <v>YES</v>
      </c>
      <c r="I411" s="9" t="b">
        <f aca="false">COUNTIF('Roll Schedule'!$A$47:$A$790,A411)&gt;0</f>
        <v>1</v>
      </c>
      <c r="J411" s="8" t="s">
        <v>151</v>
      </c>
      <c r="K411" s="8" t="s">
        <v>1444</v>
      </c>
    </row>
    <row r="412" customFormat="false" ht="15" hidden="false" customHeight="false" outlineLevel="0" collapsed="false">
      <c r="A412" s="7" t="n">
        <v>45939</v>
      </c>
      <c r="B412" s="8" t="s">
        <v>1445</v>
      </c>
      <c r="C412" s="8" t="s">
        <v>1446</v>
      </c>
      <c r="D412" s="8" t="s">
        <v>1428</v>
      </c>
      <c r="E412" s="8" t="n">
        <v>8450</v>
      </c>
      <c r="F412" s="8" t="s">
        <v>131</v>
      </c>
      <c r="G412" s="8" t="s">
        <v>132</v>
      </c>
      <c r="H412" s="3" t="str">
        <f aca="false">IF(G412="OK","YES","no")</f>
        <v>YES</v>
      </c>
      <c r="I412" s="9" t="b">
        <f aca="false">COUNTIF('Roll Schedule'!$A$47:$A$790,A412)&gt;0</f>
        <v>1</v>
      </c>
      <c r="J412" s="8" t="s">
        <v>151</v>
      </c>
      <c r="K412" s="8" t="s">
        <v>1447</v>
      </c>
    </row>
    <row r="413" customFormat="false" ht="15" hidden="false" customHeight="false" outlineLevel="0" collapsed="false">
      <c r="A413" s="7" t="n">
        <v>45940</v>
      </c>
      <c r="B413" s="8" t="s">
        <v>1448</v>
      </c>
      <c r="C413" s="8" t="s">
        <v>1449</v>
      </c>
      <c r="D413" s="8" t="s">
        <v>1335</v>
      </c>
      <c r="E413" s="8" t="n">
        <v>8000</v>
      </c>
      <c r="F413" s="8" t="s">
        <v>131</v>
      </c>
      <c r="G413" s="8" t="s">
        <v>132</v>
      </c>
      <c r="H413" s="3" t="str">
        <f aca="false">IF(G413="OK","YES","no")</f>
        <v>YES</v>
      </c>
      <c r="I413" s="9" t="b">
        <f aca="false">COUNTIF('Roll Schedule'!$A$47:$A$790,A413)&gt;0</f>
        <v>1</v>
      </c>
      <c r="J413" s="8" t="s">
        <v>151</v>
      </c>
      <c r="K413" s="8" t="s">
        <v>1450</v>
      </c>
    </row>
    <row r="414" customFormat="false" ht="15" hidden="false" customHeight="false" outlineLevel="0" collapsed="false">
      <c r="A414" s="7" t="n">
        <v>45943</v>
      </c>
      <c r="B414" s="8" t="s">
        <v>1451</v>
      </c>
      <c r="C414" s="8" t="s">
        <v>1452</v>
      </c>
      <c r="D414" s="8" t="s">
        <v>1453</v>
      </c>
      <c r="E414" s="8" t="n">
        <v>8350</v>
      </c>
      <c r="F414" s="8" t="s">
        <v>131</v>
      </c>
      <c r="G414" s="8" t="s">
        <v>132</v>
      </c>
      <c r="H414" s="3" t="str">
        <f aca="false">IF(G414="OK","YES","no")</f>
        <v>YES</v>
      </c>
      <c r="I414" s="9" t="b">
        <f aca="false">COUNTIF('Roll Schedule'!$A$47:$A$790,A414)&gt;0</f>
        <v>1</v>
      </c>
      <c r="J414" s="8" t="s">
        <v>151</v>
      </c>
      <c r="K414" s="8" t="s">
        <v>1454</v>
      </c>
    </row>
    <row r="415" customFormat="false" ht="15" hidden="false" customHeight="false" outlineLevel="0" collapsed="false">
      <c r="A415" s="7" t="n">
        <v>45944</v>
      </c>
      <c r="B415" s="8" t="s">
        <v>1455</v>
      </c>
      <c r="C415" s="8" t="s">
        <v>1456</v>
      </c>
      <c r="D415" s="8" t="s">
        <v>1428</v>
      </c>
      <c r="E415" s="8" t="n">
        <v>8450</v>
      </c>
      <c r="F415" s="8" t="s">
        <v>131</v>
      </c>
      <c r="G415" s="8" t="s">
        <v>132</v>
      </c>
      <c r="H415" s="3" t="str">
        <f aca="false">IF(G415="OK","YES","no")</f>
        <v>YES</v>
      </c>
      <c r="I415" s="9" t="b">
        <f aca="false">COUNTIF('Roll Schedule'!$A$47:$A$790,A415)&gt;0</f>
        <v>1</v>
      </c>
      <c r="J415" s="8" t="s">
        <v>151</v>
      </c>
      <c r="K415" s="8" t="s">
        <v>1457</v>
      </c>
    </row>
    <row r="416" customFormat="false" ht="15" hidden="false" customHeight="false" outlineLevel="0" collapsed="false">
      <c r="A416" s="7" t="n">
        <v>45945</v>
      </c>
      <c r="B416" s="8" t="s">
        <v>1458</v>
      </c>
      <c r="C416" s="8" t="s">
        <v>1459</v>
      </c>
      <c r="D416" s="8" t="s">
        <v>1460</v>
      </c>
      <c r="E416" s="8" t="n">
        <v>8200</v>
      </c>
      <c r="F416" s="8" t="s">
        <v>131</v>
      </c>
      <c r="G416" s="8" t="s">
        <v>132</v>
      </c>
      <c r="H416" s="3" t="str">
        <f aca="false">IF(G416="OK","YES","no")</f>
        <v>YES</v>
      </c>
      <c r="I416" s="9" t="b">
        <f aca="false">COUNTIF('Roll Schedule'!$A$47:$A$790,A416)&gt;0</f>
        <v>1</v>
      </c>
      <c r="J416" s="8" t="s">
        <v>151</v>
      </c>
      <c r="K416" s="8" t="s">
        <v>1461</v>
      </c>
    </row>
    <row r="417" customFormat="false" ht="15" hidden="false" customHeight="false" outlineLevel="0" collapsed="false">
      <c r="A417" s="7" t="n">
        <v>45946</v>
      </c>
      <c r="B417" s="8" t="s">
        <v>1462</v>
      </c>
      <c r="C417" s="8" t="s">
        <v>1463</v>
      </c>
      <c r="D417" s="8" t="s">
        <v>1464</v>
      </c>
      <c r="E417" s="8" t="n">
        <v>8400</v>
      </c>
      <c r="F417" s="8" t="s">
        <v>131</v>
      </c>
      <c r="G417" s="8" t="s">
        <v>132</v>
      </c>
      <c r="H417" s="3" t="str">
        <f aca="false">IF(G417="OK","YES","no")</f>
        <v>YES</v>
      </c>
      <c r="I417" s="9" t="b">
        <f aca="false">COUNTIF('Roll Schedule'!$A$47:$A$790,A417)&gt;0</f>
        <v>1</v>
      </c>
      <c r="J417" s="8" t="s">
        <v>151</v>
      </c>
      <c r="K417" s="8" t="s">
        <v>1465</v>
      </c>
    </row>
    <row r="418" customFormat="false" ht="15" hidden="false" customHeight="false" outlineLevel="0" collapsed="false">
      <c r="A418" s="7" t="n">
        <v>45947</v>
      </c>
      <c r="B418" s="8" t="s">
        <v>1466</v>
      </c>
      <c r="C418" s="8" t="s">
        <v>1467</v>
      </c>
      <c r="D418" s="8" t="s">
        <v>1468</v>
      </c>
      <c r="E418" s="8" t="n">
        <v>8550</v>
      </c>
      <c r="F418" s="8" t="s">
        <v>131</v>
      </c>
      <c r="G418" s="8" t="s">
        <v>132</v>
      </c>
      <c r="H418" s="3" t="str">
        <f aca="false">IF(G418="OK","YES","no")</f>
        <v>YES</v>
      </c>
      <c r="I418" s="9" t="b">
        <f aca="false">COUNTIF('Roll Schedule'!$A$47:$A$790,A418)&gt;0</f>
        <v>1</v>
      </c>
      <c r="J418" s="8" t="s">
        <v>151</v>
      </c>
      <c r="K418" s="8" t="s">
        <v>1469</v>
      </c>
    </row>
    <row r="419" customFormat="false" ht="15" hidden="false" customHeight="false" outlineLevel="0" collapsed="false">
      <c r="A419" s="7" t="n">
        <v>45950</v>
      </c>
      <c r="B419" s="8" t="s">
        <v>1470</v>
      </c>
      <c r="C419" s="8" t="s">
        <v>1471</v>
      </c>
      <c r="D419" s="8" t="s">
        <v>869</v>
      </c>
      <c r="E419" s="8"/>
      <c r="F419" s="8" t="s">
        <v>131</v>
      </c>
      <c r="G419" s="8" t="s">
        <v>245</v>
      </c>
      <c r="H419" s="3" t="str">
        <f aca="false">IF(G419="OK","YES","no")</f>
        <v>no</v>
      </c>
      <c r="I419" s="9" t="b">
        <f aca="false">COUNTIF('Roll Schedule'!$A$47:$A$790,A419)&gt;0</f>
        <v>1</v>
      </c>
      <c r="J419" s="8" t="s">
        <v>151</v>
      </c>
      <c r="K419" s="8" t="s">
        <v>1472</v>
      </c>
    </row>
    <row r="420" customFormat="false" ht="15" hidden="false" customHeight="false" outlineLevel="0" collapsed="false">
      <c r="A420" s="7" t="n">
        <v>45953</v>
      </c>
      <c r="B420" s="8" t="s">
        <v>1473</v>
      </c>
      <c r="C420" s="8" t="s">
        <v>1474</v>
      </c>
      <c r="D420" s="8" t="s">
        <v>869</v>
      </c>
      <c r="E420" s="8"/>
      <c r="F420" s="8" t="s">
        <v>131</v>
      </c>
      <c r="G420" s="8" t="s">
        <v>245</v>
      </c>
      <c r="H420" s="3" t="str">
        <f aca="false">IF(G420="OK","YES","no")</f>
        <v>no</v>
      </c>
      <c r="I420" s="9" t="b">
        <f aca="false">COUNTIF('Roll Schedule'!$A$47:$A$790,A420)&gt;0</f>
        <v>1</v>
      </c>
      <c r="J420" s="8" t="s">
        <v>151</v>
      </c>
      <c r="K420" s="8" t="s">
        <v>1475</v>
      </c>
    </row>
    <row r="421" customFormat="false" ht="15" hidden="false" customHeight="false" outlineLevel="0" collapsed="false">
      <c r="A421" s="7" t="n">
        <v>45954</v>
      </c>
      <c r="B421" s="8" t="s">
        <v>1476</v>
      </c>
      <c r="C421" s="8" t="s">
        <v>1477</v>
      </c>
      <c r="D421" s="8" t="s">
        <v>869</v>
      </c>
      <c r="E421" s="8"/>
      <c r="F421" s="8" t="s">
        <v>131</v>
      </c>
      <c r="G421" s="8" t="s">
        <v>245</v>
      </c>
      <c r="H421" s="3" t="str">
        <f aca="false">IF(G421="OK","YES","no")</f>
        <v>no</v>
      </c>
      <c r="I421" s="9" t="b">
        <f aca="false">COUNTIF('Roll Schedule'!$A$47:$A$790,A421)&gt;0</f>
        <v>1</v>
      </c>
      <c r="J421" s="8" t="s">
        <v>151</v>
      </c>
      <c r="K421" s="8" t="s">
        <v>1478</v>
      </c>
    </row>
    <row r="422" customFormat="false" ht="15" hidden="false" customHeight="false" outlineLevel="0" collapsed="false">
      <c r="A422" s="7" t="n">
        <v>45957</v>
      </c>
      <c r="B422" s="8" t="s">
        <v>1479</v>
      </c>
      <c r="C422" s="8" t="s">
        <v>1480</v>
      </c>
      <c r="D422" s="8" t="s">
        <v>1360</v>
      </c>
      <c r="E422" s="8" t="n">
        <v>8500</v>
      </c>
      <c r="F422" s="8" t="s">
        <v>131</v>
      </c>
      <c r="G422" s="8" t="s">
        <v>132</v>
      </c>
      <c r="H422" s="3" t="str">
        <f aca="false">IF(G422="OK","YES","no")</f>
        <v>YES</v>
      </c>
      <c r="I422" s="9" t="b">
        <f aca="false">COUNTIF('Roll Schedule'!$A$47:$A$790,A422)&gt;0</f>
        <v>1</v>
      </c>
      <c r="J422" s="8" t="s">
        <v>151</v>
      </c>
      <c r="K422" s="8" t="s">
        <v>1481</v>
      </c>
    </row>
    <row r="423" customFormat="false" ht="15" hidden="false" customHeight="false" outlineLevel="0" collapsed="false">
      <c r="A423" s="7" t="n">
        <v>45958</v>
      </c>
      <c r="B423" s="8" t="s">
        <v>1482</v>
      </c>
      <c r="C423" s="8" t="s">
        <v>1483</v>
      </c>
      <c r="D423" s="8" t="s">
        <v>1428</v>
      </c>
      <c r="E423" s="8" t="n">
        <v>8450</v>
      </c>
      <c r="F423" s="8" t="s">
        <v>131</v>
      </c>
      <c r="G423" s="8" t="s">
        <v>132</v>
      </c>
      <c r="H423" s="3" t="str">
        <f aca="false">IF(G423="OK","YES","no")</f>
        <v>YES</v>
      </c>
      <c r="I423" s="9" t="b">
        <f aca="false">COUNTIF('Roll Schedule'!$A$47:$A$790,A423)&gt;0</f>
        <v>1</v>
      </c>
      <c r="J423" s="8" t="s">
        <v>151</v>
      </c>
      <c r="K423" s="8" t="s">
        <v>1484</v>
      </c>
    </row>
    <row r="424" customFormat="false" ht="15" hidden="false" customHeight="false" outlineLevel="0" collapsed="false">
      <c r="A424" s="7" t="n">
        <v>45959</v>
      </c>
      <c r="B424" s="8" t="s">
        <v>1485</v>
      </c>
      <c r="C424" s="8" t="s">
        <v>1486</v>
      </c>
      <c r="D424" s="8" t="s">
        <v>1428</v>
      </c>
      <c r="E424" s="8" t="n">
        <v>8450</v>
      </c>
      <c r="F424" s="8" t="s">
        <v>131</v>
      </c>
      <c r="G424" s="8" t="s">
        <v>132</v>
      </c>
      <c r="H424" s="3" t="str">
        <f aca="false">IF(G424="OK","YES","no")</f>
        <v>YES</v>
      </c>
      <c r="I424" s="9" t="b">
        <f aca="false">COUNTIF('Roll Schedule'!$A$47:$A$790,A424)&gt;0</f>
        <v>1</v>
      </c>
      <c r="J424" s="8" t="s">
        <v>151</v>
      </c>
      <c r="K424" s="8" t="s">
        <v>1487</v>
      </c>
    </row>
    <row r="425" customFormat="false" ht="15" hidden="false" customHeight="false" outlineLevel="0" collapsed="false">
      <c r="A425" s="7" t="n">
        <v>45960</v>
      </c>
      <c r="B425" s="8" t="s">
        <v>1488</v>
      </c>
      <c r="C425" s="8" t="s">
        <v>1489</v>
      </c>
      <c r="D425" s="8" t="s">
        <v>1428</v>
      </c>
      <c r="E425" s="8" t="n">
        <v>8450</v>
      </c>
      <c r="F425" s="8" t="s">
        <v>131</v>
      </c>
      <c r="G425" s="8" t="s">
        <v>132</v>
      </c>
      <c r="H425" s="3" t="str">
        <f aca="false">IF(G425="OK","YES","no")</f>
        <v>YES</v>
      </c>
      <c r="I425" s="9" t="b">
        <f aca="false">COUNTIF('Roll Schedule'!$A$47:$A$790,A425)&gt;0</f>
        <v>1</v>
      </c>
      <c r="J425" s="8" t="s">
        <v>151</v>
      </c>
      <c r="K425" s="8" t="s">
        <v>1490</v>
      </c>
    </row>
    <row r="426" customFormat="false" ht="15" hidden="false" customHeight="false" outlineLevel="0" collapsed="false">
      <c r="A426" s="7" t="n">
        <v>45961</v>
      </c>
      <c r="B426" s="8" t="s">
        <v>1491</v>
      </c>
      <c r="C426" s="8" t="s">
        <v>1492</v>
      </c>
      <c r="D426" s="8" t="s">
        <v>1360</v>
      </c>
      <c r="E426" s="8" t="n">
        <v>8500</v>
      </c>
      <c r="F426" s="8" t="s">
        <v>131</v>
      </c>
      <c r="G426" s="8" t="s">
        <v>132</v>
      </c>
      <c r="H426" s="3" t="str">
        <f aca="false">IF(G426="OK","YES","no")</f>
        <v>YES</v>
      </c>
      <c r="I426" s="9" t="b">
        <f aca="false">COUNTIF('Roll Schedule'!$A$47:$A$790,A426)&gt;0</f>
        <v>1</v>
      </c>
      <c r="J426" s="8" t="s">
        <v>151</v>
      </c>
      <c r="K426" s="8" t="s">
        <v>1493</v>
      </c>
    </row>
    <row r="427" customFormat="false" ht="15" hidden="false" customHeight="false" outlineLevel="0" collapsed="false">
      <c r="A427" s="7" t="n">
        <v>45964</v>
      </c>
      <c r="B427" s="8" t="s">
        <v>1494</v>
      </c>
      <c r="C427" s="8" t="s">
        <v>1495</v>
      </c>
      <c r="D427" s="8" t="s">
        <v>1360</v>
      </c>
      <c r="E427" s="8" t="n">
        <v>8500</v>
      </c>
      <c r="F427" s="8" t="s">
        <v>131</v>
      </c>
      <c r="G427" s="8" t="s">
        <v>132</v>
      </c>
      <c r="H427" s="3" t="str">
        <f aca="false">IF(G427="OK","YES","no")</f>
        <v>YES</v>
      </c>
      <c r="I427" s="9" t="b">
        <f aca="false">COUNTIF('Roll Schedule'!$A$47:$A$790,A427)&gt;0</f>
        <v>1</v>
      </c>
      <c r="J427" s="8" t="s">
        <v>151</v>
      </c>
      <c r="K427" s="8" t="s">
        <v>1496</v>
      </c>
    </row>
    <row r="428" customFormat="false" ht="15" hidden="false" customHeight="false" outlineLevel="0" collapsed="false">
      <c r="A428" s="7" t="n">
        <v>45965</v>
      </c>
      <c r="B428" s="8" t="s">
        <v>1497</v>
      </c>
      <c r="C428" s="8" t="s">
        <v>1498</v>
      </c>
      <c r="D428" s="8" t="s">
        <v>1468</v>
      </c>
      <c r="E428" s="8" t="n">
        <v>8550</v>
      </c>
      <c r="F428" s="8" t="s">
        <v>131</v>
      </c>
      <c r="G428" s="8" t="s">
        <v>132</v>
      </c>
      <c r="H428" s="3" t="str">
        <f aca="false">IF(G428="OK","YES","no")</f>
        <v>YES</v>
      </c>
      <c r="I428" s="9" t="b">
        <f aca="false">COUNTIF('Roll Schedule'!$A$47:$A$790,A428)&gt;0</f>
        <v>1</v>
      </c>
      <c r="J428" s="8" t="s">
        <v>151</v>
      </c>
      <c r="K428" s="8" t="s">
        <v>1499</v>
      </c>
    </row>
    <row r="429" customFormat="false" ht="15" hidden="false" customHeight="false" outlineLevel="0" collapsed="false">
      <c r="A429" s="7" t="n">
        <v>45966</v>
      </c>
      <c r="B429" s="8" t="s">
        <v>1500</v>
      </c>
      <c r="C429" s="8" t="s">
        <v>1501</v>
      </c>
      <c r="D429" s="8" t="s">
        <v>1468</v>
      </c>
      <c r="E429" s="8" t="n">
        <v>8550</v>
      </c>
      <c r="F429" s="8" t="s">
        <v>131</v>
      </c>
      <c r="G429" s="8" t="s">
        <v>132</v>
      </c>
      <c r="H429" s="3" t="str">
        <f aca="false">IF(G429="OK","YES","no")</f>
        <v>YES</v>
      </c>
      <c r="I429" s="9" t="b">
        <f aca="false">COUNTIF('Roll Schedule'!$A$47:$A$790,A429)&gt;0</f>
        <v>0</v>
      </c>
      <c r="J429" s="8" t="s">
        <v>151</v>
      </c>
      <c r="K429" s="8" t="s">
        <v>1502</v>
      </c>
    </row>
    <row r="430" customFormat="false" ht="15" hidden="false" customHeight="false" outlineLevel="0" collapsed="false">
      <c r="A430" s="7" t="n">
        <v>45967</v>
      </c>
      <c r="B430" s="8" t="s">
        <v>1503</v>
      </c>
      <c r="C430" s="8" t="s">
        <v>1504</v>
      </c>
      <c r="D430" s="8" t="s">
        <v>1364</v>
      </c>
      <c r="E430" s="8" t="n">
        <v>8650</v>
      </c>
      <c r="F430" s="8" t="s">
        <v>131</v>
      </c>
      <c r="G430" s="8" t="s">
        <v>132</v>
      </c>
      <c r="H430" s="3" t="str">
        <f aca="false">IF(G430="OK","YES","no")</f>
        <v>YES</v>
      </c>
      <c r="I430" s="9" t="b">
        <f aca="false">COUNTIF('Roll Schedule'!$A$47:$A$790,A430)&gt;0</f>
        <v>1</v>
      </c>
      <c r="J430" s="8" t="s">
        <v>151</v>
      </c>
      <c r="K430" s="8" t="s">
        <v>1505</v>
      </c>
    </row>
    <row r="431" customFormat="false" ht="15" hidden="false" customHeight="false" outlineLevel="0" collapsed="false">
      <c r="A431" s="7" t="n">
        <v>45968</v>
      </c>
      <c r="B431" s="8" t="s">
        <v>1506</v>
      </c>
      <c r="C431" s="8" t="s">
        <v>1507</v>
      </c>
      <c r="D431" s="8" t="s">
        <v>1417</v>
      </c>
      <c r="E431" s="8" t="n">
        <v>8600</v>
      </c>
      <c r="F431" s="8" t="s">
        <v>131</v>
      </c>
      <c r="G431" s="8" t="s">
        <v>132</v>
      </c>
      <c r="H431" s="3" t="str">
        <f aca="false">IF(G431="OK","YES","no")</f>
        <v>YES</v>
      </c>
      <c r="I431" s="9" t="b">
        <f aca="false">COUNTIF('Roll Schedule'!$A$47:$A$790,A431)&gt;0</f>
        <v>1</v>
      </c>
      <c r="J431" s="8" t="s">
        <v>151</v>
      </c>
      <c r="K431" s="8" t="s">
        <v>1508</v>
      </c>
    </row>
    <row r="432" customFormat="false" ht="15" hidden="false" customHeight="false" outlineLevel="0" collapsed="false">
      <c r="A432" s="7" t="n">
        <v>45971</v>
      </c>
      <c r="B432" s="8" t="s">
        <v>1509</v>
      </c>
      <c r="C432" s="8" t="s">
        <v>1510</v>
      </c>
      <c r="D432" s="8" t="s">
        <v>1364</v>
      </c>
      <c r="E432" s="8" t="n">
        <v>8650</v>
      </c>
      <c r="F432" s="8" t="s">
        <v>131</v>
      </c>
      <c r="G432" s="8" t="s">
        <v>132</v>
      </c>
      <c r="H432" s="3" t="str">
        <f aca="false">IF(G432="OK","YES","no")</f>
        <v>YES</v>
      </c>
      <c r="I432" s="9" t="b">
        <f aca="false">COUNTIF('Roll Schedule'!$A$47:$A$790,A432)&gt;0</f>
        <v>1</v>
      </c>
      <c r="J432" s="8" t="s">
        <v>151</v>
      </c>
      <c r="K432" s="8" t="s">
        <v>1511</v>
      </c>
    </row>
    <row r="433" customFormat="false" ht="15" hidden="false" customHeight="false" outlineLevel="0" collapsed="false">
      <c r="A433" s="7" t="n">
        <v>45972</v>
      </c>
      <c r="B433" s="8" t="s">
        <v>1512</v>
      </c>
      <c r="C433" s="8" t="s">
        <v>1513</v>
      </c>
      <c r="D433" s="8" t="s">
        <v>1410</v>
      </c>
      <c r="E433" s="8" t="n">
        <v>8700</v>
      </c>
      <c r="F433" s="8" t="s">
        <v>131</v>
      </c>
      <c r="G433" s="8" t="s">
        <v>132</v>
      </c>
      <c r="H433" s="3" t="str">
        <f aca="false">IF(G433="OK","YES","no")</f>
        <v>YES</v>
      </c>
      <c r="I433" s="9" t="b">
        <f aca="false">COUNTIF('Roll Schedule'!$A$47:$A$790,A433)&gt;0</f>
        <v>1</v>
      </c>
      <c r="J433" s="8" t="s">
        <v>151</v>
      </c>
      <c r="K433" s="8" t="s">
        <v>1514</v>
      </c>
    </row>
    <row r="434" customFormat="false" ht="15" hidden="false" customHeight="false" outlineLevel="0" collapsed="false">
      <c r="A434" s="7" t="n">
        <v>45973</v>
      </c>
      <c r="B434" s="8" t="s">
        <v>1515</v>
      </c>
      <c r="C434" s="8" t="s">
        <v>1516</v>
      </c>
      <c r="D434" s="8" t="s">
        <v>1517</v>
      </c>
      <c r="E434" s="8" t="n">
        <v>9000</v>
      </c>
      <c r="F434" s="8" t="s">
        <v>131</v>
      </c>
      <c r="G434" s="8" t="s">
        <v>132</v>
      </c>
      <c r="H434" s="3" t="str">
        <f aca="false">IF(G434="OK","YES","no")</f>
        <v>YES</v>
      </c>
      <c r="I434" s="9" t="b">
        <f aca="false">COUNTIF('Roll Schedule'!$A$47:$A$790,A434)&gt;0</f>
        <v>1</v>
      </c>
      <c r="J434" s="8" t="s">
        <v>151</v>
      </c>
      <c r="K434" s="8" t="s">
        <v>1518</v>
      </c>
    </row>
    <row r="435" customFormat="false" ht="15" hidden="false" customHeight="false" outlineLevel="0" collapsed="false">
      <c r="A435" s="7" t="n">
        <v>45974</v>
      </c>
      <c r="B435" s="8" t="s">
        <v>1519</v>
      </c>
      <c r="C435" s="8" t="s">
        <v>1520</v>
      </c>
      <c r="D435" s="8" t="s">
        <v>1517</v>
      </c>
      <c r="E435" s="8" t="n">
        <v>9000</v>
      </c>
      <c r="F435" s="8" t="s">
        <v>131</v>
      </c>
      <c r="G435" s="8" t="s">
        <v>132</v>
      </c>
      <c r="H435" s="3" t="str">
        <f aca="false">IF(G435="OK","YES","no")</f>
        <v>YES</v>
      </c>
      <c r="I435" s="9" t="b">
        <f aca="false">COUNTIF('Roll Schedule'!$A$47:$A$790,A435)&gt;0</f>
        <v>1</v>
      </c>
      <c r="J435" s="8" t="s">
        <v>151</v>
      </c>
      <c r="K435" s="8" t="s">
        <v>1521</v>
      </c>
    </row>
    <row r="436" customFormat="false" ht="15" hidden="false" customHeight="false" outlineLevel="0" collapsed="false">
      <c r="A436" s="7" t="n">
        <v>45975</v>
      </c>
      <c r="B436" s="8" t="s">
        <v>1522</v>
      </c>
      <c r="C436" s="8" t="s">
        <v>1523</v>
      </c>
      <c r="D436" s="8" t="s">
        <v>1364</v>
      </c>
      <c r="E436" s="8" t="n">
        <v>8650</v>
      </c>
      <c r="F436" s="8" t="s">
        <v>131</v>
      </c>
      <c r="G436" s="8" t="s">
        <v>132</v>
      </c>
      <c r="H436" s="3" t="str">
        <f aca="false">IF(G436="OK","YES","no")</f>
        <v>YES</v>
      </c>
      <c r="I436" s="9" t="b">
        <f aca="false">COUNTIF('Roll Schedule'!$A$47:$A$790,A436)&gt;0</f>
        <v>1</v>
      </c>
      <c r="J436" s="8" t="s">
        <v>151</v>
      </c>
      <c r="K436" s="8" t="s">
        <v>1524</v>
      </c>
    </row>
    <row r="437" customFormat="false" ht="15" hidden="false" customHeight="false" outlineLevel="0" collapsed="false">
      <c r="A437" s="7" t="n">
        <v>45978</v>
      </c>
      <c r="B437" s="8" t="s">
        <v>1525</v>
      </c>
      <c r="C437" s="8" t="s">
        <v>1526</v>
      </c>
      <c r="D437" s="8" t="s">
        <v>1468</v>
      </c>
      <c r="E437" s="8" t="n">
        <v>8550</v>
      </c>
      <c r="F437" s="8" t="s">
        <v>131</v>
      </c>
      <c r="G437" s="8" t="s">
        <v>132</v>
      </c>
      <c r="H437" s="3" t="str">
        <f aca="false">IF(G437="OK","YES","no")</f>
        <v>YES</v>
      </c>
      <c r="I437" s="9" t="b">
        <f aca="false">COUNTIF('Roll Schedule'!$A$47:$A$790,A437)&gt;0</f>
        <v>1</v>
      </c>
      <c r="J437" s="8" t="s">
        <v>151</v>
      </c>
      <c r="K437" s="8" t="s">
        <v>1527</v>
      </c>
    </row>
    <row r="438" customFormat="false" ht="15" hidden="false" customHeight="false" outlineLevel="0" collapsed="false">
      <c r="A438" s="7" t="n">
        <v>45979</v>
      </c>
      <c r="B438" s="8" t="s">
        <v>1528</v>
      </c>
      <c r="C438" s="8" t="s">
        <v>1529</v>
      </c>
      <c r="D438" s="8" t="s">
        <v>1468</v>
      </c>
      <c r="E438" s="8" t="n">
        <v>8550</v>
      </c>
      <c r="F438" s="8" t="s">
        <v>131</v>
      </c>
      <c r="G438" s="8" t="s">
        <v>132</v>
      </c>
      <c r="H438" s="3" t="str">
        <f aca="false">IF(G438="OK","YES","no")</f>
        <v>YES</v>
      </c>
      <c r="I438" s="9" t="b">
        <f aca="false">COUNTIF('Roll Schedule'!$A$47:$A$790,A438)&gt;0</f>
        <v>1</v>
      </c>
      <c r="J438" s="8" t="s">
        <v>151</v>
      </c>
      <c r="K438" s="8" t="s">
        <v>1530</v>
      </c>
    </row>
    <row r="439" customFormat="false" ht="15" hidden="false" customHeight="false" outlineLevel="0" collapsed="false">
      <c r="A439" s="7" t="n">
        <v>45980</v>
      </c>
      <c r="B439" s="8" t="s">
        <v>1531</v>
      </c>
      <c r="C439" s="8" t="s">
        <v>1532</v>
      </c>
      <c r="D439" s="8" t="s">
        <v>1417</v>
      </c>
      <c r="E439" s="8" t="n">
        <v>8600</v>
      </c>
      <c r="F439" s="8" t="s">
        <v>131</v>
      </c>
      <c r="G439" s="8" t="s">
        <v>132</v>
      </c>
      <c r="H439" s="3" t="str">
        <f aca="false">IF(G439="OK","YES","no")</f>
        <v>YES</v>
      </c>
      <c r="I439" s="9" t="b">
        <f aca="false">COUNTIF('Roll Schedule'!$A$47:$A$790,A439)&gt;0</f>
        <v>1</v>
      </c>
      <c r="J439" s="8" t="s">
        <v>151</v>
      </c>
      <c r="K439" s="8" t="s">
        <v>1533</v>
      </c>
    </row>
    <row r="440" customFormat="false" ht="15" hidden="false" customHeight="false" outlineLevel="0" collapsed="false">
      <c r="A440" s="7" t="n">
        <v>45981</v>
      </c>
      <c r="B440" s="8" t="s">
        <v>1534</v>
      </c>
      <c r="C440" s="8" t="s">
        <v>1535</v>
      </c>
      <c r="D440" s="8" t="s">
        <v>1364</v>
      </c>
      <c r="E440" s="8" t="n">
        <v>8650</v>
      </c>
      <c r="F440" s="8" t="s">
        <v>131</v>
      </c>
      <c r="G440" s="8" t="s">
        <v>132</v>
      </c>
      <c r="H440" s="3" t="str">
        <f aca="false">IF(G440="OK","YES","no")</f>
        <v>YES</v>
      </c>
      <c r="I440" s="9" t="b">
        <f aca="false">COUNTIF('Roll Schedule'!$A$47:$A$790,A440)&gt;0</f>
        <v>1</v>
      </c>
      <c r="J440" s="8" t="s">
        <v>151</v>
      </c>
      <c r="K440" s="8" t="s">
        <v>1536</v>
      </c>
    </row>
    <row r="441" customFormat="false" ht="15" hidden="false" customHeight="false" outlineLevel="0" collapsed="false">
      <c r="A441" s="7" t="n">
        <v>45982</v>
      </c>
      <c r="B441" s="8" t="s">
        <v>1537</v>
      </c>
      <c r="C441" s="8" t="s">
        <v>1538</v>
      </c>
      <c r="D441" s="8" t="s">
        <v>1417</v>
      </c>
      <c r="E441" s="8" t="n">
        <v>8600</v>
      </c>
      <c r="F441" s="8" t="s">
        <v>131</v>
      </c>
      <c r="G441" s="8" t="s">
        <v>132</v>
      </c>
      <c r="H441" s="3" t="str">
        <f aca="false">IF(G441="OK","YES","no")</f>
        <v>YES</v>
      </c>
      <c r="I441" s="9" t="b">
        <f aca="false">COUNTIF('Roll Schedule'!$A$47:$A$790,A441)&gt;0</f>
        <v>1</v>
      </c>
      <c r="J441" s="8" t="s">
        <v>151</v>
      </c>
      <c r="K441" s="8" t="s">
        <v>1539</v>
      </c>
    </row>
    <row r="442" customFormat="false" ht="15" hidden="false" customHeight="false" outlineLevel="0" collapsed="false">
      <c r="A442" s="7" t="n">
        <v>45985</v>
      </c>
      <c r="B442" s="8" t="s">
        <v>1540</v>
      </c>
      <c r="C442" s="8" t="s">
        <v>1541</v>
      </c>
      <c r="D442" s="8" t="s">
        <v>1395</v>
      </c>
      <c r="E442" s="8" t="n">
        <v>8800</v>
      </c>
      <c r="F442" s="8" t="s">
        <v>131</v>
      </c>
      <c r="G442" s="8" t="s">
        <v>132</v>
      </c>
      <c r="H442" s="3" t="str">
        <f aca="false">IF(G442="OK","YES","no")</f>
        <v>YES</v>
      </c>
      <c r="I442" s="9" t="b">
        <f aca="false">COUNTIF('Roll Schedule'!$A$47:$A$790,A442)&gt;0</f>
        <v>1</v>
      </c>
      <c r="J442" s="8" t="s">
        <v>151</v>
      </c>
      <c r="K442" s="8" t="s">
        <v>1542</v>
      </c>
    </row>
    <row r="443" customFormat="false" ht="15" hidden="false" customHeight="false" outlineLevel="0" collapsed="false">
      <c r="A443" s="7" t="n">
        <v>45986</v>
      </c>
      <c r="B443" s="8" t="s">
        <v>1543</v>
      </c>
      <c r="C443" s="8" t="s">
        <v>1544</v>
      </c>
      <c r="D443" s="8" t="s">
        <v>1364</v>
      </c>
      <c r="E443" s="8" t="n">
        <v>8650</v>
      </c>
      <c r="F443" s="8" t="s">
        <v>131</v>
      </c>
      <c r="G443" s="8" t="s">
        <v>132</v>
      </c>
      <c r="H443" s="3" t="str">
        <f aca="false">IF(G443="OK","YES","no")</f>
        <v>YES</v>
      </c>
      <c r="I443" s="9" t="b">
        <f aca="false">COUNTIF('Roll Schedule'!$A$47:$A$790,A443)&gt;0</f>
        <v>1</v>
      </c>
      <c r="J443" s="8" t="s">
        <v>151</v>
      </c>
      <c r="K443" s="8" t="s">
        <v>1545</v>
      </c>
    </row>
    <row r="444" customFormat="false" ht="15" hidden="false" customHeight="false" outlineLevel="0" collapsed="false">
      <c r="A444" s="7" t="n">
        <v>45987</v>
      </c>
      <c r="B444" s="8" t="s">
        <v>1546</v>
      </c>
      <c r="C444" s="8" t="s">
        <v>1547</v>
      </c>
      <c r="D444" s="8" t="s">
        <v>1364</v>
      </c>
      <c r="E444" s="8" t="n">
        <v>8650</v>
      </c>
      <c r="F444" s="8" t="s">
        <v>131</v>
      </c>
      <c r="G444" s="8" t="s">
        <v>132</v>
      </c>
      <c r="H444" s="3" t="str">
        <f aca="false">IF(G444="OK","YES","no")</f>
        <v>YES</v>
      </c>
      <c r="I444" s="9" t="b">
        <f aca="false">COUNTIF('Roll Schedule'!$A$47:$A$790,A444)&gt;0</f>
        <v>1</v>
      </c>
      <c r="J444" s="8" t="s">
        <v>151</v>
      </c>
      <c r="K444" s="8" t="s">
        <v>1548</v>
      </c>
    </row>
    <row r="445" customFormat="false" ht="15" hidden="false" customHeight="false" outlineLevel="0" collapsed="false">
      <c r="A445" s="7" t="n">
        <v>45988</v>
      </c>
      <c r="B445" s="8" t="s">
        <v>1549</v>
      </c>
      <c r="C445" s="8" t="s">
        <v>1550</v>
      </c>
      <c r="D445" s="8" t="s">
        <v>1364</v>
      </c>
      <c r="E445" s="8" t="n">
        <v>8650</v>
      </c>
      <c r="F445" s="8" t="s">
        <v>131</v>
      </c>
      <c r="G445" s="8" t="s">
        <v>132</v>
      </c>
      <c r="H445" s="3" t="str">
        <f aca="false">IF(G445="OK","YES","no")</f>
        <v>YES</v>
      </c>
      <c r="I445" s="9" t="b">
        <f aca="false">COUNTIF('Roll Schedule'!$A$47:$A$790,A445)&gt;0</f>
        <v>1</v>
      </c>
      <c r="J445" s="8" t="s">
        <v>151</v>
      </c>
      <c r="K445" s="8" t="s">
        <v>1551</v>
      </c>
    </row>
    <row r="446" customFormat="false" ht="15" hidden="false" customHeight="false" outlineLevel="0" collapsed="false">
      <c r="A446" s="7" t="n">
        <v>45989</v>
      </c>
      <c r="B446" s="8" t="s">
        <v>1552</v>
      </c>
      <c r="C446" s="8" t="s">
        <v>1553</v>
      </c>
      <c r="D446" s="8" t="s">
        <v>1410</v>
      </c>
      <c r="E446" s="8" t="n">
        <v>8700</v>
      </c>
      <c r="F446" s="8" t="s">
        <v>131</v>
      </c>
      <c r="G446" s="8" t="s">
        <v>132</v>
      </c>
      <c r="H446" s="3" t="str">
        <f aca="false">IF(G446="OK","YES","no")</f>
        <v>YES</v>
      </c>
      <c r="I446" s="9" t="b">
        <f aca="false">COUNTIF('Roll Schedule'!$A$47:$A$790,A446)&gt;0</f>
        <v>1</v>
      </c>
      <c r="J446" s="8" t="s">
        <v>151</v>
      </c>
      <c r="K446" s="8" t="s">
        <v>1554</v>
      </c>
    </row>
    <row r="447" customFormat="false" ht="15" hidden="false" customHeight="false" outlineLevel="0" collapsed="false">
      <c r="A447" s="7" t="n">
        <v>45992</v>
      </c>
      <c r="B447" s="8" t="s">
        <v>1555</v>
      </c>
      <c r="C447" s="8" t="s">
        <v>1556</v>
      </c>
      <c r="D447" s="8" t="s">
        <v>1406</v>
      </c>
      <c r="E447" s="8" t="n">
        <v>8750</v>
      </c>
      <c r="F447" s="8" t="s">
        <v>131</v>
      </c>
      <c r="G447" s="8" t="s">
        <v>132</v>
      </c>
      <c r="H447" s="3" t="str">
        <f aca="false">IF(G447="OK","YES","no")</f>
        <v>YES</v>
      </c>
      <c r="I447" s="9" t="b">
        <f aca="false">COUNTIF('Roll Schedule'!$A$47:$A$790,A447)&gt;0</f>
        <v>1</v>
      </c>
      <c r="J447" s="8" t="s">
        <v>151</v>
      </c>
      <c r="K447" s="8" t="s">
        <v>1557</v>
      </c>
    </row>
    <row r="448" customFormat="false" ht="15" hidden="false" customHeight="false" outlineLevel="0" collapsed="false">
      <c r="A448" s="7" t="n">
        <v>45993</v>
      </c>
      <c r="B448" s="8" t="s">
        <v>1558</v>
      </c>
      <c r="C448" s="8" t="s">
        <v>1559</v>
      </c>
      <c r="D448" s="8" t="s">
        <v>1395</v>
      </c>
      <c r="E448" s="8" t="n">
        <v>8800</v>
      </c>
      <c r="F448" s="8" t="s">
        <v>131</v>
      </c>
      <c r="G448" s="8" t="s">
        <v>132</v>
      </c>
      <c r="H448" s="3" t="str">
        <f aca="false">IF(G448="OK","YES","no")</f>
        <v>YES</v>
      </c>
      <c r="I448" s="9" t="b">
        <f aca="false">COUNTIF('Roll Schedule'!$A$47:$A$790,A448)&gt;0</f>
        <v>1</v>
      </c>
      <c r="J448" s="8" t="s">
        <v>151</v>
      </c>
      <c r="K448" s="8" t="s">
        <v>1560</v>
      </c>
    </row>
    <row r="449" customFormat="false" ht="15" hidden="false" customHeight="false" outlineLevel="0" collapsed="false">
      <c r="A449" s="7" t="n">
        <v>45994</v>
      </c>
      <c r="B449" s="8" t="s">
        <v>1561</v>
      </c>
      <c r="C449" s="8" t="s">
        <v>1562</v>
      </c>
      <c r="D449" s="8" t="s">
        <v>1406</v>
      </c>
      <c r="E449" s="8" t="n">
        <v>8750</v>
      </c>
      <c r="F449" s="8" t="s">
        <v>131</v>
      </c>
      <c r="G449" s="8" t="s">
        <v>132</v>
      </c>
      <c r="H449" s="3" t="str">
        <f aca="false">IF(G449="OK","YES","no")</f>
        <v>YES</v>
      </c>
      <c r="I449" s="9" t="b">
        <f aca="false">COUNTIF('Roll Schedule'!$A$47:$A$790,A449)&gt;0</f>
        <v>1</v>
      </c>
      <c r="J449" s="8" t="s">
        <v>151</v>
      </c>
      <c r="K449" s="8" t="s">
        <v>1563</v>
      </c>
    </row>
    <row r="450" customFormat="false" ht="15" hidden="false" customHeight="false" outlineLevel="0" collapsed="false">
      <c r="A450" s="7" t="n">
        <v>45995</v>
      </c>
      <c r="B450" s="8" t="s">
        <v>1564</v>
      </c>
      <c r="C450" s="8" t="s">
        <v>1565</v>
      </c>
      <c r="D450" s="8" t="s">
        <v>1406</v>
      </c>
      <c r="E450" s="8" t="n">
        <v>8750</v>
      </c>
      <c r="F450" s="8" t="s">
        <v>131</v>
      </c>
      <c r="G450" s="8" t="s">
        <v>132</v>
      </c>
      <c r="H450" s="3" t="str">
        <f aca="false">IF(G450="OK","YES","no")</f>
        <v>YES</v>
      </c>
      <c r="I450" s="9" t="b">
        <f aca="false">COUNTIF('Roll Schedule'!$A$47:$A$790,A450)&gt;0</f>
        <v>1</v>
      </c>
      <c r="J450" s="8" t="s">
        <v>151</v>
      </c>
      <c r="K450" s="8" t="s">
        <v>1566</v>
      </c>
    </row>
    <row r="451" customFormat="false" ht="15" hidden="false" customHeight="false" outlineLevel="0" collapsed="false">
      <c r="A451" s="7" t="n">
        <v>45996</v>
      </c>
      <c r="B451" s="8" t="s">
        <v>1567</v>
      </c>
      <c r="C451" s="8" t="s">
        <v>1568</v>
      </c>
      <c r="D451" s="8" t="s">
        <v>1406</v>
      </c>
      <c r="E451" s="8" t="n">
        <v>8750</v>
      </c>
      <c r="F451" s="8" t="s">
        <v>131</v>
      </c>
      <c r="G451" s="8" t="s">
        <v>132</v>
      </c>
      <c r="H451" s="3" t="str">
        <f aca="false">IF(G451="OK","YES","no")</f>
        <v>YES</v>
      </c>
      <c r="I451" s="9" t="b">
        <f aca="false">COUNTIF('Roll Schedule'!$A$47:$A$790,A451)&gt;0</f>
        <v>1</v>
      </c>
      <c r="J451" s="8" t="s">
        <v>151</v>
      </c>
      <c r="K451" s="8" t="s">
        <v>1569</v>
      </c>
    </row>
    <row r="452" customFormat="false" ht="15" hidden="false" customHeight="false" outlineLevel="0" collapsed="false">
      <c r="A452" s="7" t="n">
        <v>45999</v>
      </c>
      <c r="B452" s="8" t="s">
        <v>1570</v>
      </c>
      <c r="C452" s="8" t="s">
        <v>1571</v>
      </c>
      <c r="D452" s="8" t="s">
        <v>1406</v>
      </c>
      <c r="E452" s="8" t="n">
        <v>8750</v>
      </c>
      <c r="F452" s="8" t="s">
        <v>131</v>
      </c>
      <c r="G452" s="8" t="s">
        <v>132</v>
      </c>
      <c r="H452" s="3" t="str">
        <f aca="false">IF(G452="OK","YES","no")</f>
        <v>YES</v>
      </c>
      <c r="I452" s="9" t="b">
        <f aca="false">COUNTIF('Roll Schedule'!$A$47:$A$790,A452)&gt;0</f>
        <v>1</v>
      </c>
      <c r="J452" s="8" t="s">
        <v>151</v>
      </c>
      <c r="K452" s="8" t="s">
        <v>1572</v>
      </c>
    </row>
    <row r="453" customFormat="false" ht="15" hidden="false" customHeight="false" outlineLevel="0" collapsed="false">
      <c r="A453" s="7" t="n">
        <v>46000</v>
      </c>
      <c r="B453" s="8" t="s">
        <v>1573</v>
      </c>
      <c r="C453" s="8" t="s">
        <v>1574</v>
      </c>
      <c r="D453" s="8" t="s">
        <v>1575</v>
      </c>
      <c r="E453" s="8" t="n">
        <v>8777</v>
      </c>
      <c r="F453" s="8" t="s">
        <v>131</v>
      </c>
      <c r="G453" s="8" t="s">
        <v>132</v>
      </c>
      <c r="H453" s="3" t="str">
        <f aca="false">IF(G453="OK","YES","no")</f>
        <v>YES</v>
      </c>
      <c r="I453" s="9" t="b">
        <f aca="false">COUNTIF('Roll Schedule'!$A$47:$A$790,A453)&gt;0</f>
        <v>1</v>
      </c>
      <c r="J453" s="8" t="s">
        <v>151</v>
      </c>
      <c r="K453" s="8" t="s">
        <v>1576</v>
      </c>
    </row>
    <row r="454" customFormat="false" ht="15" hidden="false" customHeight="false" outlineLevel="0" collapsed="false">
      <c r="A454" s="7" t="n">
        <v>46001</v>
      </c>
      <c r="B454" s="8" t="s">
        <v>1577</v>
      </c>
      <c r="C454" s="8" t="s">
        <v>1578</v>
      </c>
      <c r="D454" s="8" t="s">
        <v>1395</v>
      </c>
      <c r="E454" s="8" t="n">
        <v>8800</v>
      </c>
      <c r="F454" s="8" t="s">
        <v>131</v>
      </c>
      <c r="G454" s="8" t="s">
        <v>132</v>
      </c>
      <c r="H454" s="3" t="str">
        <f aca="false">IF(G454="OK","YES","no")</f>
        <v>YES</v>
      </c>
      <c r="I454" s="9" t="b">
        <f aca="false">COUNTIF('Roll Schedule'!$A$47:$A$790,A454)&gt;0</f>
        <v>1</v>
      </c>
      <c r="J454" s="8" t="s">
        <v>151</v>
      </c>
      <c r="K454" s="8" t="s">
        <v>1579</v>
      </c>
    </row>
    <row r="455" customFormat="false" ht="15" hidden="false" customHeight="false" outlineLevel="0" collapsed="false">
      <c r="A455" s="7" t="n">
        <v>46002</v>
      </c>
      <c r="B455" s="8" t="s">
        <v>1580</v>
      </c>
      <c r="C455" s="8" t="s">
        <v>1581</v>
      </c>
      <c r="D455" s="8" t="s">
        <v>1406</v>
      </c>
      <c r="E455" s="8" t="n">
        <v>8750</v>
      </c>
      <c r="F455" s="8" t="s">
        <v>131</v>
      </c>
      <c r="G455" s="8" t="s">
        <v>132</v>
      </c>
      <c r="H455" s="3" t="str">
        <f aca="false">IF(G455="OK","YES","no")</f>
        <v>YES</v>
      </c>
      <c r="I455" s="9" t="b">
        <f aca="false">COUNTIF('Roll Schedule'!$A$47:$A$790,A455)&gt;0</f>
        <v>1</v>
      </c>
      <c r="J455" s="8" t="s">
        <v>151</v>
      </c>
      <c r="K455" s="8" t="s">
        <v>1582</v>
      </c>
    </row>
    <row r="456" customFormat="false" ht="15" hidden="false" customHeight="false" outlineLevel="0" collapsed="false">
      <c r="A456" s="7" t="n">
        <v>46003</v>
      </c>
      <c r="B456" s="8" t="s">
        <v>1583</v>
      </c>
      <c r="C456" s="8" t="s">
        <v>1584</v>
      </c>
      <c r="D456" s="8" t="s">
        <v>1410</v>
      </c>
      <c r="E456" s="8" t="n">
        <v>8700</v>
      </c>
      <c r="F456" s="8" t="s">
        <v>131</v>
      </c>
      <c r="G456" s="8" t="s">
        <v>132</v>
      </c>
      <c r="H456" s="3" t="str">
        <f aca="false">IF(G456="OK","YES","no")</f>
        <v>YES</v>
      </c>
      <c r="I456" s="9" t="b">
        <f aca="false">COUNTIF('Roll Schedule'!$A$47:$A$790,A456)&gt;0</f>
        <v>1</v>
      </c>
      <c r="J456" s="8" t="s">
        <v>151</v>
      </c>
      <c r="K456" s="8" t="s">
        <v>1585</v>
      </c>
    </row>
    <row r="457" customFormat="false" ht="15" hidden="false" customHeight="false" outlineLevel="0" collapsed="false">
      <c r="A457" s="7" t="n">
        <v>46006</v>
      </c>
      <c r="B457" s="8" t="s">
        <v>1586</v>
      </c>
      <c r="C457" s="8" t="s">
        <v>1587</v>
      </c>
      <c r="D457" s="8" t="s">
        <v>1364</v>
      </c>
      <c r="E457" s="8" t="n">
        <v>8650</v>
      </c>
      <c r="F457" s="8" t="s">
        <v>131</v>
      </c>
      <c r="G457" s="8" t="s">
        <v>132</v>
      </c>
      <c r="H457" s="3" t="str">
        <f aca="false">IF(G457="OK","YES","no")</f>
        <v>YES</v>
      </c>
      <c r="I457" s="9" t="b">
        <f aca="false">COUNTIF('Roll Schedule'!$A$47:$A$790,A457)&gt;0</f>
        <v>1</v>
      </c>
      <c r="J457" s="8" t="s">
        <v>151</v>
      </c>
      <c r="K457" s="8" t="s">
        <v>1588</v>
      </c>
    </row>
    <row r="458" customFormat="false" ht="15" hidden="false" customHeight="false" outlineLevel="0" collapsed="false">
      <c r="A458" s="7" t="n">
        <v>46007</v>
      </c>
      <c r="B458" s="8" t="s">
        <v>1589</v>
      </c>
      <c r="C458" s="8" t="s">
        <v>1590</v>
      </c>
      <c r="D458" s="8" t="s">
        <v>1417</v>
      </c>
      <c r="E458" s="8" t="n">
        <v>8600</v>
      </c>
      <c r="F458" s="8" t="s">
        <v>131</v>
      </c>
      <c r="G458" s="8" t="s">
        <v>132</v>
      </c>
      <c r="H458" s="3" t="str">
        <f aca="false">IF(G458="OK","YES","no")</f>
        <v>YES</v>
      </c>
      <c r="I458" s="9" t="b">
        <f aca="false">COUNTIF('Roll Schedule'!$A$47:$A$790,A458)&gt;0</f>
        <v>1</v>
      </c>
      <c r="J458" s="8" t="s">
        <v>151</v>
      </c>
      <c r="K458" s="8" t="s">
        <v>1591</v>
      </c>
    </row>
    <row r="459" customFormat="false" ht="15" hidden="false" customHeight="false" outlineLevel="0" collapsed="false">
      <c r="A459" s="7" t="n">
        <v>46008</v>
      </c>
      <c r="B459" s="8" t="s">
        <v>1592</v>
      </c>
      <c r="C459" s="8" t="s">
        <v>1593</v>
      </c>
      <c r="D459" s="8" t="s">
        <v>1349</v>
      </c>
      <c r="E459" s="8" t="n">
        <v>8300</v>
      </c>
      <c r="F459" s="8" t="s">
        <v>131</v>
      </c>
      <c r="G459" s="8" t="s">
        <v>132</v>
      </c>
      <c r="H459" s="3" t="str">
        <f aca="false">IF(G459="OK","YES","no")</f>
        <v>YES</v>
      </c>
      <c r="I459" s="9" t="b">
        <f aca="false">COUNTIF('Roll Schedule'!$A$47:$A$790,A459)&gt;0</f>
        <v>1</v>
      </c>
      <c r="J459" s="8" t="s">
        <v>151</v>
      </c>
      <c r="K459" s="8" t="s">
        <v>1594</v>
      </c>
    </row>
    <row r="460" customFormat="false" ht="15" hidden="false" customHeight="false" outlineLevel="0" collapsed="false">
      <c r="A460" s="7" t="n">
        <v>46009</v>
      </c>
      <c r="B460" s="8" t="s">
        <v>1595</v>
      </c>
      <c r="C460" s="8" t="s">
        <v>1596</v>
      </c>
      <c r="D460" s="8" t="s">
        <v>1464</v>
      </c>
      <c r="E460" s="8" t="n">
        <v>8400</v>
      </c>
      <c r="F460" s="8" t="s">
        <v>131</v>
      </c>
      <c r="G460" s="8" t="s">
        <v>132</v>
      </c>
      <c r="H460" s="3" t="str">
        <f aca="false">IF(G460="OK","YES","no")</f>
        <v>YES</v>
      </c>
      <c r="I460" s="9" t="b">
        <f aca="false">COUNTIF('Roll Schedule'!$A$47:$A$790,A460)&gt;0</f>
        <v>1</v>
      </c>
      <c r="J460" s="8" t="s">
        <v>151</v>
      </c>
      <c r="K460" s="8" t="s">
        <v>1597</v>
      </c>
    </row>
    <row r="461" customFormat="false" ht="15" hidden="false" customHeight="false" outlineLevel="0" collapsed="false">
      <c r="A461" s="7" t="n">
        <v>46010</v>
      </c>
      <c r="B461" s="8" t="s">
        <v>1598</v>
      </c>
      <c r="C461" s="8" t="s">
        <v>1599</v>
      </c>
      <c r="D461" s="8" t="s">
        <v>1406</v>
      </c>
      <c r="E461" s="8" t="n">
        <v>8750</v>
      </c>
      <c r="F461" s="8" t="s">
        <v>131</v>
      </c>
      <c r="G461" s="8" t="s">
        <v>132</v>
      </c>
      <c r="H461" s="3" t="str">
        <f aca="false">IF(G461="OK","YES","no")</f>
        <v>YES</v>
      </c>
      <c r="I461" s="9" t="b">
        <f aca="false">COUNTIF('Roll Schedule'!$A$47:$A$790,A461)&gt;0</f>
        <v>1</v>
      </c>
      <c r="J461" s="8" t="s">
        <v>151</v>
      </c>
      <c r="K461" s="8" t="s">
        <v>1600</v>
      </c>
    </row>
    <row r="462" customFormat="false" ht="15" hidden="false" customHeight="false" outlineLevel="0" collapsed="false">
      <c r="A462" s="7" t="n">
        <v>46013</v>
      </c>
      <c r="B462" s="8" t="s">
        <v>1601</v>
      </c>
      <c r="C462" s="8" t="s">
        <v>1602</v>
      </c>
      <c r="D462" s="8" t="s">
        <v>1353</v>
      </c>
      <c r="E462" s="8" t="n">
        <v>8250</v>
      </c>
      <c r="F462" s="8" t="s">
        <v>131</v>
      </c>
      <c r="G462" s="8" t="s">
        <v>132</v>
      </c>
      <c r="H462" s="3" t="str">
        <f aca="false">IF(G462="OK","YES","no")</f>
        <v>YES</v>
      </c>
      <c r="I462" s="9" t="b">
        <f aca="false">COUNTIF('Roll Schedule'!$A$47:$A$790,A462)&gt;0</f>
        <v>1</v>
      </c>
      <c r="J462" s="8" t="s">
        <v>151</v>
      </c>
      <c r="K462" s="8" t="s">
        <v>1603</v>
      </c>
    </row>
    <row r="463" customFormat="false" ht="15" hidden="false" customHeight="false" outlineLevel="0" collapsed="false">
      <c r="A463" s="7" t="n">
        <v>46014</v>
      </c>
      <c r="B463" s="8" t="s">
        <v>1604</v>
      </c>
      <c r="C463" s="8" t="s">
        <v>1605</v>
      </c>
      <c r="D463" s="8" t="s">
        <v>1353</v>
      </c>
      <c r="E463" s="8" t="n">
        <v>8250</v>
      </c>
      <c r="F463" s="8" t="s">
        <v>131</v>
      </c>
      <c r="G463" s="8" t="s">
        <v>132</v>
      </c>
      <c r="H463" s="3" t="str">
        <f aca="false">IF(G463="OK","YES","no")</f>
        <v>YES</v>
      </c>
      <c r="I463" s="9" t="b">
        <f aca="false">COUNTIF('Roll Schedule'!$A$47:$A$790,A463)&gt;0</f>
        <v>1</v>
      </c>
      <c r="J463" s="8" t="s">
        <v>151</v>
      </c>
      <c r="K463" s="8" t="s">
        <v>1606</v>
      </c>
    </row>
    <row r="464" customFormat="false" ht="15" hidden="false" customHeight="false" outlineLevel="0" collapsed="false">
      <c r="A464" s="7" t="n">
        <v>46015</v>
      </c>
      <c r="B464" s="8" t="s">
        <v>1607</v>
      </c>
      <c r="C464" s="8" t="s">
        <v>1608</v>
      </c>
      <c r="D464" s="8" t="s">
        <v>1335</v>
      </c>
      <c r="E464" s="8" t="n">
        <v>8000</v>
      </c>
      <c r="F464" s="8" t="s">
        <v>131</v>
      </c>
      <c r="G464" s="8" t="s">
        <v>132</v>
      </c>
      <c r="H464" s="3" t="str">
        <f aca="false">IF(G464="OK","YES","no")</f>
        <v>YES</v>
      </c>
      <c r="I464" s="9" t="b">
        <f aca="false">COUNTIF('Roll Schedule'!$A$47:$A$790,A464)&gt;0</f>
        <v>1</v>
      </c>
      <c r="J464" s="8" t="s">
        <v>151</v>
      </c>
      <c r="K464" s="8" t="s">
        <v>1609</v>
      </c>
    </row>
    <row r="465" customFormat="false" ht="15" hidden="false" customHeight="false" outlineLevel="0" collapsed="false">
      <c r="A465" s="7" t="n">
        <v>46017</v>
      </c>
      <c r="B465" s="8" t="s">
        <v>1610</v>
      </c>
      <c r="C465" s="8" t="s">
        <v>1611</v>
      </c>
      <c r="D465" s="8" t="s">
        <v>1612</v>
      </c>
      <c r="E465" s="8" t="n">
        <v>7950</v>
      </c>
      <c r="F465" s="8" t="s">
        <v>131</v>
      </c>
      <c r="G465" s="8" t="s">
        <v>132</v>
      </c>
      <c r="H465" s="3" t="str">
        <f aca="false">IF(G465="OK","YES","no")</f>
        <v>YES</v>
      </c>
      <c r="I465" s="9" t="b">
        <f aca="false">COUNTIF('Roll Schedule'!$A$47:$A$790,A465)&gt;0</f>
        <v>1</v>
      </c>
      <c r="J465" s="8" t="s">
        <v>151</v>
      </c>
      <c r="K465" s="8" t="s">
        <v>1613</v>
      </c>
    </row>
    <row r="466" customFormat="false" ht="15" hidden="false" customHeight="false" outlineLevel="0" collapsed="false">
      <c r="A466" s="7" t="n">
        <v>46020</v>
      </c>
      <c r="B466" s="8" t="s">
        <v>1614</v>
      </c>
      <c r="C466" s="8" t="s">
        <v>1615</v>
      </c>
      <c r="D466" s="8" t="s">
        <v>1616</v>
      </c>
      <c r="E466" s="8" t="n">
        <v>7800</v>
      </c>
      <c r="F466" s="8" t="s">
        <v>131</v>
      </c>
      <c r="G466" s="8" t="s">
        <v>132</v>
      </c>
      <c r="H466" s="3" t="str">
        <f aca="false">IF(G466="OK","YES","no")</f>
        <v>YES</v>
      </c>
      <c r="I466" s="9" t="b">
        <f aca="false">COUNTIF('Roll Schedule'!$A$47:$A$790,A466)&gt;0</f>
        <v>1</v>
      </c>
      <c r="J466" s="8" t="s">
        <v>151</v>
      </c>
      <c r="K466" s="8" t="s">
        <v>1617</v>
      </c>
    </row>
    <row r="467" customFormat="false" ht="15" hidden="false" customHeight="false" outlineLevel="0" collapsed="false">
      <c r="A467" s="7" t="n">
        <v>46021</v>
      </c>
      <c r="B467" s="8" t="s">
        <v>1618</v>
      </c>
      <c r="C467" s="8" t="s">
        <v>1619</v>
      </c>
      <c r="D467" s="8" t="s">
        <v>1620</v>
      </c>
      <c r="E467" s="8" t="n">
        <v>7850</v>
      </c>
      <c r="F467" s="8" t="s">
        <v>131</v>
      </c>
      <c r="G467" s="8" t="s">
        <v>132</v>
      </c>
      <c r="H467" s="3" t="str">
        <f aca="false">IF(G467="OK","YES","no")</f>
        <v>YES</v>
      </c>
      <c r="I467" s="9" t="b">
        <f aca="false">COUNTIF('Roll Schedule'!$A$47:$A$790,A467)&gt;0</f>
        <v>1</v>
      </c>
      <c r="J467" s="8" t="s">
        <v>151</v>
      </c>
      <c r="K467" s="8" t="s">
        <v>1621</v>
      </c>
    </row>
    <row r="468" customFormat="false" ht="15" hidden="false" customHeight="false" outlineLevel="0" collapsed="false">
      <c r="A468" s="7" t="n">
        <v>46022</v>
      </c>
      <c r="B468" s="8" t="s">
        <v>1622</v>
      </c>
      <c r="C468" s="8" t="s">
        <v>1623</v>
      </c>
      <c r="D468" s="8" t="s">
        <v>1616</v>
      </c>
      <c r="E468" s="8" t="n">
        <v>7800</v>
      </c>
      <c r="F468" s="8" t="s">
        <v>131</v>
      </c>
      <c r="G468" s="8" t="s">
        <v>132</v>
      </c>
      <c r="H468" s="3" t="str">
        <f aca="false">IF(G468="OK","YES","no")</f>
        <v>YES</v>
      </c>
      <c r="I468" s="9" t="b">
        <f aca="false">COUNTIF('Roll Schedule'!$A$47:$A$790,A468)&gt;0</f>
        <v>1</v>
      </c>
      <c r="J468" s="8" t="s">
        <v>151</v>
      </c>
      <c r="K468" s="8" t="s">
        <v>1624</v>
      </c>
    </row>
    <row r="469" customFormat="false" ht="15" hidden="false" customHeight="false" outlineLevel="0" collapsed="false">
      <c r="A469" s="7" t="n">
        <v>46022</v>
      </c>
      <c r="B469" s="8" t="s">
        <v>1625</v>
      </c>
      <c r="C469" s="8" t="s">
        <v>1626</v>
      </c>
      <c r="D469" s="8" t="s">
        <v>1616</v>
      </c>
      <c r="E469" s="8" t="n">
        <v>7800</v>
      </c>
      <c r="F469" s="8" t="s">
        <v>131</v>
      </c>
      <c r="G469" s="8" t="s">
        <v>251</v>
      </c>
      <c r="H469" s="3" t="str">
        <f aca="false">IF(G469="OK","YES","no")</f>
        <v>no</v>
      </c>
      <c r="I469" s="9" t="b">
        <f aca="false">COUNTIF('Roll Schedule'!$A$47:$A$790,A469)&gt;0</f>
        <v>1</v>
      </c>
      <c r="J469" s="8" t="s">
        <v>151</v>
      </c>
      <c r="K469" s="8" t="s">
        <v>1627</v>
      </c>
    </row>
    <row r="470" customFormat="false" ht="15" hidden="false" customHeight="false" outlineLevel="0" collapsed="false">
      <c r="A470" s="7" t="n">
        <v>46023</v>
      </c>
      <c r="B470" s="8" t="s">
        <v>1628</v>
      </c>
      <c r="C470" s="8" t="s">
        <v>1629</v>
      </c>
      <c r="D470" s="8" t="s">
        <v>1283</v>
      </c>
      <c r="E470" s="8" t="n">
        <v>7700</v>
      </c>
      <c r="F470" s="8" t="s">
        <v>131</v>
      </c>
      <c r="G470" s="8" t="s">
        <v>132</v>
      </c>
      <c r="H470" s="3" t="str">
        <f aca="false">IF(G470="OK","YES","no")</f>
        <v>YES</v>
      </c>
      <c r="I470" s="9" t="b">
        <f aca="false">COUNTIF('Roll Schedule'!$A$47:$A$790,A470)&gt;0</f>
        <v>1</v>
      </c>
      <c r="J470" s="8" t="s">
        <v>151</v>
      </c>
      <c r="K470" s="8" t="s">
        <v>1630</v>
      </c>
    </row>
    <row r="471" customFormat="false" ht="15" hidden="false" customHeight="false" outlineLevel="0" collapsed="false">
      <c r="A471" s="7" t="n">
        <v>46024</v>
      </c>
      <c r="B471" s="8" t="s">
        <v>1631</v>
      </c>
      <c r="C471" s="8" t="s">
        <v>1632</v>
      </c>
      <c r="D471" s="8" t="s">
        <v>1279</v>
      </c>
      <c r="E471" s="8" t="n">
        <v>7650</v>
      </c>
      <c r="F471" s="8" t="s">
        <v>131</v>
      </c>
      <c r="G471" s="8" t="s">
        <v>132</v>
      </c>
      <c r="H471" s="3" t="str">
        <f aca="false">IF(G471="OK","YES","no")</f>
        <v>YES</v>
      </c>
      <c r="I471" s="9" t="b">
        <f aca="false">COUNTIF('Roll Schedule'!$A$47:$A$790,A471)&gt;0</f>
        <v>1</v>
      </c>
      <c r="J471" s="8" t="s">
        <v>151</v>
      </c>
      <c r="K471" s="8" t="s">
        <v>1633</v>
      </c>
    </row>
    <row r="472" customFormat="false" ht="15" hidden="false" customHeight="false" outlineLevel="0" collapsed="false">
      <c r="A472" s="7" t="n">
        <v>46027</v>
      </c>
      <c r="B472" s="8" t="s">
        <v>1634</v>
      </c>
      <c r="C472" s="8" t="s">
        <v>1635</v>
      </c>
      <c r="D472" s="8" t="s">
        <v>1279</v>
      </c>
      <c r="E472" s="8" t="n">
        <v>7650</v>
      </c>
      <c r="F472" s="8" t="s">
        <v>131</v>
      </c>
      <c r="G472" s="8" t="s">
        <v>132</v>
      </c>
      <c r="H472" s="3" t="str">
        <f aca="false">IF(G472="OK","YES","no")</f>
        <v>YES</v>
      </c>
      <c r="I472" s="9" t="b">
        <f aca="false">COUNTIF('Roll Schedule'!$A$47:$A$790,A472)&gt;0</f>
        <v>1</v>
      </c>
      <c r="J472" s="8" t="s">
        <v>151</v>
      </c>
      <c r="K472" s="8" t="s">
        <v>1636</v>
      </c>
    </row>
    <row r="473" customFormat="false" ht="15" hidden="false" customHeight="false" outlineLevel="0" collapsed="false">
      <c r="A473" s="7" t="n">
        <v>46028</v>
      </c>
      <c r="B473" s="8" t="s">
        <v>1637</v>
      </c>
      <c r="C473" s="8" t="s">
        <v>1638</v>
      </c>
      <c r="D473" s="8" t="s">
        <v>1279</v>
      </c>
      <c r="E473" s="8" t="n">
        <v>7650</v>
      </c>
      <c r="F473" s="8" t="s">
        <v>131</v>
      </c>
      <c r="G473" s="8" t="s">
        <v>132</v>
      </c>
      <c r="H473" s="3" t="str">
        <f aca="false">IF(G473="OK","YES","no")</f>
        <v>YES</v>
      </c>
      <c r="I473" s="9" t="b">
        <f aca="false">COUNTIF('Roll Schedule'!$A$47:$A$790,A473)&gt;0</f>
        <v>1</v>
      </c>
      <c r="J473" s="8" t="s">
        <v>151</v>
      </c>
      <c r="K473" s="8" t="s">
        <v>1639</v>
      </c>
    </row>
    <row r="474" customFormat="false" ht="15" hidden="false" customHeight="false" outlineLevel="0" collapsed="false">
      <c r="A474" s="7" t="n">
        <v>46029</v>
      </c>
      <c r="B474" s="8" t="s">
        <v>1640</v>
      </c>
      <c r="C474" s="8" t="s">
        <v>1641</v>
      </c>
      <c r="D474" s="8" t="s">
        <v>1279</v>
      </c>
      <c r="E474" s="8" t="n">
        <v>7650</v>
      </c>
      <c r="F474" s="8" t="s">
        <v>131</v>
      </c>
      <c r="G474" s="8" t="s">
        <v>132</v>
      </c>
      <c r="H474" s="3" t="str">
        <f aca="false">IF(G474="OK","YES","no")</f>
        <v>YES</v>
      </c>
      <c r="I474" s="9" t="b">
        <f aca="false">COUNTIF('Roll Schedule'!$A$47:$A$790,A474)&gt;0</f>
        <v>1</v>
      </c>
      <c r="J474" s="8" t="s">
        <v>151</v>
      </c>
      <c r="K474" s="8" t="s">
        <v>1642</v>
      </c>
    </row>
    <row r="475" customFormat="false" ht="15" hidden="false" customHeight="false" outlineLevel="0" collapsed="false">
      <c r="A475" s="7" t="n">
        <v>46030</v>
      </c>
      <c r="B475" s="8" t="s">
        <v>1643</v>
      </c>
      <c r="C475" s="8" t="s">
        <v>1644</v>
      </c>
      <c r="D475" s="8" t="s">
        <v>1259</v>
      </c>
      <c r="E475" s="8" t="n">
        <v>7500</v>
      </c>
      <c r="F475" s="8" t="s">
        <v>131</v>
      </c>
      <c r="G475" s="8" t="s">
        <v>132</v>
      </c>
      <c r="H475" s="3" t="str">
        <f aca="false">IF(G475="OK","YES","no")</f>
        <v>YES</v>
      </c>
      <c r="I475" s="9" t="b">
        <f aca="false">COUNTIF('Roll Schedule'!$A$47:$A$790,A475)&gt;0</f>
        <v>1</v>
      </c>
      <c r="J475" s="8" t="s">
        <v>151</v>
      </c>
      <c r="K475" s="8" t="s">
        <v>1645</v>
      </c>
    </row>
    <row r="476" customFormat="false" ht="15" hidden="false" customHeight="false" outlineLevel="0" collapsed="false">
      <c r="A476" s="7" t="n">
        <v>46031</v>
      </c>
      <c r="B476" s="8" t="s">
        <v>1646</v>
      </c>
      <c r="C476" s="8" t="s">
        <v>1647</v>
      </c>
      <c r="D476" s="8" t="s">
        <v>1269</v>
      </c>
      <c r="E476" s="8" t="n">
        <v>7550</v>
      </c>
      <c r="F476" s="8" t="s">
        <v>131</v>
      </c>
      <c r="G476" s="8" t="s">
        <v>132</v>
      </c>
      <c r="H476" s="3" t="str">
        <f aca="false">IF(G476="OK","YES","no")</f>
        <v>YES</v>
      </c>
      <c r="I476" s="9" t="b">
        <f aca="false">COUNTIF('Roll Schedule'!$A$47:$A$790,A476)&gt;0</f>
        <v>1</v>
      </c>
      <c r="J476" s="8" t="s">
        <v>151</v>
      </c>
      <c r="K476" s="8" t="s">
        <v>1648</v>
      </c>
    </row>
    <row r="477" customFormat="false" ht="15" hidden="false" customHeight="false" outlineLevel="0" collapsed="false">
      <c r="A477" s="7" t="n">
        <v>46034</v>
      </c>
      <c r="B477" s="8" t="s">
        <v>1649</v>
      </c>
      <c r="C477" s="8" t="s">
        <v>1650</v>
      </c>
      <c r="D477" s="8" t="s">
        <v>1651</v>
      </c>
      <c r="E477" s="8" t="n">
        <v>7450</v>
      </c>
      <c r="F477" s="8" t="s">
        <v>131</v>
      </c>
      <c r="G477" s="8" t="s">
        <v>132</v>
      </c>
      <c r="H477" s="3" t="str">
        <f aca="false">IF(G477="OK","YES","no")</f>
        <v>YES</v>
      </c>
      <c r="I477" s="9" t="b">
        <f aca="false">COUNTIF('Roll Schedule'!$A$47:$A$790,A477)&gt;0</f>
        <v>1</v>
      </c>
      <c r="J477" s="8" t="s">
        <v>151</v>
      </c>
      <c r="K477" s="8" t="s">
        <v>1652</v>
      </c>
    </row>
    <row r="478" customFormat="false" ht="15" hidden="false" customHeight="false" outlineLevel="0" collapsed="false">
      <c r="A478" s="7" t="n">
        <v>46035</v>
      </c>
      <c r="B478" s="8" t="s">
        <v>1653</v>
      </c>
      <c r="C478" s="8" t="s">
        <v>1654</v>
      </c>
      <c r="D478" s="8" t="s">
        <v>1651</v>
      </c>
      <c r="E478" s="8" t="n">
        <v>7450</v>
      </c>
      <c r="F478" s="8" t="s">
        <v>131</v>
      </c>
      <c r="G478" s="8" t="s">
        <v>132</v>
      </c>
      <c r="H478" s="3" t="str">
        <f aca="false">IF(G478="OK","YES","no")</f>
        <v>YES</v>
      </c>
      <c r="I478" s="9" t="b">
        <f aca="false">COUNTIF('Roll Schedule'!$A$47:$A$790,A478)&gt;0</f>
        <v>1</v>
      </c>
      <c r="J478" s="8" t="s">
        <v>151</v>
      </c>
      <c r="K478" s="8" t="s">
        <v>1655</v>
      </c>
    </row>
    <row r="479" customFormat="false" ht="15" hidden="false" customHeight="false" outlineLevel="0" collapsed="false">
      <c r="A479" s="7" t="n">
        <v>46036</v>
      </c>
      <c r="B479" s="8" t="s">
        <v>1656</v>
      </c>
      <c r="C479" s="8" t="s">
        <v>1657</v>
      </c>
      <c r="D479" s="8" t="s">
        <v>869</v>
      </c>
      <c r="E479" s="8"/>
      <c r="F479" s="8" t="s">
        <v>131</v>
      </c>
      <c r="G479" s="8" t="s">
        <v>245</v>
      </c>
      <c r="H479" s="3" t="str">
        <f aca="false">IF(G479="OK","YES","no")</f>
        <v>no</v>
      </c>
      <c r="I479" s="9" t="b">
        <f aca="false">COUNTIF('Roll Schedule'!$A$47:$A$790,A479)&gt;0</f>
        <v>1</v>
      </c>
      <c r="J479" s="8" t="s">
        <v>151</v>
      </c>
      <c r="K479" s="8" t="s">
        <v>1658</v>
      </c>
    </row>
    <row r="480" customFormat="false" ht="15" hidden="false" customHeight="false" outlineLevel="0" collapsed="false">
      <c r="A480" s="7" t="n">
        <v>46038</v>
      </c>
      <c r="B480" s="8" t="s">
        <v>1659</v>
      </c>
      <c r="C480" s="8" t="s">
        <v>1660</v>
      </c>
      <c r="D480" s="8" t="s">
        <v>1661</v>
      </c>
      <c r="E480" s="8" t="n">
        <v>7350</v>
      </c>
      <c r="F480" s="8" t="s">
        <v>131</v>
      </c>
      <c r="G480" s="8" t="s">
        <v>132</v>
      </c>
      <c r="H480" s="3" t="str">
        <f aca="false">IF(G480="OK","YES","no")</f>
        <v>YES</v>
      </c>
      <c r="I480" s="9" t="b">
        <f aca="false">COUNTIF('Roll Schedule'!$A$47:$A$790,A480)&gt;0</f>
        <v>1</v>
      </c>
      <c r="J480" s="8" t="s">
        <v>151</v>
      </c>
      <c r="K480" s="8" t="s">
        <v>1662</v>
      </c>
    </row>
    <row r="481" customFormat="false" ht="15" hidden="false" customHeight="false" outlineLevel="0" collapsed="false">
      <c r="A481" s="7" t="n">
        <v>46041</v>
      </c>
      <c r="B481" s="8" t="s">
        <v>1663</v>
      </c>
      <c r="C481" s="8" t="s">
        <v>1664</v>
      </c>
      <c r="D481" s="8" t="s">
        <v>907</v>
      </c>
      <c r="E481" s="8" t="n">
        <v>7150</v>
      </c>
      <c r="F481" s="8" t="s">
        <v>131</v>
      </c>
      <c r="G481" s="8" t="s">
        <v>132</v>
      </c>
      <c r="H481" s="3" t="str">
        <f aca="false">IF(G481="OK","YES","no")</f>
        <v>YES</v>
      </c>
      <c r="I481" s="9" t="b">
        <f aca="false">COUNTIF('Roll Schedule'!$A$47:$A$790,A481)&gt;0</f>
        <v>1</v>
      </c>
      <c r="J481" s="8" t="s">
        <v>151</v>
      </c>
      <c r="K481" s="8" t="s">
        <v>1665</v>
      </c>
    </row>
    <row r="482" customFormat="false" ht="15" hidden="false" customHeight="false" outlineLevel="0" collapsed="false">
      <c r="A482" s="7" t="n">
        <v>46042</v>
      </c>
      <c r="B482" s="8" t="s">
        <v>1666</v>
      </c>
      <c r="C482" s="8" t="s">
        <v>1667</v>
      </c>
      <c r="D482" s="8" t="s">
        <v>907</v>
      </c>
      <c r="E482" s="8" t="n">
        <v>7150</v>
      </c>
      <c r="F482" s="8" t="s">
        <v>131</v>
      </c>
      <c r="G482" s="8" t="s">
        <v>132</v>
      </c>
      <c r="H482" s="3" t="str">
        <f aca="false">IF(G482="OK","YES","no")</f>
        <v>YES</v>
      </c>
      <c r="I482" s="9" t="b">
        <f aca="false">COUNTIF('Roll Schedule'!$A$47:$A$790,A482)&gt;0</f>
        <v>1</v>
      </c>
      <c r="J482" s="8" t="s">
        <v>151</v>
      </c>
      <c r="K482" s="8" t="s">
        <v>1668</v>
      </c>
    </row>
    <row r="483" customFormat="false" ht="15" hidden="false" customHeight="false" outlineLevel="0" collapsed="false">
      <c r="A483" s="7" t="n">
        <v>46043</v>
      </c>
      <c r="B483" s="8" t="s">
        <v>1669</v>
      </c>
      <c r="C483" s="8" t="s">
        <v>1670</v>
      </c>
      <c r="D483" s="8" t="s">
        <v>907</v>
      </c>
      <c r="E483" s="8" t="n">
        <v>7150</v>
      </c>
      <c r="F483" s="8" t="s">
        <v>131</v>
      </c>
      <c r="G483" s="8" t="s">
        <v>132</v>
      </c>
      <c r="H483" s="3" t="str">
        <f aca="false">IF(G483="OK","YES","no")</f>
        <v>YES</v>
      </c>
      <c r="I483" s="9" t="b">
        <f aca="false">COUNTIF('Roll Schedule'!$A$47:$A$790,A483)&gt;0</f>
        <v>1</v>
      </c>
      <c r="J483" s="8" t="s">
        <v>151</v>
      </c>
      <c r="K483" s="8" t="s">
        <v>1671</v>
      </c>
    </row>
    <row r="484" customFormat="false" ht="15" hidden="false" customHeight="false" outlineLevel="0" collapsed="false">
      <c r="A484" s="7" t="n">
        <v>46044</v>
      </c>
      <c r="B484" s="8" t="s">
        <v>1672</v>
      </c>
      <c r="C484" s="8" t="s">
        <v>1673</v>
      </c>
      <c r="D484" s="8" t="s">
        <v>338</v>
      </c>
      <c r="E484" s="8" t="n">
        <v>7100</v>
      </c>
      <c r="F484" s="8" t="s">
        <v>131</v>
      </c>
      <c r="G484" s="8" t="s">
        <v>132</v>
      </c>
      <c r="H484" s="3" t="str">
        <f aca="false">IF(G484="OK","YES","no")</f>
        <v>YES</v>
      </c>
      <c r="I484" s="9" t="b">
        <f aca="false">COUNTIF('Roll Schedule'!$A$47:$A$790,A484)&gt;0</f>
        <v>1</v>
      </c>
      <c r="J484" s="8" t="s">
        <v>151</v>
      </c>
      <c r="K484" s="8" t="s">
        <v>1674</v>
      </c>
    </row>
    <row r="485" customFormat="false" ht="15" hidden="false" customHeight="false" outlineLevel="0" collapsed="false">
      <c r="A485" s="7" t="n">
        <v>46045</v>
      </c>
      <c r="B485" s="8" t="s">
        <v>1675</v>
      </c>
      <c r="C485" s="8" t="s">
        <v>1676</v>
      </c>
      <c r="D485" s="8" t="s">
        <v>334</v>
      </c>
      <c r="E485" s="8" t="n">
        <v>7200</v>
      </c>
      <c r="F485" s="8" t="s">
        <v>131</v>
      </c>
      <c r="G485" s="8" t="s">
        <v>132</v>
      </c>
      <c r="H485" s="3" t="str">
        <f aca="false">IF(G485="OK","YES","no")</f>
        <v>YES</v>
      </c>
      <c r="I485" s="9" t="b">
        <f aca="false">COUNTIF('Roll Schedule'!$A$47:$A$790,A485)&gt;0</f>
        <v>1</v>
      </c>
      <c r="J485" s="8" t="s">
        <v>151</v>
      </c>
      <c r="K485" s="8" t="s">
        <v>1677</v>
      </c>
    </row>
    <row r="486" customFormat="false" ht="15" hidden="false" customHeight="false" outlineLevel="0" collapsed="false">
      <c r="A486" s="7" t="n">
        <v>46049</v>
      </c>
      <c r="B486" s="8" t="s">
        <v>1678</v>
      </c>
      <c r="C486" s="8" t="s">
        <v>1679</v>
      </c>
      <c r="D486" s="8" t="s">
        <v>338</v>
      </c>
      <c r="E486" s="8" t="n">
        <v>7100</v>
      </c>
      <c r="F486" s="8" t="s">
        <v>131</v>
      </c>
      <c r="G486" s="8" t="s">
        <v>132</v>
      </c>
      <c r="H486" s="3" t="str">
        <f aca="false">IF(G486="OK","YES","no")</f>
        <v>YES</v>
      </c>
      <c r="I486" s="9" t="b">
        <f aca="false">COUNTIF('Roll Schedule'!$A$47:$A$790,A486)&gt;0</f>
        <v>1</v>
      </c>
      <c r="J486" s="8" t="s">
        <v>151</v>
      </c>
      <c r="K486" s="8" t="s">
        <v>1680</v>
      </c>
    </row>
    <row r="487" customFormat="false" ht="15" hidden="false" customHeight="false" outlineLevel="0" collapsed="false">
      <c r="A487" s="7" t="n">
        <v>46050</v>
      </c>
      <c r="B487" s="8" t="s">
        <v>1681</v>
      </c>
      <c r="C487" s="8" t="s">
        <v>1682</v>
      </c>
      <c r="D487" s="8" t="s">
        <v>338</v>
      </c>
      <c r="E487" s="8" t="n">
        <v>7100</v>
      </c>
      <c r="F487" s="8" t="s">
        <v>131</v>
      </c>
      <c r="G487" s="8" t="s">
        <v>132</v>
      </c>
      <c r="H487" s="3" t="str">
        <f aca="false">IF(G487="OK","YES","no")</f>
        <v>YES</v>
      </c>
      <c r="I487" s="9" t="b">
        <f aca="false">COUNTIF('Roll Schedule'!$A$47:$A$790,A487)&gt;0</f>
        <v>1</v>
      </c>
      <c r="J487" s="8" t="s">
        <v>151</v>
      </c>
      <c r="K487" s="8" t="s">
        <v>1683</v>
      </c>
    </row>
    <row r="488" customFormat="false" ht="15" hidden="false" customHeight="false" outlineLevel="0" collapsed="false">
      <c r="A488" s="7" t="n">
        <v>46051</v>
      </c>
      <c r="B488" s="8" t="s">
        <v>1684</v>
      </c>
      <c r="C488" s="8" t="s">
        <v>1685</v>
      </c>
      <c r="D488" s="8" t="s">
        <v>338</v>
      </c>
      <c r="E488" s="8" t="n">
        <v>7100</v>
      </c>
      <c r="F488" s="8" t="s">
        <v>131</v>
      </c>
      <c r="G488" s="8" t="s">
        <v>132</v>
      </c>
      <c r="H488" s="3" t="str">
        <f aca="false">IF(G488="OK","YES","no")</f>
        <v>YES</v>
      </c>
      <c r="I488" s="9" t="b">
        <f aca="false">COUNTIF('Roll Schedule'!$A$47:$A$790,A488)&gt;0</f>
        <v>1</v>
      </c>
      <c r="J488" s="8" t="s">
        <v>151</v>
      </c>
      <c r="K488" s="8" t="s">
        <v>1686</v>
      </c>
    </row>
    <row r="489" customFormat="false" ht="15" hidden="false" customHeight="false" outlineLevel="0" collapsed="false">
      <c r="A489" s="7" t="n">
        <v>46052</v>
      </c>
      <c r="B489" s="8" t="s">
        <v>1687</v>
      </c>
      <c r="C489" s="8" t="s">
        <v>1688</v>
      </c>
      <c r="D489" s="8" t="s">
        <v>338</v>
      </c>
      <c r="E489" s="8" t="n">
        <v>7100</v>
      </c>
      <c r="F489" s="8" t="s">
        <v>131</v>
      </c>
      <c r="G489" s="8" t="s">
        <v>132</v>
      </c>
      <c r="H489" s="3" t="str">
        <f aca="false">IF(G489="OK","YES","no")</f>
        <v>YES</v>
      </c>
      <c r="I489" s="9" t="b">
        <f aca="false">COUNTIF('Roll Schedule'!$A$47:$A$790,A489)&gt;0</f>
        <v>1</v>
      </c>
      <c r="J489" s="8" t="s">
        <v>151</v>
      </c>
      <c r="K489" s="8" t="s">
        <v>1689</v>
      </c>
    </row>
    <row r="490" customFormat="false" ht="15" hidden="false" customHeight="false" outlineLevel="0" collapsed="false">
      <c r="A490" s="7" t="n">
        <v>46056</v>
      </c>
      <c r="B490" s="8" t="s">
        <v>1690</v>
      </c>
      <c r="C490" s="8" t="s">
        <v>1691</v>
      </c>
      <c r="D490" s="8" t="s">
        <v>903</v>
      </c>
      <c r="E490" s="8" t="n">
        <v>7250</v>
      </c>
      <c r="F490" s="8" t="s">
        <v>131</v>
      </c>
      <c r="G490" s="8" t="s">
        <v>132</v>
      </c>
      <c r="H490" s="3" t="str">
        <f aca="false">IF(G490="OK","YES","no")</f>
        <v>YES</v>
      </c>
      <c r="I490" s="9" t="b">
        <f aca="false">COUNTIF('Roll Schedule'!$A$47:$A$790,A490)&gt;0</f>
        <v>1</v>
      </c>
      <c r="J490" s="8" t="s">
        <v>151</v>
      </c>
      <c r="K490" s="8" t="s">
        <v>1692</v>
      </c>
    </row>
    <row r="491" customFormat="false" ht="15" hidden="false" customHeight="false" outlineLevel="0" collapsed="false">
      <c r="A491" s="7" t="n">
        <v>46057</v>
      </c>
      <c r="B491" s="8" t="s">
        <v>1693</v>
      </c>
      <c r="C491" s="8" t="s">
        <v>1694</v>
      </c>
      <c r="D491" s="8" t="s">
        <v>334</v>
      </c>
      <c r="E491" s="8" t="n">
        <v>7200</v>
      </c>
      <c r="F491" s="8" t="s">
        <v>131</v>
      </c>
      <c r="G491" s="8" t="s">
        <v>132</v>
      </c>
      <c r="H491" s="3" t="str">
        <f aca="false">IF(G491="OK","YES","no")</f>
        <v>YES</v>
      </c>
      <c r="I491" s="9" t="b">
        <f aca="false">COUNTIF('Roll Schedule'!$A$47:$A$790,A491)&gt;0</f>
        <v>1</v>
      </c>
      <c r="J491" s="8" t="s">
        <v>151</v>
      </c>
      <c r="K491" s="8" t="s">
        <v>1695</v>
      </c>
    </row>
    <row r="492" customFormat="false" ht="15" hidden="false" customHeight="false" outlineLevel="0" collapsed="false">
      <c r="A492" s="7" t="n">
        <v>46058</v>
      </c>
      <c r="B492" s="8" t="s">
        <v>1696</v>
      </c>
      <c r="C492" s="8" t="s">
        <v>1697</v>
      </c>
      <c r="D492" s="8" t="s">
        <v>911</v>
      </c>
      <c r="E492" s="8" t="n">
        <v>7300</v>
      </c>
      <c r="F492" s="8" t="s">
        <v>131</v>
      </c>
      <c r="G492" s="8" t="s">
        <v>132</v>
      </c>
      <c r="H492" s="3" t="str">
        <f aca="false">IF(G492="OK","YES","no")</f>
        <v>YES</v>
      </c>
      <c r="I492" s="9" t="b">
        <f aca="false">COUNTIF('Roll Schedule'!$A$47:$A$790,A492)&gt;0</f>
        <v>1</v>
      </c>
      <c r="J492" s="8" t="s">
        <v>151</v>
      </c>
      <c r="K492" s="8" t="s">
        <v>1698</v>
      </c>
    </row>
    <row r="493" customFormat="false" ht="15" hidden="false" customHeight="false" outlineLevel="0" collapsed="false">
      <c r="A493" s="7" t="n">
        <v>46059</v>
      </c>
      <c r="B493" s="8" t="s">
        <v>1699</v>
      </c>
      <c r="C493" s="8" t="s">
        <v>1700</v>
      </c>
      <c r="D493" s="8" t="s">
        <v>903</v>
      </c>
      <c r="E493" s="8" t="n">
        <v>7250</v>
      </c>
      <c r="F493" s="8" t="s">
        <v>131</v>
      </c>
      <c r="G493" s="8" t="s">
        <v>132</v>
      </c>
      <c r="H493" s="3" t="str">
        <f aca="false">IF(G493="OK","YES","no")</f>
        <v>YES</v>
      </c>
      <c r="I493" s="9" t="b">
        <f aca="false">COUNTIF('Roll Schedule'!$A$47:$A$790,A493)&gt;0</f>
        <v>1</v>
      </c>
      <c r="J493" s="8" t="s">
        <v>151</v>
      </c>
      <c r="K493" s="8" t="s">
        <v>1701</v>
      </c>
    </row>
    <row r="494" customFormat="false" ht="15" hidden="false" customHeight="false" outlineLevel="0" collapsed="false">
      <c r="A494" s="7" t="n">
        <v>46062</v>
      </c>
      <c r="B494" s="8" t="s">
        <v>1702</v>
      </c>
      <c r="C494" s="8" t="s">
        <v>1703</v>
      </c>
      <c r="D494" s="8" t="s">
        <v>1661</v>
      </c>
      <c r="E494" s="8" t="n">
        <v>7350</v>
      </c>
      <c r="F494" s="8" t="s">
        <v>131</v>
      </c>
      <c r="G494" s="8" t="s">
        <v>132</v>
      </c>
      <c r="H494" s="3" t="str">
        <f aca="false">IF(G494="OK","YES","no")</f>
        <v>YES</v>
      </c>
      <c r="I494" s="9" t="b">
        <f aca="false">COUNTIF('Roll Schedule'!$A$47:$A$790,A494)&gt;0</f>
        <v>1</v>
      </c>
      <c r="J494" s="8" t="s">
        <v>151</v>
      </c>
      <c r="K494" s="8" t="s">
        <v>1704</v>
      </c>
    </row>
    <row r="495" customFormat="false" ht="15" hidden="false" customHeight="false" outlineLevel="0" collapsed="false">
      <c r="A495" s="7" t="n">
        <v>46063</v>
      </c>
      <c r="B495" s="8" t="s">
        <v>1705</v>
      </c>
      <c r="C495" s="8" t="s">
        <v>1706</v>
      </c>
      <c r="D495" s="8" t="s">
        <v>1661</v>
      </c>
      <c r="E495" s="8" t="n">
        <v>7350</v>
      </c>
      <c r="F495" s="8" t="s">
        <v>131</v>
      </c>
      <c r="G495" s="8" t="s">
        <v>132</v>
      </c>
      <c r="H495" s="3" t="str">
        <f aca="false">IF(G495="OK","YES","no")</f>
        <v>YES</v>
      </c>
      <c r="I495" s="9" t="b">
        <f aca="false">COUNTIF('Roll Schedule'!$A$47:$A$790,A495)&gt;0</f>
        <v>1</v>
      </c>
      <c r="J495" s="8" t="s">
        <v>151</v>
      </c>
      <c r="K495" s="8" t="s">
        <v>1707</v>
      </c>
    </row>
    <row r="496" customFormat="false" ht="15" hidden="false" customHeight="false" outlineLevel="0" collapsed="false">
      <c r="A496" s="7" t="n">
        <v>46064</v>
      </c>
      <c r="B496" s="8" t="s">
        <v>1708</v>
      </c>
      <c r="C496" s="8" t="s">
        <v>1709</v>
      </c>
      <c r="D496" s="8" t="s">
        <v>903</v>
      </c>
      <c r="E496" s="8" t="n">
        <v>7250</v>
      </c>
      <c r="F496" s="8" t="s">
        <v>131</v>
      </c>
      <c r="G496" s="8" t="s">
        <v>132</v>
      </c>
      <c r="H496" s="3" t="str">
        <f aca="false">IF(G496="OK","YES","no")</f>
        <v>YES</v>
      </c>
      <c r="I496" s="9" t="b">
        <f aca="false">COUNTIF('Roll Schedule'!$A$47:$A$790,A496)&gt;0</f>
        <v>1</v>
      </c>
      <c r="J496" s="8" t="s">
        <v>151</v>
      </c>
      <c r="K496" s="8" t="s">
        <v>1710</v>
      </c>
    </row>
    <row r="497" customFormat="false" ht="15" hidden="false" customHeight="false" outlineLevel="0" collapsed="false">
      <c r="A497" s="7" t="n">
        <v>46065</v>
      </c>
      <c r="B497" s="8" t="s">
        <v>1711</v>
      </c>
      <c r="C497" s="8" t="s">
        <v>1712</v>
      </c>
      <c r="D497" s="8" t="s">
        <v>903</v>
      </c>
      <c r="E497" s="8" t="n">
        <v>7250</v>
      </c>
      <c r="F497" s="8" t="s">
        <v>131</v>
      </c>
      <c r="G497" s="8" t="s">
        <v>132</v>
      </c>
      <c r="H497" s="3" t="str">
        <f aca="false">IF(G497="OK","YES","no")</f>
        <v>YES</v>
      </c>
      <c r="I497" s="9" t="b">
        <f aca="false">COUNTIF('Roll Schedule'!$A$47:$A$790,A497)&gt;0</f>
        <v>1</v>
      </c>
      <c r="J497" s="8" t="s">
        <v>151</v>
      </c>
      <c r="K497" s="8" t="s">
        <v>1713</v>
      </c>
    </row>
    <row r="498" customFormat="false" ht="15" hidden="false" customHeight="false" outlineLevel="0" collapsed="false">
      <c r="A498" s="7" t="n">
        <v>46066</v>
      </c>
      <c r="B498" s="8" t="s">
        <v>1714</v>
      </c>
      <c r="C498" s="8" t="s">
        <v>1715</v>
      </c>
      <c r="D498" s="8" t="s">
        <v>903</v>
      </c>
      <c r="E498" s="8" t="n">
        <v>7250</v>
      </c>
      <c r="F498" s="8" t="s">
        <v>131</v>
      </c>
      <c r="G498" s="8" t="s">
        <v>132</v>
      </c>
      <c r="H498" s="3" t="str">
        <f aca="false">IF(G498="OK","YES","no")</f>
        <v>YES</v>
      </c>
      <c r="I498" s="9" t="b">
        <f aca="false">COUNTIF('Roll Schedule'!$A$47:$A$790,A498)&gt;0</f>
        <v>1</v>
      </c>
      <c r="J498" s="8" t="s">
        <v>151</v>
      </c>
      <c r="K498" s="8" t="s">
        <v>1716</v>
      </c>
    </row>
    <row r="499" customFormat="false" ht="15" hidden="false" customHeight="false" outlineLevel="0" collapsed="false">
      <c r="A499" s="7" t="n">
        <v>46069</v>
      </c>
      <c r="B499" s="8" t="s">
        <v>1717</v>
      </c>
      <c r="C499" s="8" t="s">
        <v>1718</v>
      </c>
      <c r="D499" s="8" t="s">
        <v>907</v>
      </c>
      <c r="E499" s="8" t="n">
        <v>7150</v>
      </c>
      <c r="F499" s="8" t="s">
        <v>131</v>
      </c>
      <c r="G499" s="8" t="s">
        <v>132</v>
      </c>
      <c r="H499" s="3" t="str">
        <f aca="false">IF(G499="OK","YES","no")</f>
        <v>YES</v>
      </c>
      <c r="I499" s="9" t="b">
        <f aca="false">COUNTIF('Roll Schedule'!$A$47:$A$790,A499)&gt;0</f>
        <v>1</v>
      </c>
      <c r="J499" s="8" t="s">
        <v>151</v>
      </c>
      <c r="K499" s="8" t="s">
        <v>1719</v>
      </c>
    </row>
    <row r="500" customFormat="false" ht="15" hidden="false" customHeight="false" outlineLevel="0" collapsed="false">
      <c r="A500" s="7" t="n">
        <v>46069</v>
      </c>
      <c r="B500" s="8" t="s">
        <v>1720</v>
      </c>
      <c r="C500" s="8" t="s">
        <v>1721</v>
      </c>
      <c r="D500" s="8" t="s">
        <v>907</v>
      </c>
      <c r="E500" s="8" t="n">
        <v>7150</v>
      </c>
      <c r="F500" s="8" t="s">
        <v>131</v>
      </c>
      <c r="G500" s="8" t="s">
        <v>251</v>
      </c>
      <c r="H500" s="3" t="str">
        <f aca="false">IF(G500="OK","YES","no")</f>
        <v>no</v>
      </c>
      <c r="I500" s="9" t="b">
        <f aca="false">COUNTIF('Roll Schedule'!$A$47:$A$790,A500)&gt;0</f>
        <v>1</v>
      </c>
      <c r="J500" s="8" t="s">
        <v>151</v>
      </c>
      <c r="K500" s="8" t="s">
        <v>1722</v>
      </c>
    </row>
    <row r="501" customFormat="false" ht="15" hidden="false" customHeight="false" outlineLevel="0" collapsed="false">
      <c r="A501" s="7" t="n">
        <v>46070</v>
      </c>
      <c r="B501" s="8" t="s">
        <v>1723</v>
      </c>
      <c r="C501" s="8" t="s">
        <v>1724</v>
      </c>
      <c r="D501" s="8" t="s">
        <v>907</v>
      </c>
      <c r="E501" s="8" t="n">
        <v>7150</v>
      </c>
      <c r="F501" s="8" t="s">
        <v>131</v>
      </c>
      <c r="G501" s="8" t="s">
        <v>132</v>
      </c>
      <c r="H501" s="3" t="str">
        <f aca="false">IF(G501="OK","YES","no")</f>
        <v>YES</v>
      </c>
      <c r="I501" s="9" t="b">
        <f aca="false">COUNTIF('Roll Schedule'!$A$47:$A$790,A501)&gt;0</f>
        <v>1</v>
      </c>
      <c r="J501" s="8" t="s">
        <v>151</v>
      </c>
      <c r="K501" s="8" t="s">
        <v>1725</v>
      </c>
    </row>
    <row r="502" customFormat="false" ht="15" hidden="false" customHeight="false" outlineLevel="0" collapsed="false">
      <c r="A502" s="7" t="n">
        <v>46071</v>
      </c>
      <c r="B502" s="8" t="s">
        <v>1726</v>
      </c>
      <c r="C502" s="8" t="s">
        <v>1727</v>
      </c>
      <c r="D502" s="8" t="s">
        <v>893</v>
      </c>
      <c r="E502" s="8" t="n">
        <v>7050</v>
      </c>
      <c r="F502" s="8" t="s">
        <v>131</v>
      </c>
      <c r="G502" s="8" t="s">
        <v>132</v>
      </c>
      <c r="H502" s="3" t="str">
        <f aca="false">IF(G502="OK","YES","no")</f>
        <v>YES</v>
      </c>
      <c r="I502" s="9" t="b">
        <f aca="false">COUNTIF('Roll Schedule'!$A$47:$A$790,A502)&gt;0</f>
        <v>1</v>
      </c>
      <c r="J502" s="8" t="s">
        <v>151</v>
      </c>
      <c r="K502" s="8" t="s">
        <v>1728</v>
      </c>
    </row>
    <row r="503" customFormat="false" ht="15" hidden="false" customHeight="false" outlineLevel="0" collapsed="false">
      <c r="A503" s="7" t="n">
        <v>46072</v>
      </c>
      <c r="B503" s="8" t="s">
        <v>1729</v>
      </c>
      <c r="C503" s="8" t="s">
        <v>1730</v>
      </c>
      <c r="D503" s="8" t="s">
        <v>907</v>
      </c>
      <c r="E503" s="8" t="n">
        <v>7150</v>
      </c>
      <c r="F503" s="8" t="s">
        <v>131</v>
      </c>
      <c r="G503" s="8" t="s">
        <v>132</v>
      </c>
      <c r="H503" s="3" t="str">
        <f aca="false">IF(G503="OK","YES","no")</f>
        <v>YES</v>
      </c>
      <c r="I503" s="9" t="b">
        <f aca="false">COUNTIF('Roll Schedule'!$A$47:$A$790,A503)&gt;0</f>
        <v>1</v>
      </c>
      <c r="J503" s="8" t="s">
        <v>151</v>
      </c>
      <c r="K503" s="8" t="s">
        <v>1731</v>
      </c>
    </row>
    <row r="504" customFormat="false" ht="15" hidden="false" customHeight="false" outlineLevel="0" collapsed="false">
      <c r="A504" s="7" t="n">
        <v>46073</v>
      </c>
      <c r="B504" s="8" t="s">
        <v>1732</v>
      </c>
      <c r="C504" s="8" t="s">
        <v>1733</v>
      </c>
      <c r="D504" s="8" t="s">
        <v>907</v>
      </c>
      <c r="E504" s="8" t="n">
        <v>7150</v>
      </c>
      <c r="F504" s="8" t="s">
        <v>131</v>
      </c>
      <c r="G504" s="8" t="s">
        <v>132</v>
      </c>
      <c r="H504" s="3" t="str">
        <f aca="false">IF(G504="OK","YES","no")</f>
        <v>YES</v>
      </c>
      <c r="I504" s="9" t="b">
        <f aca="false">COUNTIF('Roll Schedule'!$A$47:$A$790,A504)&gt;0</f>
        <v>1</v>
      </c>
      <c r="J504" s="8" t="s">
        <v>151</v>
      </c>
      <c r="K504" s="8" t="s">
        <v>1734</v>
      </c>
    </row>
    <row r="505" customFormat="false" ht="15" hidden="false" customHeight="false" outlineLevel="0" collapsed="false">
      <c r="A505" s="7" t="n">
        <v>46076</v>
      </c>
      <c r="B505" s="8" t="s">
        <v>1735</v>
      </c>
      <c r="C505" s="8" t="s">
        <v>1736</v>
      </c>
      <c r="D505" s="8" t="s">
        <v>889</v>
      </c>
      <c r="E505" s="8" t="n">
        <v>7000</v>
      </c>
      <c r="F505" s="8" t="s">
        <v>131</v>
      </c>
      <c r="G505" s="8" t="s">
        <v>132</v>
      </c>
      <c r="H505" s="3" t="str">
        <f aca="false">IF(G505="OK","YES","no")</f>
        <v>YES</v>
      </c>
      <c r="I505" s="9" t="b">
        <f aca="false">COUNTIF('Roll Schedule'!$A$47:$A$790,A505)&gt;0</f>
        <v>1</v>
      </c>
      <c r="J505" s="8" t="s">
        <v>151</v>
      </c>
      <c r="K505" s="8" t="s">
        <v>1737</v>
      </c>
    </row>
    <row r="506" customFormat="false" ht="15" hidden="false" customHeight="false" outlineLevel="0" collapsed="false">
      <c r="A506" s="7" t="n">
        <v>46077</v>
      </c>
      <c r="B506" s="8" t="s">
        <v>1738</v>
      </c>
      <c r="C506" s="8" t="s">
        <v>1739</v>
      </c>
      <c r="D506" s="8" t="s">
        <v>893</v>
      </c>
      <c r="E506" s="8" t="n">
        <v>7050</v>
      </c>
      <c r="F506" s="8" t="s">
        <v>131</v>
      </c>
      <c r="G506" s="8" t="s">
        <v>132</v>
      </c>
      <c r="H506" s="3" t="str">
        <f aca="false">IF(G506="OK","YES","no")</f>
        <v>YES</v>
      </c>
      <c r="I506" s="9" t="b">
        <f aca="false">COUNTIF('Roll Schedule'!$A$47:$A$790,A506)&gt;0</f>
        <v>1</v>
      </c>
      <c r="J506" s="8" t="s">
        <v>151</v>
      </c>
      <c r="K506" s="8" t="s">
        <v>1740</v>
      </c>
    </row>
    <row r="507" customFormat="false" ht="15" hidden="false" customHeight="false" outlineLevel="0" collapsed="false">
      <c r="A507" s="7" t="n">
        <v>46078</v>
      </c>
      <c r="B507" s="8" t="s">
        <v>1741</v>
      </c>
      <c r="C507" s="8" t="s">
        <v>1742</v>
      </c>
      <c r="D507" s="8" t="s">
        <v>889</v>
      </c>
      <c r="E507" s="8" t="n">
        <v>7000</v>
      </c>
      <c r="F507" s="8" t="s">
        <v>131</v>
      </c>
      <c r="G507" s="8" t="s">
        <v>132</v>
      </c>
      <c r="H507" s="3" t="str">
        <f aca="false">IF(G507="OK","YES","no")</f>
        <v>YES</v>
      </c>
      <c r="I507" s="9" t="b">
        <f aca="false">COUNTIF('Roll Schedule'!$A$47:$A$790,A507)&gt;0</f>
        <v>1</v>
      </c>
      <c r="J507" s="8" t="s">
        <v>151</v>
      </c>
      <c r="K507" s="8" t="s">
        <v>1743</v>
      </c>
    </row>
    <row r="508" customFormat="false" ht="15" hidden="false" customHeight="false" outlineLevel="0" collapsed="false">
      <c r="A508" s="7" t="n">
        <v>46079</v>
      </c>
      <c r="B508" s="8" t="s">
        <v>1744</v>
      </c>
      <c r="C508" s="8" t="s">
        <v>1745</v>
      </c>
      <c r="D508" s="8" t="s">
        <v>893</v>
      </c>
      <c r="E508" s="8" t="n">
        <v>7050</v>
      </c>
      <c r="F508" s="8" t="s">
        <v>131</v>
      </c>
      <c r="G508" s="8" t="s">
        <v>132</v>
      </c>
      <c r="H508" s="3" t="str">
        <f aca="false">IF(G508="OK","YES","no")</f>
        <v>YES</v>
      </c>
      <c r="I508" s="9" t="b">
        <f aca="false">COUNTIF('Roll Schedule'!$A$47:$A$790,A508)&gt;0</f>
        <v>1</v>
      </c>
      <c r="J508" s="8" t="s">
        <v>151</v>
      </c>
      <c r="K508" s="8" t="s">
        <v>1746</v>
      </c>
    </row>
    <row r="509" customFormat="false" ht="15" hidden="false" customHeight="false" outlineLevel="0" collapsed="false">
      <c r="A509" s="7" t="n">
        <v>46080</v>
      </c>
      <c r="B509" s="8" t="s">
        <v>1747</v>
      </c>
      <c r="C509" s="8" t="s">
        <v>1748</v>
      </c>
      <c r="D509" s="8" t="s">
        <v>351</v>
      </c>
      <c r="E509" s="8" t="n">
        <v>6950</v>
      </c>
      <c r="F509" s="8" t="s">
        <v>131</v>
      </c>
      <c r="G509" s="8" t="s">
        <v>132</v>
      </c>
      <c r="H509" s="3" t="str">
        <f aca="false">IF(G509="OK","YES","no")</f>
        <v>YES</v>
      </c>
      <c r="I509" s="9" t="b">
        <f aca="false">COUNTIF('Roll Schedule'!$A$47:$A$790,A509)&gt;0</f>
        <v>1</v>
      </c>
      <c r="J509" s="8" t="s">
        <v>151</v>
      </c>
      <c r="K509" s="8" t="s">
        <v>1749</v>
      </c>
    </row>
    <row r="510" customFormat="false" ht="15" hidden="false" customHeight="false" outlineLevel="0" collapsed="false">
      <c r="A510" s="7" t="n">
        <v>46083</v>
      </c>
      <c r="B510" s="8" t="s">
        <v>1750</v>
      </c>
      <c r="C510" s="8" t="s">
        <v>1751</v>
      </c>
      <c r="D510" s="8" t="s">
        <v>358</v>
      </c>
      <c r="E510" s="8" t="n">
        <v>6850</v>
      </c>
      <c r="F510" s="8" t="s">
        <v>131</v>
      </c>
      <c r="G510" s="8" t="s">
        <v>132</v>
      </c>
      <c r="H510" s="3" t="str">
        <f aca="false">IF(G510="OK","YES","no")</f>
        <v>YES</v>
      </c>
      <c r="I510" s="9" t="b">
        <f aca="false">COUNTIF('Roll Schedule'!$A$47:$A$790,A510)&gt;0</f>
        <v>1</v>
      </c>
      <c r="J510" s="8" t="s">
        <v>151</v>
      </c>
      <c r="K510" s="8" t="s">
        <v>1752</v>
      </c>
    </row>
    <row r="511" customFormat="false" ht="15" hidden="false" customHeight="false" outlineLevel="0" collapsed="false">
      <c r="A511" s="7" t="n">
        <v>46085</v>
      </c>
      <c r="B511" s="8" t="s">
        <v>1753</v>
      </c>
      <c r="C511" s="8" t="s">
        <v>1754</v>
      </c>
      <c r="D511" s="8" t="s">
        <v>358</v>
      </c>
      <c r="E511" s="8" t="n">
        <v>6850</v>
      </c>
      <c r="F511" s="8" t="s">
        <v>131</v>
      </c>
      <c r="G511" s="8" t="s">
        <v>132</v>
      </c>
      <c r="H511" s="3" t="str">
        <f aca="false">IF(G511="OK","YES","no")</f>
        <v>YES</v>
      </c>
      <c r="I511" s="9" t="b">
        <f aca="false">COUNTIF('Roll Schedule'!$A$47:$A$790,A511)&gt;0</f>
        <v>1</v>
      </c>
      <c r="J511" s="8" t="s">
        <v>151</v>
      </c>
      <c r="K511" s="8" t="s">
        <v>1755</v>
      </c>
    </row>
    <row r="512" customFormat="false" ht="15" hidden="false" customHeight="false" outlineLevel="0" collapsed="false">
      <c r="A512" s="7" t="n">
        <v>46086</v>
      </c>
      <c r="B512" s="8" t="s">
        <v>1756</v>
      </c>
      <c r="C512" s="8" t="s">
        <v>1757</v>
      </c>
      <c r="D512" s="8" t="s">
        <v>351</v>
      </c>
      <c r="E512" s="8" t="n">
        <v>6950</v>
      </c>
      <c r="F512" s="8" t="s">
        <v>131</v>
      </c>
      <c r="G512" s="8" t="s">
        <v>132</v>
      </c>
      <c r="H512" s="3" t="str">
        <f aca="false">IF(G512="OK","YES","no")</f>
        <v>YES</v>
      </c>
      <c r="I512" s="9" t="b">
        <f aca="false">COUNTIF('Roll Schedule'!$A$47:$A$790,A512)&gt;0</f>
        <v>1</v>
      </c>
      <c r="J512" s="8" t="s">
        <v>151</v>
      </c>
      <c r="K512" s="8" t="s">
        <v>1758</v>
      </c>
    </row>
    <row r="513" customFormat="false" ht="15" hidden="false" customHeight="false" outlineLevel="0" collapsed="false">
      <c r="A513" s="7" t="n">
        <v>46087</v>
      </c>
      <c r="B513" s="8" t="s">
        <v>1759</v>
      </c>
      <c r="C513" s="8" t="s">
        <v>1760</v>
      </c>
      <c r="D513" s="8" t="s">
        <v>889</v>
      </c>
      <c r="E513" s="8" t="n">
        <v>7000</v>
      </c>
      <c r="F513" s="8" t="s">
        <v>131</v>
      </c>
      <c r="G513" s="8" t="s">
        <v>132</v>
      </c>
      <c r="H513" s="3" t="str">
        <f aca="false">IF(G513="OK","YES","no")</f>
        <v>YES</v>
      </c>
      <c r="I513" s="9" t="b">
        <f aca="false">COUNTIF('Roll Schedule'!$A$47:$A$790,A513)&gt;0</f>
        <v>1</v>
      </c>
      <c r="J513" s="8" t="s">
        <v>151</v>
      </c>
      <c r="K513" s="8" t="s">
        <v>1761</v>
      </c>
    </row>
    <row r="514" customFormat="false" ht="15" hidden="false" customHeight="false" outlineLevel="0" collapsed="false">
      <c r="A514" s="7" t="n">
        <v>46090</v>
      </c>
      <c r="B514" s="8" t="s">
        <v>1762</v>
      </c>
      <c r="C514" s="8" t="s">
        <v>1763</v>
      </c>
      <c r="D514" s="8" t="s">
        <v>907</v>
      </c>
      <c r="E514" s="8" t="n">
        <v>7150</v>
      </c>
      <c r="F514" s="8" t="s">
        <v>131</v>
      </c>
      <c r="G514" s="8" t="s">
        <v>132</v>
      </c>
      <c r="H514" s="3" t="str">
        <f aca="false">IF(G514="OK","YES","no")</f>
        <v>YES</v>
      </c>
      <c r="I514" s="9" t="b">
        <f aca="false">COUNTIF('Roll Schedule'!$A$47:$A$790,A514)&gt;0</f>
        <v>1</v>
      </c>
      <c r="J514" s="8" t="s">
        <v>151</v>
      </c>
      <c r="K514" s="8" t="s">
        <v>1764</v>
      </c>
    </row>
    <row r="515" customFormat="false" ht="15" hidden="false" customHeight="false" outlineLevel="0" collapsed="false">
      <c r="A515" s="7" t="n">
        <v>46091</v>
      </c>
      <c r="B515" s="8" t="s">
        <v>1765</v>
      </c>
      <c r="C515" s="8" t="s">
        <v>1766</v>
      </c>
      <c r="D515" s="8" t="s">
        <v>893</v>
      </c>
      <c r="E515" s="8" t="n">
        <v>7050</v>
      </c>
      <c r="F515" s="8" t="s">
        <v>131</v>
      </c>
      <c r="G515" s="8" t="s">
        <v>132</v>
      </c>
      <c r="H515" s="3" t="str">
        <f aca="false">IF(G515="OK","YES","no")</f>
        <v>YES</v>
      </c>
      <c r="I515" s="9" t="b">
        <f aca="false">COUNTIF('Roll Schedule'!$A$47:$A$790,A515)&gt;0</f>
        <v>1</v>
      </c>
      <c r="J515" s="8" t="s">
        <v>151</v>
      </c>
      <c r="K515" s="8" t="s">
        <v>1767</v>
      </c>
    </row>
    <row r="516" customFormat="false" ht="15" hidden="false" customHeight="false" outlineLevel="0" collapsed="false">
      <c r="A516" s="7" t="n">
        <v>46092</v>
      </c>
      <c r="B516" s="8" t="s">
        <v>1768</v>
      </c>
      <c r="C516" s="8" t="s">
        <v>1769</v>
      </c>
      <c r="D516" s="8" t="s">
        <v>907</v>
      </c>
      <c r="E516" s="8" t="n">
        <v>7150</v>
      </c>
      <c r="F516" s="8" t="s">
        <v>131</v>
      </c>
      <c r="G516" s="8" t="s">
        <v>132</v>
      </c>
      <c r="H516" s="3" t="str">
        <f aca="false">IF(G516="OK","YES","no")</f>
        <v>YES</v>
      </c>
      <c r="I516" s="9" t="b">
        <f aca="false">COUNTIF('Roll Schedule'!$A$47:$A$790,A516)&gt;0</f>
        <v>1</v>
      </c>
      <c r="J516" s="8" t="s">
        <v>151</v>
      </c>
      <c r="K516" s="8" t="s">
        <v>1770</v>
      </c>
    </row>
    <row r="517" customFormat="false" ht="15" hidden="false" customHeight="false" outlineLevel="0" collapsed="false">
      <c r="A517" s="7" t="n">
        <v>46093</v>
      </c>
      <c r="B517" s="8" t="s">
        <v>1771</v>
      </c>
      <c r="C517" s="8" t="s">
        <v>1772</v>
      </c>
      <c r="D517" s="8" t="s">
        <v>907</v>
      </c>
      <c r="E517" s="8" t="n">
        <v>7150</v>
      </c>
      <c r="F517" s="8" t="s">
        <v>131</v>
      </c>
      <c r="G517" s="8" t="s">
        <v>132</v>
      </c>
      <c r="H517" s="3" t="str">
        <f aca="false">IF(G517="OK","YES","no")</f>
        <v>YES</v>
      </c>
      <c r="I517" s="9" t="b">
        <f aca="false">COUNTIF('Roll Schedule'!$A$47:$A$790,A517)&gt;0</f>
        <v>1</v>
      </c>
      <c r="J517" s="8" t="s">
        <v>151</v>
      </c>
      <c r="K517" s="8" t="s">
        <v>1773</v>
      </c>
    </row>
    <row r="518" customFormat="false" ht="15" hidden="false" customHeight="false" outlineLevel="0" collapsed="false">
      <c r="A518" s="7" t="n">
        <v>46094</v>
      </c>
      <c r="B518" s="8" t="s">
        <v>1774</v>
      </c>
      <c r="C518" s="8" t="s">
        <v>1775</v>
      </c>
      <c r="D518" s="8" t="s">
        <v>903</v>
      </c>
      <c r="E518" s="8" t="n">
        <v>7250</v>
      </c>
      <c r="F518" s="8" t="s">
        <v>131</v>
      </c>
      <c r="G518" s="8" t="s">
        <v>132</v>
      </c>
      <c r="H518" s="3" t="str">
        <f aca="false">IF(G518="OK","YES","no")</f>
        <v>YES</v>
      </c>
      <c r="I518" s="9" t="b">
        <f aca="false">COUNTIF('Roll Schedule'!$A$47:$A$790,A518)&gt;0</f>
        <v>1</v>
      </c>
      <c r="J518" s="8" t="s">
        <v>151</v>
      </c>
      <c r="K518" s="8" t="s">
        <v>1776</v>
      </c>
    </row>
    <row r="519" customFormat="false" ht="15" hidden="false" customHeight="false" outlineLevel="0" collapsed="false">
      <c r="A519" s="7" t="n">
        <v>46097</v>
      </c>
      <c r="B519" s="8" t="s">
        <v>1777</v>
      </c>
      <c r="C519" s="8" t="s">
        <v>1778</v>
      </c>
      <c r="D519" s="8" t="s">
        <v>334</v>
      </c>
      <c r="E519" s="8" t="n">
        <v>7200</v>
      </c>
      <c r="F519" s="8" t="s">
        <v>131</v>
      </c>
      <c r="G519" s="8" t="s">
        <v>132</v>
      </c>
      <c r="H519" s="3" t="str">
        <f aca="false">IF(G519="OK","YES","no")</f>
        <v>YES</v>
      </c>
      <c r="I519" s="9" t="b">
        <f aca="false">COUNTIF('Roll Schedule'!$A$47:$A$790,A519)&gt;0</f>
        <v>1</v>
      </c>
      <c r="J519" s="8" t="s">
        <v>151</v>
      </c>
      <c r="K519" s="8" t="s">
        <v>1779</v>
      </c>
    </row>
    <row r="520" customFormat="false" ht="15" hidden="false" customHeight="false" outlineLevel="0" collapsed="false">
      <c r="A520" s="7" t="n">
        <v>46098</v>
      </c>
      <c r="B520" s="8" t="s">
        <v>1780</v>
      </c>
      <c r="C520" s="8" t="s">
        <v>1781</v>
      </c>
      <c r="D520" s="8" t="s">
        <v>330</v>
      </c>
      <c r="E520" s="8" t="n">
        <v>7400</v>
      </c>
      <c r="F520" s="8" t="s">
        <v>131</v>
      </c>
      <c r="G520" s="8" t="s">
        <v>132</v>
      </c>
      <c r="H520" s="3" t="str">
        <f aca="false">IF(G520="OK","YES","no")</f>
        <v>YES</v>
      </c>
      <c r="I520" s="9" t="b">
        <f aca="false">COUNTIF('Roll Schedule'!$A$47:$A$790,A520)&gt;0</f>
        <v>1</v>
      </c>
      <c r="J520" s="8" t="s">
        <v>151</v>
      </c>
      <c r="K520" s="8" t="s">
        <v>1782</v>
      </c>
    </row>
    <row r="521" customFormat="false" ht="15" hidden="false" customHeight="false" outlineLevel="0" collapsed="false">
      <c r="A521" s="7" t="n">
        <v>46099</v>
      </c>
      <c r="B521" s="8" t="s">
        <v>1783</v>
      </c>
      <c r="C521" s="8" t="s">
        <v>1784</v>
      </c>
      <c r="D521" s="8" t="s">
        <v>330</v>
      </c>
      <c r="E521" s="8" t="n">
        <v>7400</v>
      </c>
      <c r="F521" s="8" t="s">
        <v>131</v>
      </c>
      <c r="G521" s="8" t="s">
        <v>132</v>
      </c>
      <c r="H521" s="3" t="str">
        <f aca="false">IF(G521="OK","YES","no")</f>
        <v>YES</v>
      </c>
      <c r="I521" s="9" t="b">
        <f aca="false">COUNTIF('Roll Schedule'!$A$47:$A$790,A521)&gt;0</f>
        <v>1</v>
      </c>
      <c r="J521" s="8" t="s">
        <v>151</v>
      </c>
      <c r="K521" s="8" t="s">
        <v>1785</v>
      </c>
    </row>
    <row r="522" customFormat="false" ht="15" hidden="false" customHeight="false" outlineLevel="0" collapsed="false">
      <c r="A522" s="7" t="n">
        <v>46101</v>
      </c>
      <c r="B522" s="8" t="s">
        <v>1786</v>
      </c>
      <c r="C522" s="8" t="s">
        <v>1787</v>
      </c>
      <c r="D522" s="8" t="s">
        <v>330</v>
      </c>
      <c r="E522" s="8" t="n">
        <v>7400</v>
      </c>
      <c r="F522" s="8" t="s">
        <v>131</v>
      </c>
      <c r="G522" s="8" t="s">
        <v>132</v>
      </c>
      <c r="H522" s="3" t="str">
        <f aca="false">IF(G522="OK","YES","no")</f>
        <v>YES</v>
      </c>
      <c r="I522" s="9" t="b">
        <f aca="false">COUNTIF('Roll Schedule'!$A$47:$A$790,A522)&gt;0</f>
        <v>1</v>
      </c>
      <c r="J522" s="8" t="s">
        <v>151</v>
      </c>
      <c r="K522" s="8" t="s">
        <v>1788</v>
      </c>
    </row>
    <row r="523" customFormat="false" ht="15" hidden="false" customHeight="false" outlineLevel="0" collapsed="false">
      <c r="A523" s="7" t="n">
        <v>46104</v>
      </c>
      <c r="B523" s="8" t="s">
        <v>1789</v>
      </c>
      <c r="C523" s="8" t="s">
        <v>1790</v>
      </c>
      <c r="D523" s="8" t="s">
        <v>1296</v>
      </c>
      <c r="E523" s="8" t="n">
        <v>7600</v>
      </c>
      <c r="F523" s="8" t="s">
        <v>131</v>
      </c>
      <c r="G523" s="8" t="s">
        <v>132</v>
      </c>
      <c r="H523" s="3" t="str">
        <f aca="false">IF(G523="OK","YES","no")</f>
        <v>YES</v>
      </c>
      <c r="I523" s="9" t="b">
        <f aca="false">COUNTIF('Roll Schedule'!$A$47:$A$790,A523)&gt;0</f>
        <v>1</v>
      </c>
      <c r="J523" s="8" t="s">
        <v>151</v>
      </c>
      <c r="K523" s="8" t="s">
        <v>1791</v>
      </c>
    </row>
    <row r="524" customFormat="false" ht="15" hidden="false" customHeight="false" outlineLevel="0" collapsed="false">
      <c r="A524" s="7" t="n">
        <v>46105</v>
      </c>
      <c r="B524" s="8" t="s">
        <v>1792</v>
      </c>
      <c r="C524" s="8" t="s">
        <v>1793</v>
      </c>
      <c r="D524" s="8" t="s">
        <v>1269</v>
      </c>
      <c r="E524" s="8" t="n">
        <v>7550</v>
      </c>
      <c r="F524" s="8" t="s">
        <v>131</v>
      </c>
      <c r="G524" s="8" t="s">
        <v>132</v>
      </c>
      <c r="H524" s="3" t="str">
        <f aca="false">IF(G524="OK","YES","no")</f>
        <v>YES</v>
      </c>
      <c r="I524" s="9" t="b">
        <f aca="false">COUNTIF('Roll Schedule'!$A$47:$A$790,A524)&gt;0</f>
        <v>1</v>
      </c>
      <c r="J524" s="8" t="s">
        <v>151</v>
      </c>
      <c r="K524" s="8" t="s">
        <v>1794</v>
      </c>
    </row>
    <row r="525" customFormat="false" ht="15" hidden="false" customHeight="false" outlineLevel="0" collapsed="false">
      <c r="A525" s="7" t="n">
        <v>46106</v>
      </c>
      <c r="B525" s="8" t="s">
        <v>1795</v>
      </c>
      <c r="C525" s="8" t="s">
        <v>1796</v>
      </c>
      <c r="D525" s="8" t="s">
        <v>1296</v>
      </c>
      <c r="E525" s="8" t="n">
        <v>7600</v>
      </c>
      <c r="F525" s="8" t="s">
        <v>131</v>
      </c>
      <c r="G525" s="8" t="s">
        <v>132</v>
      </c>
      <c r="H525" s="3" t="str">
        <f aca="false">IF(G525="OK","YES","no")</f>
        <v>YES</v>
      </c>
      <c r="I525" s="9" t="b">
        <f aca="false">COUNTIF('Roll Schedule'!$A$47:$A$790,A525)&gt;0</f>
        <v>1</v>
      </c>
      <c r="J525" s="8" t="s">
        <v>151</v>
      </c>
      <c r="K525" s="8" t="s">
        <v>1797</v>
      </c>
    </row>
    <row r="526" customFormat="false" ht="15" hidden="false" customHeight="false" outlineLevel="0" collapsed="false">
      <c r="A526" s="7" t="n">
        <v>46107</v>
      </c>
      <c r="B526" s="8" t="s">
        <v>1798</v>
      </c>
      <c r="C526" s="8" t="s">
        <v>1799</v>
      </c>
      <c r="D526" s="8" t="s">
        <v>1269</v>
      </c>
      <c r="E526" s="8" t="n">
        <v>7550</v>
      </c>
      <c r="F526" s="8" t="s">
        <v>131</v>
      </c>
      <c r="G526" s="8" t="s">
        <v>132</v>
      </c>
      <c r="H526" s="3" t="str">
        <f aca="false">IF(G526="OK","YES","no")</f>
        <v>YES</v>
      </c>
      <c r="I526" s="9" t="b">
        <f aca="false">COUNTIF('Roll Schedule'!$A$47:$A$790,A526)&gt;0</f>
        <v>0</v>
      </c>
      <c r="J526" s="8" t="s">
        <v>151</v>
      </c>
      <c r="K526" s="8" t="s">
        <v>1800</v>
      </c>
    </row>
    <row r="527" customFormat="false" ht="15" hidden="false" customHeight="false" outlineLevel="0" collapsed="false">
      <c r="A527" s="7" t="n">
        <v>46108</v>
      </c>
      <c r="B527" s="8" t="s">
        <v>1801</v>
      </c>
      <c r="C527" s="8" t="s">
        <v>1802</v>
      </c>
      <c r="D527" s="8" t="s">
        <v>1269</v>
      </c>
      <c r="E527" s="8" t="n">
        <v>7550</v>
      </c>
      <c r="F527" s="8" t="s">
        <v>131</v>
      </c>
      <c r="G527" s="8" t="s">
        <v>132</v>
      </c>
      <c r="H527" s="3" t="str">
        <f aca="false">IF(G527="OK","YES","no")</f>
        <v>YES</v>
      </c>
      <c r="I527" s="9" t="b">
        <f aca="false">COUNTIF('Roll Schedule'!$A$47:$A$790,A527)&gt;0</f>
        <v>1</v>
      </c>
      <c r="J527" s="8" t="s">
        <v>151</v>
      </c>
      <c r="K527" s="8" t="s">
        <v>1803</v>
      </c>
    </row>
    <row r="528" customFormat="false" ht="15" hidden="false" customHeight="false" outlineLevel="0" collapsed="false">
      <c r="A528" s="7" t="n">
        <v>46111</v>
      </c>
      <c r="B528" s="8" t="s">
        <v>1804</v>
      </c>
      <c r="C528" s="8" t="s">
        <v>1805</v>
      </c>
      <c r="D528" s="8" t="s">
        <v>1259</v>
      </c>
      <c r="E528" s="8" t="n">
        <v>7500</v>
      </c>
      <c r="F528" s="8" t="s">
        <v>131</v>
      </c>
      <c r="G528" s="8" t="s">
        <v>132</v>
      </c>
      <c r="H528" s="3" t="str">
        <f aca="false">IF(G528="OK","YES","no")</f>
        <v>YES</v>
      </c>
      <c r="I528" s="9" t="b">
        <f aca="false">COUNTIF('Roll Schedule'!$A$47:$A$790,A528)&gt;0</f>
        <v>1</v>
      </c>
      <c r="J528" s="8" t="s">
        <v>151</v>
      </c>
      <c r="K528" s="8" t="s">
        <v>1806</v>
      </c>
    </row>
    <row r="529" customFormat="false" ht="15" hidden="false" customHeight="false" outlineLevel="0" collapsed="false">
      <c r="A529" s="7" t="n">
        <v>46112</v>
      </c>
      <c r="B529" s="8" t="s">
        <v>1807</v>
      </c>
      <c r="C529" s="8" t="s">
        <v>1808</v>
      </c>
      <c r="D529" s="8" t="s">
        <v>1259</v>
      </c>
      <c r="E529" s="8" t="n">
        <v>7500</v>
      </c>
      <c r="F529" s="8" t="s">
        <v>131</v>
      </c>
      <c r="G529" s="8" t="s">
        <v>132</v>
      </c>
      <c r="H529" s="3" t="str">
        <f aca="false">IF(G529="OK","YES","no")</f>
        <v>YES</v>
      </c>
      <c r="I529" s="9" t="b">
        <f aca="false">COUNTIF('Roll Schedule'!$A$47:$A$790,A529)&gt;0</f>
        <v>0</v>
      </c>
      <c r="J529" s="8" t="s">
        <v>151</v>
      </c>
      <c r="K529" s="8" t="s">
        <v>1809</v>
      </c>
    </row>
    <row r="530" customFormat="false" ht="15" hidden="false" customHeight="false" outlineLevel="0" collapsed="false">
      <c r="A530" s="7" t="n">
        <v>46113</v>
      </c>
      <c r="B530" s="8" t="s">
        <v>1810</v>
      </c>
      <c r="C530" s="8" t="s">
        <v>1811</v>
      </c>
      <c r="D530" s="8" t="s">
        <v>1259</v>
      </c>
      <c r="E530" s="8" t="n">
        <v>7500</v>
      </c>
      <c r="F530" s="8" t="s">
        <v>131</v>
      </c>
      <c r="G530" s="8" t="s">
        <v>132</v>
      </c>
      <c r="H530" s="3" t="str">
        <f aca="false">IF(G530="OK","YES","no")</f>
        <v>YES</v>
      </c>
      <c r="I530" s="9" t="b">
        <f aca="false">COUNTIF('Roll Schedule'!$A$47:$A$790,A530)&gt;0</f>
        <v>1</v>
      </c>
      <c r="J530" s="8" t="s">
        <v>151</v>
      </c>
      <c r="K530" s="8" t="s">
        <v>1812</v>
      </c>
    </row>
    <row r="531" customFormat="false" ht="15" hidden="false" customHeight="false" outlineLevel="0" collapsed="false">
      <c r="A531" s="7" t="n">
        <v>46114</v>
      </c>
      <c r="B531" s="8" t="s">
        <v>1813</v>
      </c>
      <c r="C531" s="8" t="s">
        <v>1814</v>
      </c>
      <c r="D531" s="8" t="s">
        <v>1651</v>
      </c>
      <c r="E531" s="8" t="n">
        <v>7450</v>
      </c>
      <c r="F531" s="8" t="s">
        <v>131</v>
      </c>
      <c r="G531" s="8" t="s">
        <v>132</v>
      </c>
      <c r="H531" s="3" t="str">
        <f aca="false">IF(G531="OK","YES","no")</f>
        <v>YES</v>
      </c>
      <c r="I531" s="9" t="b">
        <f aca="false">COUNTIF('Roll Schedule'!$A$47:$A$790,A531)&gt;0</f>
        <v>1</v>
      </c>
      <c r="J531" s="8" t="s">
        <v>151</v>
      </c>
      <c r="K531" s="8" t="s">
        <v>1815</v>
      </c>
    </row>
    <row r="532" customFormat="false" ht="15" hidden="false" customHeight="false" outlineLevel="0" collapsed="false">
      <c r="A532" s="7" t="n">
        <v>46115</v>
      </c>
      <c r="B532" s="8" t="s">
        <v>1816</v>
      </c>
      <c r="C532" s="8" t="s">
        <v>1817</v>
      </c>
      <c r="D532" s="8" t="s">
        <v>330</v>
      </c>
      <c r="E532" s="8" t="n">
        <v>7400</v>
      </c>
      <c r="F532" s="8" t="s">
        <v>131</v>
      </c>
      <c r="G532" s="8" t="s">
        <v>132</v>
      </c>
      <c r="H532" s="3" t="str">
        <f aca="false">IF(G532="OK","YES","no")</f>
        <v>YES</v>
      </c>
      <c r="I532" s="9" t="b">
        <f aca="false">COUNTIF('Roll Schedule'!$A$47:$A$790,A532)&gt;0</f>
        <v>0</v>
      </c>
      <c r="J532" s="8" t="s">
        <v>151</v>
      </c>
      <c r="K532" s="8" t="s">
        <v>1818</v>
      </c>
    </row>
    <row r="533" customFormat="false" ht="15" hidden="false" customHeight="false" outlineLevel="0" collapsed="false">
      <c r="A533" s="7" t="n">
        <v>46118</v>
      </c>
      <c r="B533" s="8" t="s">
        <v>1819</v>
      </c>
      <c r="C533" s="8" t="s">
        <v>1820</v>
      </c>
      <c r="D533" s="8" t="s">
        <v>903</v>
      </c>
      <c r="E533" s="8" t="n">
        <v>7250</v>
      </c>
      <c r="F533" s="8" t="s">
        <v>131</v>
      </c>
      <c r="G533" s="8" t="s">
        <v>132</v>
      </c>
      <c r="H533" s="3" t="str">
        <f aca="false">IF(G533="OK","YES","no")</f>
        <v>YES</v>
      </c>
      <c r="I533" s="9" t="b">
        <f aca="false">COUNTIF('Roll Schedule'!$A$47:$A$790,A533)&gt;0</f>
        <v>1</v>
      </c>
      <c r="J533" s="8" t="s">
        <v>151</v>
      </c>
      <c r="K533" s="8" t="s">
        <v>1821</v>
      </c>
    </row>
    <row r="534" customFormat="false" ht="15" hidden="false" customHeight="false" outlineLevel="0" collapsed="false">
      <c r="A534" s="7" t="n">
        <v>46120</v>
      </c>
      <c r="B534" s="8" t="s">
        <v>1822</v>
      </c>
      <c r="C534" s="8" t="s">
        <v>1823</v>
      </c>
      <c r="D534" s="8" t="s">
        <v>907</v>
      </c>
      <c r="E534" s="8" t="n">
        <v>7150</v>
      </c>
      <c r="F534" s="8" t="s">
        <v>131</v>
      </c>
      <c r="G534" s="8" t="s">
        <v>132</v>
      </c>
      <c r="H534" s="3" t="str">
        <f aca="false">IF(G534="OK","YES","no")</f>
        <v>YES</v>
      </c>
      <c r="I534" s="9" t="b">
        <f aca="false">COUNTIF('Roll Schedule'!$A$47:$A$790,A534)&gt;0</f>
        <v>1</v>
      </c>
      <c r="J534" s="8" t="s">
        <v>151</v>
      </c>
      <c r="K534" s="8" t="s">
        <v>1824</v>
      </c>
    </row>
    <row r="535" customFormat="false" ht="15" hidden="false" customHeight="false" outlineLevel="0" collapsed="false">
      <c r="A535" s="7" t="n">
        <v>46121</v>
      </c>
      <c r="B535" s="8" t="s">
        <v>1825</v>
      </c>
      <c r="C535" s="8" t="s">
        <v>1826</v>
      </c>
      <c r="D535" s="8" t="s">
        <v>889</v>
      </c>
      <c r="E535" s="8" t="n">
        <v>7000</v>
      </c>
      <c r="F535" s="8" t="s">
        <v>131</v>
      </c>
      <c r="G535" s="8" t="s">
        <v>132</v>
      </c>
      <c r="H535" s="3" t="str">
        <f aca="false">IF(G535="OK","YES","no")</f>
        <v>YES</v>
      </c>
      <c r="I535" s="9" t="b">
        <f aca="false">COUNTIF('Roll Schedule'!$A$47:$A$790,A535)&gt;0</f>
        <v>1</v>
      </c>
      <c r="J535" s="8" t="s">
        <v>151</v>
      </c>
      <c r="K535" s="8" t="s">
        <v>1827</v>
      </c>
    </row>
    <row r="536" customFormat="false" ht="15" hidden="false" customHeight="false" outlineLevel="0" collapsed="false">
      <c r="A536" s="7" t="n">
        <v>46122</v>
      </c>
      <c r="B536" s="8" t="s">
        <v>1828</v>
      </c>
      <c r="C536" s="8" t="s">
        <v>1829</v>
      </c>
      <c r="D536" s="8" t="s">
        <v>351</v>
      </c>
      <c r="E536" s="8" t="n">
        <v>6950</v>
      </c>
      <c r="F536" s="8" t="s">
        <v>131</v>
      </c>
      <c r="G536" s="8" t="s">
        <v>132</v>
      </c>
      <c r="H536" s="3" t="str">
        <f aca="false">IF(G536="OK","YES","no")</f>
        <v>YES</v>
      </c>
      <c r="I536" s="9" t="b">
        <f aca="false">COUNTIF('Roll Schedule'!$A$47:$A$790,A536)&gt;0</f>
        <v>1</v>
      </c>
      <c r="J536" s="8" t="s">
        <v>151</v>
      </c>
      <c r="K536" s="8" t="s">
        <v>1830</v>
      </c>
    </row>
    <row r="537" customFormat="false" ht="15" hidden="false" customHeight="false" outlineLevel="0" collapsed="false">
      <c r="A537" s="7" t="n">
        <v>46125</v>
      </c>
      <c r="B537" s="8" t="s">
        <v>1831</v>
      </c>
      <c r="C537" s="8" t="s">
        <v>1832</v>
      </c>
      <c r="D537" s="8" t="s">
        <v>351</v>
      </c>
      <c r="E537" s="8" t="n">
        <v>6950</v>
      </c>
      <c r="F537" s="8" t="s">
        <v>131</v>
      </c>
      <c r="G537" s="8" t="s">
        <v>132</v>
      </c>
      <c r="H537" s="3" t="str">
        <f aca="false">IF(G537="OK","YES","no")</f>
        <v>YES</v>
      </c>
      <c r="I537" s="9" t="b">
        <f aca="false">COUNTIF('Roll Schedule'!$A$47:$A$790,A537)&gt;0</f>
        <v>1</v>
      </c>
      <c r="J537" s="8" t="s">
        <v>151</v>
      </c>
      <c r="K537" s="8" t="s">
        <v>1833</v>
      </c>
    </row>
    <row r="538" customFormat="false" ht="15" hidden="false" customHeight="false" outlineLevel="0" collapsed="false">
      <c r="A538" s="7" t="n">
        <v>46126</v>
      </c>
      <c r="B538" s="8" t="s">
        <v>1834</v>
      </c>
      <c r="C538" s="8" t="s">
        <v>1835</v>
      </c>
      <c r="D538" s="8" t="s">
        <v>779</v>
      </c>
      <c r="E538" s="8" t="n">
        <v>6800</v>
      </c>
      <c r="F538" s="8" t="s">
        <v>131</v>
      </c>
      <c r="G538" s="8" t="s">
        <v>132</v>
      </c>
      <c r="H538" s="3" t="str">
        <f aca="false">IF(G538="OK","YES","no")</f>
        <v>YES</v>
      </c>
      <c r="I538" s="9" t="b">
        <f aca="false">COUNTIF('Roll Schedule'!$A$47:$A$790,A538)&gt;0</f>
        <v>0</v>
      </c>
      <c r="J538" s="8" t="s">
        <v>151</v>
      </c>
      <c r="K538" s="8" t="s">
        <v>1836</v>
      </c>
    </row>
    <row r="539" customFormat="false" ht="15" hidden="false" customHeight="false" outlineLevel="0" collapsed="false">
      <c r="A539" s="7" t="n">
        <v>46127</v>
      </c>
      <c r="B539" s="8" t="s">
        <v>1837</v>
      </c>
      <c r="C539" s="8" t="s">
        <v>1838</v>
      </c>
      <c r="D539" s="8" t="s">
        <v>358</v>
      </c>
      <c r="E539" s="8" t="n">
        <v>6850</v>
      </c>
      <c r="F539" s="8" t="s">
        <v>131</v>
      </c>
      <c r="G539" s="8" t="s">
        <v>132</v>
      </c>
      <c r="H539" s="3" t="str">
        <f aca="false">IF(G539="OK","YES","no")</f>
        <v>YES</v>
      </c>
      <c r="I539" s="9" t="b">
        <f aca="false">COUNTIF('Roll Schedule'!$A$47:$A$790,A539)&gt;0</f>
        <v>1</v>
      </c>
      <c r="J539" s="8" t="s">
        <v>151</v>
      </c>
      <c r="K539" s="8" t="s">
        <v>1839</v>
      </c>
    </row>
    <row r="540" customFormat="false" ht="15" hidden="false" customHeight="false" outlineLevel="0" collapsed="false">
      <c r="A540" s="7" t="n">
        <v>46128</v>
      </c>
      <c r="B540" s="8" t="s">
        <v>1840</v>
      </c>
      <c r="C540" s="8" t="s">
        <v>1841</v>
      </c>
      <c r="D540" s="8" t="s">
        <v>372</v>
      </c>
      <c r="E540" s="8" t="n">
        <v>6700</v>
      </c>
      <c r="F540" s="8" t="s">
        <v>131</v>
      </c>
      <c r="G540" s="8" t="s">
        <v>132</v>
      </c>
      <c r="H540" s="3" t="str">
        <f aca="false">IF(G540="OK","YES","no")</f>
        <v>YES</v>
      </c>
      <c r="I540" s="9" t="b">
        <f aca="false">COUNTIF('Roll Schedule'!$A$47:$A$790,A540)&gt;0</f>
        <v>1</v>
      </c>
      <c r="J540" s="8" t="s">
        <v>151</v>
      </c>
      <c r="K540" s="8" t="s">
        <v>1842</v>
      </c>
    </row>
    <row r="541" customFormat="false" ht="15" hidden="false" customHeight="false" outlineLevel="0" collapsed="false">
      <c r="A541" s="7" t="n">
        <v>46129</v>
      </c>
      <c r="B541" s="8" t="s">
        <v>1843</v>
      </c>
      <c r="C541" s="8" t="s">
        <v>1844</v>
      </c>
      <c r="D541" s="8" t="s">
        <v>372</v>
      </c>
      <c r="E541" s="8" t="n">
        <v>6700</v>
      </c>
      <c r="F541" s="8" t="s">
        <v>131</v>
      </c>
      <c r="G541" s="8" t="s">
        <v>132</v>
      </c>
      <c r="H541" s="3" t="str">
        <f aca="false">IF(G541="OK","YES","no")</f>
        <v>YES</v>
      </c>
      <c r="I541" s="9" t="b">
        <f aca="false">COUNTIF('Roll Schedule'!$A$47:$A$790,A541)&gt;0</f>
        <v>1</v>
      </c>
      <c r="J541" s="8" t="s">
        <v>151</v>
      </c>
      <c r="K541" s="8" t="s">
        <v>1845</v>
      </c>
    </row>
    <row r="542" customFormat="false" ht="15" hidden="false" customHeight="false" outlineLevel="0" collapsed="false">
      <c r="A542" s="7" t="n">
        <v>46132</v>
      </c>
      <c r="B542" s="8" t="s">
        <v>1846</v>
      </c>
      <c r="C542" s="8" t="s">
        <v>1847</v>
      </c>
      <c r="D542" s="8" t="s">
        <v>372</v>
      </c>
      <c r="E542" s="8" t="n">
        <v>6700</v>
      </c>
      <c r="F542" s="8" t="s">
        <v>131</v>
      </c>
      <c r="G542" s="8" t="s">
        <v>132</v>
      </c>
      <c r="H542" s="3" t="str">
        <f aca="false">IF(G542="OK","YES","no")</f>
        <v>YES</v>
      </c>
      <c r="I542" s="9" t="b">
        <f aca="false">COUNTIF('Roll Schedule'!$A$47:$A$790,A542)&gt;0</f>
        <v>1</v>
      </c>
      <c r="J542" s="8" t="s">
        <v>151</v>
      </c>
      <c r="K542" s="8" t="s">
        <v>1848</v>
      </c>
    </row>
    <row r="543" customFormat="false" ht="15" hidden="false" customHeight="false" outlineLevel="0" collapsed="false">
      <c r="A543" s="7" t="n">
        <v>46133</v>
      </c>
      <c r="B543" s="8" t="s">
        <v>1849</v>
      </c>
      <c r="C543" s="8" t="s">
        <v>1850</v>
      </c>
      <c r="D543" s="8" t="s">
        <v>376</v>
      </c>
      <c r="E543" s="8" t="n">
        <v>6650</v>
      </c>
      <c r="F543" s="8" t="s">
        <v>131</v>
      </c>
      <c r="G543" s="8" t="s">
        <v>132</v>
      </c>
      <c r="H543" s="3" t="str">
        <f aca="false">IF(G543="OK","YES","no")</f>
        <v>YES</v>
      </c>
      <c r="I543" s="9" t="b">
        <f aca="false">COUNTIF('Roll Schedule'!$A$47:$A$790,A543)&gt;0</f>
        <v>1</v>
      </c>
      <c r="J543" s="8" t="s">
        <v>151</v>
      </c>
      <c r="K543" s="8" t="s">
        <v>1851</v>
      </c>
    </row>
    <row r="544" customFormat="false" ht="15" hidden="false" customHeight="false" outlineLevel="0" collapsed="false">
      <c r="A544" s="7" t="n">
        <v>46134</v>
      </c>
      <c r="B544" s="8" t="s">
        <v>1852</v>
      </c>
      <c r="C544" s="8" t="s">
        <v>1853</v>
      </c>
      <c r="D544" s="8" t="s">
        <v>376</v>
      </c>
      <c r="E544" s="8" t="n">
        <v>6650</v>
      </c>
      <c r="F544" s="8" t="s">
        <v>131</v>
      </c>
      <c r="G544" s="8" t="s">
        <v>132</v>
      </c>
      <c r="H544" s="3" t="str">
        <f aca="false">IF(G544="OK","YES","no")</f>
        <v>YES</v>
      </c>
      <c r="I544" s="9" t="b">
        <f aca="false">COUNTIF('Roll Schedule'!$A$47:$A$790,A544)&gt;0</f>
        <v>1</v>
      </c>
      <c r="J544" s="8" t="s">
        <v>151</v>
      </c>
      <c r="K544" s="8" t="s">
        <v>1854</v>
      </c>
    </row>
    <row r="545" customFormat="false" ht="15" hidden="false" customHeight="false" outlineLevel="0" collapsed="false">
      <c r="A545" s="7" t="n">
        <v>46135</v>
      </c>
      <c r="B545" s="8" t="s">
        <v>1855</v>
      </c>
      <c r="C545" s="8" t="s">
        <v>1856</v>
      </c>
      <c r="D545" s="8" t="s">
        <v>368</v>
      </c>
      <c r="E545" s="8" t="n">
        <v>6750</v>
      </c>
      <c r="F545" s="8" t="s">
        <v>131</v>
      </c>
      <c r="G545" s="8" t="s">
        <v>132</v>
      </c>
      <c r="H545" s="3" t="str">
        <f aca="false">IF(G545="OK","YES","no")</f>
        <v>YES</v>
      </c>
      <c r="I545" s="9" t="b">
        <f aca="false">COUNTIF('Roll Schedule'!$A$47:$A$790,A545)&gt;0</f>
        <v>1</v>
      </c>
      <c r="J545" s="8" t="s">
        <v>151</v>
      </c>
      <c r="K545" s="8" t="s">
        <v>1857</v>
      </c>
    </row>
    <row r="546" customFormat="false" ht="15" hidden="false" customHeight="false" outlineLevel="0" collapsed="false">
      <c r="A546" s="7" t="n">
        <v>46136</v>
      </c>
      <c r="B546" s="8" t="s">
        <v>1858</v>
      </c>
      <c r="C546" s="8" t="s">
        <v>1859</v>
      </c>
      <c r="D546" s="8" t="s">
        <v>368</v>
      </c>
      <c r="E546" s="8" t="n">
        <v>6750</v>
      </c>
      <c r="F546" s="8" t="s">
        <v>131</v>
      </c>
      <c r="G546" s="8" t="s">
        <v>132</v>
      </c>
      <c r="H546" s="3" t="str">
        <f aca="false">IF(G546="OK","YES","no")</f>
        <v>YES</v>
      </c>
      <c r="I546" s="9" t="b">
        <f aca="false">COUNTIF('Roll Schedule'!$A$47:$A$790,A546)&gt;0</f>
        <v>1</v>
      </c>
      <c r="J546" s="8" t="s">
        <v>151</v>
      </c>
      <c r="K546" s="8" t="s">
        <v>1860</v>
      </c>
    </row>
    <row r="547" customFormat="false" ht="15" hidden="false" customHeight="false" outlineLevel="0" collapsed="false">
      <c r="A547" s="7" t="n">
        <v>46139</v>
      </c>
      <c r="B547" s="8" t="s">
        <v>1861</v>
      </c>
      <c r="C547" s="8" t="s">
        <v>1862</v>
      </c>
      <c r="D547" s="8" t="s">
        <v>889</v>
      </c>
      <c r="E547" s="8" t="n">
        <v>7000</v>
      </c>
      <c r="F547" s="8" t="s">
        <v>131</v>
      </c>
      <c r="G547" s="8" t="s">
        <v>132</v>
      </c>
      <c r="H547" s="3" t="str">
        <f aca="false">IF(G547="OK","YES","no")</f>
        <v>YES</v>
      </c>
      <c r="I547" s="9" t="b">
        <f aca="false">COUNTIF('Roll Schedule'!$A$47:$A$790,A547)&gt;0</f>
        <v>1</v>
      </c>
      <c r="J547" s="8" t="s">
        <v>151</v>
      </c>
      <c r="K547" s="8" t="s">
        <v>1863</v>
      </c>
    </row>
    <row r="548" customFormat="false" ht="15" hidden="false" customHeight="false" outlineLevel="0" collapsed="false">
      <c r="A548" s="7" t="n">
        <v>46140</v>
      </c>
      <c r="B548" s="8" t="s">
        <v>1864</v>
      </c>
      <c r="C548" s="8" t="s">
        <v>1865</v>
      </c>
      <c r="D548" s="8" t="s">
        <v>338</v>
      </c>
      <c r="E548" s="8" t="n">
        <v>7100</v>
      </c>
      <c r="F548" s="8" t="s">
        <v>131</v>
      </c>
      <c r="G548" s="8" t="s">
        <v>132</v>
      </c>
      <c r="H548" s="3" t="str">
        <f aca="false">IF(G548="OK","YES","no")</f>
        <v>YES</v>
      </c>
      <c r="I548" s="9" t="b">
        <f aca="false">COUNTIF('Roll Schedule'!$A$47:$A$790,A548)&gt;0</f>
        <v>1</v>
      </c>
      <c r="J548" s="8" t="s">
        <v>151</v>
      </c>
      <c r="K548" s="8" t="s">
        <v>1866</v>
      </c>
    </row>
    <row r="549" customFormat="false" ht="15" hidden="false" customHeight="false" outlineLevel="0" collapsed="false">
      <c r="A549" s="7" t="n">
        <v>46141</v>
      </c>
      <c r="B549" s="8" t="s">
        <v>1867</v>
      </c>
      <c r="C549" s="8" t="s">
        <v>1868</v>
      </c>
      <c r="D549" s="8" t="s">
        <v>893</v>
      </c>
      <c r="E549" s="8" t="n">
        <v>7050</v>
      </c>
      <c r="F549" s="8" t="s">
        <v>131</v>
      </c>
      <c r="G549" s="8" t="s">
        <v>132</v>
      </c>
      <c r="H549" s="3" t="str">
        <f aca="false">IF(G549="OK","YES","no")</f>
        <v>YES</v>
      </c>
      <c r="I549" s="9" t="b">
        <f aca="false">COUNTIF('Roll Schedule'!$A$47:$A$790,A549)&gt;0</f>
        <v>1</v>
      </c>
      <c r="J549" s="8" t="s">
        <v>151</v>
      </c>
      <c r="K549" s="8" t="s">
        <v>1869</v>
      </c>
    </row>
    <row r="550" customFormat="false" ht="15" hidden="false" customHeight="false" outlineLevel="0" collapsed="false">
      <c r="A550" s="7" t="n">
        <v>46142</v>
      </c>
      <c r="B550" s="8" t="s">
        <v>1870</v>
      </c>
      <c r="C550" s="8" t="s">
        <v>1871</v>
      </c>
      <c r="D550" s="8" t="s">
        <v>907</v>
      </c>
      <c r="E550" s="8" t="n">
        <v>7150</v>
      </c>
      <c r="F550" s="8" t="s">
        <v>131</v>
      </c>
      <c r="G550" s="8" t="s">
        <v>132</v>
      </c>
      <c r="H550" s="3" t="str">
        <f aca="false">IF(G550="OK","YES","no")</f>
        <v>YES</v>
      </c>
      <c r="I550" s="9" t="b">
        <f aca="false">COUNTIF('Roll Schedule'!$A$47:$A$790,A550)&gt;0</f>
        <v>1</v>
      </c>
      <c r="J550" s="8" t="s">
        <v>151</v>
      </c>
      <c r="K550" s="8" t="s">
        <v>1872</v>
      </c>
    </row>
    <row r="551" customFormat="false" ht="15" hidden="false" customHeight="false" outlineLevel="0" collapsed="false">
      <c r="A551" s="7" t="n">
        <v>46146</v>
      </c>
      <c r="B551" s="8" t="s">
        <v>1873</v>
      </c>
      <c r="C551" s="8" t="s">
        <v>1874</v>
      </c>
      <c r="D551" s="8" t="s">
        <v>330</v>
      </c>
      <c r="E551" s="8" t="n">
        <v>7400</v>
      </c>
      <c r="F551" s="8" t="s">
        <v>131</v>
      </c>
      <c r="G551" s="8" t="s">
        <v>132</v>
      </c>
      <c r="H551" s="3" t="str">
        <f aca="false">IF(G551="OK","YES","no")</f>
        <v>YES</v>
      </c>
      <c r="I551" s="9" t="b">
        <f aca="false">COUNTIF('Roll Schedule'!$A$47:$A$790,A551)&gt;0</f>
        <v>1</v>
      </c>
      <c r="J551" s="8" t="s">
        <v>151</v>
      </c>
      <c r="K551" s="8" t="s">
        <v>1875</v>
      </c>
    </row>
    <row r="552" customFormat="false" ht="15" hidden="false" customHeight="false" outlineLevel="0" collapsed="false">
      <c r="A552" s="7" t="n">
        <v>46147</v>
      </c>
      <c r="B552" s="8" t="s">
        <v>1876</v>
      </c>
      <c r="C552" s="8" t="s">
        <v>1877</v>
      </c>
      <c r="D552" s="8" t="s">
        <v>1651</v>
      </c>
      <c r="E552" s="8" t="n">
        <v>7450</v>
      </c>
      <c r="F552" s="8" t="s">
        <v>131</v>
      </c>
      <c r="G552" s="8" t="s">
        <v>132</v>
      </c>
      <c r="H552" s="3" t="str">
        <f aca="false">IF(G552="OK","YES","no")</f>
        <v>YES</v>
      </c>
      <c r="I552" s="9" t="b">
        <f aca="false">COUNTIF('Roll Schedule'!$A$47:$A$790,A552)&gt;0</f>
        <v>1</v>
      </c>
      <c r="J552" s="8" t="s">
        <v>151</v>
      </c>
      <c r="K552" s="8" t="s">
        <v>1878</v>
      </c>
    </row>
    <row r="553" customFormat="false" ht="15" hidden="false" customHeight="false" outlineLevel="0" collapsed="false">
      <c r="A553" s="7" t="n">
        <v>46148</v>
      </c>
      <c r="B553" s="8" t="s">
        <v>1879</v>
      </c>
      <c r="C553" s="8" t="s">
        <v>1880</v>
      </c>
      <c r="D553" s="8" t="s">
        <v>1881</v>
      </c>
      <c r="E553" s="8" t="n">
        <v>7520</v>
      </c>
      <c r="F553" s="8" t="s">
        <v>131</v>
      </c>
      <c r="G553" s="8" t="s">
        <v>132</v>
      </c>
      <c r="H553" s="3" t="str">
        <f aca="false">IF(G553="OK","YES","no")</f>
        <v>YES</v>
      </c>
      <c r="I553" s="9" t="b">
        <f aca="false">COUNTIF('Roll Schedule'!$A$47:$A$790,A553)&gt;0</f>
        <v>1</v>
      </c>
      <c r="J553" s="8" t="s">
        <v>151</v>
      </c>
      <c r="K553" s="8" t="s">
        <v>1882</v>
      </c>
    </row>
    <row r="554" customFormat="false" ht="15" hidden="false" customHeight="false" outlineLevel="0" collapsed="false">
      <c r="A554" s="7" t="n">
        <v>46149</v>
      </c>
      <c r="B554" s="8" t="s">
        <v>1883</v>
      </c>
      <c r="C554" s="8" t="s">
        <v>1884</v>
      </c>
      <c r="D554" s="8" t="s">
        <v>330</v>
      </c>
      <c r="E554" s="8" t="n">
        <v>7400</v>
      </c>
      <c r="F554" s="8" t="s">
        <v>131</v>
      </c>
      <c r="G554" s="8" t="s">
        <v>132</v>
      </c>
      <c r="H554" s="3" t="str">
        <f aca="false">IF(G554="OK","YES","no")</f>
        <v>YES</v>
      </c>
      <c r="I554" s="9" t="b">
        <f aca="false">COUNTIF('Roll Schedule'!$A$47:$A$790,A554)&gt;0</f>
        <v>1</v>
      </c>
      <c r="J554" s="8" t="s">
        <v>151</v>
      </c>
      <c r="K554" s="8" t="s">
        <v>1885</v>
      </c>
    </row>
    <row r="555" customFormat="false" ht="15" hidden="false" customHeight="false" outlineLevel="0" collapsed="false">
      <c r="A555" s="7" t="n">
        <v>46150</v>
      </c>
      <c r="B555" s="8" t="s">
        <v>1886</v>
      </c>
      <c r="C555" s="8" t="s">
        <v>1887</v>
      </c>
      <c r="D555" s="8" t="s">
        <v>1269</v>
      </c>
      <c r="E555" s="8" t="n">
        <v>7550</v>
      </c>
      <c r="F555" s="8" t="s">
        <v>131</v>
      </c>
      <c r="G555" s="8" t="s">
        <v>132</v>
      </c>
      <c r="H555" s="3" t="str">
        <f aca="false">IF(G555="OK","YES","no")</f>
        <v>YES</v>
      </c>
      <c r="I555" s="9" t="b">
        <f aca="false">COUNTIF('Roll Schedule'!$A$47:$A$790,A555)&gt;0</f>
        <v>1</v>
      </c>
      <c r="J555" s="8" t="s">
        <v>151</v>
      </c>
      <c r="K555" s="8" t="s">
        <v>1888</v>
      </c>
    </row>
    <row r="556" customFormat="false" ht="15" hidden="false" customHeight="false" outlineLevel="0" collapsed="false">
      <c r="A556" s="7" t="n">
        <v>46153</v>
      </c>
      <c r="B556" s="8" t="s">
        <v>1889</v>
      </c>
      <c r="C556" s="8" t="s">
        <v>1890</v>
      </c>
      <c r="D556" s="8" t="s">
        <v>1891</v>
      </c>
      <c r="E556" s="8" t="n">
        <v>7475</v>
      </c>
      <c r="F556" s="8" t="s">
        <v>131</v>
      </c>
      <c r="G556" s="8" t="s">
        <v>132</v>
      </c>
      <c r="H556" s="3" t="str">
        <f aca="false">IF(G556="OK","YES","no")</f>
        <v>YES</v>
      </c>
      <c r="I556" s="9" t="b">
        <f aca="false">COUNTIF('Roll Schedule'!$A$47:$A$790,A556)&gt;0</f>
        <v>1</v>
      </c>
      <c r="J556" s="8" t="s">
        <v>151</v>
      </c>
      <c r="K556" s="8" t="s">
        <v>1892</v>
      </c>
    </row>
    <row r="557" customFormat="false" ht="15" hidden="false" customHeight="false" outlineLevel="0" collapsed="false">
      <c r="A557" s="7" t="n">
        <v>46154</v>
      </c>
      <c r="B557" s="8" t="s">
        <v>1893</v>
      </c>
      <c r="C557" s="8" t="s">
        <v>1894</v>
      </c>
      <c r="D557" s="8" t="s">
        <v>1891</v>
      </c>
      <c r="E557" s="8" t="n">
        <v>7475</v>
      </c>
      <c r="F557" s="8" t="s">
        <v>131</v>
      </c>
      <c r="G557" s="8" t="s">
        <v>132</v>
      </c>
      <c r="H557" s="3" t="str">
        <f aca="false">IF(G557="OK","YES","no")</f>
        <v>YES</v>
      </c>
      <c r="I557" s="9" t="b">
        <f aca="false">COUNTIF('Roll Schedule'!$A$47:$A$790,A557)&gt;0</f>
        <v>1</v>
      </c>
      <c r="J557" s="8" t="s">
        <v>151</v>
      </c>
      <c r="K557" s="8" t="s">
        <v>1895</v>
      </c>
    </row>
    <row r="558" customFormat="false" ht="15" hidden="false" customHeight="false" outlineLevel="0" collapsed="false">
      <c r="A558" s="7" t="n">
        <v>46155</v>
      </c>
      <c r="B558" s="8" t="s">
        <v>1896</v>
      </c>
      <c r="C558" s="8" t="s">
        <v>1897</v>
      </c>
      <c r="D558" s="8" t="s">
        <v>1259</v>
      </c>
      <c r="E558" s="8" t="n">
        <v>7500</v>
      </c>
      <c r="F558" s="8" t="s">
        <v>131</v>
      </c>
      <c r="G558" s="8" t="s">
        <v>132</v>
      </c>
      <c r="H558" s="3" t="str">
        <f aca="false">IF(G558="OK","YES","no")</f>
        <v>YES</v>
      </c>
      <c r="I558" s="9" t="b">
        <f aca="false">COUNTIF('Roll Schedule'!$A$47:$A$790,A558)&gt;0</f>
        <v>1</v>
      </c>
      <c r="J558" s="8" t="s">
        <v>151</v>
      </c>
      <c r="K558" s="8" t="s">
        <v>1898</v>
      </c>
    </row>
    <row r="559" customFormat="false" ht="15" hidden="false" customHeight="false" outlineLevel="0" collapsed="false">
      <c r="A559" s="7" t="n">
        <v>46156</v>
      </c>
      <c r="B559" s="8" t="s">
        <v>1899</v>
      </c>
      <c r="C559" s="8" t="s">
        <v>1900</v>
      </c>
      <c r="D559" s="8" t="s">
        <v>1259</v>
      </c>
      <c r="E559" s="8" t="n">
        <v>7500</v>
      </c>
      <c r="F559" s="8" t="s">
        <v>131</v>
      </c>
      <c r="G559" s="8" t="s">
        <v>132</v>
      </c>
      <c r="H559" s="3" t="str">
        <f aca="false">IF(G559="OK","YES","no")</f>
        <v>YES</v>
      </c>
      <c r="I559" s="9" t="b">
        <f aca="false">COUNTIF('Roll Schedule'!$A$47:$A$790,A559)&gt;0</f>
        <v>1</v>
      </c>
      <c r="J559" s="8" t="s">
        <v>151</v>
      </c>
      <c r="K559" s="8" t="s">
        <v>1901</v>
      </c>
    </row>
    <row r="560" customFormat="false" ht="15" hidden="false" customHeight="false" outlineLevel="0" collapsed="false">
      <c r="A560" s="7" t="n">
        <v>46157</v>
      </c>
      <c r="B560" s="8" t="s">
        <v>1902</v>
      </c>
      <c r="C560" s="8" t="s">
        <v>1903</v>
      </c>
      <c r="D560" s="8" t="s">
        <v>1259</v>
      </c>
      <c r="E560" s="8" t="n">
        <v>7500</v>
      </c>
      <c r="F560" s="8" t="s">
        <v>131</v>
      </c>
      <c r="G560" s="8" t="s">
        <v>132</v>
      </c>
      <c r="H560" s="3" t="str">
        <f aca="false">IF(G560="OK","YES","no")</f>
        <v>YES</v>
      </c>
      <c r="I560" s="9" t="b">
        <f aca="false">COUNTIF('Roll Schedule'!$A$47:$A$790,A560)&gt;0</f>
        <v>1</v>
      </c>
      <c r="J560" s="8" t="s">
        <v>151</v>
      </c>
      <c r="K560" s="8" t="s">
        <v>1904</v>
      </c>
    </row>
    <row r="561" customFormat="false" ht="15" hidden="false" customHeight="false" outlineLevel="0" collapsed="false">
      <c r="A561" s="7" t="n">
        <v>46160</v>
      </c>
      <c r="B561" s="8" t="s">
        <v>1905</v>
      </c>
      <c r="C561" s="8" t="s">
        <v>1906</v>
      </c>
      <c r="D561" s="8" t="s">
        <v>1279</v>
      </c>
      <c r="E561" s="8" t="n">
        <v>7650</v>
      </c>
      <c r="F561" s="8" t="s">
        <v>131</v>
      </c>
      <c r="G561" s="8" t="s">
        <v>132</v>
      </c>
      <c r="H561" s="3" t="str">
        <f aca="false">IF(G561="OK","YES","no")</f>
        <v>YES</v>
      </c>
      <c r="I561" s="9" t="b">
        <f aca="false">COUNTIF('Roll Schedule'!$A$47:$A$790,A561)&gt;0</f>
        <v>1</v>
      </c>
      <c r="J561" s="8" t="s">
        <v>151</v>
      </c>
      <c r="K561" s="8" t="s">
        <v>1907</v>
      </c>
    </row>
    <row r="562" customFormat="false" ht="15" hidden="false" customHeight="false" outlineLevel="0" collapsed="false">
      <c r="A562" s="7" t="n">
        <v>46161</v>
      </c>
      <c r="B562" s="8" t="s">
        <v>1908</v>
      </c>
      <c r="C562" s="8" t="s">
        <v>1909</v>
      </c>
      <c r="D562" s="8" t="s">
        <v>1269</v>
      </c>
      <c r="E562" s="8" t="n">
        <v>7550</v>
      </c>
      <c r="F562" s="8" t="s">
        <v>131</v>
      </c>
      <c r="G562" s="8" t="s">
        <v>132</v>
      </c>
      <c r="H562" s="3" t="str">
        <f aca="false">IF(G562="OK","YES","no")</f>
        <v>YES</v>
      </c>
      <c r="I562" s="9" t="b">
        <f aca="false">COUNTIF('Roll Schedule'!$A$47:$A$790,A562)&gt;0</f>
        <v>1</v>
      </c>
      <c r="J562" s="8" t="s">
        <v>151</v>
      </c>
      <c r="K562" s="8" t="s">
        <v>1910</v>
      </c>
    </row>
    <row r="563" customFormat="false" ht="15" hidden="false" customHeight="false" outlineLevel="0" collapsed="false">
      <c r="A563" s="7" t="n">
        <v>46162</v>
      </c>
      <c r="B563" s="8" t="s">
        <v>1911</v>
      </c>
      <c r="C563" s="8" t="s">
        <v>1912</v>
      </c>
      <c r="D563" s="8" t="s">
        <v>1913</v>
      </c>
      <c r="E563" s="8" t="n">
        <v>8050</v>
      </c>
      <c r="F563" s="8" t="s">
        <v>131</v>
      </c>
      <c r="G563" s="8" t="s">
        <v>132</v>
      </c>
      <c r="H563" s="3" t="str">
        <f aca="false">IF(G563="OK","YES","no")</f>
        <v>YES</v>
      </c>
      <c r="I563" s="9" t="b">
        <f aca="false">COUNTIF('Roll Schedule'!$A$47:$A$790,A563)&gt;0</f>
        <v>1</v>
      </c>
      <c r="J563" s="8" t="s">
        <v>151</v>
      </c>
      <c r="K563" s="8" t="s">
        <v>1914</v>
      </c>
    </row>
    <row r="564" customFormat="false" ht="15" hidden="false" customHeight="false" outlineLevel="0" collapsed="false">
      <c r="A564" s="7" t="n">
        <v>46163</v>
      </c>
      <c r="B564" s="8" t="s">
        <v>1915</v>
      </c>
      <c r="C564" s="8" t="s">
        <v>1916</v>
      </c>
      <c r="D564" s="8" t="s">
        <v>1339</v>
      </c>
      <c r="E564" s="8" t="n">
        <v>8150</v>
      </c>
      <c r="F564" s="8" t="s">
        <v>131</v>
      </c>
      <c r="G564" s="8" t="s">
        <v>132</v>
      </c>
      <c r="H564" s="3" t="str">
        <f aca="false">IF(G564="OK","YES","no")</f>
        <v>YES</v>
      </c>
      <c r="I564" s="9" t="b">
        <f aca="false">COUNTIF('Roll Schedule'!$A$47:$A$790,A564)&gt;0</f>
        <v>1</v>
      </c>
      <c r="J564" s="8" t="s">
        <v>151</v>
      </c>
      <c r="K564" s="8" t="s">
        <v>1917</v>
      </c>
    </row>
    <row r="565" customFormat="false" ht="15" hidden="false" customHeight="false" outlineLevel="0" collapsed="false">
      <c r="A565" s="7" t="n">
        <v>46164</v>
      </c>
      <c r="B565" s="8" t="s">
        <v>1918</v>
      </c>
      <c r="C565" s="8" t="s">
        <v>1919</v>
      </c>
      <c r="D565" s="8" t="s">
        <v>1335</v>
      </c>
      <c r="E565" s="8" t="n">
        <v>8000</v>
      </c>
      <c r="F565" s="8" t="s">
        <v>131</v>
      </c>
      <c r="G565" s="8" t="s">
        <v>132</v>
      </c>
      <c r="H565" s="3" t="str">
        <f aca="false">IF(G565="OK","YES","no")</f>
        <v>YES</v>
      </c>
      <c r="I565" s="9" t="b">
        <f aca="false">COUNTIF('Roll Schedule'!$A$47:$A$790,A565)&gt;0</f>
        <v>1</v>
      </c>
      <c r="J565" s="8" t="s">
        <v>151</v>
      </c>
      <c r="K565" s="8" t="s">
        <v>1920</v>
      </c>
    </row>
    <row r="566" customFormat="false" ht="15" hidden="false" customHeight="false" outlineLevel="0" collapsed="false">
      <c r="A566" s="7" t="n">
        <v>46167</v>
      </c>
      <c r="B566" s="8" t="s">
        <v>1921</v>
      </c>
      <c r="C566" s="8" t="s">
        <v>1922</v>
      </c>
      <c r="D566" s="8" t="s">
        <v>1612</v>
      </c>
      <c r="E566" s="8" t="n">
        <v>7950</v>
      </c>
      <c r="F566" s="8" t="s">
        <v>131</v>
      </c>
      <c r="G566" s="8" t="s">
        <v>132</v>
      </c>
      <c r="H566" s="3" t="str">
        <f aca="false">IF(G566="OK","YES","no")</f>
        <v>YES</v>
      </c>
      <c r="I566" s="9" t="b">
        <f aca="false">COUNTIF('Roll Schedule'!$A$47:$A$790,A566)&gt;0</f>
        <v>1</v>
      </c>
      <c r="J566" s="8" t="s">
        <v>151</v>
      </c>
      <c r="K566" s="8" t="s">
        <v>1923</v>
      </c>
    </row>
    <row r="567" customFormat="false" ht="15" hidden="false" customHeight="false" outlineLevel="0" collapsed="false">
      <c r="A567" s="7" t="n">
        <v>46168</v>
      </c>
      <c r="B567" s="8" t="s">
        <v>1924</v>
      </c>
      <c r="C567" s="8" t="s">
        <v>1925</v>
      </c>
      <c r="D567" s="8" t="s">
        <v>1913</v>
      </c>
      <c r="E567" s="8" t="n">
        <v>8050</v>
      </c>
      <c r="F567" s="8" t="s">
        <v>131</v>
      </c>
      <c r="G567" s="8" t="s">
        <v>132</v>
      </c>
      <c r="H567" s="3" t="str">
        <f aca="false">IF(G567="OK","YES","no")</f>
        <v>YES</v>
      </c>
      <c r="I567" s="9" t="b">
        <f aca="false">COUNTIF('Roll Schedule'!$A$47:$A$790,A567)&gt;0</f>
        <v>1</v>
      </c>
      <c r="J567" s="8" t="s">
        <v>151</v>
      </c>
      <c r="K567" s="8" t="s">
        <v>1926</v>
      </c>
    </row>
    <row r="568" customFormat="false" ht="15" hidden="false" customHeight="false" outlineLevel="0" collapsed="false">
      <c r="A568" s="7" t="n">
        <v>46169</v>
      </c>
      <c r="B568" s="8" t="s">
        <v>1927</v>
      </c>
      <c r="C568" s="8" t="s">
        <v>1928</v>
      </c>
      <c r="D568" s="8" t="s">
        <v>1929</v>
      </c>
      <c r="E568" s="8" t="n">
        <v>8100</v>
      </c>
      <c r="F568" s="8" t="s">
        <v>131</v>
      </c>
      <c r="G568" s="8" t="s">
        <v>132</v>
      </c>
      <c r="H568" s="3" t="str">
        <f aca="false">IF(G568="OK","YES","no")</f>
        <v>YES</v>
      </c>
      <c r="I568" s="9" t="b">
        <f aca="false">COUNTIF('Roll Schedule'!$A$47:$A$790,A568)&gt;0</f>
        <v>1</v>
      </c>
      <c r="J568" s="8" t="s">
        <v>151</v>
      </c>
      <c r="K568" s="8" t="s">
        <v>1930</v>
      </c>
    </row>
    <row r="569" customFormat="false" ht="15" hidden="false" customHeight="false" outlineLevel="0" collapsed="false">
      <c r="A569" s="7" t="n">
        <v>46170</v>
      </c>
      <c r="B569" s="8" t="s">
        <v>1931</v>
      </c>
      <c r="C569" s="8" t="s">
        <v>1932</v>
      </c>
      <c r="D569" s="8" t="s">
        <v>1929</v>
      </c>
      <c r="E569" s="8" t="n">
        <v>8100</v>
      </c>
      <c r="F569" s="8" t="s">
        <v>131</v>
      </c>
      <c r="G569" s="8" t="s">
        <v>132</v>
      </c>
      <c r="H569" s="3" t="str">
        <f aca="false">IF(G569="OK","YES","no")</f>
        <v>YES</v>
      </c>
      <c r="I569" s="9" t="b">
        <f aca="false">COUNTIF('Roll Schedule'!$A$47:$A$790,A569)&gt;0</f>
        <v>0</v>
      </c>
      <c r="J569" s="8" t="s">
        <v>151</v>
      </c>
      <c r="K569" s="8" t="s">
        <v>1933</v>
      </c>
    </row>
    <row r="570" customFormat="false" ht="15" hidden="false" customHeight="false" outlineLevel="0" collapsed="false">
      <c r="A570" s="7" t="n">
        <v>46171</v>
      </c>
      <c r="B570" s="8" t="s">
        <v>1934</v>
      </c>
      <c r="C570" s="8" t="s">
        <v>1935</v>
      </c>
      <c r="D570" s="8" t="s">
        <v>1929</v>
      </c>
      <c r="E570" s="8" t="n">
        <v>8100</v>
      </c>
      <c r="F570" s="8" t="s">
        <v>131</v>
      </c>
      <c r="G570" s="8" t="s">
        <v>132</v>
      </c>
      <c r="H570" s="3" t="str">
        <f aca="false">IF(G570="OK","YES","no")</f>
        <v>YES</v>
      </c>
      <c r="I570" s="9" t="b">
        <f aca="false">COUNTIF('Roll Schedule'!$A$47:$A$790,A570)&gt;0</f>
        <v>1</v>
      </c>
      <c r="J570" s="8" t="s">
        <v>151</v>
      </c>
      <c r="K570" s="8" t="s">
        <v>1936</v>
      </c>
    </row>
    <row r="571" customFormat="false" ht="15" hidden="false" customHeight="false" outlineLevel="0" collapsed="false">
      <c r="A571" s="7" t="n">
        <v>46174</v>
      </c>
      <c r="B571" s="8" t="s">
        <v>1937</v>
      </c>
      <c r="C571" s="8" t="s">
        <v>1938</v>
      </c>
      <c r="D571" s="8" t="s">
        <v>1929</v>
      </c>
      <c r="E571" s="8" t="n">
        <v>8100</v>
      </c>
      <c r="F571" s="8" t="s">
        <v>131</v>
      </c>
      <c r="G571" s="8" t="s">
        <v>132</v>
      </c>
      <c r="H571" s="3" t="str">
        <f aca="false">IF(G571="OK","YES","no")</f>
        <v>YES</v>
      </c>
      <c r="I571" s="9" t="b">
        <f aca="false">COUNTIF('Roll Schedule'!$A$47:$A$790,A571)&gt;0</f>
        <v>1</v>
      </c>
      <c r="J571" s="8" t="s">
        <v>151</v>
      </c>
      <c r="K571" s="8" t="s">
        <v>1939</v>
      </c>
    </row>
    <row r="572" customFormat="false" ht="15" hidden="false" customHeight="false" outlineLevel="0" collapsed="false">
      <c r="A572" s="7" t="n">
        <v>46175</v>
      </c>
      <c r="B572" s="8" t="s">
        <v>1940</v>
      </c>
      <c r="C572" s="8" t="s">
        <v>1941</v>
      </c>
      <c r="D572" s="8" t="s">
        <v>1460</v>
      </c>
      <c r="E572" s="8" t="n">
        <v>8200</v>
      </c>
      <c r="F572" s="8" t="s">
        <v>131</v>
      </c>
      <c r="G572" s="8" t="s">
        <v>132</v>
      </c>
      <c r="H572" s="3" t="str">
        <f aca="false">IF(G572="OK","YES","no")</f>
        <v>YES</v>
      </c>
      <c r="I572" s="9" t="b">
        <f aca="false">COUNTIF('Roll Schedule'!$A$47:$A$790,A572)&gt;0</f>
        <v>1</v>
      </c>
      <c r="J572" s="8" t="s">
        <v>151</v>
      </c>
      <c r="K572" s="8" t="s">
        <v>1942</v>
      </c>
    </row>
    <row r="573" customFormat="false" ht="15" hidden="false" customHeight="false" outlineLevel="0" collapsed="false">
      <c r="A573" s="7" t="n">
        <v>46176</v>
      </c>
      <c r="B573" s="8" t="s">
        <v>1943</v>
      </c>
      <c r="C573" s="8" t="s">
        <v>1944</v>
      </c>
      <c r="D573" s="8" t="s">
        <v>1339</v>
      </c>
      <c r="E573" s="8" t="n">
        <v>8150</v>
      </c>
      <c r="F573" s="8" t="s">
        <v>131</v>
      </c>
      <c r="G573" s="8" t="s">
        <v>132</v>
      </c>
      <c r="H573" s="3" t="str">
        <f aca="false">IF(G573="OK","YES","no")</f>
        <v>YES</v>
      </c>
      <c r="I573" s="9" t="b">
        <f aca="false">COUNTIF('Roll Schedule'!$A$47:$A$790,A573)&gt;0</f>
        <v>1</v>
      </c>
      <c r="J573" s="8" t="s">
        <v>151</v>
      </c>
      <c r="K573" s="8" t="s">
        <v>1945</v>
      </c>
    </row>
    <row r="574" customFormat="false" ht="15" hidden="false" customHeight="false" outlineLevel="0" collapsed="false">
      <c r="A574" s="7" t="n">
        <v>46177</v>
      </c>
      <c r="B574" s="8" t="s">
        <v>1946</v>
      </c>
      <c r="C574" s="8" t="s">
        <v>1947</v>
      </c>
      <c r="D574" s="8" t="s">
        <v>1353</v>
      </c>
      <c r="E574" s="8" t="n">
        <v>8250</v>
      </c>
      <c r="F574" s="8" t="s">
        <v>131</v>
      </c>
      <c r="G574" s="8" t="s">
        <v>132</v>
      </c>
      <c r="H574" s="3" t="str">
        <f aca="false">IF(G574="OK","YES","no")</f>
        <v>YES</v>
      </c>
      <c r="I574" s="9" t="b">
        <f aca="false">COUNTIF('Roll Schedule'!$A$47:$A$790,A574)&gt;0</f>
        <v>1</v>
      </c>
      <c r="J574" s="8" t="s">
        <v>151</v>
      </c>
      <c r="K574" s="8" t="s">
        <v>1948</v>
      </c>
    </row>
    <row r="575" customFormat="false" ht="15" hidden="false" customHeight="false" outlineLevel="0" collapsed="false">
      <c r="A575" s="7" t="n">
        <v>46178</v>
      </c>
      <c r="B575" s="8" t="s">
        <v>1949</v>
      </c>
      <c r="C575" s="8" t="s">
        <v>1950</v>
      </c>
      <c r="D575" s="8" t="s">
        <v>1339</v>
      </c>
      <c r="E575" s="8" t="n">
        <v>8150</v>
      </c>
      <c r="F575" s="8" t="s">
        <v>131</v>
      </c>
      <c r="G575" s="8" t="s">
        <v>132</v>
      </c>
      <c r="H575" s="3" t="str">
        <f aca="false">IF(G575="OK","YES","no")</f>
        <v>YES</v>
      </c>
      <c r="I575" s="9" t="b">
        <f aca="false">COUNTIF('Roll Schedule'!$A$47:$A$790,A575)&gt;0</f>
        <v>1</v>
      </c>
      <c r="J575" s="8" t="s">
        <v>151</v>
      </c>
      <c r="K575" s="8" t="s">
        <v>1951</v>
      </c>
    </row>
    <row r="576" customFormat="false" ht="15" hidden="false" customHeight="false" outlineLevel="0" collapsed="false">
      <c r="A576" s="7" t="n">
        <v>46181</v>
      </c>
      <c r="B576" s="8" t="s">
        <v>1952</v>
      </c>
      <c r="C576" s="8" t="s">
        <v>1953</v>
      </c>
      <c r="D576" s="8" t="s">
        <v>1460</v>
      </c>
      <c r="E576" s="8" t="n">
        <v>8200</v>
      </c>
      <c r="F576" s="8" t="s">
        <v>131</v>
      </c>
      <c r="G576" s="8" t="s">
        <v>132</v>
      </c>
      <c r="H576" s="3" t="str">
        <f aca="false">IF(G576="OK","YES","no")</f>
        <v>YES</v>
      </c>
      <c r="I576" s="9" t="b">
        <f aca="false">COUNTIF('Roll Schedule'!$A$47:$A$790,A576)&gt;0</f>
        <v>1</v>
      </c>
      <c r="J576" s="8" t="s">
        <v>151</v>
      </c>
      <c r="K576" s="8" t="s">
        <v>1954</v>
      </c>
    </row>
    <row r="577" customFormat="false" ht="15" hidden="false" customHeight="false" outlineLevel="0" collapsed="false">
      <c r="A577" s="7" t="n">
        <v>46182</v>
      </c>
      <c r="B577" s="8" t="s">
        <v>1955</v>
      </c>
      <c r="C577" s="8" t="s">
        <v>1956</v>
      </c>
      <c r="D577" s="8" t="s">
        <v>1460</v>
      </c>
      <c r="E577" s="8" t="n">
        <v>8200</v>
      </c>
      <c r="F577" s="8" t="s">
        <v>131</v>
      </c>
      <c r="G577" s="8" t="s">
        <v>132</v>
      </c>
      <c r="H577" s="3" t="str">
        <f aca="false">IF(G577="OK","YES","no")</f>
        <v>YES</v>
      </c>
      <c r="I577" s="9" t="b">
        <f aca="false">COUNTIF('Roll Schedule'!$A$47:$A$790,A577)&gt;0</f>
        <v>1</v>
      </c>
      <c r="J577" s="8" t="s">
        <v>151</v>
      </c>
      <c r="K577" s="8" t="s">
        <v>1957</v>
      </c>
    </row>
    <row r="578" customFormat="false" ht="15" hidden="false" customHeight="false" outlineLevel="0" collapsed="false">
      <c r="A578" s="7" t="n">
        <v>46183</v>
      </c>
      <c r="B578" s="8" t="s">
        <v>1958</v>
      </c>
      <c r="C578" s="8" t="s">
        <v>1959</v>
      </c>
      <c r="D578" s="8" t="s">
        <v>1353</v>
      </c>
      <c r="E578" s="8" t="n">
        <v>8250</v>
      </c>
      <c r="F578" s="8" t="s">
        <v>131</v>
      </c>
      <c r="G578" s="8" t="s">
        <v>132</v>
      </c>
      <c r="H578" s="3" t="str">
        <f aca="false">IF(G578="OK","YES","no")</f>
        <v>YES</v>
      </c>
      <c r="I578" s="9" t="b">
        <f aca="false">COUNTIF('Roll Schedule'!$A$47:$A$790,A578)&gt;0</f>
        <v>1</v>
      </c>
      <c r="J578" s="8" t="s">
        <v>151</v>
      </c>
      <c r="K578" s="8" t="s">
        <v>1960</v>
      </c>
    </row>
    <row r="579" customFormat="false" ht="15" hidden="false" customHeight="false" outlineLevel="0" collapsed="false">
      <c r="A579" s="7" t="n">
        <v>46184</v>
      </c>
      <c r="B579" s="8" t="s">
        <v>1961</v>
      </c>
      <c r="C579" s="8" t="s">
        <v>1962</v>
      </c>
      <c r="D579" s="8" t="s">
        <v>1428</v>
      </c>
      <c r="E579" s="8" t="n">
        <v>8450</v>
      </c>
      <c r="F579" s="8" t="s">
        <v>131</v>
      </c>
      <c r="G579" s="8" t="s">
        <v>132</v>
      </c>
      <c r="H579" s="3" t="str">
        <f aca="false">IF(G579="OK","YES","no")</f>
        <v>YES</v>
      </c>
      <c r="I579" s="9" t="b">
        <f aca="false">COUNTIF('Roll Schedule'!$A$47:$A$790,A579)&gt;0</f>
        <v>1</v>
      </c>
      <c r="J579" s="8" t="s">
        <v>151</v>
      </c>
      <c r="K579" s="8" t="s">
        <v>1963</v>
      </c>
    </row>
    <row r="580" customFormat="false" ht="15" hidden="false" customHeight="false" outlineLevel="0" collapsed="false">
      <c r="A580" s="7" t="n">
        <v>46185</v>
      </c>
      <c r="B580" s="8" t="s">
        <v>1964</v>
      </c>
      <c r="C580" s="8" t="s">
        <v>1965</v>
      </c>
      <c r="D580" s="8" t="s">
        <v>1468</v>
      </c>
      <c r="E580" s="8" t="n">
        <v>8550</v>
      </c>
      <c r="F580" s="8" t="s">
        <v>131</v>
      </c>
      <c r="G580" s="8" t="s">
        <v>132</v>
      </c>
      <c r="H580" s="3" t="str">
        <f aca="false">IF(G580="OK","YES","no")</f>
        <v>YES</v>
      </c>
      <c r="I580" s="9" t="b">
        <f aca="false">COUNTIF('Roll Schedule'!$A$47:$A$790,A580)&gt;0</f>
        <v>1</v>
      </c>
      <c r="J580" s="8" t="s">
        <v>151</v>
      </c>
      <c r="K580" s="8" t="s">
        <v>1966</v>
      </c>
    </row>
    <row r="581" customFormat="false" ht="15" hidden="false" customHeight="false" outlineLevel="0" collapsed="false">
      <c r="A581" s="7" t="n">
        <v>46188</v>
      </c>
      <c r="B581" s="8" t="s">
        <v>1967</v>
      </c>
      <c r="C581" s="8" t="s">
        <v>1968</v>
      </c>
      <c r="D581" s="8" t="s">
        <v>1468</v>
      </c>
      <c r="E581" s="8" t="n">
        <v>8550</v>
      </c>
      <c r="F581" s="8" t="s">
        <v>131</v>
      </c>
      <c r="G581" s="8" t="s">
        <v>132</v>
      </c>
      <c r="H581" s="3" t="str">
        <f aca="false">IF(G581="OK","YES","no")</f>
        <v>YES</v>
      </c>
      <c r="I581" s="9" t="b">
        <f aca="false">COUNTIF('Roll Schedule'!$A$47:$A$790,A581)&gt;0</f>
        <v>1</v>
      </c>
      <c r="J581" s="8" t="s">
        <v>151</v>
      </c>
      <c r="K581" s="8" t="s">
        <v>1969</v>
      </c>
    </row>
    <row r="582" customFormat="false" ht="15" hidden="false" customHeight="false" outlineLevel="0" collapsed="false">
      <c r="A582" s="7" t="n">
        <v>46189</v>
      </c>
      <c r="B582" s="8" t="s">
        <v>1970</v>
      </c>
      <c r="C582" s="8" t="s">
        <v>1971</v>
      </c>
      <c r="D582" s="8" t="s">
        <v>1364</v>
      </c>
      <c r="E582" s="8" t="n">
        <v>8650</v>
      </c>
      <c r="F582" s="8" t="s">
        <v>131</v>
      </c>
      <c r="G582" s="8" t="s">
        <v>132</v>
      </c>
      <c r="H582" s="3" t="str">
        <f aca="false">IF(G582="OK","YES","no")</f>
        <v>YES</v>
      </c>
      <c r="I582" s="9" t="b">
        <f aca="false">COUNTIF('Roll Schedule'!$A$47:$A$790,A582)&gt;0</f>
        <v>1</v>
      </c>
      <c r="J582" s="8" t="s">
        <v>151</v>
      </c>
      <c r="K582" s="8" t="s">
        <v>1972</v>
      </c>
    </row>
    <row r="583" customFormat="false" ht="15" hidden="false" customHeight="false" outlineLevel="0" collapsed="false">
      <c r="A583" s="7" t="n">
        <v>46190</v>
      </c>
      <c r="B583" s="8" t="s">
        <v>1973</v>
      </c>
      <c r="C583" s="8" t="s">
        <v>1974</v>
      </c>
      <c r="D583" s="8" t="s">
        <v>1395</v>
      </c>
      <c r="E583" s="8" t="n">
        <v>8800</v>
      </c>
      <c r="F583" s="8" t="s">
        <v>131</v>
      </c>
      <c r="G583" s="8" t="s">
        <v>132</v>
      </c>
      <c r="H583" s="3" t="str">
        <f aca="false">IF(G583="OK","YES","no")</f>
        <v>YES</v>
      </c>
      <c r="I583" s="9" t="b">
        <f aca="false">COUNTIF('Roll Schedule'!$A$47:$A$790,A583)&gt;0</f>
        <v>1</v>
      </c>
      <c r="J583" s="8" t="s">
        <v>151</v>
      </c>
      <c r="K583" s="8" t="s">
        <v>1975</v>
      </c>
    </row>
    <row r="584" customFormat="false" ht="15" hidden="false" customHeight="false" outlineLevel="0" collapsed="false">
      <c r="A584" s="7" t="n">
        <v>46191</v>
      </c>
      <c r="B584" s="8" t="s">
        <v>1976</v>
      </c>
      <c r="C584" s="8" t="s">
        <v>1977</v>
      </c>
      <c r="D584" s="8" t="s">
        <v>1978</v>
      </c>
      <c r="E584" s="8" t="n">
        <v>8850</v>
      </c>
      <c r="F584" s="8" t="s">
        <v>131</v>
      </c>
      <c r="G584" s="8" t="s">
        <v>132</v>
      </c>
      <c r="H584" s="3" t="str">
        <f aca="false">IF(G584="OK","YES","no")</f>
        <v>YES</v>
      </c>
      <c r="I584" s="9" t="b">
        <f aca="false">COUNTIF('Roll Schedule'!$A$47:$A$790,A584)&gt;0</f>
        <v>1</v>
      </c>
      <c r="J584" s="8" t="s">
        <v>151</v>
      </c>
      <c r="K584" s="8" t="s">
        <v>1979</v>
      </c>
    </row>
    <row r="585" customFormat="false" ht="15" hidden="false" customHeight="false" outlineLevel="0" collapsed="false">
      <c r="A585" s="7" t="n">
        <v>46192</v>
      </c>
      <c r="B585" s="8" t="s">
        <v>1980</v>
      </c>
      <c r="C585" s="8" t="s">
        <v>1981</v>
      </c>
      <c r="D585" s="8" t="s">
        <v>1406</v>
      </c>
      <c r="E585" s="8" t="n">
        <v>8750</v>
      </c>
      <c r="F585" s="8" t="s">
        <v>131</v>
      </c>
      <c r="G585" s="8" t="s">
        <v>132</v>
      </c>
      <c r="H585" s="3" t="str">
        <f aca="false">IF(G585="OK","YES","no")</f>
        <v>YES</v>
      </c>
      <c r="I585" s="9" t="b">
        <f aca="false">COUNTIF('Roll Schedule'!$A$47:$A$790,A585)&gt;0</f>
        <v>1</v>
      </c>
      <c r="J585" s="8" t="s">
        <v>151</v>
      </c>
      <c r="K585" s="8" t="s">
        <v>1982</v>
      </c>
    </row>
    <row r="586" customFormat="false" ht="15" hidden="false" customHeight="false" outlineLevel="0" collapsed="false">
      <c r="A586" s="7" t="n">
        <v>46195</v>
      </c>
      <c r="B586" s="8" t="s">
        <v>1983</v>
      </c>
      <c r="C586" s="8" t="s">
        <v>1984</v>
      </c>
      <c r="D586" s="8" t="s">
        <v>1978</v>
      </c>
      <c r="E586" s="8" t="n">
        <v>8850</v>
      </c>
      <c r="F586" s="8" t="s">
        <v>131</v>
      </c>
      <c r="G586" s="8" t="s">
        <v>132</v>
      </c>
      <c r="H586" s="3" t="str">
        <f aca="false">IF(G586="OK","YES","no")</f>
        <v>YES</v>
      </c>
      <c r="I586" s="9" t="b">
        <f aca="false">COUNTIF('Roll Schedule'!$A$47:$A$790,A586)&gt;0</f>
        <v>1</v>
      </c>
      <c r="J586" s="8" t="s">
        <v>151</v>
      </c>
      <c r="K586" s="8" t="s">
        <v>1985</v>
      </c>
    </row>
    <row r="587" customFormat="false" ht="15" hidden="false" customHeight="false" outlineLevel="0" collapsed="false">
      <c r="A587" s="7" t="n">
        <v>46196</v>
      </c>
      <c r="B587" s="8" t="s">
        <v>1986</v>
      </c>
      <c r="C587" s="8" t="s">
        <v>1987</v>
      </c>
      <c r="D587" s="8" t="s">
        <v>1978</v>
      </c>
      <c r="E587" s="8" t="n">
        <v>8850</v>
      </c>
      <c r="F587" s="8" t="s">
        <v>131</v>
      </c>
      <c r="G587" s="8" t="s">
        <v>132</v>
      </c>
      <c r="H587" s="3" t="str">
        <f aca="false">IF(G587="OK","YES","no")</f>
        <v>YES</v>
      </c>
      <c r="I587" s="9" t="b">
        <f aca="false">COUNTIF('Roll Schedule'!$A$47:$A$790,A587)&gt;0</f>
        <v>1</v>
      </c>
      <c r="J587" s="8" t="s">
        <v>151</v>
      </c>
      <c r="K587" s="8" t="s">
        <v>1988</v>
      </c>
    </row>
    <row r="588" customFormat="false" ht="15" hidden="false" customHeight="false" outlineLevel="0" collapsed="false">
      <c r="A588" s="7" t="n">
        <v>46197</v>
      </c>
      <c r="B588" s="8" t="s">
        <v>1989</v>
      </c>
      <c r="C588" s="8" t="s">
        <v>1990</v>
      </c>
      <c r="D588" s="8" t="s">
        <v>1387</v>
      </c>
      <c r="E588" s="8" t="n">
        <v>8950</v>
      </c>
      <c r="F588" s="8" t="s">
        <v>131</v>
      </c>
      <c r="G588" s="8" t="s">
        <v>132</v>
      </c>
      <c r="H588" s="3" t="str">
        <f aca="false">IF(G588="OK","YES","no")</f>
        <v>YES</v>
      </c>
      <c r="I588" s="9" t="b">
        <f aca="false">COUNTIF('Roll Schedule'!$A$47:$A$790,A588)&gt;0</f>
        <v>1</v>
      </c>
      <c r="J588" s="8" t="s">
        <v>151</v>
      </c>
      <c r="K588" s="8" t="s">
        <v>1991</v>
      </c>
    </row>
    <row r="589" customFormat="false" ht="15" hidden="false" customHeight="false" outlineLevel="0" collapsed="false">
      <c r="A589" s="7" t="n">
        <v>46198</v>
      </c>
      <c r="B589" s="8" t="s">
        <v>1992</v>
      </c>
      <c r="C589" s="8" t="s">
        <v>1993</v>
      </c>
      <c r="D589" s="8" t="s">
        <v>1517</v>
      </c>
      <c r="E589" s="8" t="n">
        <v>9000</v>
      </c>
      <c r="F589" s="8" t="s">
        <v>131</v>
      </c>
      <c r="G589" s="8" t="s">
        <v>132</v>
      </c>
      <c r="H589" s="3" t="str">
        <f aca="false">IF(G589="OK","YES","no")</f>
        <v>YES</v>
      </c>
      <c r="I589" s="9" t="b">
        <f aca="false">COUNTIF('Roll Schedule'!$A$47:$A$790,A589)&gt;0</f>
        <v>1</v>
      </c>
      <c r="J589" s="8" t="s">
        <v>151</v>
      </c>
      <c r="K589" s="8" t="s">
        <v>1994</v>
      </c>
    </row>
    <row r="590" customFormat="false" ht="15" hidden="false" customHeight="false" outlineLevel="0" collapsed="false">
      <c r="A590" s="7" t="n">
        <v>46199</v>
      </c>
      <c r="B590" s="8" t="s">
        <v>1995</v>
      </c>
      <c r="C590" s="8" t="s">
        <v>1996</v>
      </c>
      <c r="D590" s="8" t="s">
        <v>1517</v>
      </c>
      <c r="E590" s="8" t="n">
        <v>9000</v>
      </c>
      <c r="F590" s="8" t="s">
        <v>131</v>
      </c>
      <c r="G590" s="8" t="s">
        <v>132</v>
      </c>
      <c r="H590" s="3" t="str">
        <f aca="false">IF(G590="OK","YES","no")</f>
        <v>YES</v>
      </c>
      <c r="I590" s="9" t="b">
        <f aca="false">COUNTIF('Roll Schedule'!$A$47:$A$790,A590)&gt;0</f>
        <v>0</v>
      </c>
      <c r="J590" s="8" t="s">
        <v>151</v>
      </c>
      <c r="K590" s="8" t="s">
        <v>1997</v>
      </c>
    </row>
    <row r="591" customFormat="false" ht="15" hidden="false" customHeight="false" outlineLevel="0" collapsed="false">
      <c r="A591" s="7" t="n">
        <v>46202</v>
      </c>
      <c r="B591" s="8" t="s">
        <v>1998</v>
      </c>
      <c r="C591" s="8" t="s">
        <v>1999</v>
      </c>
      <c r="D591" s="8" t="s">
        <v>1517</v>
      </c>
      <c r="E591" s="8" t="n">
        <v>9000</v>
      </c>
      <c r="F591" s="8" t="s">
        <v>131</v>
      </c>
      <c r="G591" s="8" t="s">
        <v>132</v>
      </c>
      <c r="H591" s="3" t="str">
        <f aca="false">IF(G591="OK","YES","no")</f>
        <v>YES</v>
      </c>
      <c r="I591" s="9" t="b">
        <f aca="false">COUNTIF('Roll Schedule'!$A$47:$A$790,A591)&gt;0</f>
        <v>1</v>
      </c>
      <c r="J591" s="8" t="s">
        <v>151</v>
      </c>
      <c r="K591" s="8" t="s">
        <v>2000</v>
      </c>
    </row>
    <row r="592" customFormat="false" ht="15" hidden="false" customHeight="false" outlineLevel="0" collapsed="false">
      <c r="A592" s="7" t="n">
        <v>46203</v>
      </c>
      <c r="B592" s="8" t="s">
        <v>2001</v>
      </c>
      <c r="C592" s="8" t="s">
        <v>2002</v>
      </c>
      <c r="D592" s="8" t="s">
        <v>2003</v>
      </c>
      <c r="E592" s="8" t="n">
        <v>9250</v>
      </c>
      <c r="F592" s="8" t="s">
        <v>131</v>
      </c>
      <c r="G592" s="8" t="s">
        <v>132</v>
      </c>
      <c r="H592" s="3" t="str">
        <f aca="false">IF(G592="OK","YES","no")</f>
        <v>YES</v>
      </c>
      <c r="I592" s="9" t="b">
        <f aca="false">COUNTIF('Roll Schedule'!$A$47:$A$790,A592)&gt;0</f>
        <v>1</v>
      </c>
      <c r="J592" s="8" t="s">
        <v>151</v>
      </c>
      <c r="K592" s="8" t="s">
        <v>2004</v>
      </c>
    </row>
    <row r="593" customFormat="false" ht="15" hidden="false" customHeight="false" outlineLevel="0" collapsed="false">
      <c r="A593" s="7" t="n">
        <v>46204</v>
      </c>
      <c r="B593" s="8" t="s">
        <v>2005</v>
      </c>
      <c r="C593" s="8" t="s">
        <v>2006</v>
      </c>
      <c r="D593" s="8" t="s">
        <v>2007</v>
      </c>
      <c r="E593" s="8" t="n">
        <v>10150</v>
      </c>
      <c r="F593" s="8" t="s">
        <v>131</v>
      </c>
      <c r="G593" s="8" t="s">
        <v>132</v>
      </c>
      <c r="H593" s="3" t="str">
        <f aca="false">IF(G593="OK","YES","no")</f>
        <v>YES</v>
      </c>
      <c r="I593" s="9" t="b">
        <f aca="false">COUNTIF('Roll Schedule'!$A$47:$A$790,A593)&gt;0</f>
        <v>1</v>
      </c>
      <c r="J593" s="8" t="s">
        <v>151</v>
      </c>
      <c r="K593" s="8" t="s">
        <v>2008</v>
      </c>
    </row>
    <row r="594" customFormat="false" ht="15" hidden="false" customHeight="false" outlineLevel="0" collapsed="false">
      <c r="A594" s="7" t="n">
        <v>46205</v>
      </c>
      <c r="B594" s="8" t="s">
        <v>2009</v>
      </c>
      <c r="C594" s="8" t="s">
        <v>2010</v>
      </c>
      <c r="D594" s="8" t="s">
        <v>2011</v>
      </c>
      <c r="E594" s="8" t="n">
        <v>10100</v>
      </c>
      <c r="F594" s="8" t="s">
        <v>131</v>
      </c>
      <c r="G594" s="8" t="s">
        <v>132</v>
      </c>
      <c r="H594" s="3" t="str">
        <f aca="false">IF(G594="OK","YES","no")</f>
        <v>YES</v>
      </c>
      <c r="I594" s="9" t="b">
        <f aca="false">COUNTIF('Roll Schedule'!$A$47:$A$790,A594)&gt;0</f>
        <v>1</v>
      </c>
      <c r="J594" s="8" t="s">
        <v>151</v>
      </c>
      <c r="K594" s="8" t="s">
        <v>2012</v>
      </c>
    </row>
    <row r="595" customFormat="false" ht="15" hidden="false" customHeight="false" outlineLevel="0" collapsed="false">
      <c r="A595" s="7" t="n">
        <v>46206</v>
      </c>
      <c r="B595" s="8" t="s">
        <v>2013</v>
      </c>
      <c r="C595" s="8" t="s">
        <v>2014</v>
      </c>
      <c r="D595" s="8" t="s">
        <v>2015</v>
      </c>
      <c r="E595" s="8" t="n">
        <v>10050</v>
      </c>
      <c r="F595" s="8" t="s">
        <v>131</v>
      </c>
      <c r="G595" s="8" t="s">
        <v>132</v>
      </c>
      <c r="H595" s="3" t="str">
        <f aca="false">IF(G595="OK","YES","no")</f>
        <v>YES</v>
      </c>
      <c r="I595" s="9" t="b">
        <f aca="false">COUNTIF('Roll Schedule'!$A$47:$A$790,A595)&gt;0</f>
        <v>1</v>
      </c>
      <c r="J595" s="8" t="s">
        <v>151</v>
      </c>
      <c r="K595" s="8" t="s">
        <v>2016</v>
      </c>
    </row>
    <row r="596" customFormat="false" ht="15" hidden="false" customHeight="false" outlineLevel="0" collapsed="false">
      <c r="A596" s="7" t="n">
        <v>46210</v>
      </c>
      <c r="B596" s="8" t="s">
        <v>2017</v>
      </c>
      <c r="C596" s="8" t="s">
        <v>2018</v>
      </c>
      <c r="D596" s="8" t="s">
        <v>2015</v>
      </c>
      <c r="E596" s="8" t="n">
        <v>10050</v>
      </c>
      <c r="F596" s="8" t="s">
        <v>131</v>
      </c>
      <c r="G596" s="8" t="s">
        <v>132</v>
      </c>
      <c r="H596" s="3" t="str">
        <f aca="false">IF(G596="OK","YES","no")</f>
        <v>YES</v>
      </c>
      <c r="I596" s="9" t="b">
        <f aca="false">COUNTIF('Roll Schedule'!$A$47:$A$790,A596)&gt;0</f>
        <v>1</v>
      </c>
      <c r="J596" s="8" t="s">
        <v>151</v>
      </c>
      <c r="K596" s="8" t="s">
        <v>2019</v>
      </c>
    </row>
    <row r="597" customFormat="false" ht="15" hidden="false" customHeight="false" outlineLevel="0" collapsed="false">
      <c r="A597" s="7" t="n">
        <v>46211</v>
      </c>
      <c r="B597" s="8" t="s">
        <v>2020</v>
      </c>
      <c r="C597" s="8" t="s">
        <v>2021</v>
      </c>
      <c r="D597" s="8" t="s">
        <v>2022</v>
      </c>
      <c r="E597" s="8" t="n">
        <v>10250</v>
      </c>
      <c r="F597" s="8" t="s">
        <v>131</v>
      </c>
      <c r="G597" s="8" t="s">
        <v>132</v>
      </c>
      <c r="H597" s="3" t="str">
        <f aca="false">IF(G597="OK","YES","no")</f>
        <v>YES</v>
      </c>
      <c r="I597" s="9" t="b">
        <f aca="false">COUNTIF('Roll Schedule'!$A$47:$A$790,A597)&gt;0</f>
        <v>1</v>
      </c>
      <c r="J597" s="8" t="s">
        <v>151</v>
      </c>
      <c r="K597" s="8" t="s">
        <v>2023</v>
      </c>
    </row>
    <row r="598" customFormat="false" ht="15" hidden="false" customHeight="false" outlineLevel="0" collapsed="false">
      <c r="A598" s="7" t="n">
        <v>46213</v>
      </c>
      <c r="B598" s="8" t="s">
        <v>2024</v>
      </c>
      <c r="C598" s="8" t="s">
        <v>2025</v>
      </c>
      <c r="D598" s="8" t="s">
        <v>2007</v>
      </c>
      <c r="E598" s="8" t="n">
        <v>10150</v>
      </c>
      <c r="F598" s="8" t="s">
        <v>131</v>
      </c>
      <c r="G598" s="8" t="s">
        <v>132</v>
      </c>
      <c r="H598" s="3" t="str">
        <f aca="false">IF(G598="OK","YES","no")</f>
        <v>YES</v>
      </c>
      <c r="I598" s="9" t="b">
        <f aca="false">COUNTIF('Roll Schedule'!$A$47:$A$790,A598)&gt;0</f>
        <v>1</v>
      </c>
      <c r="J598" s="8" t="s">
        <v>151</v>
      </c>
      <c r="K598" s="8" t="s">
        <v>2026</v>
      </c>
    </row>
    <row r="599" customFormat="false" ht="15" hidden="false" customHeight="false" outlineLevel="0" collapsed="false">
      <c r="A599" s="7" t="n">
        <v>46216</v>
      </c>
      <c r="B599" s="8" t="s">
        <v>2027</v>
      </c>
      <c r="C599" s="8" t="s">
        <v>2028</v>
      </c>
      <c r="D599" s="8" t="s">
        <v>2022</v>
      </c>
      <c r="E599" s="8" t="n">
        <v>10250</v>
      </c>
      <c r="F599" s="8" t="s">
        <v>131</v>
      </c>
      <c r="G599" s="8" t="s">
        <v>132</v>
      </c>
      <c r="H599" s="3" t="str">
        <f aca="false">IF(G599="OK","YES","no")</f>
        <v>YES</v>
      </c>
      <c r="I599" s="9" t="b">
        <f aca="false">COUNTIF('Roll Schedule'!$A$47:$A$790,A599)&gt;0</f>
        <v>1</v>
      </c>
      <c r="J599" s="8" t="s">
        <v>151</v>
      </c>
      <c r="K599" s="8" t="s">
        <v>2029</v>
      </c>
    </row>
    <row r="600" customFormat="false" ht="15" hidden="false" customHeight="false" outlineLevel="0" collapsed="false">
      <c r="A600" s="7" t="n">
        <v>46217</v>
      </c>
      <c r="B600" s="8" t="s">
        <v>2030</v>
      </c>
      <c r="C600" s="8" t="s">
        <v>2031</v>
      </c>
      <c r="D600" s="8" t="s">
        <v>2007</v>
      </c>
      <c r="E600" s="8" t="n">
        <v>10150</v>
      </c>
      <c r="F600" s="8" t="s">
        <v>131</v>
      </c>
      <c r="G600" s="8" t="s">
        <v>132</v>
      </c>
      <c r="H600" s="3" t="str">
        <f aca="false">IF(G600="OK","YES","no")</f>
        <v>YES</v>
      </c>
      <c r="I600" s="9" t="b">
        <f aca="false">COUNTIF('Roll Schedule'!$A$47:$A$790,A600)&gt;0</f>
        <v>1</v>
      </c>
      <c r="J600" s="8" t="s">
        <v>151</v>
      </c>
      <c r="K600" s="8" t="s">
        <v>2032</v>
      </c>
    </row>
    <row r="601" customFormat="false" ht="15" hidden="false" customHeight="false" outlineLevel="0" collapsed="false">
      <c r="A601" s="7" t="n">
        <v>46218</v>
      </c>
      <c r="B601" s="8" t="s">
        <v>2033</v>
      </c>
      <c r="C601" s="8" t="s">
        <v>2034</v>
      </c>
      <c r="D601" s="8" t="s">
        <v>2015</v>
      </c>
      <c r="E601" s="8" t="n">
        <v>10050</v>
      </c>
      <c r="F601" s="8" t="s">
        <v>131</v>
      </c>
      <c r="G601" s="8" t="s">
        <v>132</v>
      </c>
      <c r="H601" s="3" t="str">
        <f aca="false">IF(G601="OK","YES","no")</f>
        <v>YES</v>
      </c>
      <c r="I601" s="9" t="b">
        <f aca="false">COUNTIF('Roll Schedule'!$A$47:$A$790,A601)&gt;0</f>
        <v>1</v>
      </c>
      <c r="J601" s="8" t="s">
        <v>151</v>
      </c>
      <c r="K601" s="8" t="s">
        <v>2035</v>
      </c>
    </row>
    <row r="602" customFormat="false" ht="15" hidden="false" customHeight="false" outlineLevel="0" collapsed="false">
      <c r="A602" s="7" t="n">
        <v>46219</v>
      </c>
      <c r="B602" s="8" t="s">
        <v>2036</v>
      </c>
      <c r="C602" s="8" t="s">
        <v>2037</v>
      </c>
      <c r="D602" s="8" t="s">
        <v>2015</v>
      </c>
      <c r="E602" s="8" t="n">
        <v>10050</v>
      </c>
      <c r="F602" s="8" t="s">
        <v>131</v>
      </c>
      <c r="G602" s="8" t="s">
        <v>132</v>
      </c>
      <c r="H602" s="3" t="str">
        <f aca="false">IF(G602="OK","YES","no")</f>
        <v>YES</v>
      </c>
      <c r="I602" s="9" t="b">
        <f aca="false">COUNTIF('Roll Schedule'!$A$47:$A$790,A602)&gt;0</f>
        <v>1</v>
      </c>
      <c r="J602" s="8" t="s">
        <v>151</v>
      </c>
      <c r="K602" s="8" t="s">
        <v>2038</v>
      </c>
    </row>
    <row r="603" customFormat="false" ht="15" hidden="false" customHeight="false" outlineLevel="0" collapsed="false">
      <c r="A603" s="7" t="n">
        <v>46220</v>
      </c>
      <c r="B603" s="8" t="s">
        <v>2039</v>
      </c>
      <c r="C603" s="8" t="s">
        <v>2040</v>
      </c>
      <c r="D603" s="8" t="s">
        <v>2007</v>
      </c>
      <c r="E603" s="8" t="n">
        <v>10150</v>
      </c>
      <c r="F603" s="8" t="s">
        <v>131</v>
      </c>
      <c r="G603" s="8" t="s">
        <v>132</v>
      </c>
      <c r="H603" s="3" t="str">
        <f aca="false">IF(G603="OK","YES","no")</f>
        <v>YES</v>
      </c>
      <c r="I603" s="9" t="b">
        <f aca="false">COUNTIF('Roll Schedule'!$A$47:$A$790,A603)&gt;0</f>
        <v>1</v>
      </c>
      <c r="J603" s="8" t="s">
        <v>151</v>
      </c>
      <c r="K603" s="8" t="s">
        <v>2041</v>
      </c>
    </row>
    <row r="604" customFormat="false" ht="15" hidden="false" customHeight="false" outlineLevel="0" collapsed="false">
      <c r="A604" s="7" t="n">
        <v>46223</v>
      </c>
      <c r="B604" s="8" t="s">
        <v>2042</v>
      </c>
      <c r="C604" s="8" t="s">
        <v>2043</v>
      </c>
      <c r="D604" s="8" t="s">
        <v>2007</v>
      </c>
      <c r="E604" s="8" t="n">
        <v>10150</v>
      </c>
      <c r="F604" s="8" t="s">
        <v>131</v>
      </c>
      <c r="G604" s="8" t="s">
        <v>132</v>
      </c>
      <c r="H604" s="3" t="str">
        <f aca="false">IF(G604="OK","YES","no")</f>
        <v>YES</v>
      </c>
      <c r="I604" s="9" t="b">
        <f aca="false">COUNTIF('Roll Schedule'!$A$47:$A$790,A604)&gt;0</f>
        <v>1</v>
      </c>
      <c r="J604" s="8" t="s">
        <v>151</v>
      </c>
      <c r="K604" s="8" t="s">
        <v>2044</v>
      </c>
    </row>
    <row r="605" customFormat="false" ht="15" hidden="false" customHeight="false" outlineLevel="0" collapsed="false">
      <c r="A605" s="7" t="n">
        <v>46224</v>
      </c>
      <c r="B605" s="8" t="s">
        <v>2045</v>
      </c>
      <c r="C605" s="8" t="s">
        <v>2046</v>
      </c>
      <c r="D605" s="8" t="s">
        <v>2015</v>
      </c>
      <c r="E605" s="8" t="n">
        <v>10050</v>
      </c>
      <c r="F605" s="8" t="s">
        <v>131</v>
      </c>
      <c r="G605" s="8" t="s">
        <v>132</v>
      </c>
      <c r="H605" s="3" t="str">
        <f aca="false">IF(G605="OK","YES","no")</f>
        <v>YES</v>
      </c>
      <c r="I605" s="9" t="b">
        <f aca="false">COUNTIF('Roll Schedule'!$A$47:$A$790,A605)&gt;0</f>
        <v>1</v>
      </c>
      <c r="J605" s="8" t="s">
        <v>151</v>
      </c>
      <c r="K605" s="8" t="s">
        <v>2047</v>
      </c>
    </row>
    <row r="606" customFormat="false" ht="15" hidden="false" customHeight="false" outlineLevel="0" collapsed="false">
      <c r="A606" s="7" t="n">
        <v>46225</v>
      </c>
      <c r="B606" s="8" t="s">
        <v>2048</v>
      </c>
      <c r="C606" s="8" t="s">
        <v>2049</v>
      </c>
      <c r="D606" s="8" t="s">
        <v>2022</v>
      </c>
      <c r="E606" s="8" t="n">
        <v>10250</v>
      </c>
      <c r="F606" s="8" t="s">
        <v>131</v>
      </c>
      <c r="G606" s="8" t="s">
        <v>132</v>
      </c>
      <c r="H606" s="3" t="str">
        <f aca="false">IF(G606="OK","YES","no")</f>
        <v>YES</v>
      </c>
      <c r="I606" s="9" t="b">
        <f aca="false">COUNTIF('Roll Schedule'!$A$47:$A$790,A606)&gt;0</f>
        <v>1</v>
      </c>
      <c r="J606" s="8" t="s">
        <v>151</v>
      </c>
      <c r="K606" s="8" t="s">
        <v>2050</v>
      </c>
    </row>
    <row r="607" customFormat="false" ht="15" hidden="false" customHeight="false" outlineLevel="0" collapsed="false">
      <c r="A607" s="7" t="n">
        <v>46226</v>
      </c>
      <c r="B607" s="8" t="s">
        <v>2051</v>
      </c>
      <c r="C607" s="8" t="s">
        <v>2052</v>
      </c>
      <c r="D607" s="8" t="s">
        <v>2007</v>
      </c>
      <c r="E607" s="8" t="n">
        <v>10150</v>
      </c>
      <c r="F607" s="8" t="s">
        <v>131</v>
      </c>
      <c r="G607" s="8" t="s">
        <v>132</v>
      </c>
      <c r="H607" s="3" t="str">
        <f aca="false">IF(G607="OK","YES","no")</f>
        <v>YES</v>
      </c>
      <c r="I607" s="9" t="b">
        <f aca="false">COUNTIF('Roll Schedule'!$A$47:$A$790,A607)&gt;0</f>
        <v>1</v>
      </c>
      <c r="J607" s="8" t="s">
        <v>151</v>
      </c>
      <c r="K607" s="8" t="s">
        <v>2053</v>
      </c>
    </row>
    <row r="608" customFormat="false" ht="15" hidden="false" customHeight="false" outlineLevel="0" collapsed="false">
      <c r="A608" s="7" t="n">
        <v>46227</v>
      </c>
      <c r="B608" s="8" t="s">
        <v>2054</v>
      </c>
      <c r="C608" s="8" t="s">
        <v>2055</v>
      </c>
      <c r="D608" s="8" t="s">
        <v>2015</v>
      </c>
      <c r="E608" s="8" t="n">
        <v>10050</v>
      </c>
      <c r="F608" s="8" t="s">
        <v>131</v>
      </c>
      <c r="G608" s="8" t="s">
        <v>132</v>
      </c>
      <c r="H608" s="3" t="str">
        <f aca="false">IF(G608="OK","YES","no")</f>
        <v>YES</v>
      </c>
      <c r="I608" s="9" t="b">
        <f aca="false">COUNTIF('Roll Schedule'!$A$47:$A$790,A608)&gt;0</f>
        <v>1</v>
      </c>
      <c r="J608" s="8" t="s">
        <v>151</v>
      </c>
      <c r="K608" s="8" t="s">
        <v>2056</v>
      </c>
    </row>
    <row r="609" customFormat="false" ht="15" hidden="false" customHeight="false" outlineLevel="0" collapsed="false">
      <c r="A609" s="7" t="n">
        <v>46230</v>
      </c>
      <c r="B609" s="8" t="s">
        <v>2057</v>
      </c>
      <c r="C609" s="8" t="s">
        <v>2058</v>
      </c>
      <c r="D609" s="8" t="s">
        <v>2007</v>
      </c>
      <c r="E609" s="8" t="n">
        <v>10150</v>
      </c>
      <c r="F609" s="8" t="s">
        <v>131</v>
      </c>
      <c r="G609" s="8" t="s">
        <v>132</v>
      </c>
      <c r="H609" s="3" t="str">
        <f aca="false">IF(G609="OK","YES","no")</f>
        <v>YES</v>
      </c>
      <c r="I609" s="9" t="b">
        <f aca="false">COUNTIF('Roll Schedule'!$A$47:$A$790,A609)&gt;0</f>
        <v>1</v>
      </c>
      <c r="J609" s="8" t="s">
        <v>151</v>
      </c>
      <c r="K609" s="8" t="s">
        <v>2059</v>
      </c>
    </row>
    <row r="610" customFormat="false" ht="15" hidden="false" customHeight="false" outlineLevel="0" collapsed="false">
      <c r="A610" s="7" t="n">
        <v>46231</v>
      </c>
      <c r="B610" s="8" t="s">
        <v>2060</v>
      </c>
      <c r="C610" s="8" t="s">
        <v>2061</v>
      </c>
      <c r="D610" s="8" t="s">
        <v>2015</v>
      </c>
      <c r="E610" s="8" t="n">
        <v>10050</v>
      </c>
      <c r="F610" s="8" t="s">
        <v>131</v>
      </c>
      <c r="G610" s="8" t="s">
        <v>132</v>
      </c>
      <c r="H610" s="3" t="str">
        <f aca="false">IF(G610="OK","YES","no")</f>
        <v>YES</v>
      </c>
      <c r="I610" s="9" t="b">
        <f aca="false">COUNTIF('Roll Schedule'!$A$47:$A$790,A610)&gt;0</f>
        <v>1</v>
      </c>
      <c r="J610" s="8" t="s">
        <v>151</v>
      </c>
      <c r="K610" s="8" t="s">
        <v>2062</v>
      </c>
    </row>
    <row r="611" customFormat="false" ht="15" hidden="false" customHeight="false" outlineLevel="0" collapsed="false">
      <c r="A611" s="7" t="n">
        <v>46232</v>
      </c>
      <c r="B611" s="8" t="s">
        <v>2063</v>
      </c>
      <c r="C611" s="8" t="s">
        <v>2064</v>
      </c>
      <c r="D611" s="8" t="s">
        <v>2015</v>
      </c>
      <c r="E611" s="8" t="n">
        <v>10050</v>
      </c>
      <c r="F611" s="8" t="s">
        <v>131</v>
      </c>
      <c r="G611" s="8" t="s">
        <v>132</v>
      </c>
      <c r="H611" s="3" t="str">
        <f aca="false">IF(G611="OK","YES","no")</f>
        <v>YES</v>
      </c>
      <c r="I611" s="9" t="b">
        <f aca="false">COUNTIF('Roll Schedule'!$A$47:$A$790,A611)&gt;0</f>
        <v>1</v>
      </c>
      <c r="J611" s="8" t="s">
        <v>151</v>
      </c>
      <c r="K611" s="8" t="s">
        <v>2065</v>
      </c>
    </row>
    <row r="612" customFormat="false" ht="15" hidden="false" customHeight="false" outlineLevel="0" collapsed="false">
      <c r="A612" s="7" t="n">
        <v>46233</v>
      </c>
      <c r="B612" s="8" t="s">
        <v>2066</v>
      </c>
      <c r="C612" s="8" t="s">
        <v>2067</v>
      </c>
      <c r="D612" s="8" t="s">
        <v>2015</v>
      </c>
      <c r="E612" s="8" t="n">
        <v>10050</v>
      </c>
      <c r="F612" s="8" t="s">
        <v>131</v>
      </c>
      <c r="G612" s="8" t="s">
        <v>132</v>
      </c>
      <c r="H612" s="3" t="str">
        <f aca="false">IF(G612="OK","YES","no")</f>
        <v>YES</v>
      </c>
      <c r="I612" s="9" t="b">
        <f aca="false">COUNTIF('Roll Schedule'!$A$47:$A$790,A612)&gt;0</f>
        <v>1</v>
      </c>
      <c r="J612" s="8" t="s">
        <v>151</v>
      </c>
      <c r="K612" s="8" t="s">
        <v>2068</v>
      </c>
    </row>
    <row r="613" customFormat="false" ht="15" hidden="false" customHeight="false" outlineLevel="0" collapsed="false">
      <c r="A613" s="7" t="n">
        <v>46234</v>
      </c>
      <c r="B613" s="8" t="s">
        <v>2069</v>
      </c>
      <c r="C613" s="8" t="s">
        <v>2070</v>
      </c>
      <c r="D613" s="8" t="s">
        <v>2022</v>
      </c>
      <c r="E613" s="8" t="n">
        <v>10250</v>
      </c>
      <c r="F613" s="8" t="s">
        <v>131</v>
      </c>
      <c r="G613" s="8" t="s">
        <v>132</v>
      </c>
      <c r="H613" s="3" t="str">
        <f aca="false">IF(G613="OK","YES","no")</f>
        <v>YES</v>
      </c>
      <c r="I613" s="9" t="b">
        <f aca="false">COUNTIF('Roll Schedule'!$A$47:$A$790,A613)&gt;0</f>
        <v>1</v>
      </c>
      <c r="J613" s="8" t="s">
        <v>151</v>
      </c>
      <c r="K613" s="8" t="s">
        <v>2071</v>
      </c>
    </row>
    <row r="614" customFormat="false" ht="15" hidden="false" customHeight="false" outlineLevel="0" collapsed="false">
      <c r="A614" s="7" t="n">
        <v>46237</v>
      </c>
      <c r="B614" s="8" t="s">
        <v>2072</v>
      </c>
      <c r="C614" s="8" t="s">
        <v>2073</v>
      </c>
      <c r="D614" s="8" t="s">
        <v>2007</v>
      </c>
      <c r="E614" s="8" t="n">
        <v>10150</v>
      </c>
      <c r="F614" s="8" t="s">
        <v>131</v>
      </c>
      <c r="G614" s="8" t="s">
        <v>132</v>
      </c>
      <c r="H614" s="3" t="str">
        <f aca="false">IF(G614="OK","YES","no")</f>
        <v>YES</v>
      </c>
      <c r="I614" s="9" t="b">
        <f aca="false">COUNTIF('Roll Schedule'!$A$47:$A$790,A614)&gt;0</f>
        <v>1</v>
      </c>
      <c r="J614" s="8" t="s">
        <v>151</v>
      </c>
      <c r="K614" s="8" t="s">
        <v>2074</v>
      </c>
    </row>
    <row r="615" customFormat="false" ht="15" hidden="false" customHeight="false" outlineLevel="0" collapsed="false">
      <c r="A615" s="7" t="n">
        <v>46238</v>
      </c>
      <c r="B615" s="8" t="s">
        <v>2075</v>
      </c>
      <c r="C615" s="8" t="s">
        <v>2076</v>
      </c>
      <c r="D615" s="8" t="s">
        <v>2022</v>
      </c>
      <c r="E615" s="8" t="n">
        <v>10250</v>
      </c>
      <c r="F615" s="8" t="s">
        <v>131</v>
      </c>
      <c r="G615" s="8" t="s">
        <v>132</v>
      </c>
      <c r="H615" s="3" t="str">
        <f aca="false">IF(G615="OK","YES","no")</f>
        <v>YES</v>
      </c>
      <c r="I615" s="9" t="b">
        <f aca="false">COUNTIF('Roll Schedule'!$A$47:$A$790,A615)&gt;0</f>
        <v>1</v>
      </c>
      <c r="J615" s="8" t="s">
        <v>151</v>
      </c>
      <c r="K615" s="8" t="s">
        <v>2077</v>
      </c>
    </row>
    <row r="616" customFormat="false" ht="15" hidden="false" customHeight="false" outlineLevel="0" collapsed="false">
      <c r="A616" s="7" t="n">
        <v>46239</v>
      </c>
      <c r="B616" s="8" t="s">
        <v>2078</v>
      </c>
      <c r="C616" s="8" t="s">
        <v>2079</v>
      </c>
      <c r="D616" s="8" t="s">
        <v>2022</v>
      </c>
      <c r="E616" s="8" t="n">
        <v>10250</v>
      </c>
      <c r="F616" s="8" t="s">
        <v>131</v>
      </c>
      <c r="G616" s="8" t="s">
        <v>132</v>
      </c>
      <c r="H616" s="3" t="str">
        <f aca="false">IF(G616="OK","YES","no")</f>
        <v>YES</v>
      </c>
      <c r="I616" s="9" t="b">
        <f aca="false">COUNTIF('Roll Schedule'!$A$47:$A$790,A616)&gt;0</f>
        <v>1</v>
      </c>
      <c r="J616" s="8" t="s">
        <v>151</v>
      </c>
      <c r="K616" s="8" t="s">
        <v>2080</v>
      </c>
    </row>
    <row r="617" customFormat="false" ht="15" hidden="false" customHeight="false" outlineLevel="0" collapsed="false">
      <c r="A617" s="7" t="n">
        <v>46240</v>
      </c>
      <c r="B617" s="8" t="s">
        <v>2081</v>
      </c>
      <c r="C617" s="8" t="s">
        <v>2082</v>
      </c>
      <c r="D617" s="8" t="s">
        <v>2007</v>
      </c>
      <c r="E617" s="8" t="n">
        <v>10150</v>
      </c>
      <c r="F617" s="8" t="s">
        <v>131</v>
      </c>
      <c r="G617" s="8" t="s">
        <v>132</v>
      </c>
      <c r="H617" s="3" t="str">
        <f aca="false">IF(G617="OK","YES","no")</f>
        <v>YES</v>
      </c>
      <c r="I617" s="9" t="b">
        <f aca="false">COUNTIF('Roll Schedule'!$A$47:$A$790,A617)&gt;0</f>
        <v>1</v>
      </c>
      <c r="J617" s="8" t="s">
        <v>151</v>
      </c>
      <c r="K617" s="8" t="s">
        <v>2083</v>
      </c>
    </row>
    <row r="618" customFormat="false" ht="15" hidden="false" customHeight="false" outlineLevel="0" collapsed="false">
      <c r="A618" s="7" t="n">
        <v>46241</v>
      </c>
      <c r="B618" s="8" t="s">
        <v>2084</v>
      </c>
      <c r="C618" s="8" t="s">
        <v>2085</v>
      </c>
      <c r="D618" s="8" t="s">
        <v>2007</v>
      </c>
      <c r="E618" s="8" t="n">
        <v>10150</v>
      </c>
      <c r="F618" s="8" t="s">
        <v>131</v>
      </c>
      <c r="G618" s="8" t="s">
        <v>132</v>
      </c>
      <c r="H618" s="3" t="str">
        <f aca="false">IF(G618="OK","YES","no")</f>
        <v>YES</v>
      </c>
      <c r="I618" s="9" t="b">
        <f aca="false">COUNTIF('Roll Schedule'!$A$47:$A$790,A618)&gt;0</f>
        <v>1</v>
      </c>
      <c r="J618" s="8" t="s">
        <v>151</v>
      </c>
      <c r="K618" s="8" t="s">
        <v>2086</v>
      </c>
    </row>
    <row r="619" customFormat="false" ht="15" hidden="false" customHeight="false" outlineLevel="0" collapsed="false">
      <c r="A619" s="7" t="n">
        <v>46244</v>
      </c>
      <c r="B619" s="8" t="s">
        <v>2087</v>
      </c>
      <c r="C619" s="8" t="s">
        <v>2088</v>
      </c>
      <c r="D619" s="8" t="s">
        <v>2007</v>
      </c>
      <c r="E619" s="8" t="n">
        <v>10150</v>
      </c>
      <c r="F619" s="8" t="s">
        <v>131</v>
      </c>
      <c r="G619" s="8" t="s">
        <v>132</v>
      </c>
      <c r="H619" s="3" t="str">
        <f aca="false">IF(G619="OK","YES","no")</f>
        <v>YES</v>
      </c>
      <c r="I619" s="9" t="b">
        <f aca="false">COUNTIF('Roll Schedule'!$A$47:$A$790,A619)&gt;0</f>
        <v>1</v>
      </c>
      <c r="J619" s="8" t="s">
        <v>151</v>
      </c>
      <c r="K619" s="8" t="s">
        <v>2089</v>
      </c>
    </row>
    <row r="620" customFormat="false" ht="15" hidden="false" customHeight="false" outlineLevel="0" collapsed="false">
      <c r="A620" s="7" t="n">
        <v>46245</v>
      </c>
      <c r="B620" s="8" t="s">
        <v>2090</v>
      </c>
      <c r="C620" s="8" t="s">
        <v>2091</v>
      </c>
      <c r="D620" s="8" t="s">
        <v>2022</v>
      </c>
      <c r="E620" s="8" t="n">
        <v>10250</v>
      </c>
      <c r="F620" s="8" t="s">
        <v>131</v>
      </c>
      <c r="G620" s="8" t="s">
        <v>132</v>
      </c>
      <c r="H620" s="3" t="str">
        <f aca="false">IF(G620="OK","YES","no")</f>
        <v>YES</v>
      </c>
      <c r="I620" s="9" t="b">
        <f aca="false">COUNTIF('Roll Schedule'!$A$47:$A$790,A620)&gt;0</f>
        <v>1</v>
      </c>
      <c r="J620" s="8" t="s">
        <v>151</v>
      </c>
      <c r="K620" s="8" t="s">
        <v>2092</v>
      </c>
    </row>
    <row r="621" customFormat="false" ht="15" hidden="false" customHeight="false" outlineLevel="0" collapsed="false">
      <c r="A621" s="7" t="n">
        <v>46246</v>
      </c>
      <c r="B621" s="8" t="s">
        <v>2093</v>
      </c>
      <c r="C621" s="8" t="s">
        <v>2094</v>
      </c>
      <c r="D621" s="8" t="s">
        <v>2095</v>
      </c>
      <c r="E621" s="8" t="n">
        <v>10200</v>
      </c>
      <c r="F621" s="8" t="s">
        <v>131</v>
      </c>
      <c r="G621" s="8" t="s">
        <v>132</v>
      </c>
      <c r="H621" s="3" t="str">
        <f aca="false">IF(G621="OK","YES","no")</f>
        <v>YES</v>
      </c>
      <c r="I621" s="9" t="b">
        <f aca="false">COUNTIF('Roll Schedule'!$A$47:$A$790,A621)&gt;0</f>
        <v>1</v>
      </c>
      <c r="J621" s="8" t="s">
        <v>151</v>
      </c>
      <c r="K621" s="8" t="s">
        <v>2096</v>
      </c>
    </row>
    <row r="622" customFormat="false" ht="15" hidden="false" customHeight="false" outlineLevel="0" collapsed="false">
      <c r="A622" s="7" t="n">
        <v>46247</v>
      </c>
      <c r="B622" s="8" t="s">
        <v>2097</v>
      </c>
      <c r="C622" s="8" t="s">
        <v>2098</v>
      </c>
      <c r="D622" s="8" t="s">
        <v>2095</v>
      </c>
      <c r="E622" s="8" t="n">
        <v>10200</v>
      </c>
      <c r="F622" s="8" t="s">
        <v>131</v>
      </c>
      <c r="G622" s="8" t="s">
        <v>132</v>
      </c>
      <c r="H622" s="3" t="str">
        <f aca="false">IF(G622="OK","YES","no")</f>
        <v>YES</v>
      </c>
      <c r="I622" s="9" t="b">
        <f aca="false">COUNTIF('Roll Schedule'!$A$47:$A$790,A622)&gt;0</f>
        <v>1</v>
      </c>
      <c r="J622" s="8" t="s">
        <v>151</v>
      </c>
      <c r="K622" s="8" t="s">
        <v>2099</v>
      </c>
    </row>
    <row r="623" customFormat="false" ht="15" hidden="false" customHeight="false" outlineLevel="0" collapsed="false">
      <c r="A623" s="7" t="n">
        <v>46248</v>
      </c>
      <c r="B623" s="8" t="s">
        <v>2100</v>
      </c>
      <c r="C623" s="8" t="s">
        <v>2101</v>
      </c>
      <c r="D623" s="8" t="s">
        <v>2022</v>
      </c>
      <c r="E623" s="8" t="n">
        <v>10250</v>
      </c>
      <c r="F623" s="8" t="s">
        <v>131</v>
      </c>
      <c r="G623" s="8" t="s">
        <v>132</v>
      </c>
      <c r="H623" s="3" t="str">
        <f aca="false">IF(G623="OK","YES","no")</f>
        <v>YES</v>
      </c>
      <c r="I623" s="9" t="b">
        <f aca="false">COUNTIF('Roll Schedule'!$A$47:$A$790,A623)&gt;0</f>
        <v>1</v>
      </c>
      <c r="J623" s="8" t="s">
        <v>151</v>
      </c>
      <c r="K623" s="8" t="s">
        <v>2102</v>
      </c>
    </row>
    <row r="624" customFormat="false" ht="15" hidden="false" customHeight="false" outlineLevel="0" collapsed="false">
      <c r="A624" s="7" t="n">
        <v>46251</v>
      </c>
      <c r="B624" s="8" t="s">
        <v>2103</v>
      </c>
      <c r="C624" s="8" t="s">
        <v>2104</v>
      </c>
      <c r="D624" s="8" t="s">
        <v>2022</v>
      </c>
      <c r="E624" s="8" t="n">
        <v>10250</v>
      </c>
      <c r="F624" s="8" t="s">
        <v>131</v>
      </c>
      <c r="G624" s="8" t="s">
        <v>132</v>
      </c>
      <c r="H624" s="3" t="str">
        <f aca="false">IF(G624="OK","YES","no")</f>
        <v>YES</v>
      </c>
      <c r="I624" s="9" t="b">
        <f aca="false">COUNTIF('Roll Schedule'!$A$47:$A$790,A624)&gt;0</f>
        <v>1</v>
      </c>
      <c r="J624" s="8" t="s">
        <v>151</v>
      </c>
      <c r="K624" s="8" t="s">
        <v>2105</v>
      </c>
    </row>
    <row r="625" customFormat="false" ht="15" hidden="false" customHeight="false" outlineLevel="0" collapsed="false">
      <c r="A625" s="7" t="n">
        <v>46252</v>
      </c>
      <c r="B625" s="8" t="s">
        <v>2106</v>
      </c>
      <c r="C625" s="8" t="s">
        <v>2107</v>
      </c>
      <c r="D625" s="8" t="s">
        <v>2022</v>
      </c>
      <c r="E625" s="8" t="n">
        <v>10250</v>
      </c>
      <c r="F625" s="8" t="s">
        <v>131</v>
      </c>
      <c r="G625" s="8" t="s">
        <v>132</v>
      </c>
      <c r="H625" s="3" t="str">
        <f aca="false">IF(G625="OK","YES","no")</f>
        <v>YES</v>
      </c>
      <c r="I625" s="9" t="b">
        <f aca="false">COUNTIF('Roll Schedule'!$A$47:$A$790,A625)&gt;0</f>
        <v>1</v>
      </c>
      <c r="J625" s="8" t="s">
        <v>151</v>
      </c>
      <c r="K625" s="8" t="s">
        <v>2108</v>
      </c>
    </row>
    <row r="626" customFormat="false" ht="15" hidden="false" customHeight="false" outlineLevel="0" collapsed="false">
      <c r="A626" s="7" t="n">
        <v>46253</v>
      </c>
      <c r="B626" s="8" t="s">
        <v>2109</v>
      </c>
      <c r="C626" s="8" t="s">
        <v>2110</v>
      </c>
      <c r="D626" s="8" t="s">
        <v>2007</v>
      </c>
      <c r="E626" s="8" t="n">
        <v>10150</v>
      </c>
      <c r="F626" s="8" t="s">
        <v>131</v>
      </c>
      <c r="G626" s="8" t="s">
        <v>132</v>
      </c>
      <c r="H626" s="3" t="str">
        <f aca="false">IF(G626="OK","YES","no")</f>
        <v>YES</v>
      </c>
      <c r="I626" s="9" t="b">
        <f aca="false">COUNTIF('Roll Schedule'!$A$47:$A$790,A626)&gt;0</f>
        <v>1</v>
      </c>
      <c r="J626" s="8" t="s">
        <v>151</v>
      </c>
      <c r="K626" s="8" t="s">
        <v>2111</v>
      </c>
    </row>
    <row r="627" customFormat="false" ht="15" hidden="false" customHeight="false" outlineLevel="0" collapsed="false">
      <c r="A627" s="7" t="n">
        <v>46254</v>
      </c>
      <c r="B627" s="8" t="s">
        <v>2112</v>
      </c>
      <c r="C627" s="8" t="s">
        <v>2113</v>
      </c>
      <c r="D627" s="8" t="s">
        <v>2015</v>
      </c>
      <c r="E627" s="8" t="n">
        <v>10050</v>
      </c>
      <c r="F627" s="8" t="s">
        <v>131</v>
      </c>
      <c r="G627" s="8" t="s">
        <v>132</v>
      </c>
      <c r="H627" s="3" t="str">
        <f aca="false">IF(G627="OK","YES","no")</f>
        <v>YES</v>
      </c>
      <c r="I627" s="9" t="b">
        <f aca="false">COUNTIF('Roll Schedule'!$A$47:$A$790,A627)&gt;0</f>
        <v>1</v>
      </c>
      <c r="J627" s="8" t="s">
        <v>151</v>
      </c>
      <c r="K627" s="8" t="s">
        <v>2114</v>
      </c>
    </row>
    <row r="628" customFormat="false" ht="15" hidden="false" customHeight="false" outlineLevel="0" collapsed="false">
      <c r="A628" s="7" t="n">
        <v>46255</v>
      </c>
      <c r="B628" s="8" t="s">
        <v>2115</v>
      </c>
      <c r="C628" s="8" t="s">
        <v>2116</v>
      </c>
      <c r="D628" s="8" t="s">
        <v>2015</v>
      </c>
      <c r="E628" s="8" t="n">
        <v>10050</v>
      </c>
      <c r="F628" s="8" t="s">
        <v>131</v>
      </c>
      <c r="G628" s="8" t="s">
        <v>132</v>
      </c>
      <c r="H628" s="3" t="str">
        <f aca="false">IF(G628="OK","YES","no")</f>
        <v>YES</v>
      </c>
      <c r="I628" s="9" t="b">
        <f aca="false">COUNTIF('Roll Schedule'!$A$47:$A$790,A628)&gt;0</f>
        <v>1</v>
      </c>
      <c r="J628" s="8" t="s">
        <v>151</v>
      </c>
      <c r="K628" s="8" t="s">
        <v>2117</v>
      </c>
    </row>
    <row r="629" customFormat="false" ht="15" hidden="false" customHeight="false" outlineLevel="0" collapsed="false">
      <c r="A629" s="7" t="n">
        <v>46258</v>
      </c>
      <c r="B629" s="8" t="s">
        <v>2118</v>
      </c>
      <c r="C629" s="8" t="s">
        <v>2119</v>
      </c>
      <c r="D629" s="8" t="s">
        <v>2007</v>
      </c>
      <c r="E629" s="8" t="n">
        <v>10150</v>
      </c>
      <c r="F629" s="8" t="s">
        <v>131</v>
      </c>
      <c r="G629" s="8" t="s">
        <v>132</v>
      </c>
      <c r="H629" s="3" t="str">
        <f aca="false">IF(G629="OK","YES","no")</f>
        <v>YES</v>
      </c>
      <c r="I629" s="9" t="b">
        <f aca="false">COUNTIF('Roll Schedule'!$A$47:$A$790,A629)&gt;0</f>
        <v>1</v>
      </c>
      <c r="J629" s="8" t="s">
        <v>151</v>
      </c>
      <c r="K629" s="8" t="s">
        <v>2120</v>
      </c>
    </row>
    <row r="630" customFormat="false" ht="15" hidden="false" customHeight="false" outlineLevel="0" collapsed="false">
      <c r="A630" s="7" t="n">
        <v>46259</v>
      </c>
      <c r="B630" s="8" t="s">
        <v>2121</v>
      </c>
      <c r="C630" s="8" t="s">
        <v>2122</v>
      </c>
      <c r="D630" s="8" t="s">
        <v>2022</v>
      </c>
      <c r="E630" s="8" t="n">
        <v>10250</v>
      </c>
      <c r="F630" s="8" t="s">
        <v>131</v>
      </c>
      <c r="G630" s="8" t="s">
        <v>132</v>
      </c>
      <c r="H630" s="3" t="str">
        <f aca="false">IF(G630="OK","YES","no")</f>
        <v>YES</v>
      </c>
      <c r="I630" s="9" t="b">
        <f aca="false">COUNTIF('Roll Schedule'!$A$47:$A$790,A630)&gt;0</f>
        <v>1</v>
      </c>
      <c r="J630" s="8" t="s">
        <v>151</v>
      </c>
      <c r="K630" s="8" t="s">
        <v>2123</v>
      </c>
    </row>
    <row r="631" customFormat="false" ht="15" hidden="false" customHeight="false" outlineLevel="0" collapsed="false">
      <c r="A631" s="7" t="n">
        <v>46260</v>
      </c>
      <c r="B631" s="8" t="s">
        <v>2124</v>
      </c>
      <c r="C631" s="8" t="s">
        <v>2125</v>
      </c>
      <c r="D631" s="8" t="s">
        <v>2022</v>
      </c>
      <c r="E631" s="8" t="n">
        <v>10250</v>
      </c>
      <c r="F631" s="8" t="s">
        <v>131</v>
      </c>
      <c r="G631" s="8" t="s">
        <v>132</v>
      </c>
      <c r="H631" s="3" t="str">
        <f aca="false">IF(G631="OK","YES","no")</f>
        <v>YES</v>
      </c>
      <c r="I631" s="9" t="b">
        <f aca="false">COUNTIF('Roll Schedule'!$A$47:$A$790,A631)&gt;0</f>
        <v>1</v>
      </c>
      <c r="J631" s="8" t="s">
        <v>151</v>
      </c>
      <c r="K631" s="8" t="s">
        <v>2126</v>
      </c>
    </row>
    <row r="632" customFormat="false" ht="15" hidden="false" customHeight="false" outlineLevel="0" collapsed="false">
      <c r="A632" s="7" t="n">
        <v>46261</v>
      </c>
      <c r="B632" s="8" t="s">
        <v>2127</v>
      </c>
      <c r="C632" s="8" t="s">
        <v>2128</v>
      </c>
      <c r="D632" s="8" t="s">
        <v>2022</v>
      </c>
      <c r="E632" s="8" t="n">
        <v>10250</v>
      </c>
      <c r="F632" s="8" t="s">
        <v>131</v>
      </c>
      <c r="G632" s="8" t="s">
        <v>132</v>
      </c>
      <c r="H632" s="3" t="str">
        <f aca="false">IF(G632="OK","YES","no")</f>
        <v>YES</v>
      </c>
      <c r="I632" s="9" t="b">
        <f aca="false">COUNTIF('Roll Schedule'!$A$47:$A$790,A632)&gt;0</f>
        <v>1</v>
      </c>
      <c r="J632" s="8" t="s">
        <v>151</v>
      </c>
      <c r="K632" s="8" t="s">
        <v>2129</v>
      </c>
    </row>
    <row r="633" customFormat="false" ht="15" hidden="false" customHeight="false" outlineLevel="0" collapsed="false">
      <c r="A633" s="7" t="n">
        <v>46265</v>
      </c>
      <c r="B633" s="8" t="s">
        <v>2130</v>
      </c>
      <c r="C633" s="8" t="s">
        <v>2131</v>
      </c>
      <c r="D633" s="8" t="s">
        <v>2007</v>
      </c>
      <c r="E633" s="8" t="n">
        <v>10150</v>
      </c>
      <c r="F633" s="8" t="s">
        <v>131</v>
      </c>
      <c r="G633" s="8" t="s">
        <v>132</v>
      </c>
      <c r="H633" s="3" t="str">
        <f aca="false">IF(G633="OK","YES","no")</f>
        <v>YES</v>
      </c>
      <c r="I633" s="9" t="b">
        <f aca="false">COUNTIF('Roll Schedule'!$A$47:$A$790,A633)&gt;0</f>
        <v>1</v>
      </c>
      <c r="J633" s="8" t="s">
        <v>151</v>
      </c>
      <c r="K633" s="8" t="s">
        <v>2132</v>
      </c>
    </row>
    <row r="634" customFormat="false" ht="15" hidden="false" customHeight="false" outlineLevel="0" collapsed="false">
      <c r="A634" s="7" t="n">
        <v>46266</v>
      </c>
      <c r="B634" s="8" t="s">
        <v>2133</v>
      </c>
      <c r="C634" s="8" t="s">
        <v>2134</v>
      </c>
      <c r="D634" s="8" t="s">
        <v>2007</v>
      </c>
      <c r="E634" s="8" t="n">
        <v>10150</v>
      </c>
      <c r="F634" s="8" t="s">
        <v>131</v>
      </c>
      <c r="G634" s="8" t="s">
        <v>132</v>
      </c>
      <c r="H634" s="3" t="str">
        <f aca="false">IF(G634="OK","YES","no")</f>
        <v>YES</v>
      </c>
      <c r="I634" s="9" t="b">
        <f aca="false">COUNTIF('Roll Schedule'!$A$47:$A$790,A634)&gt;0</f>
        <v>1</v>
      </c>
      <c r="J634" s="8" t="s">
        <v>151</v>
      </c>
      <c r="K634" s="8" t="s">
        <v>2135</v>
      </c>
    </row>
    <row r="635" customFormat="false" ht="15" hidden="false" customHeight="false" outlineLevel="0" collapsed="false">
      <c r="A635" s="7" t="n">
        <v>46267</v>
      </c>
      <c r="B635" s="8" t="s">
        <v>2136</v>
      </c>
      <c r="C635" s="8" t="s">
        <v>2137</v>
      </c>
      <c r="D635" s="8" t="s">
        <v>2007</v>
      </c>
      <c r="E635" s="8" t="n">
        <v>10150</v>
      </c>
      <c r="F635" s="8" t="s">
        <v>131</v>
      </c>
      <c r="G635" s="8" t="s">
        <v>132</v>
      </c>
      <c r="H635" s="3" t="str">
        <f aca="false">IF(G635="OK","YES","no")</f>
        <v>YES</v>
      </c>
      <c r="I635" s="9" t="b">
        <f aca="false">COUNTIF('Roll Schedule'!$A$47:$A$790,A635)&gt;0</f>
        <v>1</v>
      </c>
      <c r="J635" s="8" t="s">
        <v>151</v>
      </c>
      <c r="K635" s="8" t="s">
        <v>2138</v>
      </c>
    </row>
    <row r="636" customFormat="false" ht="15" hidden="false" customHeight="false" outlineLevel="0" collapsed="false">
      <c r="A636" s="7" t="n">
        <v>46268</v>
      </c>
      <c r="B636" s="8" t="s">
        <v>2139</v>
      </c>
      <c r="C636" s="8" t="s">
        <v>2140</v>
      </c>
      <c r="D636" s="8" t="s">
        <v>2007</v>
      </c>
      <c r="E636" s="8" t="n">
        <v>10150</v>
      </c>
      <c r="F636" s="8" t="s">
        <v>131</v>
      </c>
      <c r="G636" s="8" t="s">
        <v>132</v>
      </c>
      <c r="H636" s="3" t="str">
        <f aca="false">IF(G636="OK","YES","no")</f>
        <v>YES</v>
      </c>
      <c r="I636" s="9" t="b">
        <f aca="false">COUNTIF('Roll Schedule'!$A$47:$A$790,A636)&gt;0</f>
        <v>1</v>
      </c>
      <c r="J636" s="8" t="s">
        <v>151</v>
      </c>
      <c r="K636" s="8" t="s">
        <v>2141</v>
      </c>
    </row>
    <row r="637" customFormat="false" ht="15" hidden="false" customHeight="false" outlineLevel="0" collapsed="false">
      <c r="A637" s="7" t="n">
        <v>46269</v>
      </c>
      <c r="B637" s="8" t="s">
        <v>2142</v>
      </c>
      <c r="C637" s="8" t="s">
        <v>2143</v>
      </c>
      <c r="D637" s="8" t="s">
        <v>869</v>
      </c>
      <c r="E637" s="8"/>
      <c r="F637" s="8" t="s">
        <v>131</v>
      </c>
      <c r="G637" s="8" t="s">
        <v>245</v>
      </c>
      <c r="H637" s="3" t="str">
        <f aca="false">IF(G637="OK","YES","no")</f>
        <v>no</v>
      </c>
      <c r="I637" s="9" t="b">
        <f aca="false">COUNTIF('Roll Schedule'!$A$47:$A$790,A637)&gt;0</f>
        <v>1</v>
      </c>
      <c r="J637" s="8" t="s">
        <v>151</v>
      </c>
      <c r="K637" s="8" t="s">
        <v>2144</v>
      </c>
    </row>
    <row r="638" customFormat="false" ht="15" hidden="false" customHeight="false" outlineLevel="0" collapsed="false">
      <c r="A638" s="7" t="n">
        <v>46272</v>
      </c>
      <c r="B638" s="8" t="s">
        <v>2145</v>
      </c>
      <c r="C638" s="8" t="s">
        <v>2146</v>
      </c>
      <c r="D638" s="8" t="s">
        <v>2022</v>
      </c>
      <c r="E638" s="8" t="n">
        <v>10250</v>
      </c>
      <c r="F638" s="8" t="s">
        <v>131</v>
      </c>
      <c r="G638" s="8" t="s">
        <v>132</v>
      </c>
      <c r="H638" s="3" t="str">
        <f aca="false">IF(G638="OK","YES","no")</f>
        <v>YES</v>
      </c>
      <c r="I638" s="9" t="b">
        <f aca="false">COUNTIF('Roll Schedule'!$A$47:$A$790,A638)&gt;0</f>
        <v>1</v>
      </c>
      <c r="J638" s="8" t="s">
        <v>151</v>
      </c>
      <c r="K638" s="8" t="s">
        <v>2147</v>
      </c>
    </row>
    <row r="639" customFormat="false" ht="15" hidden="false" customHeight="false" outlineLevel="0" collapsed="false">
      <c r="A639" s="7" t="n">
        <v>46273</v>
      </c>
      <c r="B639" s="8" t="s">
        <v>2148</v>
      </c>
      <c r="C639" s="8" t="s">
        <v>2149</v>
      </c>
      <c r="D639" s="8" t="s">
        <v>2007</v>
      </c>
      <c r="E639" s="8" t="n">
        <v>10150</v>
      </c>
      <c r="F639" s="8" t="s">
        <v>131</v>
      </c>
      <c r="G639" s="8" t="s">
        <v>132</v>
      </c>
      <c r="H639" s="3" t="str">
        <f aca="false">IF(G639="OK","YES","no")</f>
        <v>YES</v>
      </c>
      <c r="I639" s="9" t="b">
        <f aca="false">COUNTIF('Roll Schedule'!$A$47:$A$790,A639)&gt;0</f>
        <v>1</v>
      </c>
      <c r="J639" s="8" t="s">
        <v>151</v>
      </c>
      <c r="K639" s="8" t="s">
        <v>2150</v>
      </c>
    </row>
    <row r="640" customFormat="false" ht="15" hidden="false" customHeight="false" outlineLevel="0" collapsed="false">
      <c r="A640" s="7" t="n">
        <v>46274</v>
      </c>
      <c r="B640" s="8" t="s">
        <v>2151</v>
      </c>
      <c r="C640" s="8" t="s">
        <v>2152</v>
      </c>
      <c r="D640" s="8" t="s">
        <v>2022</v>
      </c>
      <c r="E640" s="8" t="n">
        <v>10250</v>
      </c>
      <c r="F640" s="8" t="s">
        <v>131</v>
      </c>
      <c r="G640" s="8" t="s">
        <v>132</v>
      </c>
      <c r="H640" s="3" t="str">
        <f aca="false">IF(G640="OK","YES","no")</f>
        <v>YES</v>
      </c>
      <c r="I640" s="9" t="b">
        <f aca="false">COUNTIF('Roll Schedule'!$A$47:$A$790,A640)&gt;0</f>
        <v>1</v>
      </c>
      <c r="J640" s="8" t="s">
        <v>151</v>
      </c>
      <c r="K640" s="8" t="s">
        <v>2153</v>
      </c>
    </row>
    <row r="641" customFormat="false" ht="15" hidden="false" customHeight="false" outlineLevel="0" collapsed="false">
      <c r="A641" s="7" t="n">
        <v>46275</v>
      </c>
      <c r="B641" s="8" t="s">
        <v>2154</v>
      </c>
      <c r="C641" s="8" t="s">
        <v>2155</v>
      </c>
      <c r="D641" s="8" t="s">
        <v>2022</v>
      </c>
      <c r="E641" s="8" t="n">
        <v>10250</v>
      </c>
      <c r="F641" s="8" t="s">
        <v>131</v>
      </c>
      <c r="G641" s="8" t="s">
        <v>132</v>
      </c>
      <c r="H641" s="3" t="str">
        <f aca="false">IF(G641="OK","YES","no")</f>
        <v>YES</v>
      </c>
      <c r="I641" s="9" t="b">
        <f aca="false">COUNTIF('Roll Schedule'!$A$47:$A$790,A641)&gt;0</f>
        <v>1</v>
      </c>
      <c r="J641" s="8" t="s">
        <v>151</v>
      </c>
      <c r="K641" s="8" t="s">
        <v>2156</v>
      </c>
    </row>
    <row r="642" customFormat="false" ht="15" hidden="false" customHeight="false" outlineLevel="0" collapsed="false">
      <c r="A642" s="7" t="n">
        <v>46276</v>
      </c>
      <c r="B642" s="8" t="s">
        <v>2157</v>
      </c>
      <c r="C642" s="8" t="s">
        <v>2158</v>
      </c>
      <c r="D642" s="8" t="s">
        <v>2159</v>
      </c>
      <c r="E642" s="8" t="n">
        <v>10450</v>
      </c>
      <c r="F642" s="8" t="s">
        <v>131</v>
      </c>
      <c r="G642" s="8" t="s">
        <v>132</v>
      </c>
      <c r="H642" s="3" t="str">
        <f aca="false">IF(G642="OK","YES","no")</f>
        <v>YES</v>
      </c>
      <c r="I642" s="9" t="b">
        <f aca="false">COUNTIF('Roll Schedule'!$A$47:$A$790,A642)&gt;0</f>
        <v>1</v>
      </c>
      <c r="J642" s="8" t="s">
        <v>151</v>
      </c>
      <c r="K642" s="8" t="s">
        <v>2160</v>
      </c>
    </row>
    <row r="643" customFormat="false" ht="15" hidden="false" customHeight="false" outlineLevel="0" collapsed="false">
      <c r="A643" s="7" t="n">
        <v>46280</v>
      </c>
      <c r="B643" s="8" t="s">
        <v>2161</v>
      </c>
      <c r="C643" s="8" t="s">
        <v>2162</v>
      </c>
      <c r="D643" s="8" t="s">
        <v>2022</v>
      </c>
      <c r="E643" s="8" t="n">
        <v>10250</v>
      </c>
      <c r="F643" s="8" t="s">
        <v>131</v>
      </c>
      <c r="G643" s="8" t="s">
        <v>132</v>
      </c>
      <c r="H643" s="3" t="str">
        <f aca="false">IF(G643="OK","YES","no")</f>
        <v>YES</v>
      </c>
      <c r="I643" s="9" t="b">
        <f aca="false">COUNTIF('Roll Schedule'!$A$47:$A$790,A643)&gt;0</f>
        <v>1</v>
      </c>
      <c r="J643" s="8" t="s">
        <v>151</v>
      </c>
      <c r="K643" s="8" t="s">
        <v>2163</v>
      </c>
    </row>
    <row r="644" customFormat="false" ht="15" hidden="false" customHeight="false" outlineLevel="0" collapsed="false">
      <c r="A644" s="7" t="n">
        <v>46281</v>
      </c>
      <c r="B644" s="8" t="s">
        <v>2164</v>
      </c>
      <c r="C644" s="8" t="s">
        <v>2165</v>
      </c>
      <c r="D644" s="8" t="s">
        <v>2166</v>
      </c>
      <c r="E644" s="8" t="n">
        <v>10350</v>
      </c>
      <c r="F644" s="8" t="s">
        <v>131</v>
      </c>
      <c r="G644" s="8" t="s">
        <v>132</v>
      </c>
      <c r="H644" s="3" t="str">
        <f aca="false">IF(G644="OK","YES","no")</f>
        <v>YES</v>
      </c>
      <c r="I644" s="9" t="b">
        <f aca="false">COUNTIF('Roll Schedule'!$A$47:$A$790,A644)&gt;0</f>
        <v>1</v>
      </c>
      <c r="J644" s="8" t="s">
        <v>151</v>
      </c>
      <c r="K644" s="8" t="s">
        <v>2167</v>
      </c>
    </row>
    <row r="645" customFormat="false" ht="15" hidden="false" customHeight="false" outlineLevel="0" collapsed="false">
      <c r="A645" s="7" t="n">
        <v>46282</v>
      </c>
      <c r="B645" s="8" t="s">
        <v>2168</v>
      </c>
      <c r="C645" s="8" t="s">
        <v>2169</v>
      </c>
      <c r="D645" s="8" t="s">
        <v>2170</v>
      </c>
      <c r="E645" s="8" t="n">
        <v>10550</v>
      </c>
      <c r="F645" s="8" t="s">
        <v>131</v>
      </c>
      <c r="G645" s="8" t="s">
        <v>132</v>
      </c>
      <c r="H645" s="3" t="str">
        <f aca="false">IF(G645="OK","YES","no")</f>
        <v>YES</v>
      </c>
      <c r="I645" s="9" t="b">
        <f aca="false">COUNTIF('Roll Schedule'!$A$47:$A$790,A645)&gt;0</f>
        <v>1</v>
      </c>
      <c r="J645" s="8" t="s">
        <v>151</v>
      </c>
      <c r="K645" s="8" t="s">
        <v>2171</v>
      </c>
    </row>
    <row r="646" customFormat="false" ht="15" hidden="false" customHeight="false" outlineLevel="0" collapsed="false">
      <c r="A646" s="7" t="n">
        <v>46283</v>
      </c>
      <c r="B646" s="8" t="s">
        <v>2172</v>
      </c>
      <c r="C646" s="8" t="s">
        <v>2173</v>
      </c>
      <c r="D646" s="8" t="s">
        <v>2022</v>
      </c>
      <c r="E646" s="8" t="n">
        <v>10250</v>
      </c>
      <c r="F646" s="8" t="s">
        <v>131</v>
      </c>
      <c r="G646" s="8" t="s">
        <v>132</v>
      </c>
      <c r="H646" s="3" t="str">
        <f aca="false">IF(G646="OK","YES","no")</f>
        <v>YES</v>
      </c>
      <c r="I646" s="9" t="b">
        <f aca="false">COUNTIF('Roll Schedule'!$A$47:$A$790,A646)&gt;0</f>
        <v>1</v>
      </c>
      <c r="J646" s="8" t="s">
        <v>151</v>
      </c>
      <c r="K646" s="8" t="s">
        <v>2174</v>
      </c>
    </row>
    <row r="647" customFormat="false" ht="15" hidden="false" customHeight="false" outlineLevel="0" collapsed="false">
      <c r="A647" s="7" t="n">
        <v>46286</v>
      </c>
      <c r="B647" s="8" t="s">
        <v>2175</v>
      </c>
      <c r="C647" s="8" t="s">
        <v>2176</v>
      </c>
      <c r="D647" s="8" t="s">
        <v>2166</v>
      </c>
      <c r="E647" s="8" t="n">
        <v>10350</v>
      </c>
      <c r="F647" s="8" t="s">
        <v>131</v>
      </c>
      <c r="G647" s="8" t="s">
        <v>132</v>
      </c>
      <c r="H647" s="3" t="str">
        <f aca="false">IF(G647="OK","YES","no")</f>
        <v>YES</v>
      </c>
      <c r="I647" s="9" t="b">
        <f aca="false">COUNTIF('Roll Schedule'!$A$47:$A$790,A647)&gt;0</f>
        <v>1</v>
      </c>
      <c r="J647" s="8" t="s">
        <v>151</v>
      </c>
      <c r="K647" s="8" t="s">
        <v>2177</v>
      </c>
    </row>
    <row r="648" customFormat="false" ht="15" hidden="false" customHeight="false" outlineLevel="0" collapsed="false">
      <c r="A648" s="7" t="n">
        <v>46288</v>
      </c>
      <c r="B648" s="8" t="s">
        <v>2178</v>
      </c>
      <c r="C648" s="8" t="s">
        <v>2179</v>
      </c>
      <c r="D648" s="8" t="s">
        <v>2159</v>
      </c>
      <c r="E648" s="8" t="n">
        <v>10450</v>
      </c>
      <c r="F648" s="8" t="s">
        <v>131</v>
      </c>
      <c r="G648" s="8" t="s">
        <v>132</v>
      </c>
      <c r="H648" s="3" t="str">
        <f aca="false">IF(G648="OK","YES","no")</f>
        <v>YES</v>
      </c>
      <c r="I648" s="9" t="b">
        <f aca="false">COUNTIF('Roll Schedule'!$A$47:$A$790,A648)&gt;0</f>
        <v>1</v>
      </c>
      <c r="J648" s="8" t="s">
        <v>133</v>
      </c>
      <c r="K648" s="8" t="s">
        <v>2180</v>
      </c>
    </row>
    <row r="649" customFormat="false" ht="15" hidden="false" customHeight="false" outlineLevel="0" collapsed="false">
      <c r="A649" s="7" t="n">
        <v>46289</v>
      </c>
      <c r="B649" s="8" t="s">
        <v>2181</v>
      </c>
      <c r="C649" s="8" t="s">
        <v>2182</v>
      </c>
      <c r="D649" s="8" t="s">
        <v>2022</v>
      </c>
      <c r="E649" s="8" t="n">
        <v>10250</v>
      </c>
      <c r="F649" s="8" t="s">
        <v>131</v>
      </c>
      <c r="G649" s="8" t="s">
        <v>132</v>
      </c>
      <c r="H649" s="3" t="str">
        <f aca="false">IF(G649="OK","YES","no")</f>
        <v>YES</v>
      </c>
      <c r="I649" s="9" t="b">
        <f aca="false">COUNTIF('Roll Schedule'!$A$47:$A$790,A649)&gt;0</f>
        <v>1</v>
      </c>
      <c r="J649" s="8" t="s">
        <v>133</v>
      </c>
      <c r="K649" s="8" t="s">
        <v>2183</v>
      </c>
    </row>
    <row r="650" customFormat="false" ht="15" hidden="false" customHeight="false" outlineLevel="0" collapsed="false">
      <c r="A650" s="7" t="n">
        <v>46290</v>
      </c>
      <c r="B650" s="8" t="s">
        <v>2184</v>
      </c>
      <c r="C650" s="8" t="s">
        <v>2185</v>
      </c>
      <c r="D650" s="8" t="s">
        <v>2007</v>
      </c>
      <c r="E650" s="8" t="n">
        <v>10150</v>
      </c>
      <c r="F650" s="8" t="s">
        <v>131</v>
      </c>
      <c r="G650" s="8" t="s">
        <v>132</v>
      </c>
      <c r="H650" s="3" t="str">
        <f aca="false">IF(G650="OK","YES","no")</f>
        <v>YES</v>
      </c>
      <c r="I650" s="9" t="b">
        <f aca="false">COUNTIF('Roll Schedule'!$A$47:$A$790,A650)&gt;0</f>
        <v>1</v>
      </c>
      <c r="J650" s="8" t="s">
        <v>133</v>
      </c>
      <c r="K650" s="8" t="s">
        <v>2186</v>
      </c>
    </row>
    <row r="651" customFormat="false" ht="15" hidden="false" customHeight="false" outlineLevel="0" collapsed="false">
      <c r="A651" s="7" t="n">
        <v>46293</v>
      </c>
      <c r="B651" s="8" t="s">
        <v>2187</v>
      </c>
      <c r="C651" s="8" t="s">
        <v>2188</v>
      </c>
      <c r="D651" s="8" t="s">
        <v>2022</v>
      </c>
      <c r="E651" s="8" t="n">
        <v>10250</v>
      </c>
      <c r="F651" s="8" t="s">
        <v>131</v>
      </c>
      <c r="G651" s="8" t="s">
        <v>132</v>
      </c>
      <c r="H651" s="3" t="str">
        <f aca="false">IF(G651="OK","YES","no")</f>
        <v>YES</v>
      </c>
      <c r="I651" s="9" t="b">
        <f aca="false">COUNTIF('Roll Schedule'!$A$47:$A$790,A651)&gt;0</f>
        <v>1</v>
      </c>
      <c r="J651" s="8" t="s">
        <v>133</v>
      </c>
      <c r="K651" s="8" t="s">
        <v>2189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60"/>
  </cols>
  <sheetData>
    <row r="1" customFormat="false" ht="16.15" hidden="false" customHeight="false" outlineLevel="0" collapsed="false">
      <c r="A1" s="1" t="s">
        <v>2190</v>
      </c>
    </row>
    <row r="2" customFormat="false" ht="15" hidden="false" customHeight="false" outlineLevel="0" collapsed="false">
      <c r="A2" s="3" t="s">
        <v>2191</v>
      </c>
    </row>
    <row r="4" customFormat="false" ht="39.55" hidden="false" customHeight="false" outlineLevel="0" collapsed="false">
      <c r="A4" s="4" t="s">
        <v>2192</v>
      </c>
      <c r="B4" s="4" t="s">
        <v>2193</v>
      </c>
      <c r="C4" s="4" t="s">
        <v>2194</v>
      </c>
      <c r="D4" s="4" t="s">
        <v>2195</v>
      </c>
      <c r="E4" s="4" t="s">
        <v>2196</v>
      </c>
      <c r="F4" s="4" t="s">
        <v>2197</v>
      </c>
      <c r="G4" s="4" t="s">
        <v>2198</v>
      </c>
      <c r="H4" s="4" t="s">
        <v>2199</v>
      </c>
    </row>
    <row r="5" customFormat="false" ht="15" hidden="false" customHeight="false" outlineLevel="0" collapsed="false">
      <c r="A5" s="7" t="n">
        <v>45194</v>
      </c>
      <c r="B5" s="7" t="n">
        <v>45219</v>
      </c>
      <c r="C5" s="8" t="n">
        <v>6176</v>
      </c>
      <c r="D5" s="8" t="n">
        <v>6820</v>
      </c>
      <c r="E5" s="8" t="n">
        <v>27755</v>
      </c>
      <c r="F5" s="8" t="s">
        <v>2200</v>
      </c>
      <c r="G5" s="8" t="s">
        <v>2201</v>
      </c>
      <c r="H5" s="8" t="s">
        <v>2202</v>
      </c>
    </row>
    <row r="6" customFormat="false" ht="15" hidden="false" customHeight="false" outlineLevel="0" collapsed="false">
      <c r="A6" s="7" t="n">
        <v>45194</v>
      </c>
      <c r="B6" s="7" t="n">
        <v>45250</v>
      </c>
      <c r="C6" s="8" t="n">
        <v>6234</v>
      </c>
      <c r="D6" s="8" t="n">
        <v>3660</v>
      </c>
      <c r="E6" s="8" t="n">
        <v>10270</v>
      </c>
      <c r="F6" s="8" t="s">
        <v>2200</v>
      </c>
      <c r="G6" s="8" t="s">
        <v>2201</v>
      </c>
      <c r="H6" s="8" t="s">
        <v>2202</v>
      </c>
    </row>
    <row r="7" customFormat="false" ht="15" hidden="false" customHeight="false" outlineLevel="0" collapsed="false">
      <c r="A7" s="7" t="n">
        <v>45194</v>
      </c>
      <c r="B7" s="7" t="n">
        <v>45280</v>
      </c>
      <c r="C7" s="8" t="n">
        <v>6292</v>
      </c>
      <c r="D7" s="8" t="n">
        <v>0</v>
      </c>
      <c r="E7" s="8" t="n">
        <v>120</v>
      </c>
      <c r="F7" s="8" t="s">
        <v>2200</v>
      </c>
      <c r="G7" s="8" t="s">
        <v>2201</v>
      </c>
      <c r="H7" s="8" t="s">
        <v>2202</v>
      </c>
    </row>
    <row r="8" customFormat="false" ht="15" hidden="false" customHeight="false" outlineLevel="0" collapsed="false">
      <c r="A8" s="7" t="n">
        <v>45194</v>
      </c>
      <c r="B8" s="7" t="n">
        <v>45310</v>
      </c>
      <c r="C8" s="8" t="n">
        <v>6350</v>
      </c>
      <c r="D8" s="8" t="n">
        <v>0</v>
      </c>
      <c r="E8" s="8" t="n">
        <v>0</v>
      </c>
      <c r="F8" s="8" t="s">
        <v>2200</v>
      </c>
      <c r="G8" s="8" t="s">
        <v>2201</v>
      </c>
      <c r="H8" s="8" t="s">
        <v>2202</v>
      </c>
    </row>
    <row r="9" customFormat="false" ht="15" hidden="false" customHeight="false" outlineLevel="0" collapsed="false">
      <c r="A9" s="7" t="n">
        <v>45195</v>
      </c>
      <c r="B9" s="7" t="n">
        <v>45219</v>
      </c>
      <c r="C9" s="8" t="n">
        <v>6155</v>
      </c>
      <c r="D9" s="8" t="n">
        <v>4340</v>
      </c>
      <c r="E9" s="8" t="n">
        <v>26860</v>
      </c>
      <c r="F9" s="8" t="s">
        <v>2200</v>
      </c>
      <c r="G9" s="8" t="s">
        <v>2201</v>
      </c>
      <c r="H9" s="8" t="s">
        <v>2203</v>
      </c>
    </row>
    <row r="10" customFormat="false" ht="15" hidden="false" customHeight="false" outlineLevel="0" collapsed="false">
      <c r="A10" s="7" t="n">
        <v>45195</v>
      </c>
      <c r="B10" s="7" t="n">
        <v>45250</v>
      </c>
      <c r="C10" s="8" t="n">
        <v>6225</v>
      </c>
      <c r="D10" s="8" t="n">
        <v>2400</v>
      </c>
      <c r="E10" s="8" t="n">
        <v>11415</v>
      </c>
      <c r="F10" s="8" t="s">
        <v>2200</v>
      </c>
      <c r="G10" s="8" t="s">
        <v>2201</v>
      </c>
      <c r="H10" s="8" t="s">
        <v>2203</v>
      </c>
    </row>
    <row r="11" customFormat="false" ht="15" hidden="false" customHeight="false" outlineLevel="0" collapsed="false">
      <c r="A11" s="7" t="n">
        <v>45195</v>
      </c>
      <c r="B11" s="7" t="n">
        <v>45280</v>
      </c>
      <c r="C11" s="8" t="n">
        <v>6295</v>
      </c>
      <c r="D11" s="8" t="n">
        <v>0</v>
      </c>
      <c r="E11" s="8" t="n">
        <v>120</v>
      </c>
      <c r="F11" s="8" t="s">
        <v>2200</v>
      </c>
      <c r="G11" s="8" t="s">
        <v>2201</v>
      </c>
      <c r="H11" s="8" t="s">
        <v>2203</v>
      </c>
    </row>
    <row r="12" customFormat="false" ht="15" hidden="false" customHeight="false" outlineLevel="0" collapsed="false">
      <c r="A12" s="7" t="n">
        <v>45195</v>
      </c>
      <c r="B12" s="7" t="n">
        <v>45310</v>
      </c>
      <c r="C12" s="8" t="n">
        <v>6365</v>
      </c>
      <c r="D12" s="8" t="n">
        <v>0</v>
      </c>
      <c r="E12" s="8" t="n">
        <v>0</v>
      </c>
      <c r="F12" s="8" t="s">
        <v>2200</v>
      </c>
      <c r="G12" s="8" t="s">
        <v>2201</v>
      </c>
      <c r="H12" s="8" t="s">
        <v>2203</v>
      </c>
    </row>
    <row r="13" customFormat="false" ht="15" hidden="false" customHeight="false" outlineLevel="0" collapsed="false">
      <c r="A13" s="7" t="n">
        <v>45196</v>
      </c>
      <c r="B13" s="7" t="n">
        <v>45219</v>
      </c>
      <c r="C13" s="8" t="n">
        <v>6164</v>
      </c>
      <c r="D13" s="8" t="n">
        <v>8775</v>
      </c>
      <c r="E13" s="8" t="n">
        <v>23975</v>
      </c>
      <c r="F13" s="8" t="s">
        <v>2200</v>
      </c>
      <c r="G13" s="8" t="s">
        <v>2201</v>
      </c>
      <c r="H13" s="8" t="s">
        <v>2204</v>
      </c>
    </row>
    <row r="14" customFormat="false" ht="15" hidden="false" customHeight="false" outlineLevel="0" collapsed="false">
      <c r="A14" s="7" t="n">
        <v>45196</v>
      </c>
      <c r="B14" s="7" t="n">
        <v>45250</v>
      </c>
      <c r="C14" s="8" t="n">
        <v>6232</v>
      </c>
      <c r="D14" s="8" t="n">
        <v>5465</v>
      </c>
      <c r="E14" s="8" t="n">
        <v>15220</v>
      </c>
      <c r="F14" s="8" t="s">
        <v>2200</v>
      </c>
      <c r="G14" s="8" t="s">
        <v>2201</v>
      </c>
      <c r="H14" s="8" t="s">
        <v>2204</v>
      </c>
    </row>
    <row r="15" customFormat="false" ht="15" hidden="false" customHeight="false" outlineLevel="0" collapsed="false">
      <c r="A15" s="7" t="n">
        <v>45196</v>
      </c>
      <c r="B15" s="7" t="n">
        <v>45280</v>
      </c>
      <c r="C15" s="8" t="n">
        <v>6300</v>
      </c>
      <c r="D15" s="8" t="n">
        <v>40</v>
      </c>
      <c r="E15" s="8" t="n">
        <v>125</v>
      </c>
      <c r="F15" s="8" t="s">
        <v>2200</v>
      </c>
      <c r="G15" s="8" t="s">
        <v>2201</v>
      </c>
      <c r="H15" s="8" t="s">
        <v>2204</v>
      </c>
    </row>
    <row r="16" customFormat="false" ht="15" hidden="false" customHeight="false" outlineLevel="0" collapsed="false">
      <c r="A16" s="7" t="n">
        <v>45196</v>
      </c>
      <c r="B16" s="7" t="n">
        <v>45310</v>
      </c>
      <c r="C16" s="8" t="n">
        <v>6368</v>
      </c>
      <c r="D16" s="8" t="n">
        <v>0</v>
      </c>
      <c r="E16" s="8" t="n">
        <v>0</v>
      </c>
      <c r="F16" s="8" t="s">
        <v>2200</v>
      </c>
      <c r="G16" s="8" t="s">
        <v>2201</v>
      </c>
      <c r="H16" s="8" t="s">
        <v>2204</v>
      </c>
    </row>
    <row r="17" customFormat="false" ht="15" hidden="false" customHeight="false" outlineLevel="0" collapsed="false">
      <c r="A17" s="7" t="n">
        <v>45197</v>
      </c>
      <c r="B17" s="7" t="n">
        <v>45219</v>
      </c>
      <c r="C17" s="8" t="n">
        <v>6215</v>
      </c>
      <c r="D17" s="8" t="n">
        <v>5835</v>
      </c>
      <c r="E17" s="8" t="n">
        <v>22905</v>
      </c>
      <c r="F17" s="8" t="s">
        <v>2200</v>
      </c>
      <c r="G17" s="8" t="s">
        <v>2201</v>
      </c>
      <c r="H17" s="8" t="s">
        <v>2205</v>
      </c>
    </row>
    <row r="18" customFormat="false" ht="15" hidden="false" customHeight="false" outlineLevel="0" collapsed="false">
      <c r="A18" s="7" t="n">
        <v>45197</v>
      </c>
      <c r="B18" s="7" t="n">
        <v>45250</v>
      </c>
      <c r="C18" s="8" t="n">
        <v>6279</v>
      </c>
      <c r="D18" s="8" t="n">
        <v>3135</v>
      </c>
      <c r="E18" s="8" t="n">
        <v>17070</v>
      </c>
      <c r="F18" s="8" t="s">
        <v>2200</v>
      </c>
      <c r="G18" s="8" t="s">
        <v>2201</v>
      </c>
      <c r="H18" s="8" t="s">
        <v>2205</v>
      </c>
    </row>
    <row r="19" customFormat="false" ht="15" hidden="false" customHeight="false" outlineLevel="0" collapsed="false">
      <c r="A19" s="7" t="n">
        <v>45197</v>
      </c>
      <c r="B19" s="7" t="n">
        <v>45280</v>
      </c>
      <c r="C19" s="8" t="n">
        <v>6343</v>
      </c>
      <c r="D19" s="8" t="n">
        <v>0</v>
      </c>
      <c r="E19" s="8" t="n">
        <v>125</v>
      </c>
      <c r="F19" s="8" t="s">
        <v>2200</v>
      </c>
      <c r="G19" s="8" t="s">
        <v>2201</v>
      </c>
      <c r="H19" s="8" t="s">
        <v>2205</v>
      </c>
    </row>
    <row r="20" customFormat="false" ht="15" hidden="false" customHeight="false" outlineLevel="0" collapsed="false">
      <c r="A20" s="7" t="n">
        <v>45197</v>
      </c>
      <c r="B20" s="7" t="n">
        <v>45310</v>
      </c>
      <c r="C20" s="8" t="n">
        <v>6407</v>
      </c>
      <c r="D20" s="8" t="n">
        <v>0</v>
      </c>
      <c r="E20" s="8" t="n">
        <v>0</v>
      </c>
      <c r="F20" s="8" t="s">
        <v>2200</v>
      </c>
      <c r="G20" s="8" t="s">
        <v>2201</v>
      </c>
      <c r="H20" s="8" t="s">
        <v>2205</v>
      </c>
    </row>
    <row r="21" customFormat="false" ht="15" hidden="false" customHeight="false" outlineLevel="0" collapsed="false">
      <c r="A21" s="7" t="n">
        <v>45198</v>
      </c>
      <c r="B21" s="7" t="n">
        <v>45219</v>
      </c>
      <c r="C21" s="8" t="n">
        <v>6137</v>
      </c>
      <c r="D21" s="8" t="n">
        <v>9415</v>
      </c>
      <c r="E21" s="8" t="n">
        <v>18665</v>
      </c>
      <c r="F21" s="8" t="s">
        <v>2200</v>
      </c>
      <c r="G21" s="8" t="s">
        <v>2201</v>
      </c>
      <c r="H21" s="8" t="s">
        <v>2206</v>
      </c>
    </row>
    <row r="22" customFormat="false" ht="15" hidden="false" customHeight="false" outlineLevel="0" collapsed="false">
      <c r="A22" s="7" t="n">
        <v>45198</v>
      </c>
      <c r="B22" s="7" t="n">
        <v>45250</v>
      </c>
      <c r="C22" s="8" t="n">
        <v>6209</v>
      </c>
      <c r="D22" s="8" t="n">
        <v>3240</v>
      </c>
      <c r="E22" s="8" t="n">
        <v>18145</v>
      </c>
      <c r="F22" s="8" t="s">
        <v>2200</v>
      </c>
      <c r="G22" s="8" t="s">
        <v>2201</v>
      </c>
      <c r="H22" s="8" t="s">
        <v>2206</v>
      </c>
    </row>
    <row r="23" customFormat="false" ht="15" hidden="false" customHeight="false" outlineLevel="0" collapsed="false">
      <c r="A23" s="7" t="n">
        <v>45198</v>
      </c>
      <c r="B23" s="7" t="n">
        <v>45280</v>
      </c>
      <c r="C23" s="8" t="n">
        <v>6242</v>
      </c>
      <c r="D23" s="8" t="n">
        <v>65</v>
      </c>
      <c r="E23" s="8" t="n">
        <v>130</v>
      </c>
      <c r="F23" s="8" t="s">
        <v>2200</v>
      </c>
      <c r="G23" s="8" t="s">
        <v>2201</v>
      </c>
      <c r="H23" s="8" t="s">
        <v>2206</v>
      </c>
    </row>
    <row r="24" customFormat="false" ht="15" hidden="false" customHeight="false" outlineLevel="0" collapsed="false">
      <c r="A24" s="7" t="n">
        <v>45198</v>
      </c>
      <c r="B24" s="7" t="n">
        <v>45310</v>
      </c>
      <c r="C24" s="8" t="n">
        <v>6275</v>
      </c>
      <c r="D24" s="8" t="n">
        <v>0</v>
      </c>
      <c r="E24" s="8" t="n">
        <v>0</v>
      </c>
      <c r="F24" s="8" t="s">
        <v>2200</v>
      </c>
      <c r="G24" s="8" t="s">
        <v>2201</v>
      </c>
      <c r="H24" s="8" t="s">
        <v>2206</v>
      </c>
    </row>
    <row r="25" customFormat="false" ht="15" hidden="false" customHeight="false" outlineLevel="0" collapsed="false">
      <c r="A25" s="7" t="n">
        <v>45202</v>
      </c>
      <c r="B25" s="7" t="n">
        <v>45219</v>
      </c>
      <c r="C25" s="8" t="n">
        <v>6101</v>
      </c>
      <c r="D25" s="8" t="n">
        <v>4630</v>
      </c>
      <c r="E25" s="8" t="n">
        <v>18280</v>
      </c>
      <c r="F25" s="8" t="s">
        <v>2200</v>
      </c>
      <c r="G25" s="8" t="s">
        <v>2201</v>
      </c>
      <c r="H25" s="8" t="s">
        <v>2207</v>
      </c>
    </row>
    <row r="26" customFormat="false" ht="15" hidden="false" customHeight="false" outlineLevel="0" collapsed="false">
      <c r="A26" s="7" t="n">
        <v>45202</v>
      </c>
      <c r="B26" s="7" t="n">
        <v>45250</v>
      </c>
      <c r="C26" s="8" t="n">
        <v>6157</v>
      </c>
      <c r="D26" s="8" t="n">
        <v>3975</v>
      </c>
      <c r="E26" s="8" t="n">
        <v>19645</v>
      </c>
      <c r="F26" s="8" t="s">
        <v>2200</v>
      </c>
      <c r="G26" s="8" t="s">
        <v>2201</v>
      </c>
      <c r="H26" s="8" t="s">
        <v>2207</v>
      </c>
    </row>
    <row r="27" customFormat="false" ht="15" hidden="false" customHeight="false" outlineLevel="0" collapsed="false">
      <c r="A27" s="7" t="n">
        <v>45202</v>
      </c>
      <c r="B27" s="7" t="n">
        <v>45280</v>
      </c>
      <c r="C27" s="8" t="n">
        <v>6155</v>
      </c>
      <c r="D27" s="8" t="n">
        <v>45</v>
      </c>
      <c r="E27" s="8" t="n">
        <v>170</v>
      </c>
      <c r="F27" s="8" t="s">
        <v>2200</v>
      </c>
      <c r="G27" s="8" t="s">
        <v>2201</v>
      </c>
      <c r="H27" s="8" t="s">
        <v>2207</v>
      </c>
    </row>
    <row r="28" customFormat="false" ht="15" hidden="false" customHeight="false" outlineLevel="0" collapsed="false">
      <c r="A28" s="7" t="n">
        <v>45202</v>
      </c>
      <c r="B28" s="7" t="n">
        <v>45310</v>
      </c>
      <c r="C28" s="8" t="n">
        <v>6155</v>
      </c>
      <c r="D28" s="8" t="n">
        <v>0</v>
      </c>
      <c r="E28" s="8" t="n">
        <v>0</v>
      </c>
      <c r="F28" s="8" t="s">
        <v>2200</v>
      </c>
      <c r="G28" s="8" t="s">
        <v>2201</v>
      </c>
      <c r="H28" s="8" t="s">
        <v>2207</v>
      </c>
    </row>
    <row r="29" customFormat="false" ht="15" hidden="false" customHeight="false" outlineLevel="0" collapsed="false">
      <c r="A29" s="7" t="n">
        <v>45202</v>
      </c>
      <c r="B29" s="7" t="n">
        <v>45342</v>
      </c>
      <c r="C29" s="8" t="n">
        <v>6155</v>
      </c>
      <c r="D29" s="8" t="n">
        <v>0</v>
      </c>
      <c r="E29" s="8" t="n">
        <v>0</v>
      </c>
      <c r="F29" s="8" t="s">
        <v>2200</v>
      </c>
      <c r="G29" s="8" t="s">
        <v>2201</v>
      </c>
      <c r="H29" s="8" t="s">
        <v>2207</v>
      </c>
    </row>
    <row r="30" customFormat="false" ht="15" hidden="false" customHeight="false" outlineLevel="0" collapsed="false">
      <c r="A30" s="7" t="n">
        <v>45203</v>
      </c>
      <c r="B30" s="7" t="n">
        <v>45219</v>
      </c>
      <c r="C30" s="8" t="n">
        <v>6135</v>
      </c>
      <c r="D30" s="8" t="n">
        <v>5905</v>
      </c>
      <c r="E30" s="8" t="n">
        <v>16985</v>
      </c>
      <c r="F30" s="8" t="s">
        <v>2200</v>
      </c>
      <c r="G30" s="8" t="s">
        <v>2201</v>
      </c>
      <c r="H30" s="8" t="s">
        <v>2208</v>
      </c>
    </row>
    <row r="31" customFormat="false" ht="15" hidden="false" customHeight="false" outlineLevel="0" collapsed="false">
      <c r="A31" s="7" t="n">
        <v>45203</v>
      </c>
      <c r="B31" s="7" t="n">
        <v>45250</v>
      </c>
      <c r="C31" s="8" t="n">
        <v>6193</v>
      </c>
      <c r="D31" s="8" t="n">
        <v>5185</v>
      </c>
      <c r="E31" s="8" t="n">
        <v>21280</v>
      </c>
      <c r="F31" s="8" t="s">
        <v>2200</v>
      </c>
      <c r="G31" s="8" t="s">
        <v>2201</v>
      </c>
      <c r="H31" s="8" t="s">
        <v>2208</v>
      </c>
    </row>
    <row r="32" customFormat="false" ht="15" hidden="false" customHeight="false" outlineLevel="0" collapsed="false">
      <c r="A32" s="7" t="n">
        <v>45203</v>
      </c>
      <c r="B32" s="7" t="n">
        <v>45280</v>
      </c>
      <c r="C32" s="8" t="n">
        <v>6205</v>
      </c>
      <c r="D32" s="8" t="n">
        <v>125</v>
      </c>
      <c r="E32" s="8" t="n">
        <v>270</v>
      </c>
      <c r="F32" s="8" t="s">
        <v>2200</v>
      </c>
      <c r="G32" s="8" t="s">
        <v>2201</v>
      </c>
      <c r="H32" s="8" t="s">
        <v>2208</v>
      </c>
    </row>
    <row r="33" customFormat="false" ht="15" hidden="false" customHeight="false" outlineLevel="0" collapsed="false">
      <c r="A33" s="7" t="n">
        <v>45203</v>
      </c>
      <c r="B33" s="7" t="n">
        <v>45310</v>
      </c>
      <c r="C33" s="8" t="n">
        <v>6217</v>
      </c>
      <c r="D33" s="8" t="n">
        <v>0</v>
      </c>
      <c r="E33" s="8" t="n">
        <v>0</v>
      </c>
      <c r="F33" s="8" t="s">
        <v>2200</v>
      </c>
      <c r="G33" s="8" t="s">
        <v>2201</v>
      </c>
      <c r="H33" s="8" t="s">
        <v>2208</v>
      </c>
    </row>
    <row r="34" customFormat="false" ht="15" hidden="false" customHeight="false" outlineLevel="0" collapsed="false">
      <c r="A34" s="7" t="n">
        <v>45203</v>
      </c>
      <c r="B34" s="7" t="n">
        <v>45342</v>
      </c>
      <c r="C34" s="8" t="n">
        <v>6229</v>
      </c>
      <c r="D34" s="8" t="n">
        <v>0</v>
      </c>
      <c r="E34" s="8" t="n">
        <v>0</v>
      </c>
      <c r="F34" s="8" t="s">
        <v>2200</v>
      </c>
      <c r="G34" s="8" t="s">
        <v>2201</v>
      </c>
      <c r="H34" s="8" t="s">
        <v>2208</v>
      </c>
    </row>
    <row r="35" customFormat="false" ht="15" hidden="false" customHeight="false" outlineLevel="0" collapsed="false">
      <c r="A35" s="7" t="n">
        <v>45204</v>
      </c>
      <c r="B35" s="7" t="n">
        <v>45219</v>
      </c>
      <c r="C35" s="8" t="n">
        <v>6119</v>
      </c>
      <c r="D35" s="8" t="n">
        <v>7305</v>
      </c>
      <c r="E35" s="8" t="n">
        <v>13995</v>
      </c>
      <c r="F35" s="8" t="s">
        <v>2200</v>
      </c>
      <c r="G35" s="8" t="s">
        <v>2201</v>
      </c>
      <c r="H35" s="8" t="s">
        <v>2209</v>
      </c>
    </row>
    <row r="36" customFormat="false" ht="15" hidden="false" customHeight="false" outlineLevel="0" collapsed="false">
      <c r="A36" s="7" t="n">
        <v>45204</v>
      </c>
      <c r="B36" s="7" t="n">
        <v>45250</v>
      </c>
      <c r="C36" s="8" t="n">
        <v>6175</v>
      </c>
      <c r="D36" s="8" t="n">
        <v>4065</v>
      </c>
      <c r="E36" s="8" t="n">
        <v>22020</v>
      </c>
      <c r="F36" s="8" t="s">
        <v>2200</v>
      </c>
      <c r="G36" s="8" t="s">
        <v>2201</v>
      </c>
      <c r="H36" s="8" t="s">
        <v>2209</v>
      </c>
    </row>
    <row r="37" customFormat="false" ht="15" hidden="false" customHeight="false" outlineLevel="0" collapsed="false">
      <c r="A37" s="7" t="n">
        <v>45204</v>
      </c>
      <c r="B37" s="7" t="n">
        <v>45280</v>
      </c>
      <c r="C37" s="8" t="n">
        <v>6160</v>
      </c>
      <c r="D37" s="8" t="n">
        <v>95</v>
      </c>
      <c r="E37" s="8" t="n">
        <v>320</v>
      </c>
      <c r="F37" s="8" t="s">
        <v>2200</v>
      </c>
      <c r="G37" s="8" t="s">
        <v>2201</v>
      </c>
      <c r="H37" s="8" t="s">
        <v>2209</v>
      </c>
    </row>
    <row r="38" customFormat="false" ht="15" hidden="false" customHeight="false" outlineLevel="0" collapsed="false">
      <c r="A38" s="7" t="n">
        <v>45204</v>
      </c>
      <c r="B38" s="7" t="n">
        <v>45310</v>
      </c>
      <c r="C38" s="8" t="n">
        <v>6160</v>
      </c>
      <c r="D38" s="8" t="n">
        <v>0</v>
      </c>
      <c r="E38" s="8" t="n">
        <v>0</v>
      </c>
      <c r="F38" s="8" t="s">
        <v>2200</v>
      </c>
      <c r="G38" s="8" t="s">
        <v>2201</v>
      </c>
      <c r="H38" s="8" t="s">
        <v>2209</v>
      </c>
    </row>
    <row r="39" customFormat="false" ht="15" hidden="false" customHeight="false" outlineLevel="0" collapsed="false">
      <c r="A39" s="7" t="n">
        <v>45204</v>
      </c>
      <c r="B39" s="7" t="n">
        <v>45342</v>
      </c>
      <c r="C39" s="8" t="n">
        <v>6160</v>
      </c>
      <c r="D39" s="8" t="n">
        <v>0</v>
      </c>
      <c r="E39" s="8" t="n">
        <v>0</v>
      </c>
      <c r="F39" s="8" t="s">
        <v>2200</v>
      </c>
      <c r="G39" s="8" t="s">
        <v>2201</v>
      </c>
      <c r="H39" s="8" t="s">
        <v>2209</v>
      </c>
    </row>
    <row r="40" customFormat="false" ht="15" hidden="false" customHeight="false" outlineLevel="0" collapsed="false">
      <c r="A40" s="7" t="n">
        <v>45205</v>
      </c>
      <c r="B40" s="7" t="n">
        <v>45219</v>
      </c>
      <c r="C40" s="8" t="n">
        <v>6112</v>
      </c>
      <c r="D40" s="8" t="n">
        <v>5875</v>
      </c>
      <c r="E40" s="8" t="n">
        <v>12885</v>
      </c>
      <c r="F40" s="8" t="s">
        <v>2200</v>
      </c>
      <c r="G40" s="8" t="s">
        <v>2201</v>
      </c>
      <c r="H40" s="8" t="s">
        <v>2210</v>
      </c>
    </row>
    <row r="41" customFormat="false" ht="15" hidden="false" customHeight="false" outlineLevel="0" collapsed="false">
      <c r="A41" s="7" t="n">
        <v>45205</v>
      </c>
      <c r="B41" s="7" t="n">
        <v>45250</v>
      </c>
      <c r="C41" s="8" t="n">
        <v>6162</v>
      </c>
      <c r="D41" s="8" t="n">
        <v>6585</v>
      </c>
      <c r="E41" s="8" t="n">
        <v>22755</v>
      </c>
      <c r="F41" s="8" t="s">
        <v>2200</v>
      </c>
      <c r="G41" s="8" t="s">
        <v>2201</v>
      </c>
      <c r="H41" s="8" t="s">
        <v>2210</v>
      </c>
    </row>
    <row r="42" customFormat="false" ht="15" hidden="false" customHeight="false" outlineLevel="0" collapsed="false">
      <c r="A42" s="7" t="n">
        <v>45205</v>
      </c>
      <c r="B42" s="7" t="n">
        <v>45280</v>
      </c>
      <c r="C42" s="8" t="n">
        <v>6151</v>
      </c>
      <c r="D42" s="8" t="n">
        <v>95</v>
      </c>
      <c r="E42" s="8" t="n">
        <v>395</v>
      </c>
      <c r="F42" s="8" t="s">
        <v>2200</v>
      </c>
      <c r="G42" s="8" t="s">
        <v>2201</v>
      </c>
      <c r="H42" s="8" t="s">
        <v>2210</v>
      </c>
    </row>
    <row r="43" customFormat="false" ht="15" hidden="false" customHeight="false" outlineLevel="0" collapsed="false">
      <c r="A43" s="7" t="n">
        <v>45205</v>
      </c>
      <c r="B43" s="7" t="n">
        <v>45310</v>
      </c>
      <c r="C43" s="8" t="n">
        <v>6151</v>
      </c>
      <c r="D43" s="8" t="n">
        <v>0</v>
      </c>
      <c r="E43" s="8" t="n">
        <v>0</v>
      </c>
      <c r="F43" s="8" t="s">
        <v>2200</v>
      </c>
      <c r="G43" s="8" t="s">
        <v>2201</v>
      </c>
      <c r="H43" s="8" t="s">
        <v>2210</v>
      </c>
    </row>
    <row r="44" customFormat="false" ht="15" hidden="false" customHeight="false" outlineLevel="0" collapsed="false">
      <c r="A44" s="7" t="n">
        <v>45205</v>
      </c>
      <c r="B44" s="7" t="n">
        <v>45342</v>
      </c>
      <c r="C44" s="8" t="n">
        <v>6151</v>
      </c>
      <c r="D44" s="8" t="n">
        <v>0</v>
      </c>
      <c r="E44" s="8" t="n">
        <v>0</v>
      </c>
      <c r="F44" s="8" t="s">
        <v>2200</v>
      </c>
      <c r="G44" s="8" t="s">
        <v>2201</v>
      </c>
      <c r="H44" s="8" t="s">
        <v>2210</v>
      </c>
    </row>
    <row r="45" customFormat="false" ht="15" hidden="false" customHeight="false" outlineLevel="0" collapsed="false">
      <c r="A45" s="7" t="n">
        <v>45208</v>
      </c>
      <c r="B45" s="7" t="n">
        <v>45219</v>
      </c>
      <c r="C45" s="8" t="n">
        <v>6065</v>
      </c>
      <c r="D45" s="8" t="n">
        <v>3815</v>
      </c>
      <c r="E45" s="8" t="n">
        <v>11725</v>
      </c>
      <c r="F45" s="8" t="s">
        <v>2200</v>
      </c>
      <c r="G45" s="8" t="s">
        <v>2201</v>
      </c>
      <c r="H45" s="8" t="s">
        <v>2211</v>
      </c>
    </row>
    <row r="46" customFormat="false" ht="15" hidden="false" customHeight="false" outlineLevel="0" collapsed="false">
      <c r="A46" s="7" t="n">
        <v>45208</v>
      </c>
      <c r="B46" s="7" t="n">
        <v>45250</v>
      </c>
      <c r="C46" s="8" t="n">
        <v>6115</v>
      </c>
      <c r="D46" s="8" t="n">
        <v>5345</v>
      </c>
      <c r="E46" s="8" t="n">
        <v>24230</v>
      </c>
      <c r="F46" s="8" t="s">
        <v>2200</v>
      </c>
      <c r="G46" s="8" t="s">
        <v>2201</v>
      </c>
      <c r="H46" s="8" t="s">
        <v>2211</v>
      </c>
    </row>
    <row r="47" customFormat="false" ht="15" hidden="false" customHeight="false" outlineLevel="0" collapsed="false">
      <c r="A47" s="7" t="n">
        <v>45208</v>
      </c>
      <c r="B47" s="7" t="n">
        <v>45280</v>
      </c>
      <c r="C47" s="8" t="n">
        <v>6165</v>
      </c>
      <c r="D47" s="8" t="n">
        <v>0</v>
      </c>
      <c r="E47" s="8" t="n">
        <v>395</v>
      </c>
      <c r="F47" s="8" t="s">
        <v>2200</v>
      </c>
      <c r="G47" s="8" t="s">
        <v>2201</v>
      </c>
      <c r="H47" s="8" t="s">
        <v>2211</v>
      </c>
    </row>
    <row r="48" customFormat="false" ht="15" hidden="false" customHeight="false" outlineLevel="0" collapsed="false">
      <c r="A48" s="7" t="n">
        <v>45208</v>
      </c>
      <c r="B48" s="7" t="n">
        <v>45310</v>
      </c>
      <c r="C48" s="8" t="n">
        <v>6215</v>
      </c>
      <c r="D48" s="8" t="n">
        <v>0</v>
      </c>
      <c r="E48" s="8" t="n">
        <v>0</v>
      </c>
      <c r="F48" s="8" t="s">
        <v>2200</v>
      </c>
      <c r="G48" s="8" t="s">
        <v>2201</v>
      </c>
      <c r="H48" s="8" t="s">
        <v>2211</v>
      </c>
    </row>
    <row r="49" customFormat="false" ht="15" hidden="false" customHeight="false" outlineLevel="0" collapsed="false">
      <c r="A49" s="7" t="n">
        <v>45208</v>
      </c>
      <c r="B49" s="7" t="n">
        <v>45342</v>
      </c>
      <c r="C49" s="8" t="n">
        <v>6265</v>
      </c>
      <c r="D49" s="8" t="n">
        <v>0</v>
      </c>
      <c r="E49" s="8" t="n">
        <v>0</v>
      </c>
      <c r="F49" s="8" t="s">
        <v>2200</v>
      </c>
      <c r="G49" s="8" t="s">
        <v>2201</v>
      </c>
      <c r="H49" s="8" t="s">
        <v>2211</v>
      </c>
    </row>
    <row r="50" customFormat="false" ht="15" hidden="false" customHeight="false" outlineLevel="0" collapsed="false">
      <c r="A50" s="7" t="n">
        <v>45209</v>
      </c>
      <c r="B50" s="7" t="n">
        <v>45219</v>
      </c>
      <c r="C50" s="8" t="n">
        <v>6070</v>
      </c>
      <c r="D50" s="8" t="n">
        <v>3470</v>
      </c>
      <c r="E50" s="8" t="n">
        <v>10680</v>
      </c>
      <c r="F50" s="8" t="s">
        <v>2200</v>
      </c>
      <c r="G50" s="8" t="s">
        <v>2201</v>
      </c>
      <c r="H50" s="8" t="s">
        <v>2212</v>
      </c>
    </row>
    <row r="51" customFormat="false" ht="15" hidden="false" customHeight="false" outlineLevel="0" collapsed="false">
      <c r="A51" s="7" t="n">
        <v>45209</v>
      </c>
      <c r="B51" s="7" t="n">
        <v>45250</v>
      </c>
      <c r="C51" s="8" t="n">
        <v>6124</v>
      </c>
      <c r="D51" s="8" t="n">
        <v>5300</v>
      </c>
      <c r="E51" s="8" t="n">
        <v>25170</v>
      </c>
      <c r="F51" s="8" t="s">
        <v>2200</v>
      </c>
      <c r="G51" s="8" t="s">
        <v>2201</v>
      </c>
      <c r="H51" s="8" t="s">
        <v>2212</v>
      </c>
    </row>
    <row r="52" customFormat="false" ht="15" hidden="false" customHeight="false" outlineLevel="0" collapsed="false">
      <c r="A52" s="7" t="n">
        <v>45209</v>
      </c>
      <c r="B52" s="7" t="n">
        <v>45280</v>
      </c>
      <c r="C52" s="8" t="n">
        <v>6178</v>
      </c>
      <c r="D52" s="8" t="n">
        <v>0</v>
      </c>
      <c r="E52" s="8" t="n">
        <v>395</v>
      </c>
      <c r="F52" s="8" t="s">
        <v>2200</v>
      </c>
      <c r="G52" s="8" t="s">
        <v>2201</v>
      </c>
      <c r="H52" s="8" t="s">
        <v>2212</v>
      </c>
    </row>
    <row r="53" customFormat="false" ht="15" hidden="false" customHeight="false" outlineLevel="0" collapsed="false">
      <c r="A53" s="7" t="n">
        <v>45209</v>
      </c>
      <c r="B53" s="7" t="n">
        <v>45310</v>
      </c>
      <c r="C53" s="8" t="n">
        <v>6232</v>
      </c>
      <c r="D53" s="8" t="n">
        <v>0</v>
      </c>
      <c r="E53" s="8" t="n">
        <v>0</v>
      </c>
      <c r="F53" s="8" t="s">
        <v>2200</v>
      </c>
      <c r="G53" s="8" t="s">
        <v>2201</v>
      </c>
      <c r="H53" s="8" t="s">
        <v>2212</v>
      </c>
    </row>
    <row r="54" customFormat="false" ht="15" hidden="false" customHeight="false" outlineLevel="0" collapsed="false">
      <c r="A54" s="7" t="n">
        <v>45209</v>
      </c>
      <c r="B54" s="7" t="n">
        <v>45342</v>
      </c>
      <c r="C54" s="8" t="n">
        <v>6286</v>
      </c>
      <c r="D54" s="8" t="n">
        <v>0</v>
      </c>
      <c r="E54" s="8" t="n">
        <v>0</v>
      </c>
      <c r="F54" s="8" t="s">
        <v>2200</v>
      </c>
      <c r="G54" s="8" t="s">
        <v>2201</v>
      </c>
      <c r="H54" s="8" t="s">
        <v>2212</v>
      </c>
    </row>
    <row r="55" customFormat="false" ht="15" hidden="false" customHeight="false" outlineLevel="0" collapsed="false">
      <c r="A55" s="7" t="n">
        <v>45210</v>
      </c>
      <c r="B55" s="7" t="n">
        <v>45219</v>
      </c>
      <c r="C55" s="8" t="n">
        <v>6015</v>
      </c>
      <c r="D55" s="8" t="n">
        <v>7445</v>
      </c>
      <c r="E55" s="8" t="n">
        <v>9420</v>
      </c>
      <c r="F55" s="8" t="s">
        <v>2200</v>
      </c>
      <c r="G55" s="8" t="s">
        <v>2201</v>
      </c>
      <c r="H55" s="8" t="s">
        <v>2213</v>
      </c>
    </row>
    <row r="56" customFormat="false" ht="15" hidden="false" customHeight="false" outlineLevel="0" collapsed="false">
      <c r="A56" s="7" t="n">
        <v>45210</v>
      </c>
      <c r="B56" s="7" t="n">
        <v>45250</v>
      </c>
      <c r="C56" s="8" t="n">
        <v>6072</v>
      </c>
      <c r="D56" s="8" t="n">
        <v>10215</v>
      </c>
      <c r="E56" s="8" t="n">
        <v>27150</v>
      </c>
      <c r="F56" s="8" t="s">
        <v>2200</v>
      </c>
      <c r="G56" s="8" t="s">
        <v>2201</v>
      </c>
      <c r="H56" s="8" t="s">
        <v>2213</v>
      </c>
    </row>
    <row r="57" customFormat="false" ht="15" hidden="false" customHeight="false" outlineLevel="0" collapsed="false">
      <c r="A57" s="7" t="n">
        <v>45210</v>
      </c>
      <c r="B57" s="7" t="n">
        <v>45280</v>
      </c>
      <c r="C57" s="8" t="n">
        <v>6052</v>
      </c>
      <c r="D57" s="8" t="n">
        <v>785</v>
      </c>
      <c r="E57" s="8" t="n">
        <v>855</v>
      </c>
      <c r="F57" s="8" t="s">
        <v>2200</v>
      </c>
      <c r="G57" s="8" t="s">
        <v>2201</v>
      </c>
      <c r="H57" s="8" t="s">
        <v>2213</v>
      </c>
    </row>
    <row r="58" customFormat="false" ht="15" hidden="false" customHeight="false" outlineLevel="0" collapsed="false">
      <c r="A58" s="7" t="n">
        <v>45210</v>
      </c>
      <c r="B58" s="7" t="n">
        <v>45310</v>
      </c>
      <c r="C58" s="8" t="n">
        <v>6226</v>
      </c>
      <c r="D58" s="8" t="n">
        <v>0</v>
      </c>
      <c r="E58" s="8" t="n">
        <v>0</v>
      </c>
      <c r="F58" s="8" t="s">
        <v>2200</v>
      </c>
      <c r="G58" s="8" t="s">
        <v>2201</v>
      </c>
      <c r="H58" s="8" t="s">
        <v>2213</v>
      </c>
    </row>
    <row r="59" customFormat="false" ht="15" hidden="false" customHeight="false" outlineLevel="0" collapsed="false">
      <c r="A59" s="7" t="n">
        <v>45210</v>
      </c>
      <c r="B59" s="7" t="n">
        <v>45342</v>
      </c>
      <c r="C59" s="8" t="n">
        <v>6400</v>
      </c>
      <c r="D59" s="8" t="n">
        <v>0</v>
      </c>
      <c r="E59" s="8" t="n">
        <v>0</v>
      </c>
      <c r="F59" s="8" t="s">
        <v>2200</v>
      </c>
      <c r="G59" s="8" t="s">
        <v>2201</v>
      </c>
      <c r="H59" s="8" t="s">
        <v>2213</v>
      </c>
    </row>
    <row r="60" customFormat="false" ht="15" hidden="false" customHeight="false" outlineLevel="0" collapsed="false">
      <c r="A60" s="7" t="n">
        <v>45211</v>
      </c>
      <c r="B60" s="7" t="n">
        <v>45219</v>
      </c>
      <c r="C60" s="8" t="n">
        <v>5985</v>
      </c>
      <c r="D60" s="8" t="n">
        <v>3910</v>
      </c>
      <c r="E60" s="8" t="n">
        <v>8060</v>
      </c>
      <c r="F60" s="8" t="s">
        <v>2200</v>
      </c>
      <c r="G60" s="8" t="s">
        <v>2201</v>
      </c>
      <c r="H60" s="8" t="s">
        <v>2214</v>
      </c>
    </row>
    <row r="61" customFormat="false" ht="15" hidden="false" customHeight="false" outlineLevel="0" collapsed="false">
      <c r="A61" s="7" t="n">
        <v>45211</v>
      </c>
      <c r="B61" s="7" t="n">
        <v>45250</v>
      </c>
      <c r="C61" s="8" t="n">
        <v>6034</v>
      </c>
      <c r="D61" s="8" t="n">
        <v>6825</v>
      </c>
      <c r="E61" s="8" t="n">
        <v>28035</v>
      </c>
      <c r="F61" s="8" t="s">
        <v>2200</v>
      </c>
      <c r="G61" s="8" t="s">
        <v>2201</v>
      </c>
      <c r="H61" s="8" t="s">
        <v>2214</v>
      </c>
    </row>
    <row r="62" customFormat="false" ht="15" hidden="false" customHeight="false" outlineLevel="0" collapsed="false">
      <c r="A62" s="7" t="n">
        <v>45211</v>
      </c>
      <c r="B62" s="7" t="n">
        <v>45280</v>
      </c>
      <c r="C62" s="8" t="n">
        <v>6046</v>
      </c>
      <c r="D62" s="8" t="n">
        <v>880</v>
      </c>
      <c r="E62" s="8" t="n">
        <v>1230</v>
      </c>
      <c r="F62" s="8" t="s">
        <v>2200</v>
      </c>
      <c r="G62" s="8" t="s">
        <v>2201</v>
      </c>
      <c r="H62" s="8" t="s">
        <v>2214</v>
      </c>
    </row>
    <row r="63" customFormat="false" ht="15" hidden="false" customHeight="false" outlineLevel="0" collapsed="false">
      <c r="A63" s="7" t="n">
        <v>45211</v>
      </c>
      <c r="B63" s="7" t="n">
        <v>45310</v>
      </c>
      <c r="C63" s="8" t="n">
        <v>6058</v>
      </c>
      <c r="D63" s="8" t="n">
        <v>0</v>
      </c>
      <c r="E63" s="8" t="n">
        <v>0</v>
      </c>
      <c r="F63" s="8" t="s">
        <v>2200</v>
      </c>
      <c r="G63" s="8" t="s">
        <v>2201</v>
      </c>
      <c r="H63" s="8" t="s">
        <v>2214</v>
      </c>
    </row>
    <row r="64" customFormat="false" ht="15" hidden="false" customHeight="false" outlineLevel="0" collapsed="false">
      <c r="A64" s="7" t="n">
        <v>45211</v>
      </c>
      <c r="B64" s="7" t="n">
        <v>45342</v>
      </c>
      <c r="C64" s="8" t="n">
        <v>6070</v>
      </c>
      <c r="D64" s="8" t="n">
        <v>0</v>
      </c>
      <c r="E64" s="8" t="n">
        <v>0</v>
      </c>
      <c r="F64" s="8" t="s">
        <v>2200</v>
      </c>
      <c r="G64" s="8" t="s">
        <v>2201</v>
      </c>
      <c r="H64" s="8" t="s">
        <v>2214</v>
      </c>
    </row>
    <row r="65" customFormat="false" ht="15" hidden="false" customHeight="false" outlineLevel="0" collapsed="false">
      <c r="A65" s="7" t="n">
        <v>45212</v>
      </c>
      <c r="B65" s="7" t="n">
        <v>45219</v>
      </c>
      <c r="C65" s="8" t="n">
        <v>5975</v>
      </c>
      <c r="D65" s="8" t="n">
        <v>2030</v>
      </c>
      <c r="E65" s="8" t="n">
        <v>7210</v>
      </c>
      <c r="F65" s="8" t="s">
        <v>2200</v>
      </c>
      <c r="G65" s="8" t="s">
        <v>2201</v>
      </c>
      <c r="H65" s="8" t="s">
        <v>2215</v>
      </c>
    </row>
    <row r="66" customFormat="false" ht="15" hidden="false" customHeight="false" outlineLevel="0" collapsed="false">
      <c r="A66" s="7" t="n">
        <v>45212</v>
      </c>
      <c r="B66" s="7" t="n">
        <v>45250</v>
      </c>
      <c r="C66" s="8" t="n">
        <v>6035</v>
      </c>
      <c r="D66" s="8" t="n">
        <v>6975</v>
      </c>
      <c r="E66" s="8" t="n">
        <v>28110</v>
      </c>
      <c r="F66" s="8" t="s">
        <v>2200</v>
      </c>
      <c r="G66" s="8" t="s">
        <v>2201</v>
      </c>
      <c r="H66" s="8" t="s">
        <v>2215</v>
      </c>
    </row>
    <row r="67" customFormat="false" ht="15" hidden="false" customHeight="false" outlineLevel="0" collapsed="false">
      <c r="A67" s="7" t="n">
        <v>45212</v>
      </c>
      <c r="B67" s="7" t="n">
        <v>45280</v>
      </c>
      <c r="C67" s="8" t="n">
        <v>6029</v>
      </c>
      <c r="D67" s="8" t="n">
        <v>1430</v>
      </c>
      <c r="E67" s="8" t="n">
        <v>2235</v>
      </c>
      <c r="F67" s="8" t="s">
        <v>2200</v>
      </c>
      <c r="G67" s="8" t="s">
        <v>2201</v>
      </c>
      <c r="H67" s="8" t="s">
        <v>2215</v>
      </c>
    </row>
    <row r="68" customFormat="false" ht="15" hidden="false" customHeight="false" outlineLevel="0" collapsed="false">
      <c r="A68" s="7" t="n">
        <v>45212</v>
      </c>
      <c r="B68" s="7" t="n">
        <v>45310</v>
      </c>
      <c r="C68" s="8" t="n">
        <v>6029</v>
      </c>
      <c r="D68" s="8" t="n">
        <v>0</v>
      </c>
      <c r="E68" s="8" t="n">
        <v>0</v>
      </c>
      <c r="F68" s="8" t="s">
        <v>2200</v>
      </c>
      <c r="G68" s="8" t="s">
        <v>2201</v>
      </c>
      <c r="H68" s="8" t="s">
        <v>2215</v>
      </c>
    </row>
    <row r="69" customFormat="false" ht="15" hidden="false" customHeight="false" outlineLevel="0" collapsed="false">
      <c r="A69" s="7" t="n">
        <v>45212</v>
      </c>
      <c r="B69" s="7" t="n">
        <v>45342</v>
      </c>
      <c r="C69" s="8" t="n">
        <v>6029</v>
      </c>
      <c r="D69" s="8" t="n">
        <v>0</v>
      </c>
      <c r="E69" s="8" t="n">
        <v>0</v>
      </c>
      <c r="F69" s="8" t="s">
        <v>2200</v>
      </c>
      <c r="G69" s="8" t="s">
        <v>2201</v>
      </c>
      <c r="H69" s="8" t="s">
        <v>2215</v>
      </c>
    </row>
    <row r="70" customFormat="false" ht="15" hidden="false" customHeight="false" outlineLevel="0" collapsed="false">
      <c r="A70" s="7" t="n">
        <v>45215</v>
      </c>
      <c r="B70" s="7" t="n">
        <v>45219</v>
      </c>
      <c r="C70" s="8" t="n">
        <v>6021</v>
      </c>
      <c r="D70" s="8" t="n">
        <v>4925</v>
      </c>
      <c r="E70" s="8" t="n">
        <v>5650</v>
      </c>
      <c r="F70" s="8" t="s">
        <v>2200</v>
      </c>
      <c r="G70" s="8" t="s">
        <v>2201</v>
      </c>
      <c r="H70" s="8" t="s">
        <v>2216</v>
      </c>
    </row>
    <row r="71" customFormat="false" ht="15" hidden="false" customHeight="false" outlineLevel="0" collapsed="false">
      <c r="A71" s="7" t="n">
        <v>45215</v>
      </c>
      <c r="B71" s="7" t="n">
        <v>45250</v>
      </c>
      <c r="C71" s="8" t="n">
        <v>6079</v>
      </c>
      <c r="D71" s="8" t="n">
        <v>4975</v>
      </c>
      <c r="E71" s="8" t="n">
        <v>28250</v>
      </c>
      <c r="F71" s="8" t="s">
        <v>2200</v>
      </c>
      <c r="G71" s="8" t="s">
        <v>2201</v>
      </c>
      <c r="H71" s="8" t="s">
        <v>2216</v>
      </c>
    </row>
    <row r="72" customFormat="false" ht="15" hidden="false" customHeight="false" outlineLevel="0" collapsed="false">
      <c r="A72" s="7" t="n">
        <v>45215</v>
      </c>
      <c r="B72" s="7" t="n">
        <v>45280</v>
      </c>
      <c r="C72" s="8" t="n">
        <v>6088</v>
      </c>
      <c r="D72" s="8" t="n">
        <v>840</v>
      </c>
      <c r="E72" s="8" t="n">
        <v>2810</v>
      </c>
      <c r="F72" s="8" t="s">
        <v>2200</v>
      </c>
      <c r="G72" s="8" t="s">
        <v>2201</v>
      </c>
      <c r="H72" s="8" t="s">
        <v>2216</v>
      </c>
    </row>
    <row r="73" customFormat="false" ht="15" hidden="false" customHeight="false" outlineLevel="0" collapsed="false">
      <c r="A73" s="7" t="n">
        <v>45215</v>
      </c>
      <c r="B73" s="7" t="n">
        <v>45310</v>
      </c>
      <c r="C73" s="8" t="n">
        <v>6097</v>
      </c>
      <c r="D73" s="8" t="n">
        <v>0</v>
      </c>
      <c r="E73" s="8" t="n">
        <v>0</v>
      </c>
      <c r="F73" s="8" t="s">
        <v>2200</v>
      </c>
      <c r="G73" s="8" t="s">
        <v>2201</v>
      </c>
      <c r="H73" s="8" t="s">
        <v>2216</v>
      </c>
    </row>
    <row r="74" customFormat="false" ht="15" hidden="false" customHeight="false" outlineLevel="0" collapsed="false">
      <c r="A74" s="7" t="n">
        <v>45215</v>
      </c>
      <c r="B74" s="7" t="n">
        <v>45342</v>
      </c>
      <c r="C74" s="8" t="n">
        <v>6106</v>
      </c>
      <c r="D74" s="8" t="n">
        <v>0</v>
      </c>
      <c r="E74" s="8" t="n">
        <v>0</v>
      </c>
      <c r="F74" s="8" t="s">
        <v>2200</v>
      </c>
      <c r="G74" s="8" t="s">
        <v>2201</v>
      </c>
      <c r="H74" s="8" t="s">
        <v>2216</v>
      </c>
    </row>
    <row r="75" customFormat="false" ht="15" hidden="false" customHeight="false" outlineLevel="0" collapsed="false">
      <c r="A75" s="7" t="n">
        <v>45216</v>
      </c>
      <c r="B75" s="7" t="n">
        <v>45219</v>
      </c>
      <c r="C75" s="8" t="n">
        <v>6017</v>
      </c>
      <c r="D75" s="8" t="n">
        <v>1790</v>
      </c>
      <c r="E75" s="8" t="n">
        <v>3075</v>
      </c>
      <c r="F75" s="8" t="s">
        <v>2200</v>
      </c>
      <c r="G75" s="8" t="s">
        <v>2201</v>
      </c>
      <c r="H75" s="8" t="s">
        <v>2217</v>
      </c>
    </row>
    <row r="76" customFormat="false" ht="15" hidden="false" customHeight="false" outlineLevel="0" collapsed="false">
      <c r="A76" s="7" t="n">
        <v>45216</v>
      </c>
      <c r="B76" s="7" t="n">
        <v>45250</v>
      </c>
      <c r="C76" s="8" t="n">
        <v>6071</v>
      </c>
      <c r="D76" s="8" t="n">
        <v>3745</v>
      </c>
      <c r="E76" s="8" t="n">
        <v>28425</v>
      </c>
      <c r="F76" s="8" t="s">
        <v>2200</v>
      </c>
      <c r="G76" s="8" t="s">
        <v>2201</v>
      </c>
      <c r="H76" s="8" t="s">
        <v>2217</v>
      </c>
    </row>
    <row r="77" customFormat="false" ht="15" hidden="false" customHeight="false" outlineLevel="0" collapsed="false">
      <c r="A77" s="7" t="n">
        <v>45216</v>
      </c>
      <c r="B77" s="7" t="n">
        <v>45280</v>
      </c>
      <c r="C77" s="8" t="n">
        <v>6059</v>
      </c>
      <c r="D77" s="8" t="n">
        <v>1010</v>
      </c>
      <c r="E77" s="8" t="n">
        <v>3415</v>
      </c>
      <c r="F77" s="8" t="s">
        <v>2200</v>
      </c>
      <c r="G77" s="8" t="s">
        <v>2201</v>
      </c>
      <c r="H77" s="8" t="s">
        <v>2217</v>
      </c>
    </row>
    <row r="78" customFormat="false" ht="15" hidden="false" customHeight="false" outlineLevel="0" collapsed="false">
      <c r="A78" s="7" t="n">
        <v>45216</v>
      </c>
      <c r="B78" s="7" t="n">
        <v>45310</v>
      </c>
      <c r="C78" s="8" t="n">
        <v>6059</v>
      </c>
      <c r="D78" s="8" t="n">
        <v>0</v>
      </c>
      <c r="E78" s="8" t="n">
        <v>0</v>
      </c>
      <c r="F78" s="8" t="s">
        <v>2200</v>
      </c>
      <c r="G78" s="8" t="s">
        <v>2201</v>
      </c>
      <c r="H78" s="8" t="s">
        <v>2217</v>
      </c>
    </row>
    <row r="79" customFormat="false" ht="15" hidden="false" customHeight="false" outlineLevel="0" collapsed="false">
      <c r="A79" s="7" t="n">
        <v>45216</v>
      </c>
      <c r="B79" s="7" t="n">
        <v>45342</v>
      </c>
      <c r="C79" s="8" t="n">
        <v>6059</v>
      </c>
      <c r="D79" s="8" t="n">
        <v>0</v>
      </c>
      <c r="E79" s="8" t="n">
        <v>0</v>
      </c>
      <c r="F79" s="8" t="s">
        <v>2200</v>
      </c>
      <c r="G79" s="8" t="s">
        <v>2201</v>
      </c>
      <c r="H79" s="8" t="s">
        <v>2217</v>
      </c>
    </row>
    <row r="80" customFormat="false" ht="15" hidden="false" customHeight="false" outlineLevel="0" collapsed="false">
      <c r="A80" s="7" t="n">
        <v>45217</v>
      </c>
      <c r="B80" s="7" t="n">
        <v>45219</v>
      </c>
      <c r="C80" s="8" t="n">
        <v>6012</v>
      </c>
      <c r="D80" s="8" t="n">
        <v>75</v>
      </c>
      <c r="E80" s="8" t="n">
        <v>1480</v>
      </c>
      <c r="F80" s="8" t="s">
        <v>2200</v>
      </c>
      <c r="G80" s="8" t="s">
        <v>2201</v>
      </c>
      <c r="H80" s="8" t="s">
        <v>2218</v>
      </c>
    </row>
    <row r="81" customFormat="false" ht="15" hidden="false" customHeight="false" outlineLevel="0" collapsed="false">
      <c r="A81" s="7" t="n">
        <v>45217</v>
      </c>
      <c r="B81" s="7" t="n">
        <v>45250</v>
      </c>
      <c r="C81" s="8" t="n">
        <v>6009</v>
      </c>
      <c r="D81" s="8" t="n">
        <v>6400</v>
      </c>
      <c r="E81" s="8" t="n">
        <v>29445</v>
      </c>
      <c r="F81" s="8" t="s">
        <v>2200</v>
      </c>
      <c r="G81" s="8" t="s">
        <v>2201</v>
      </c>
      <c r="H81" s="8" t="s">
        <v>2218</v>
      </c>
    </row>
    <row r="82" customFormat="false" ht="15" hidden="false" customHeight="false" outlineLevel="0" collapsed="false">
      <c r="A82" s="7" t="n">
        <v>45217</v>
      </c>
      <c r="B82" s="7" t="n">
        <v>45280</v>
      </c>
      <c r="C82" s="8" t="n">
        <v>5992</v>
      </c>
      <c r="D82" s="8" t="n">
        <v>2510</v>
      </c>
      <c r="E82" s="8" t="n">
        <v>3870</v>
      </c>
      <c r="F82" s="8" t="s">
        <v>2200</v>
      </c>
      <c r="G82" s="8" t="s">
        <v>2201</v>
      </c>
      <c r="H82" s="8" t="s">
        <v>2218</v>
      </c>
    </row>
    <row r="83" customFormat="false" ht="15" hidden="false" customHeight="false" outlineLevel="0" collapsed="false">
      <c r="A83" s="7" t="n">
        <v>45217</v>
      </c>
      <c r="B83" s="7" t="n">
        <v>45310</v>
      </c>
      <c r="C83" s="8" t="n">
        <v>5992</v>
      </c>
      <c r="D83" s="8" t="n">
        <v>0</v>
      </c>
      <c r="E83" s="8" t="n">
        <v>0</v>
      </c>
      <c r="F83" s="8" t="s">
        <v>2200</v>
      </c>
      <c r="G83" s="8" t="s">
        <v>2201</v>
      </c>
      <c r="H83" s="8" t="s">
        <v>2218</v>
      </c>
    </row>
    <row r="84" customFormat="false" ht="15" hidden="false" customHeight="false" outlineLevel="0" collapsed="false">
      <c r="A84" s="7" t="n">
        <v>45217</v>
      </c>
      <c r="B84" s="7" t="n">
        <v>45342</v>
      </c>
      <c r="C84" s="8" t="n">
        <v>5992</v>
      </c>
      <c r="D84" s="8" t="n">
        <v>0</v>
      </c>
      <c r="E84" s="8" t="n">
        <v>0</v>
      </c>
      <c r="F84" s="8" t="s">
        <v>2200</v>
      </c>
      <c r="G84" s="8" t="s">
        <v>2201</v>
      </c>
      <c r="H84" s="8" t="s">
        <v>2218</v>
      </c>
    </row>
    <row r="85" customFormat="false" ht="15" hidden="false" customHeight="false" outlineLevel="0" collapsed="false">
      <c r="A85" s="7" t="n">
        <v>45218</v>
      </c>
      <c r="B85" s="7" t="n">
        <v>45219</v>
      </c>
      <c r="C85" s="8" t="n">
        <v>5938</v>
      </c>
      <c r="D85" s="8" t="n">
        <v>930</v>
      </c>
      <c r="E85" s="8" t="n">
        <v>1300</v>
      </c>
      <c r="F85" s="8" t="s">
        <v>2200</v>
      </c>
      <c r="G85" s="8" t="s">
        <v>2201</v>
      </c>
      <c r="H85" s="8" t="s">
        <v>2219</v>
      </c>
    </row>
    <row r="86" customFormat="false" ht="15" hidden="false" customHeight="false" outlineLevel="0" collapsed="false">
      <c r="A86" s="7" t="n">
        <v>45218</v>
      </c>
      <c r="B86" s="7" t="n">
        <v>45250</v>
      </c>
      <c r="C86" s="8" t="n">
        <v>6006</v>
      </c>
      <c r="D86" s="8" t="n">
        <v>4725</v>
      </c>
      <c r="E86" s="8" t="n">
        <v>29190</v>
      </c>
      <c r="F86" s="8" t="s">
        <v>2200</v>
      </c>
      <c r="G86" s="8" t="s">
        <v>2201</v>
      </c>
      <c r="H86" s="8" t="s">
        <v>2219</v>
      </c>
    </row>
    <row r="87" customFormat="false" ht="15" hidden="false" customHeight="false" outlineLevel="0" collapsed="false">
      <c r="A87" s="7" t="n">
        <v>45218</v>
      </c>
      <c r="B87" s="7" t="n">
        <v>45280</v>
      </c>
      <c r="C87" s="8" t="n">
        <v>5977</v>
      </c>
      <c r="D87" s="8" t="n">
        <v>975</v>
      </c>
      <c r="E87" s="8" t="n">
        <v>4225</v>
      </c>
      <c r="F87" s="8" t="s">
        <v>2200</v>
      </c>
      <c r="G87" s="8" t="s">
        <v>2201</v>
      </c>
      <c r="H87" s="8" t="s">
        <v>2219</v>
      </c>
    </row>
    <row r="88" customFormat="false" ht="15" hidden="false" customHeight="false" outlineLevel="0" collapsed="false">
      <c r="A88" s="7" t="n">
        <v>45218</v>
      </c>
      <c r="B88" s="7" t="n">
        <v>45310</v>
      </c>
      <c r="C88" s="8" t="n">
        <v>5977</v>
      </c>
      <c r="D88" s="8" t="n">
        <v>0</v>
      </c>
      <c r="E88" s="8" t="n">
        <v>0</v>
      </c>
      <c r="F88" s="8" t="s">
        <v>2200</v>
      </c>
      <c r="G88" s="8" t="s">
        <v>2201</v>
      </c>
      <c r="H88" s="8" t="s">
        <v>2219</v>
      </c>
    </row>
    <row r="89" customFormat="false" ht="15" hidden="false" customHeight="false" outlineLevel="0" collapsed="false">
      <c r="A89" s="7" t="n">
        <v>45218</v>
      </c>
      <c r="B89" s="7" t="n">
        <v>45342</v>
      </c>
      <c r="C89" s="8" t="n">
        <v>5977</v>
      </c>
      <c r="D89" s="8" t="n">
        <v>0</v>
      </c>
      <c r="E89" s="8" t="n">
        <v>0</v>
      </c>
      <c r="F89" s="8" t="s">
        <v>2200</v>
      </c>
      <c r="G89" s="8" t="s">
        <v>2201</v>
      </c>
      <c r="H89" s="8" t="s">
        <v>2219</v>
      </c>
    </row>
    <row r="90" customFormat="false" ht="15" hidden="false" customHeight="false" outlineLevel="0" collapsed="false">
      <c r="A90" s="7" t="n">
        <v>45219</v>
      </c>
      <c r="B90" s="7" t="n">
        <v>45219</v>
      </c>
      <c r="C90" s="8" t="n">
        <v>5949</v>
      </c>
      <c r="D90" s="8" t="n">
        <v>380</v>
      </c>
      <c r="E90" s="8" t="n">
        <v>730</v>
      </c>
      <c r="F90" s="8" t="s">
        <v>2200</v>
      </c>
      <c r="G90" s="8" t="s">
        <v>2201</v>
      </c>
      <c r="H90" s="8" t="s">
        <v>2220</v>
      </c>
    </row>
    <row r="91" customFormat="false" ht="15" hidden="false" customHeight="false" outlineLevel="0" collapsed="false">
      <c r="A91" s="7" t="n">
        <v>45219</v>
      </c>
      <c r="B91" s="7" t="n">
        <v>45250</v>
      </c>
      <c r="C91" s="8" t="n">
        <v>6036</v>
      </c>
      <c r="D91" s="8" t="n">
        <v>5235</v>
      </c>
      <c r="E91" s="8" t="n">
        <v>29280</v>
      </c>
      <c r="F91" s="8" t="s">
        <v>2200</v>
      </c>
      <c r="G91" s="8" t="s">
        <v>2201</v>
      </c>
      <c r="H91" s="8" t="s">
        <v>2220</v>
      </c>
    </row>
    <row r="92" customFormat="false" ht="15" hidden="false" customHeight="false" outlineLevel="0" collapsed="false">
      <c r="A92" s="7" t="n">
        <v>45219</v>
      </c>
      <c r="B92" s="7" t="n">
        <v>45280</v>
      </c>
      <c r="C92" s="8" t="n">
        <v>5996</v>
      </c>
      <c r="D92" s="8" t="n">
        <v>1155</v>
      </c>
      <c r="E92" s="8" t="n">
        <v>4745</v>
      </c>
      <c r="F92" s="8" t="s">
        <v>2200</v>
      </c>
      <c r="G92" s="8" t="s">
        <v>2201</v>
      </c>
      <c r="H92" s="8" t="s">
        <v>2220</v>
      </c>
    </row>
    <row r="93" customFormat="false" ht="15" hidden="false" customHeight="false" outlineLevel="0" collapsed="false">
      <c r="A93" s="7" t="n">
        <v>45219</v>
      </c>
      <c r="B93" s="7" t="n">
        <v>45310</v>
      </c>
      <c r="C93" s="8" t="n">
        <v>5996</v>
      </c>
      <c r="D93" s="8" t="n">
        <v>0</v>
      </c>
      <c r="E93" s="8" t="n">
        <v>0</v>
      </c>
      <c r="F93" s="8" t="s">
        <v>2200</v>
      </c>
      <c r="G93" s="8" t="s">
        <v>2201</v>
      </c>
      <c r="H93" s="8" t="s">
        <v>2220</v>
      </c>
    </row>
    <row r="94" customFormat="false" ht="15" hidden="false" customHeight="false" outlineLevel="0" collapsed="false">
      <c r="A94" s="7" t="n">
        <v>45219</v>
      </c>
      <c r="B94" s="7" t="n">
        <v>45342</v>
      </c>
      <c r="C94" s="8" t="n">
        <v>5996</v>
      </c>
      <c r="D94" s="8" t="n">
        <v>0</v>
      </c>
      <c r="E94" s="8" t="n">
        <v>0</v>
      </c>
      <c r="F94" s="8" t="s">
        <v>2200</v>
      </c>
      <c r="G94" s="8" t="s">
        <v>2201</v>
      </c>
      <c r="H94" s="8" t="s">
        <v>2220</v>
      </c>
    </row>
    <row r="95" customFormat="false" ht="15" hidden="false" customHeight="false" outlineLevel="0" collapsed="false">
      <c r="A95" s="7" t="n">
        <v>45222</v>
      </c>
      <c r="B95" s="7" t="n">
        <v>45250</v>
      </c>
      <c r="C95" s="8" t="n">
        <v>6036</v>
      </c>
      <c r="D95" s="8" t="n">
        <v>2255</v>
      </c>
      <c r="E95" s="8" t="n">
        <v>29210</v>
      </c>
      <c r="F95" s="8" t="s">
        <v>2200</v>
      </c>
      <c r="G95" s="8" t="s">
        <v>2201</v>
      </c>
      <c r="H95" s="8" t="s">
        <v>2221</v>
      </c>
    </row>
    <row r="96" customFormat="false" ht="15" hidden="false" customHeight="false" outlineLevel="0" collapsed="false">
      <c r="A96" s="7" t="n">
        <v>45222</v>
      </c>
      <c r="B96" s="7" t="n">
        <v>45280</v>
      </c>
      <c r="C96" s="8" t="n">
        <v>5998</v>
      </c>
      <c r="D96" s="8" t="n">
        <v>190</v>
      </c>
      <c r="E96" s="8" t="n">
        <v>4775</v>
      </c>
      <c r="F96" s="8" t="s">
        <v>2200</v>
      </c>
      <c r="G96" s="8" t="s">
        <v>2201</v>
      </c>
      <c r="H96" s="8" t="s">
        <v>2221</v>
      </c>
    </row>
    <row r="97" customFormat="false" ht="15" hidden="false" customHeight="false" outlineLevel="0" collapsed="false">
      <c r="A97" s="7" t="n">
        <v>45222</v>
      </c>
      <c r="B97" s="7" t="n">
        <v>45310</v>
      </c>
      <c r="C97" s="8" t="n">
        <v>5998</v>
      </c>
      <c r="D97" s="8" t="n">
        <v>0</v>
      </c>
      <c r="E97" s="8" t="n">
        <v>0</v>
      </c>
      <c r="F97" s="8" t="s">
        <v>2200</v>
      </c>
      <c r="G97" s="8" t="s">
        <v>2201</v>
      </c>
      <c r="H97" s="8" t="s">
        <v>2221</v>
      </c>
    </row>
    <row r="98" customFormat="false" ht="15" hidden="false" customHeight="false" outlineLevel="0" collapsed="false">
      <c r="A98" s="7" t="n">
        <v>45222</v>
      </c>
      <c r="B98" s="7" t="n">
        <v>45342</v>
      </c>
      <c r="C98" s="8" t="n">
        <v>5998</v>
      </c>
      <c r="D98" s="8" t="n">
        <v>0</v>
      </c>
      <c r="E98" s="8" t="n">
        <v>0</v>
      </c>
      <c r="F98" s="8" t="s">
        <v>2200</v>
      </c>
      <c r="G98" s="8" t="s">
        <v>2201</v>
      </c>
      <c r="H98" s="8" t="s">
        <v>2221</v>
      </c>
    </row>
    <row r="99" customFormat="false" ht="15" hidden="false" customHeight="false" outlineLevel="0" collapsed="false">
      <c r="A99" s="7" t="n">
        <v>45224</v>
      </c>
      <c r="B99" s="7" t="n">
        <v>45250</v>
      </c>
      <c r="C99" s="8" t="n">
        <v>6055</v>
      </c>
      <c r="D99" s="8" t="n">
        <v>6345</v>
      </c>
      <c r="E99" s="8" t="n">
        <v>29855</v>
      </c>
      <c r="F99" s="8" t="s">
        <v>2200</v>
      </c>
      <c r="G99" s="8" t="s">
        <v>2201</v>
      </c>
      <c r="H99" s="8" t="s">
        <v>2222</v>
      </c>
    </row>
    <row r="100" customFormat="false" ht="15" hidden="false" customHeight="false" outlineLevel="0" collapsed="false">
      <c r="A100" s="7" t="n">
        <v>45224</v>
      </c>
      <c r="B100" s="7" t="n">
        <v>45280</v>
      </c>
      <c r="C100" s="8" t="n">
        <v>6040</v>
      </c>
      <c r="D100" s="8" t="n">
        <v>2215</v>
      </c>
      <c r="E100" s="8" t="n">
        <v>4090</v>
      </c>
      <c r="F100" s="8" t="s">
        <v>2200</v>
      </c>
      <c r="G100" s="8" t="s">
        <v>2201</v>
      </c>
      <c r="H100" s="8" t="s">
        <v>2222</v>
      </c>
    </row>
    <row r="101" customFormat="false" ht="15" hidden="false" customHeight="false" outlineLevel="0" collapsed="false">
      <c r="A101" s="7" t="n">
        <v>45224</v>
      </c>
      <c r="B101" s="7" t="n">
        <v>45310</v>
      </c>
      <c r="C101" s="8" t="n">
        <v>6040</v>
      </c>
      <c r="D101" s="8" t="n">
        <v>0</v>
      </c>
      <c r="E101" s="8" t="n">
        <v>0</v>
      </c>
      <c r="F101" s="8" t="s">
        <v>2200</v>
      </c>
      <c r="G101" s="8" t="s">
        <v>2201</v>
      </c>
      <c r="H101" s="8" t="s">
        <v>2222</v>
      </c>
    </row>
    <row r="102" customFormat="false" ht="15" hidden="false" customHeight="false" outlineLevel="0" collapsed="false">
      <c r="A102" s="7" t="n">
        <v>45224</v>
      </c>
      <c r="B102" s="7" t="n">
        <v>45342</v>
      </c>
      <c r="C102" s="8" t="n">
        <v>6040</v>
      </c>
      <c r="D102" s="8" t="n">
        <v>0</v>
      </c>
      <c r="E102" s="8" t="n">
        <v>0</v>
      </c>
      <c r="F102" s="8" t="s">
        <v>2200</v>
      </c>
      <c r="G102" s="8" t="s">
        <v>2201</v>
      </c>
      <c r="H102" s="8" t="s">
        <v>2222</v>
      </c>
    </row>
    <row r="103" customFormat="false" ht="15" hidden="false" customHeight="false" outlineLevel="0" collapsed="false">
      <c r="A103" s="7" t="n">
        <v>45225</v>
      </c>
      <c r="B103" s="7" t="n">
        <v>45250</v>
      </c>
      <c r="C103" s="8" t="n">
        <v>6008</v>
      </c>
      <c r="D103" s="8" t="n">
        <v>3085</v>
      </c>
      <c r="E103" s="8" t="n">
        <v>30600</v>
      </c>
      <c r="F103" s="8" t="s">
        <v>2200</v>
      </c>
      <c r="G103" s="8" t="s">
        <v>2201</v>
      </c>
      <c r="H103" s="8" t="s">
        <v>2223</v>
      </c>
    </row>
    <row r="104" customFormat="false" ht="15" hidden="false" customHeight="false" outlineLevel="0" collapsed="false">
      <c r="A104" s="7" t="n">
        <v>45225</v>
      </c>
      <c r="B104" s="7" t="n">
        <v>45280</v>
      </c>
      <c r="C104" s="8" t="n">
        <v>5999</v>
      </c>
      <c r="D104" s="8" t="n">
        <v>690</v>
      </c>
      <c r="E104" s="8" t="n">
        <v>4480</v>
      </c>
      <c r="F104" s="8" t="s">
        <v>2200</v>
      </c>
      <c r="G104" s="8" t="s">
        <v>2201</v>
      </c>
      <c r="H104" s="8" t="s">
        <v>2223</v>
      </c>
    </row>
    <row r="105" customFormat="false" ht="15" hidden="false" customHeight="false" outlineLevel="0" collapsed="false">
      <c r="A105" s="7" t="n">
        <v>45225</v>
      </c>
      <c r="B105" s="7" t="n">
        <v>45310</v>
      </c>
      <c r="C105" s="8" t="n">
        <v>5999</v>
      </c>
      <c r="D105" s="8" t="n">
        <v>0</v>
      </c>
      <c r="E105" s="8" t="n">
        <v>0</v>
      </c>
      <c r="F105" s="8" t="s">
        <v>2200</v>
      </c>
      <c r="G105" s="8" t="s">
        <v>2201</v>
      </c>
      <c r="H105" s="8" t="s">
        <v>2223</v>
      </c>
    </row>
    <row r="106" customFormat="false" ht="15" hidden="false" customHeight="false" outlineLevel="0" collapsed="false">
      <c r="A106" s="7" t="n">
        <v>45225</v>
      </c>
      <c r="B106" s="7" t="n">
        <v>45342</v>
      </c>
      <c r="C106" s="8" t="n">
        <v>5999</v>
      </c>
      <c r="D106" s="8" t="n">
        <v>0</v>
      </c>
      <c r="E106" s="8" t="n">
        <v>0</v>
      </c>
      <c r="F106" s="8" t="s">
        <v>2200</v>
      </c>
      <c r="G106" s="8" t="s">
        <v>2201</v>
      </c>
      <c r="H106" s="8" t="s">
        <v>2223</v>
      </c>
    </row>
    <row r="107" customFormat="false" ht="15" hidden="false" customHeight="false" outlineLevel="0" collapsed="false">
      <c r="A107" s="7" t="n">
        <v>45226</v>
      </c>
      <c r="B107" s="7" t="n">
        <v>45250</v>
      </c>
      <c r="C107" s="8" t="n">
        <v>5980</v>
      </c>
      <c r="D107" s="8" t="n">
        <v>4765</v>
      </c>
      <c r="E107" s="8" t="n">
        <v>30680</v>
      </c>
      <c r="F107" s="8" t="s">
        <v>2200</v>
      </c>
      <c r="G107" s="8" t="s">
        <v>2201</v>
      </c>
      <c r="H107" s="8" t="s">
        <v>2224</v>
      </c>
    </row>
    <row r="108" customFormat="false" ht="15" hidden="false" customHeight="false" outlineLevel="0" collapsed="false">
      <c r="A108" s="7" t="n">
        <v>45226</v>
      </c>
      <c r="B108" s="7" t="n">
        <v>45280</v>
      </c>
      <c r="C108" s="8" t="n">
        <v>5950</v>
      </c>
      <c r="D108" s="8" t="n">
        <v>1040</v>
      </c>
      <c r="E108" s="8" t="n">
        <v>4950</v>
      </c>
      <c r="F108" s="8" t="s">
        <v>2200</v>
      </c>
      <c r="G108" s="8" t="s">
        <v>2201</v>
      </c>
      <c r="H108" s="8" t="s">
        <v>2224</v>
      </c>
    </row>
    <row r="109" customFormat="false" ht="15" hidden="false" customHeight="false" outlineLevel="0" collapsed="false">
      <c r="A109" s="7" t="n">
        <v>45226</v>
      </c>
      <c r="B109" s="7" t="n">
        <v>45310</v>
      </c>
      <c r="C109" s="8" t="n">
        <v>5950</v>
      </c>
      <c r="D109" s="8" t="n">
        <v>0</v>
      </c>
      <c r="E109" s="8" t="n">
        <v>0</v>
      </c>
      <c r="F109" s="8" t="s">
        <v>2200</v>
      </c>
      <c r="G109" s="8" t="s">
        <v>2201</v>
      </c>
      <c r="H109" s="8" t="s">
        <v>2224</v>
      </c>
    </row>
    <row r="110" customFormat="false" ht="15" hidden="false" customHeight="false" outlineLevel="0" collapsed="false">
      <c r="A110" s="7" t="n">
        <v>45226</v>
      </c>
      <c r="B110" s="7" t="n">
        <v>45342</v>
      </c>
      <c r="C110" s="8" t="n">
        <v>5950</v>
      </c>
      <c r="D110" s="8" t="n">
        <v>0</v>
      </c>
      <c r="E110" s="8" t="n">
        <v>0</v>
      </c>
      <c r="F110" s="8" t="s">
        <v>2200</v>
      </c>
      <c r="G110" s="8" t="s">
        <v>2201</v>
      </c>
      <c r="H110" s="8" t="s">
        <v>2224</v>
      </c>
    </row>
    <row r="111" customFormat="false" ht="15" hidden="false" customHeight="false" outlineLevel="0" collapsed="false">
      <c r="A111" s="7" t="n">
        <v>45229</v>
      </c>
      <c r="B111" s="7" t="n">
        <v>45250</v>
      </c>
      <c r="C111" s="8" t="n">
        <v>5920</v>
      </c>
      <c r="D111" s="8" t="n">
        <v>7360</v>
      </c>
      <c r="E111" s="8" t="n">
        <v>30205</v>
      </c>
      <c r="F111" s="8" t="s">
        <v>2200</v>
      </c>
      <c r="G111" s="8" t="s">
        <v>2201</v>
      </c>
      <c r="H111" s="8" t="s">
        <v>2225</v>
      </c>
    </row>
    <row r="112" customFormat="false" ht="15" hidden="false" customHeight="false" outlineLevel="0" collapsed="false">
      <c r="A112" s="7" t="n">
        <v>45229</v>
      </c>
      <c r="B112" s="7" t="n">
        <v>45280</v>
      </c>
      <c r="C112" s="8" t="n">
        <v>5852</v>
      </c>
      <c r="D112" s="8" t="n">
        <v>2400</v>
      </c>
      <c r="E112" s="8" t="n">
        <v>6090</v>
      </c>
      <c r="F112" s="8" t="s">
        <v>2200</v>
      </c>
      <c r="G112" s="8" t="s">
        <v>2201</v>
      </c>
      <c r="H112" s="8" t="s">
        <v>2225</v>
      </c>
    </row>
    <row r="113" customFormat="false" ht="15" hidden="false" customHeight="false" outlineLevel="0" collapsed="false">
      <c r="A113" s="7" t="n">
        <v>45229</v>
      </c>
      <c r="B113" s="7" t="n">
        <v>45310</v>
      </c>
      <c r="C113" s="8" t="n">
        <v>5852</v>
      </c>
      <c r="D113" s="8" t="n">
        <v>0</v>
      </c>
      <c r="E113" s="8" t="n">
        <v>0</v>
      </c>
      <c r="F113" s="8" t="s">
        <v>2200</v>
      </c>
      <c r="G113" s="8" t="s">
        <v>2201</v>
      </c>
      <c r="H113" s="8" t="s">
        <v>2225</v>
      </c>
    </row>
    <row r="114" customFormat="false" ht="15" hidden="false" customHeight="false" outlineLevel="0" collapsed="false">
      <c r="A114" s="7" t="n">
        <v>45229</v>
      </c>
      <c r="B114" s="7" t="n">
        <v>45342</v>
      </c>
      <c r="C114" s="8" t="n">
        <v>5852</v>
      </c>
      <c r="D114" s="8" t="n">
        <v>0</v>
      </c>
      <c r="E114" s="8" t="n">
        <v>0</v>
      </c>
      <c r="F114" s="8" t="s">
        <v>2200</v>
      </c>
      <c r="G114" s="8" t="s">
        <v>2201</v>
      </c>
      <c r="H114" s="8" t="s">
        <v>2225</v>
      </c>
    </row>
    <row r="115" customFormat="false" ht="15" hidden="false" customHeight="false" outlineLevel="0" collapsed="false">
      <c r="A115" s="7" t="n">
        <v>45230</v>
      </c>
      <c r="B115" s="7" t="n">
        <v>45250</v>
      </c>
      <c r="C115" s="8" t="n">
        <v>5924</v>
      </c>
      <c r="D115" s="8" t="n">
        <v>9165</v>
      </c>
      <c r="E115" s="8" t="n">
        <v>29850</v>
      </c>
      <c r="F115" s="8" t="s">
        <v>2200</v>
      </c>
      <c r="G115" s="8" t="s">
        <v>2201</v>
      </c>
      <c r="H115" s="8" t="s">
        <v>2226</v>
      </c>
    </row>
    <row r="116" customFormat="false" ht="15" hidden="false" customHeight="false" outlineLevel="0" collapsed="false">
      <c r="A116" s="7" t="n">
        <v>45230</v>
      </c>
      <c r="B116" s="7" t="n">
        <v>45280</v>
      </c>
      <c r="C116" s="8" t="n">
        <v>5891</v>
      </c>
      <c r="D116" s="8" t="n">
        <v>2540</v>
      </c>
      <c r="E116" s="8" t="n">
        <v>6960</v>
      </c>
      <c r="F116" s="8" t="s">
        <v>2200</v>
      </c>
      <c r="G116" s="8" t="s">
        <v>2201</v>
      </c>
      <c r="H116" s="8" t="s">
        <v>2226</v>
      </c>
    </row>
    <row r="117" customFormat="false" ht="15" hidden="false" customHeight="false" outlineLevel="0" collapsed="false">
      <c r="A117" s="7" t="n">
        <v>45230</v>
      </c>
      <c r="B117" s="7" t="n">
        <v>45310</v>
      </c>
      <c r="C117" s="8" t="n">
        <v>5891</v>
      </c>
      <c r="D117" s="8" t="n">
        <v>0</v>
      </c>
      <c r="E117" s="8" t="n">
        <v>0</v>
      </c>
      <c r="F117" s="8" t="s">
        <v>2200</v>
      </c>
      <c r="G117" s="8" t="s">
        <v>2201</v>
      </c>
      <c r="H117" s="8" t="s">
        <v>2226</v>
      </c>
    </row>
    <row r="118" customFormat="false" ht="15" hidden="false" customHeight="false" outlineLevel="0" collapsed="false">
      <c r="A118" s="7" t="n">
        <v>45230</v>
      </c>
      <c r="B118" s="7" t="n">
        <v>45342</v>
      </c>
      <c r="C118" s="8" t="n">
        <v>5891</v>
      </c>
      <c r="D118" s="8" t="n">
        <v>0</v>
      </c>
      <c r="E118" s="8" t="n">
        <v>0</v>
      </c>
      <c r="F118" s="8" t="s">
        <v>2200</v>
      </c>
      <c r="G118" s="8" t="s">
        <v>2201</v>
      </c>
      <c r="H118" s="8" t="s">
        <v>2226</v>
      </c>
    </row>
    <row r="119" customFormat="false" ht="15" hidden="false" customHeight="false" outlineLevel="0" collapsed="false">
      <c r="A119" s="7" t="n">
        <v>45231</v>
      </c>
      <c r="B119" s="7" t="n">
        <v>45250</v>
      </c>
      <c r="C119" s="8" t="n">
        <v>5892</v>
      </c>
      <c r="D119" s="8" t="n">
        <v>5465</v>
      </c>
      <c r="E119" s="8" t="n">
        <v>29565</v>
      </c>
      <c r="F119" s="8" t="s">
        <v>2200</v>
      </c>
      <c r="G119" s="8" t="s">
        <v>2201</v>
      </c>
      <c r="H119" s="8" t="s">
        <v>2227</v>
      </c>
    </row>
    <row r="120" customFormat="false" ht="15" hidden="false" customHeight="false" outlineLevel="0" collapsed="false">
      <c r="A120" s="7" t="n">
        <v>45231</v>
      </c>
      <c r="B120" s="7" t="n">
        <v>45280</v>
      </c>
      <c r="C120" s="8" t="n">
        <v>5859</v>
      </c>
      <c r="D120" s="8" t="n">
        <v>1935</v>
      </c>
      <c r="E120" s="8" t="n">
        <v>7635</v>
      </c>
      <c r="F120" s="8" t="s">
        <v>2200</v>
      </c>
      <c r="G120" s="8" t="s">
        <v>2201</v>
      </c>
      <c r="H120" s="8" t="s">
        <v>2227</v>
      </c>
    </row>
    <row r="121" customFormat="false" ht="15" hidden="false" customHeight="false" outlineLevel="0" collapsed="false">
      <c r="A121" s="7" t="n">
        <v>45231</v>
      </c>
      <c r="B121" s="7" t="n">
        <v>45310</v>
      </c>
      <c r="C121" s="8" t="n">
        <v>5859</v>
      </c>
      <c r="D121" s="8" t="n">
        <v>0</v>
      </c>
      <c r="E121" s="8" t="n">
        <v>0</v>
      </c>
      <c r="F121" s="8" t="s">
        <v>2200</v>
      </c>
      <c r="G121" s="8" t="s">
        <v>2201</v>
      </c>
      <c r="H121" s="8" t="s">
        <v>2227</v>
      </c>
    </row>
    <row r="122" customFormat="false" ht="15" hidden="false" customHeight="false" outlineLevel="0" collapsed="false">
      <c r="A122" s="7" t="n">
        <v>45231</v>
      </c>
      <c r="B122" s="7" t="n">
        <v>45342</v>
      </c>
      <c r="C122" s="8" t="n">
        <v>5859</v>
      </c>
      <c r="D122" s="8" t="n">
        <v>0</v>
      </c>
      <c r="E122" s="8" t="n">
        <v>0</v>
      </c>
      <c r="F122" s="8" t="s">
        <v>2200</v>
      </c>
      <c r="G122" s="8" t="s">
        <v>2201</v>
      </c>
      <c r="H122" s="8" t="s">
        <v>2227</v>
      </c>
    </row>
    <row r="123" customFormat="false" ht="15" hidden="false" customHeight="false" outlineLevel="0" collapsed="false">
      <c r="A123" s="7" t="n">
        <v>45231</v>
      </c>
      <c r="B123" s="7" t="n">
        <v>45371</v>
      </c>
      <c r="C123" s="8" t="n">
        <v>5859</v>
      </c>
      <c r="D123" s="8" t="n">
        <v>0</v>
      </c>
      <c r="E123" s="8" t="n">
        <v>0</v>
      </c>
      <c r="F123" s="8" t="s">
        <v>2200</v>
      </c>
      <c r="G123" s="8" t="s">
        <v>2201</v>
      </c>
      <c r="H123" s="8" t="s">
        <v>2227</v>
      </c>
    </row>
    <row r="124" customFormat="false" ht="15" hidden="false" customHeight="false" outlineLevel="0" collapsed="false">
      <c r="A124" s="7" t="n">
        <v>45232</v>
      </c>
      <c r="B124" s="7" t="n">
        <v>45250</v>
      </c>
      <c r="C124" s="8" t="n">
        <v>5818</v>
      </c>
      <c r="D124" s="8" t="n">
        <v>6240</v>
      </c>
      <c r="E124" s="8" t="n">
        <v>28575</v>
      </c>
      <c r="F124" s="8" t="s">
        <v>2200</v>
      </c>
      <c r="G124" s="8" t="s">
        <v>2201</v>
      </c>
      <c r="H124" s="8" t="s">
        <v>2228</v>
      </c>
    </row>
    <row r="125" customFormat="false" ht="15" hidden="false" customHeight="false" outlineLevel="0" collapsed="false">
      <c r="A125" s="7" t="n">
        <v>45232</v>
      </c>
      <c r="B125" s="7" t="n">
        <v>45280</v>
      </c>
      <c r="C125" s="8" t="n">
        <v>5777</v>
      </c>
      <c r="D125" s="8" t="n">
        <v>5715</v>
      </c>
      <c r="E125" s="8" t="n">
        <v>10035</v>
      </c>
      <c r="F125" s="8" t="s">
        <v>2200</v>
      </c>
      <c r="G125" s="8" t="s">
        <v>2201</v>
      </c>
      <c r="H125" s="8" t="s">
        <v>2228</v>
      </c>
    </row>
    <row r="126" customFormat="false" ht="15" hidden="false" customHeight="false" outlineLevel="0" collapsed="false">
      <c r="A126" s="7" t="n">
        <v>45232</v>
      </c>
      <c r="B126" s="7" t="n">
        <v>45310</v>
      </c>
      <c r="C126" s="8" t="n">
        <v>5777</v>
      </c>
      <c r="D126" s="8" t="n">
        <v>0</v>
      </c>
      <c r="E126" s="8" t="n">
        <v>0</v>
      </c>
      <c r="F126" s="8" t="s">
        <v>2200</v>
      </c>
      <c r="G126" s="8" t="s">
        <v>2201</v>
      </c>
      <c r="H126" s="8" t="s">
        <v>2228</v>
      </c>
    </row>
    <row r="127" customFormat="false" ht="15" hidden="false" customHeight="false" outlineLevel="0" collapsed="false">
      <c r="A127" s="7" t="n">
        <v>45232</v>
      </c>
      <c r="B127" s="7" t="n">
        <v>45342</v>
      </c>
      <c r="C127" s="8" t="n">
        <v>5777</v>
      </c>
      <c r="D127" s="8" t="n">
        <v>0</v>
      </c>
      <c r="E127" s="8" t="n">
        <v>0</v>
      </c>
      <c r="F127" s="8" t="s">
        <v>2200</v>
      </c>
      <c r="G127" s="8" t="s">
        <v>2201</v>
      </c>
      <c r="H127" s="8" t="s">
        <v>2228</v>
      </c>
    </row>
    <row r="128" customFormat="false" ht="15" hidden="false" customHeight="false" outlineLevel="0" collapsed="false">
      <c r="A128" s="7" t="n">
        <v>45232</v>
      </c>
      <c r="B128" s="7" t="n">
        <v>45371</v>
      </c>
      <c r="C128" s="8" t="n">
        <v>5777</v>
      </c>
      <c r="D128" s="8" t="n">
        <v>0</v>
      </c>
      <c r="E128" s="8" t="n">
        <v>0</v>
      </c>
      <c r="F128" s="8" t="s">
        <v>2200</v>
      </c>
      <c r="G128" s="8" t="s">
        <v>2201</v>
      </c>
      <c r="H128" s="8" t="s">
        <v>2228</v>
      </c>
    </row>
    <row r="129" customFormat="false" ht="15" hidden="false" customHeight="false" outlineLevel="0" collapsed="false">
      <c r="A129" s="7" t="n">
        <v>45233</v>
      </c>
      <c r="B129" s="7" t="n">
        <v>45250</v>
      </c>
      <c r="C129" s="8" t="n">
        <v>5815</v>
      </c>
      <c r="D129" s="8" t="n">
        <v>5645</v>
      </c>
      <c r="E129" s="8" t="n">
        <v>26020</v>
      </c>
      <c r="F129" s="8" t="s">
        <v>2200</v>
      </c>
      <c r="G129" s="8" t="s">
        <v>2201</v>
      </c>
      <c r="H129" s="8" t="s">
        <v>2229</v>
      </c>
    </row>
    <row r="130" customFormat="false" ht="15" hidden="false" customHeight="false" outlineLevel="0" collapsed="false">
      <c r="A130" s="7" t="n">
        <v>45233</v>
      </c>
      <c r="B130" s="7" t="n">
        <v>45280</v>
      </c>
      <c r="C130" s="8" t="n">
        <v>5810</v>
      </c>
      <c r="D130" s="8" t="n">
        <v>4840</v>
      </c>
      <c r="E130" s="8" t="n">
        <v>11905</v>
      </c>
      <c r="F130" s="8" t="s">
        <v>2200</v>
      </c>
      <c r="G130" s="8" t="s">
        <v>2201</v>
      </c>
      <c r="H130" s="8" t="s">
        <v>2229</v>
      </c>
    </row>
    <row r="131" customFormat="false" ht="15" hidden="false" customHeight="false" outlineLevel="0" collapsed="false">
      <c r="A131" s="7" t="n">
        <v>45233</v>
      </c>
      <c r="B131" s="7" t="n">
        <v>45310</v>
      </c>
      <c r="C131" s="8" t="n">
        <v>5810</v>
      </c>
      <c r="D131" s="8" t="n">
        <v>0</v>
      </c>
      <c r="E131" s="8" t="n">
        <v>0</v>
      </c>
      <c r="F131" s="8" t="s">
        <v>2200</v>
      </c>
      <c r="G131" s="8" t="s">
        <v>2201</v>
      </c>
      <c r="H131" s="8" t="s">
        <v>2229</v>
      </c>
    </row>
    <row r="132" customFormat="false" ht="15" hidden="false" customHeight="false" outlineLevel="0" collapsed="false">
      <c r="A132" s="7" t="n">
        <v>45233</v>
      </c>
      <c r="B132" s="7" t="n">
        <v>45342</v>
      </c>
      <c r="C132" s="8" t="n">
        <v>5810</v>
      </c>
      <c r="D132" s="8" t="n">
        <v>0</v>
      </c>
      <c r="E132" s="8" t="n">
        <v>0</v>
      </c>
      <c r="F132" s="8" t="s">
        <v>2200</v>
      </c>
      <c r="G132" s="8" t="s">
        <v>2201</v>
      </c>
      <c r="H132" s="8" t="s">
        <v>2229</v>
      </c>
    </row>
    <row r="133" customFormat="false" ht="15" hidden="false" customHeight="false" outlineLevel="0" collapsed="false">
      <c r="A133" s="7" t="n">
        <v>45233</v>
      </c>
      <c r="B133" s="7" t="n">
        <v>45371</v>
      </c>
      <c r="C133" s="8" t="n">
        <v>5810</v>
      </c>
      <c r="D133" s="8" t="n">
        <v>0</v>
      </c>
      <c r="E133" s="8" t="n">
        <v>0</v>
      </c>
      <c r="F133" s="8" t="s">
        <v>2200</v>
      </c>
      <c r="G133" s="8" t="s">
        <v>2201</v>
      </c>
      <c r="H133" s="8" t="s">
        <v>2229</v>
      </c>
    </row>
    <row r="134" customFormat="false" ht="15" hidden="false" customHeight="false" outlineLevel="0" collapsed="false">
      <c r="A134" s="7" t="n">
        <v>45236</v>
      </c>
      <c r="B134" s="7" t="n">
        <v>45250</v>
      </c>
      <c r="C134" s="8" t="n">
        <v>5853</v>
      </c>
      <c r="D134" s="8" t="n">
        <v>5975</v>
      </c>
      <c r="E134" s="8" t="n">
        <v>26270</v>
      </c>
      <c r="F134" s="8" t="s">
        <v>2200</v>
      </c>
      <c r="G134" s="8" t="s">
        <v>2201</v>
      </c>
      <c r="H134" s="8" t="s">
        <v>2230</v>
      </c>
    </row>
    <row r="135" customFormat="false" ht="15" hidden="false" customHeight="false" outlineLevel="0" collapsed="false">
      <c r="A135" s="7" t="n">
        <v>45236</v>
      </c>
      <c r="B135" s="7" t="n">
        <v>45280</v>
      </c>
      <c r="C135" s="8" t="n">
        <v>5837</v>
      </c>
      <c r="D135" s="8" t="n">
        <v>7015</v>
      </c>
      <c r="E135" s="8" t="n">
        <v>13605</v>
      </c>
      <c r="F135" s="8" t="s">
        <v>2200</v>
      </c>
      <c r="G135" s="8" t="s">
        <v>2201</v>
      </c>
      <c r="H135" s="8" t="s">
        <v>2230</v>
      </c>
    </row>
    <row r="136" customFormat="false" ht="15" hidden="false" customHeight="false" outlineLevel="0" collapsed="false">
      <c r="A136" s="7" t="n">
        <v>45236</v>
      </c>
      <c r="B136" s="7" t="n">
        <v>45310</v>
      </c>
      <c r="C136" s="8" t="n">
        <v>5837</v>
      </c>
      <c r="D136" s="8" t="n">
        <v>0</v>
      </c>
      <c r="E136" s="8" t="n">
        <v>0</v>
      </c>
      <c r="F136" s="8" t="s">
        <v>2200</v>
      </c>
      <c r="G136" s="8" t="s">
        <v>2201</v>
      </c>
      <c r="H136" s="8" t="s">
        <v>2230</v>
      </c>
    </row>
    <row r="137" customFormat="false" ht="15" hidden="false" customHeight="false" outlineLevel="0" collapsed="false">
      <c r="A137" s="7" t="n">
        <v>45236</v>
      </c>
      <c r="B137" s="7" t="n">
        <v>45342</v>
      </c>
      <c r="C137" s="8" t="n">
        <v>5837</v>
      </c>
      <c r="D137" s="8" t="n">
        <v>0</v>
      </c>
      <c r="E137" s="8" t="n">
        <v>0</v>
      </c>
      <c r="F137" s="8" t="s">
        <v>2200</v>
      </c>
      <c r="G137" s="8" t="s">
        <v>2201</v>
      </c>
      <c r="H137" s="8" t="s">
        <v>2230</v>
      </c>
    </row>
    <row r="138" customFormat="false" ht="15" hidden="false" customHeight="false" outlineLevel="0" collapsed="false">
      <c r="A138" s="7" t="n">
        <v>45236</v>
      </c>
      <c r="B138" s="7" t="n">
        <v>45371</v>
      </c>
      <c r="C138" s="8" t="n">
        <v>5837</v>
      </c>
      <c r="D138" s="8" t="n">
        <v>0</v>
      </c>
      <c r="E138" s="8" t="n">
        <v>0</v>
      </c>
      <c r="F138" s="8" t="s">
        <v>2200</v>
      </c>
      <c r="G138" s="8" t="s">
        <v>2201</v>
      </c>
      <c r="H138" s="8" t="s">
        <v>2230</v>
      </c>
    </row>
    <row r="139" customFormat="false" ht="15" hidden="false" customHeight="false" outlineLevel="0" collapsed="false">
      <c r="A139" s="7" t="n">
        <v>45237</v>
      </c>
      <c r="B139" s="7" t="n">
        <v>45250</v>
      </c>
      <c r="C139" s="8" t="n">
        <v>5893</v>
      </c>
      <c r="D139" s="8" t="n">
        <v>6300</v>
      </c>
      <c r="E139" s="8" t="n">
        <v>25330</v>
      </c>
      <c r="F139" s="8" t="s">
        <v>2200</v>
      </c>
      <c r="G139" s="8" t="s">
        <v>2201</v>
      </c>
      <c r="H139" s="8" t="s">
        <v>2231</v>
      </c>
    </row>
    <row r="140" customFormat="false" ht="15" hidden="false" customHeight="false" outlineLevel="0" collapsed="false">
      <c r="A140" s="7" t="n">
        <v>45237</v>
      </c>
      <c r="B140" s="7" t="n">
        <v>45280</v>
      </c>
      <c r="C140" s="8" t="n">
        <v>5850</v>
      </c>
      <c r="D140" s="8" t="n">
        <v>5075</v>
      </c>
      <c r="E140" s="8" t="n">
        <v>13485</v>
      </c>
      <c r="F140" s="8" t="s">
        <v>2200</v>
      </c>
      <c r="G140" s="8" t="s">
        <v>2201</v>
      </c>
      <c r="H140" s="8" t="s">
        <v>2231</v>
      </c>
    </row>
    <row r="141" customFormat="false" ht="15" hidden="false" customHeight="false" outlineLevel="0" collapsed="false">
      <c r="A141" s="7" t="n">
        <v>45237</v>
      </c>
      <c r="B141" s="7" t="n">
        <v>45310</v>
      </c>
      <c r="C141" s="8" t="n">
        <v>5850</v>
      </c>
      <c r="D141" s="8" t="n">
        <v>0</v>
      </c>
      <c r="E141" s="8" t="n">
        <v>0</v>
      </c>
      <c r="F141" s="8" t="s">
        <v>2200</v>
      </c>
      <c r="G141" s="8" t="s">
        <v>2201</v>
      </c>
      <c r="H141" s="8" t="s">
        <v>2231</v>
      </c>
    </row>
    <row r="142" customFormat="false" ht="15" hidden="false" customHeight="false" outlineLevel="0" collapsed="false">
      <c r="A142" s="7" t="n">
        <v>45237</v>
      </c>
      <c r="B142" s="7" t="n">
        <v>45342</v>
      </c>
      <c r="C142" s="8" t="n">
        <v>5850</v>
      </c>
      <c r="D142" s="8" t="n">
        <v>0</v>
      </c>
      <c r="E142" s="8" t="n">
        <v>0</v>
      </c>
      <c r="F142" s="8" t="s">
        <v>2200</v>
      </c>
      <c r="G142" s="8" t="s">
        <v>2201</v>
      </c>
      <c r="H142" s="8" t="s">
        <v>2231</v>
      </c>
    </row>
    <row r="143" customFormat="false" ht="15" hidden="false" customHeight="false" outlineLevel="0" collapsed="false">
      <c r="A143" s="7" t="n">
        <v>45237</v>
      </c>
      <c r="B143" s="7" t="n">
        <v>45371</v>
      </c>
      <c r="C143" s="8" t="n">
        <v>5850</v>
      </c>
      <c r="D143" s="8" t="n">
        <v>0</v>
      </c>
      <c r="E143" s="8" t="n">
        <v>0</v>
      </c>
      <c r="F143" s="8" t="s">
        <v>2200</v>
      </c>
      <c r="G143" s="8" t="s">
        <v>2201</v>
      </c>
      <c r="H143" s="8" t="s">
        <v>2231</v>
      </c>
    </row>
    <row r="144" customFormat="false" ht="15" hidden="false" customHeight="false" outlineLevel="0" collapsed="false">
      <c r="A144" s="7" t="n">
        <v>45238</v>
      </c>
      <c r="B144" s="7" t="n">
        <v>45250</v>
      </c>
      <c r="C144" s="8" t="n">
        <v>5920</v>
      </c>
      <c r="D144" s="8" t="n">
        <v>3630</v>
      </c>
      <c r="E144" s="8" t="n">
        <v>24245</v>
      </c>
      <c r="F144" s="8" t="s">
        <v>2200</v>
      </c>
      <c r="G144" s="8" t="s">
        <v>2201</v>
      </c>
      <c r="H144" s="8" t="s">
        <v>2232</v>
      </c>
    </row>
    <row r="145" customFormat="false" ht="15" hidden="false" customHeight="false" outlineLevel="0" collapsed="false">
      <c r="A145" s="7" t="n">
        <v>45238</v>
      </c>
      <c r="B145" s="7" t="n">
        <v>45280</v>
      </c>
      <c r="C145" s="8" t="n">
        <v>5876</v>
      </c>
      <c r="D145" s="8" t="n">
        <v>2900</v>
      </c>
      <c r="E145" s="8" t="n">
        <v>14085</v>
      </c>
      <c r="F145" s="8" t="s">
        <v>2200</v>
      </c>
      <c r="G145" s="8" t="s">
        <v>2201</v>
      </c>
      <c r="H145" s="8" t="s">
        <v>2232</v>
      </c>
    </row>
    <row r="146" customFormat="false" ht="15" hidden="false" customHeight="false" outlineLevel="0" collapsed="false">
      <c r="A146" s="7" t="n">
        <v>45238</v>
      </c>
      <c r="B146" s="7" t="n">
        <v>45310</v>
      </c>
      <c r="C146" s="8" t="n">
        <v>5876</v>
      </c>
      <c r="D146" s="8" t="n">
        <v>0</v>
      </c>
      <c r="E146" s="8" t="n">
        <v>0</v>
      </c>
      <c r="F146" s="8" t="s">
        <v>2200</v>
      </c>
      <c r="G146" s="8" t="s">
        <v>2201</v>
      </c>
      <c r="H146" s="8" t="s">
        <v>2232</v>
      </c>
    </row>
    <row r="147" customFormat="false" ht="15" hidden="false" customHeight="false" outlineLevel="0" collapsed="false">
      <c r="A147" s="7" t="n">
        <v>45238</v>
      </c>
      <c r="B147" s="7" t="n">
        <v>45342</v>
      </c>
      <c r="C147" s="8" t="n">
        <v>5876</v>
      </c>
      <c r="D147" s="8" t="n">
        <v>0</v>
      </c>
      <c r="E147" s="8" t="n">
        <v>0</v>
      </c>
      <c r="F147" s="8" t="s">
        <v>2200</v>
      </c>
      <c r="G147" s="8" t="s">
        <v>2201</v>
      </c>
      <c r="H147" s="8" t="s">
        <v>2232</v>
      </c>
    </row>
    <row r="148" customFormat="false" ht="15" hidden="false" customHeight="false" outlineLevel="0" collapsed="false">
      <c r="A148" s="7" t="n">
        <v>45238</v>
      </c>
      <c r="B148" s="7" t="n">
        <v>45371</v>
      </c>
      <c r="C148" s="8" t="n">
        <v>5876</v>
      </c>
      <c r="D148" s="8" t="n">
        <v>0</v>
      </c>
      <c r="E148" s="8" t="n">
        <v>0</v>
      </c>
      <c r="F148" s="8" t="s">
        <v>2200</v>
      </c>
      <c r="G148" s="8" t="s">
        <v>2201</v>
      </c>
      <c r="H148" s="8" t="s">
        <v>2232</v>
      </c>
    </row>
    <row r="149" customFormat="false" ht="15" hidden="false" customHeight="false" outlineLevel="0" collapsed="false">
      <c r="A149" s="7" t="n">
        <v>45239</v>
      </c>
      <c r="B149" s="7" t="n">
        <v>45250</v>
      </c>
      <c r="C149" s="8" t="n">
        <v>5953</v>
      </c>
      <c r="D149" s="8" t="n">
        <v>8760</v>
      </c>
      <c r="E149" s="8" t="n">
        <v>20495</v>
      </c>
      <c r="F149" s="8" t="s">
        <v>2200</v>
      </c>
      <c r="G149" s="8" t="s">
        <v>2201</v>
      </c>
      <c r="H149" s="8" t="s">
        <v>2233</v>
      </c>
    </row>
    <row r="150" customFormat="false" ht="15" hidden="false" customHeight="false" outlineLevel="0" collapsed="false">
      <c r="A150" s="7" t="n">
        <v>45239</v>
      </c>
      <c r="B150" s="7" t="n">
        <v>45280</v>
      </c>
      <c r="C150" s="8" t="n">
        <v>5873</v>
      </c>
      <c r="D150" s="8" t="n">
        <v>8830</v>
      </c>
      <c r="E150" s="8" t="n">
        <v>15600</v>
      </c>
      <c r="F150" s="8" t="s">
        <v>2200</v>
      </c>
      <c r="G150" s="8" t="s">
        <v>2201</v>
      </c>
      <c r="H150" s="8" t="s">
        <v>2233</v>
      </c>
    </row>
    <row r="151" customFormat="false" ht="15" hidden="false" customHeight="false" outlineLevel="0" collapsed="false">
      <c r="A151" s="7" t="n">
        <v>45239</v>
      </c>
      <c r="B151" s="7" t="n">
        <v>45310</v>
      </c>
      <c r="C151" s="8" t="n">
        <v>5873</v>
      </c>
      <c r="D151" s="8" t="n">
        <v>0</v>
      </c>
      <c r="E151" s="8" t="n">
        <v>0</v>
      </c>
      <c r="F151" s="8" t="s">
        <v>2200</v>
      </c>
      <c r="G151" s="8" t="s">
        <v>2201</v>
      </c>
      <c r="H151" s="8" t="s">
        <v>2233</v>
      </c>
    </row>
    <row r="152" customFormat="false" ht="15" hidden="false" customHeight="false" outlineLevel="0" collapsed="false">
      <c r="A152" s="7" t="n">
        <v>45239</v>
      </c>
      <c r="B152" s="7" t="n">
        <v>45342</v>
      </c>
      <c r="C152" s="8" t="n">
        <v>5873</v>
      </c>
      <c r="D152" s="8" t="n">
        <v>0</v>
      </c>
      <c r="E152" s="8" t="n">
        <v>0</v>
      </c>
      <c r="F152" s="8" t="s">
        <v>2200</v>
      </c>
      <c r="G152" s="8" t="s">
        <v>2201</v>
      </c>
      <c r="H152" s="8" t="s">
        <v>2233</v>
      </c>
    </row>
    <row r="153" customFormat="false" ht="15" hidden="false" customHeight="false" outlineLevel="0" collapsed="false">
      <c r="A153" s="7" t="n">
        <v>45239</v>
      </c>
      <c r="B153" s="7" t="n">
        <v>45371</v>
      </c>
      <c r="C153" s="8" t="n">
        <v>5873</v>
      </c>
      <c r="D153" s="8" t="n">
        <v>0</v>
      </c>
      <c r="E153" s="8" t="n">
        <v>0</v>
      </c>
      <c r="F153" s="8" t="s">
        <v>2200</v>
      </c>
      <c r="G153" s="8" t="s">
        <v>2201</v>
      </c>
      <c r="H153" s="8" t="s">
        <v>2233</v>
      </c>
    </row>
    <row r="154" customFormat="false" ht="15" hidden="false" customHeight="false" outlineLevel="0" collapsed="false">
      <c r="A154" s="7" t="n">
        <v>45240</v>
      </c>
      <c r="B154" s="7" t="n">
        <v>45250</v>
      </c>
      <c r="C154" s="8" t="n">
        <v>5945</v>
      </c>
      <c r="D154" s="8" t="n">
        <v>6890</v>
      </c>
      <c r="E154" s="8" t="n">
        <v>18825</v>
      </c>
      <c r="F154" s="8" t="s">
        <v>2200</v>
      </c>
      <c r="G154" s="8" t="s">
        <v>2201</v>
      </c>
      <c r="H154" s="8" t="s">
        <v>2234</v>
      </c>
    </row>
    <row r="155" customFormat="false" ht="15" hidden="false" customHeight="false" outlineLevel="0" collapsed="false">
      <c r="A155" s="7" t="n">
        <v>45240</v>
      </c>
      <c r="B155" s="7" t="n">
        <v>45280</v>
      </c>
      <c r="C155" s="8" t="n">
        <v>5878</v>
      </c>
      <c r="D155" s="8" t="n">
        <v>8490</v>
      </c>
      <c r="E155" s="8" t="n">
        <v>17320</v>
      </c>
      <c r="F155" s="8" t="s">
        <v>2200</v>
      </c>
      <c r="G155" s="8" t="s">
        <v>2201</v>
      </c>
      <c r="H155" s="8" t="s">
        <v>2234</v>
      </c>
    </row>
    <row r="156" customFormat="false" ht="15" hidden="false" customHeight="false" outlineLevel="0" collapsed="false">
      <c r="A156" s="7" t="n">
        <v>45240</v>
      </c>
      <c r="B156" s="7" t="n">
        <v>45310</v>
      </c>
      <c r="C156" s="8" t="n">
        <v>5873</v>
      </c>
      <c r="D156" s="8" t="n">
        <v>40</v>
      </c>
      <c r="E156" s="8" t="n">
        <v>40</v>
      </c>
      <c r="F156" s="8" t="s">
        <v>2200</v>
      </c>
      <c r="G156" s="8" t="s">
        <v>2201</v>
      </c>
      <c r="H156" s="8" t="s">
        <v>2234</v>
      </c>
    </row>
    <row r="157" customFormat="false" ht="15" hidden="false" customHeight="false" outlineLevel="0" collapsed="false">
      <c r="A157" s="7" t="n">
        <v>45240</v>
      </c>
      <c r="B157" s="7" t="n">
        <v>45342</v>
      </c>
      <c r="C157" s="8" t="n">
        <v>5878</v>
      </c>
      <c r="D157" s="8" t="n">
        <v>0</v>
      </c>
      <c r="E157" s="8" t="n">
        <v>0</v>
      </c>
      <c r="F157" s="8" t="s">
        <v>2200</v>
      </c>
      <c r="G157" s="8" t="s">
        <v>2201</v>
      </c>
      <c r="H157" s="8" t="s">
        <v>2234</v>
      </c>
    </row>
    <row r="158" customFormat="false" ht="15" hidden="false" customHeight="false" outlineLevel="0" collapsed="false">
      <c r="A158" s="7" t="n">
        <v>45240</v>
      </c>
      <c r="B158" s="7" t="n">
        <v>45371</v>
      </c>
      <c r="C158" s="8" t="n">
        <v>5878</v>
      </c>
      <c r="D158" s="8" t="n">
        <v>0</v>
      </c>
      <c r="E158" s="8" t="n">
        <v>0</v>
      </c>
      <c r="F158" s="8" t="s">
        <v>2200</v>
      </c>
      <c r="G158" s="8" t="s">
        <v>2201</v>
      </c>
      <c r="H158" s="8" t="s">
        <v>2234</v>
      </c>
    </row>
    <row r="159" customFormat="false" ht="15" hidden="false" customHeight="false" outlineLevel="0" collapsed="false">
      <c r="A159" s="7" t="n">
        <v>45242</v>
      </c>
      <c r="B159" s="7" t="n">
        <v>45250</v>
      </c>
      <c r="C159" s="8" t="n">
        <v>5970</v>
      </c>
      <c r="D159" s="8" t="n">
        <v>1240</v>
      </c>
      <c r="E159" s="8" t="n">
        <v>18935</v>
      </c>
      <c r="F159" s="8" t="s">
        <v>2200</v>
      </c>
      <c r="G159" s="8" t="s">
        <v>2201</v>
      </c>
      <c r="H159" s="8" t="s">
        <v>2235</v>
      </c>
    </row>
    <row r="160" customFormat="false" ht="15" hidden="false" customHeight="false" outlineLevel="0" collapsed="false">
      <c r="A160" s="7" t="n">
        <v>45242</v>
      </c>
      <c r="B160" s="7" t="n">
        <v>45280</v>
      </c>
      <c r="C160" s="8" t="n">
        <v>5879</v>
      </c>
      <c r="D160" s="8" t="n">
        <v>2045</v>
      </c>
      <c r="E160" s="8" t="n">
        <v>17910</v>
      </c>
      <c r="F160" s="8" t="s">
        <v>2200</v>
      </c>
      <c r="G160" s="8" t="s">
        <v>2201</v>
      </c>
      <c r="H160" s="8" t="s">
        <v>2235</v>
      </c>
    </row>
    <row r="161" customFormat="false" ht="15" hidden="false" customHeight="false" outlineLevel="0" collapsed="false">
      <c r="A161" s="7" t="n">
        <v>45242</v>
      </c>
      <c r="B161" s="7" t="n">
        <v>45310</v>
      </c>
      <c r="C161" s="8" t="n">
        <v>5879</v>
      </c>
      <c r="D161" s="8" t="n">
        <v>0</v>
      </c>
      <c r="E161" s="8" t="n">
        <v>40</v>
      </c>
      <c r="F161" s="8" t="s">
        <v>2200</v>
      </c>
      <c r="G161" s="8" t="s">
        <v>2201</v>
      </c>
      <c r="H161" s="8" t="s">
        <v>2235</v>
      </c>
    </row>
    <row r="162" customFormat="false" ht="15" hidden="false" customHeight="false" outlineLevel="0" collapsed="false">
      <c r="A162" s="7" t="n">
        <v>45242</v>
      </c>
      <c r="B162" s="7" t="n">
        <v>45342</v>
      </c>
      <c r="C162" s="8" t="n">
        <v>5879</v>
      </c>
      <c r="D162" s="8" t="n">
        <v>0</v>
      </c>
      <c r="E162" s="8" t="n">
        <v>0</v>
      </c>
      <c r="F162" s="8" t="s">
        <v>2200</v>
      </c>
      <c r="G162" s="8" t="s">
        <v>2201</v>
      </c>
      <c r="H162" s="8" t="s">
        <v>2235</v>
      </c>
    </row>
    <row r="163" customFormat="false" ht="15" hidden="false" customHeight="false" outlineLevel="0" collapsed="false">
      <c r="A163" s="7" t="n">
        <v>45242</v>
      </c>
      <c r="B163" s="7" t="n">
        <v>45371</v>
      </c>
      <c r="C163" s="8" t="n">
        <v>5879</v>
      </c>
      <c r="D163" s="8" t="n">
        <v>0</v>
      </c>
      <c r="E163" s="8" t="n">
        <v>0</v>
      </c>
      <c r="F163" s="8" t="s">
        <v>2200</v>
      </c>
      <c r="G163" s="8" t="s">
        <v>2201</v>
      </c>
      <c r="H163" s="8" t="s">
        <v>2235</v>
      </c>
    </row>
    <row r="164" customFormat="false" ht="15" hidden="false" customHeight="false" outlineLevel="0" collapsed="false">
      <c r="A164" s="7" t="n">
        <v>45243</v>
      </c>
      <c r="B164" s="7" t="n">
        <v>45250</v>
      </c>
      <c r="C164" s="8" t="n">
        <v>6005</v>
      </c>
      <c r="D164" s="8" t="n">
        <v>12000</v>
      </c>
      <c r="E164" s="8" t="n">
        <v>14805</v>
      </c>
      <c r="F164" s="8" t="s">
        <v>2200</v>
      </c>
      <c r="G164" s="8" t="s">
        <v>2201</v>
      </c>
      <c r="H164" s="8" t="s">
        <v>2236</v>
      </c>
    </row>
    <row r="165" customFormat="false" ht="15" hidden="false" customHeight="false" outlineLevel="0" collapsed="false">
      <c r="A165" s="7" t="n">
        <v>45243</v>
      </c>
      <c r="B165" s="7" t="n">
        <v>45280</v>
      </c>
      <c r="C165" s="8" t="n">
        <v>5897</v>
      </c>
      <c r="D165" s="8" t="n">
        <v>10310</v>
      </c>
      <c r="E165" s="8" t="n">
        <v>21345</v>
      </c>
      <c r="F165" s="8" t="s">
        <v>2200</v>
      </c>
      <c r="G165" s="8" t="s">
        <v>2201</v>
      </c>
      <c r="H165" s="8" t="s">
        <v>2236</v>
      </c>
    </row>
    <row r="166" customFormat="false" ht="15" hidden="false" customHeight="false" outlineLevel="0" collapsed="false">
      <c r="A166" s="7" t="n">
        <v>45243</v>
      </c>
      <c r="B166" s="7" t="n">
        <v>45310</v>
      </c>
      <c r="C166" s="8" t="n">
        <v>5878</v>
      </c>
      <c r="D166" s="8" t="n">
        <v>20</v>
      </c>
      <c r="E166" s="8" t="n">
        <v>60</v>
      </c>
      <c r="F166" s="8" t="s">
        <v>2200</v>
      </c>
      <c r="G166" s="8" t="s">
        <v>2201</v>
      </c>
      <c r="H166" s="8" t="s">
        <v>2236</v>
      </c>
    </row>
    <row r="167" customFormat="false" ht="15" hidden="false" customHeight="false" outlineLevel="0" collapsed="false">
      <c r="A167" s="7" t="n">
        <v>45243</v>
      </c>
      <c r="B167" s="7" t="n">
        <v>45342</v>
      </c>
      <c r="C167" s="8" t="n">
        <v>5878</v>
      </c>
      <c r="D167" s="8" t="n">
        <v>0</v>
      </c>
      <c r="E167" s="8" t="n">
        <v>0</v>
      </c>
      <c r="F167" s="8" t="s">
        <v>2200</v>
      </c>
      <c r="G167" s="8" t="s">
        <v>2201</v>
      </c>
      <c r="H167" s="8" t="s">
        <v>2236</v>
      </c>
    </row>
    <row r="168" customFormat="false" ht="15" hidden="false" customHeight="false" outlineLevel="0" collapsed="false">
      <c r="A168" s="7" t="n">
        <v>45243</v>
      </c>
      <c r="B168" s="7" t="n">
        <v>45371</v>
      </c>
      <c r="C168" s="8" t="n">
        <v>5878</v>
      </c>
      <c r="D168" s="8" t="n">
        <v>0</v>
      </c>
      <c r="E168" s="8" t="n">
        <v>0</v>
      </c>
      <c r="F168" s="8" t="s">
        <v>2200</v>
      </c>
      <c r="G168" s="8" t="s">
        <v>2201</v>
      </c>
      <c r="H168" s="8" t="s">
        <v>2236</v>
      </c>
    </row>
    <row r="169" customFormat="false" ht="15" hidden="false" customHeight="false" outlineLevel="0" collapsed="false">
      <c r="A169" s="7" t="n">
        <v>45245</v>
      </c>
      <c r="B169" s="7" t="n">
        <v>45250</v>
      </c>
      <c r="C169" s="8" t="n">
        <v>6115</v>
      </c>
      <c r="D169" s="8" t="n">
        <v>870</v>
      </c>
      <c r="E169" s="8" t="n">
        <v>12590</v>
      </c>
      <c r="F169" s="8" t="s">
        <v>2200</v>
      </c>
      <c r="G169" s="8" t="s">
        <v>2201</v>
      </c>
      <c r="H169" s="8" t="s">
        <v>2237</v>
      </c>
    </row>
    <row r="170" customFormat="false" ht="15" hidden="false" customHeight="false" outlineLevel="0" collapsed="false">
      <c r="A170" s="7" t="n">
        <v>45245</v>
      </c>
      <c r="B170" s="7" t="n">
        <v>45280</v>
      </c>
      <c r="C170" s="8" t="n">
        <v>5959</v>
      </c>
      <c r="D170" s="8" t="n">
        <v>5080</v>
      </c>
      <c r="E170" s="8" t="n">
        <v>21010</v>
      </c>
      <c r="F170" s="8" t="s">
        <v>2200</v>
      </c>
      <c r="G170" s="8" t="s">
        <v>2201</v>
      </c>
      <c r="H170" s="8" t="s">
        <v>2237</v>
      </c>
    </row>
    <row r="171" customFormat="false" ht="15" hidden="false" customHeight="false" outlineLevel="0" collapsed="false">
      <c r="A171" s="7" t="n">
        <v>45245</v>
      </c>
      <c r="B171" s="7" t="n">
        <v>45310</v>
      </c>
      <c r="C171" s="8" t="n">
        <v>5920</v>
      </c>
      <c r="D171" s="8" t="n">
        <v>475</v>
      </c>
      <c r="E171" s="8" t="n">
        <v>505</v>
      </c>
      <c r="F171" s="8" t="s">
        <v>2200</v>
      </c>
      <c r="G171" s="8" t="s">
        <v>2201</v>
      </c>
      <c r="H171" s="8" t="s">
        <v>2237</v>
      </c>
    </row>
    <row r="172" customFormat="false" ht="15" hidden="false" customHeight="false" outlineLevel="0" collapsed="false">
      <c r="A172" s="7" t="n">
        <v>45245</v>
      </c>
      <c r="B172" s="7" t="n">
        <v>45342</v>
      </c>
      <c r="C172" s="8" t="n">
        <v>5982</v>
      </c>
      <c r="D172" s="8" t="n">
        <v>0</v>
      </c>
      <c r="E172" s="8" t="n">
        <v>0</v>
      </c>
      <c r="F172" s="8" t="s">
        <v>2200</v>
      </c>
      <c r="G172" s="8" t="s">
        <v>2201</v>
      </c>
      <c r="H172" s="8" t="s">
        <v>2237</v>
      </c>
    </row>
    <row r="173" customFormat="false" ht="15" hidden="false" customHeight="false" outlineLevel="0" collapsed="false">
      <c r="A173" s="7" t="n">
        <v>45245</v>
      </c>
      <c r="B173" s="7" t="n">
        <v>45371</v>
      </c>
      <c r="C173" s="8" t="n">
        <v>6044</v>
      </c>
      <c r="D173" s="8" t="n">
        <v>0</v>
      </c>
      <c r="E173" s="8" t="n">
        <v>0</v>
      </c>
      <c r="F173" s="8" t="s">
        <v>2200</v>
      </c>
      <c r="G173" s="8" t="s">
        <v>2201</v>
      </c>
      <c r="H173" s="8" t="s">
        <v>2237</v>
      </c>
    </row>
    <row r="174" customFormat="false" ht="15" hidden="false" customHeight="false" outlineLevel="0" collapsed="false">
      <c r="A174" s="7" t="n">
        <v>45246</v>
      </c>
      <c r="B174" s="7" t="n">
        <v>45250</v>
      </c>
      <c r="C174" s="8" t="n">
        <v>6121</v>
      </c>
      <c r="D174" s="8" t="n">
        <v>960</v>
      </c>
      <c r="E174" s="8" t="n">
        <v>10795</v>
      </c>
      <c r="F174" s="8" t="s">
        <v>2200</v>
      </c>
      <c r="G174" s="8" t="s">
        <v>2201</v>
      </c>
      <c r="H174" s="8" t="s">
        <v>2238</v>
      </c>
    </row>
    <row r="175" customFormat="false" ht="15" hidden="false" customHeight="false" outlineLevel="0" collapsed="false">
      <c r="A175" s="7" t="n">
        <v>45246</v>
      </c>
      <c r="B175" s="7" t="n">
        <v>45280</v>
      </c>
      <c r="C175" s="8" t="n">
        <v>5936</v>
      </c>
      <c r="D175" s="8" t="n">
        <v>4190</v>
      </c>
      <c r="E175" s="8" t="n">
        <v>21105</v>
      </c>
      <c r="F175" s="8" t="s">
        <v>2200</v>
      </c>
      <c r="G175" s="8" t="s">
        <v>2201</v>
      </c>
      <c r="H175" s="8" t="s">
        <v>2238</v>
      </c>
    </row>
    <row r="176" customFormat="false" ht="15" hidden="false" customHeight="false" outlineLevel="0" collapsed="false">
      <c r="A176" s="7" t="n">
        <v>45246</v>
      </c>
      <c r="B176" s="7" t="n">
        <v>45310</v>
      </c>
      <c r="C176" s="8" t="n">
        <v>5905</v>
      </c>
      <c r="D176" s="8" t="n">
        <v>375</v>
      </c>
      <c r="E176" s="8" t="n">
        <v>685</v>
      </c>
      <c r="F176" s="8" t="s">
        <v>2200</v>
      </c>
      <c r="G176" s="8" t="s">
        <v>2201</v>
      </c>
      <c r="H176" s="8" t="s">
        <v>2238</v>
      </c>
    </row>
    <row r="177" customFormat="false" ht="15" hidden="false" customHeight="false" outlineLevel="0" collapsed="false">
      <c r="A177" s="7" t="n">
        <v>45246</v>
      </c>
      <c r="B177" s="7" t="n">
        <v>45342</v>
      </c>
      <c r="C177" s="8" t="n">
        <v>5800</v>
      </c>
      <c r="D177" s="8" t="n">
        <v>5</v>
      </c>
      <c r="E177" s="8" t="n">
        <v>5</v>
      </c>
      <c r="F177" s="8" t="s">
        <v>2200</v>
      </c>
      <c r="G177" s="8" t="s">
        <v>2201</v>
      </c>
      <c r="H177" s="8" t="s">
        <v>2238</v>
      </c>
    </row>
    <row r="178" customFormat="false" ht="15" hidden="false" customHeight="false" outlineLevel="0" collapsed="false">
      <c r="A178" s="7" t="n">
        <v>45246</v>
      </c>
      <c r="B178" s="7" t="n">
        <v>45371</v>
      </c>
      <c r="C178" s="8" t="n">
        <v>6015</v>
      </c>
      <c r="D178" s="8" t="n">
        <v>0</v>
      </c>
      <c r="E178" s="8" t="n">
        <v>0</v>
      </c>
      <c r="F178" s="8" t="s">
        <v>2200</v>
      </c>
      <c r="G178" s="8" t="s">
        <v>2201</v>
      </c>
      <c r="H178" s="8" t="s">
        <v>2238</v>
      </c>
    </row>
    <row r="179" customFormat="false" ht="15" hidden="false" customHeight="false" outlineLevel="0" collapsed="false">
      <c r="A179" s="7" t="n">
        <v>45247</v>
      </c>
      <c r="B179" s="7" t="n">
        <v>45250</v>
      </c>
      <c r="C179" s="8" t="n">
        <v>6153</v>
      </c>
      <c r="D179" s="8" t="n">
        <v>1255</v>
      </c>
      <c r="E179" s="8" t="n">
        <v>10260</v>
      </c>
      <c r="F179" s="8" t="s">
        <v>2200</v>
      </c>
      <c r="G179" s="8" t="s">
        <v>2201</v>
      </c>
      <c r="H179" s="8" t="s">
        <v>2239</v>
      </c>
    </row>
    <row r="180" customFormat="false" ht="15" hidden="false" customHeight="false" outlineLevel="0" collapsed="false">
      <c r="A180" s="7" t="n">
        <v>45247</v>
      </c>
      <c r="B180" s="7" t="n">
        <v>45280</v>
      </c>
      <c r="C180" s="8" t="n">
        <v>5918</v>
      </c>
      <c r="D180" s="8" t="n">
        <v>3415</v>
      </c>
      <c r="E180" s="8" t="n">
        <v>21105</v>
      </c>
      <c r="F180" s="8" t="s">
        <v>2200</v>
      </c>
      <c r="G180" s="8" t="s">
        <v>2201</v>
      </c>
      <c r="H180" s="8" t="s">
        <v>2239</v>
      </c>
    </row>
    <row r="181" customFormat="false" ht="15" hidden="false" customHeight="false" outlineLevel="0" collapsed="false">
      <c r="A181" s="7" t="n">
        <v>45247</v>
      </c>
      <c r="B181" s="7" t="n">
        <v>45310</v>
      </c>
      <c r="C181" s="8" t="n">
        <v>5884</v>
      </c>
      <c r="D181" s="8" t="n">
        <v>490</v>
      </c>
      <c r="E181" s="8" t="n">
        <v>995</v>
      </c>
      <c r="F181" s="8" t="s">
        <v>2200</v>
      </c>
      <c r="G181" s="8" t="s">
        <v>2201</v>
      </c>
      <c r="H181" s="8" t="s">
        <v>2239</v>
      </c>
    </row>
    <row r="182" customFormat="false" ht="15" hidden="false" customHeight="false" outlineLevel="0" collapsed="false">
      <c r="A182" s="7" t="n">
        <v>45247</v>
      </c>
      <c r="B182" s="7" t="n">
        <v>45342</v>
      </c>
      <c r="C182" s="8" t="n">
        <v>5980</v>
      </c>
      <c r="D182" s="8" t="n">
        <v>0</v>
      </c>
      <c r="E182" s="8" t="n">
        <v>5</v>
      </c>
      <c r="F182" s="8" t="s">
        <v>2200</v>
      </c>
      <c r="G182" s="8" t="s">
        <v>2201</v>
      </c>
      <c r="H182" s="8" t="s">
        <v>2239</v>
      </c>
    </row>
    <row r="183" customFormat="false" ht="15" hidden="false" customHeight="false" outlineLevel="0" collapsed="false">
      <c r="A183" s="7" t="n">
        <v>45247</v>
      </c>
      <c r="B183" s="7" t="n">
        <v>45371</v>
      </c>
      <c r="C183" s="8" t="n">
        <v>6076</v>
      </c>
      <c r="D183" s="8" t="n">
        <v>0</v>
      </c>
      <c r="E183" s="8" t="n">
        <v>0</v>
      </c>
      <c r="F183" s="8" t="s">
        <v>2200</v>
      </c>
      <c r="G183" s="8" t="s">
        <v>2201</v>
      </c>
      <c r="H183" s="8" t="s">
        <v>2239</v>
      </c>
    </row>
    <row r="184" customFormat="false" ht="15" hidden="false" customHeight="false" outlineLevel="0" collapsed="false">
      <c r="A184" s="7" t="n">
        <v>45250</v>
      </c>
      <c r="B184" s="7" t="n">
        <v>45250</v>
      </c>
      <c r="C184" s="8" t="n">
        <v>6171</v>
      </c>
      <c r="D184" s="8" t="n">
        <v>12605</v>
      </c>
      <c r="E184" s="8" t="n">
        <v>540</v>
      </c>
      <c r="F184" s="8" t="s">
        <v>2200</v>
      </c>
      <c r="G184" s="8" t="s">
        <v>2201</v>
      </c>
      <c r="H184" s="8" t="s">
        <v>2240</v>
      </c>
    </row>
    <row r="185" customFormat="false" ht="15" hidden="false" customHeight="false" outlineLevel="0" collapsed="false">
      <c r="A185" s="7" t="n">
        <v>45250</v>
      </c>
      <c r="B185" s="7" t="n">
        <v>45280</v>
      </c>
      <c r="C185" s="8" t="n">
        <v>5914</v>
      </c>
      <c r="D185" s="8" t="n">
        <v>9260</v>
      </c>
      <c r="E185" s="8" t="n">
        <v>20705</v>
      </c>
      <c r="F185" s="8" t="s">
        <v>2200</v>
      </c>
      <c r="G185" s="8" t="s">
        <v>2201</v>
      </c>
      <c r="H185" s="8" t="s">
        <v>2240</v>
      </c>
    </row>
    <row r="186" customFormat="false" ht="15" hidden="false" customHeight="false" outlineLevel="0" collapsed="false">
      <c r="A186" s="7" t="n">
        <v>45250</v>
      </c>
      <c r="B186" s="7" t="n">
        <v>45310</v>
      </c>
      <c r="C186" s="8" t="n">
        <v>5895</v>
      </c>
      <c r="D186" s="8" t="n">
        <v>2145</v>
      </c>
      <c r="E186" s="8" t="n">
        <v>2260</v>
      </c>
      <c r="F186" s="8" t="s">
        <v>2200</v>
      </c>
      <c r="G186" s="8" t="s">
        <v>2201</v>
      </c>
      <c r="H186" s="8" t="s">
        <v>2240</v>
      </c>
    </row>
    <row r="187" customFormat="false" ht="15" hidden="false" customHeight="false" outlineLevel="0" collapsed="false">
      <c r="A187" s="7" t="n">
        <v>45250</v>
      </c>
      <c r="B187" s="7" t="n">
        <v>45342</v>
      </c>
      <c r="C187" s="8" t="n">
        <v>5895</v>
      </c>
      <c r="D187" s="8" t="n">
        <v>0</v>
      </c>
      <c r="E187" s="8" t="n">
        <v>5</v>
      </c>
      <c r="F187" s="8" t="s">
        <v>2200</v>
      </c>
      <c r="G187" s="8" t="s">
        <v>2201</v>
      </c>
      <c r="H187" s="8" t="s">
        <v>2240</v>
      </c>
    </row>
    <row r="188" customFormat="false" ht="15" hidden="false" customHeight="false" outlineLevel="0" collapsed="false">
      <c r="A188" s="7" t="n">
        <v>45250</v>
      </c>
      <c r="B188" s="7" t="n">
        <v>45371</v>
      </c>
      <c r="C188" s="8" t="n">
        <v>5895</v>
      </c>
      <c r="D188" s="8" t="n">
        <v>0</v>
      </c>
      <c r="E188" s="8" t="n">
        <v>0</v>
      </c>
      <c r="F188" s="8" t="s">
        <v>2200</v>
      </c>
      <c r="G188" s="8" t="s">
        <v>2201</v>
      </c>
      <c r="H188" s="8" t="s">
        <v>2240</v>
      </c>
    </row>
    <row r="189" customFormat="false" ht="15" hidden="false" customHeight="false" outlineLevel="0" collapsed="false">
      <c r="A189" s="7" t="n">
        <v>45251</v>
      </c>
      <c r="B189" s="7" t="n">
        <v>45280</v>
      </c>
      <c r="C189" s="8" t="n">
        <v>5942</v>
      </c>
      <c r="D189" s="8" t="n">
        <v>3960</v>
      </c>
      <c r="E189" s="8" t="n">
        <v>20310</v>
      </c>
      <c r="F189" s="8" t="s">
        <v>2200</v>
      </c>
      <c r="G189" s="8" t="s">
        <v>2201</v>
      </c>
      <c r="H189" s="8" t="s">
        <v>2241</v>
      </c>
    </row>
    <row r="190" customFormat="false" ht="15" hidden="false" customHeight="false" outlineLevel="0" collapsed="false">
      <c r="A190" s="7" t="n">
        <v>45251</v>
      </c>
      <c r="B190" s="7" t="n">
        <v>45310</v>
      </c>
      <c r="C190" s="8" t="n">
        <v>5902</v>
      </c>
      <c r="D190" s="8" t="n">
        <v>845</v>
      </c>
      <c r="E190" s="8" t="n">
        <v>2745</v>
      </c>
      <c r="F190" s="8" t="s">
        <v>2200</v>
      </c>
      <c r="G190" s="8" t="s">
        <v>2201</v>
      </c>
      <c r="H190" s="8" t="s">
        <v>2241</v>
      </c>
    </row>
    <row r="191" customFormat="false" ht="15" hidden="false" customHeight="false" outlineLevel="0" collapsed="false">
      <c r="A191" s="7" t="n">
        <v>45251</v>
      </c>
      <c r="B191" s="7" t="n">
        <v>45342</v>
      </c>
      <c r="C191" s="8" t="n">
        <v>5803</v>
      </c>
      <c r="D191" s="8" t="n">
        <v>10</v>
      </c>
      <c r="E191" s="8" t="n">
        <v>10</v>
      </c>
      <c r="F191" s="8" t="s">
        <v>2200</v>
      </c>
      <c r="G191" s="8" t="s">
        <v>2201</v>
      </c>
      <c r="H191" s="8" t="s">
        <v>2241</v>
      </c>
    </row>
    <row r="192" customFormat="false" ht="15" hidden="false" customHeight="false" outlineLevel="0" collapsed="false">
      <c r="A192" s="7" t="n">
        <v>45251</v>
      </c>
      <c r="B192" s="7" t="n">
        <v>45371</v>
      </c>
      <c r="C192" s="8" t="n">
        <v>5803</v>
      </c>
      <c r="D192" s="8" t="n">
        <v>0</v>
      </c>
      <c r="E192" s="8" t="n">
        <v>0</v>
      </c>
      <c r="F192" s="8" t="s">
        <v>2200</v>
      </c>
      <c r="G192" s="8" t="s">
        <v>2201</v>
      </c>
      <c r="H192" s="8" t="s">
        <v>2241</v>
      </c>
    </row>
    <row r="193" customFormat="false" ht="15" hidden="false" customHeight="false" outlineLevel="0" collapsed="false">
      <c r="A193" s="7" t="n">
        <v>45252</v>
      </c>
      <c r="B193" s="7" t="n">
        <v>45280</v>
      </c>
      <c r="C193" s="8" t="n">
        <v>6021</v>
      </c>
      <c r="D193" s="8" t="n">
        <v>6980</v>
      </c>
      <c r="E193" s="8" t="n">
        <v>18205</v>
      </c>
      <c r="F193" s="8" t="s">
        <v>2200</v>
      </c>
      <c r="G193" s="8" t="s">
        <v>2201</v>
      </c>
      <c r="H193" s="8" t="s">
        <v>2242</v>
      </c>
    </row>
    <row r="194" customFormat="false" ht="15" hidden="false" customHeight="false" outlineLevel="0" collapsed="false">
      <c r="A194" s="7" t="n">
        <v>45252</v>
      </c>
      <c r="B194" s="7" t="n">
        <v>45310</v>
      </c>
      <c r="C194" s="8" t="n">
        <v>5969</v>
      </c>
      <c r="D194" s="8" t="n">
        <v>2190</v>
      </c>
      <c r="E194" s="8" t="n">
        <v>4015</v>
      </c>
      <c r="F194" s="8" t="s">
        <v>2200</v>
      </c>
      <c r="G194" s="8" t="s">
        <v>2201</v>
      </c>
      <c r="H194" s="8" t="s">
        <v>2242</v>
      </c>
    </row>
    <row r="195" customFormat="false" ht="15" hidden="false" customHeight="false" outlineLevel="0" collapsed="false">
      <c r="A195" s="7" t="n">
        <v>45252</v>
      </c>
      <c r="B195" s="7" t="n">
        <v>45342</v>
      </c>
      <c r="C195" s="8" t="n">
        <v>5900</v>
      </c>
      <c r="D195" s="8" t="n">
        <v>975</v>
      </c>
      <c r="E195" s="8" t="n">
        <v>160</v>
      </c>
      <c r="F195" s="8" t="s">
        <v>2200</v>
      </c>
      <c r="G195" s="8" t="s">
        <v>2201</v>
      </c>
      <c r="H195" s="8" t="s">
        <v>2242</v>
      </c>
    </row>
    <row r="196" customFormat="false" ht="15" hidden="false" customHeight="false" outlineLevel="0" collapsed="false">
      <c r="A196" s="7" t="n">
        <v>45252</v>
      </c>
      <c r="B196" s="7" t="n">
        <v>45371</v>
      </c>
      <c r="C196" s="8" t="n">
        <v>5900</v>
      </c>
      <c r="D196" s="8" t="n">
        <v>0</v>
      </c>
      <c r="E196" s="8" t="n">
        <v>0</v>
      </c>
      <c r="F196" s="8" t="s">
        <v>2200</v>
      </c>
      <c r="G196" s="8" t="s">
        <v>2201</v>
      </c>
      <c r="H196" s="8" t="s">
        <v>2242</v>
      </c>
    </row>
    <row r="197" customFormat="false" ht="15" hidden="false" customHeight="false" outlineLevel="0" collapsed="false">
      <c r="A197" s="7" t="n">
        <v>45253</v>
      </c>
      <c r="B197" s="7" t="n">
        <v>45280</v>
      </c>
      <c r="C197" s="8" t="n">
        <v>6204</v>
      </c>
      <c r="D197" s="8" t="n">
        <v>12050</v>
      </c>
      <c r="E197" s="8" t="n">
        <v>16635</v>
      </c>
      <c r="F197" s="8" t="s">
        <v>2200</v>
      </c>
      <c r="G197" s="8" t="s">
        <v>2201</v>
      </c>
      <c r="H197" s="8" t="s">
        <v>2243</v>
      </c>
    </row>
    <row r="198" customFormat="false" ht="15" hidden="false" customHeight="false" outlineLevel="0" collapsed="false">
      <c r="A198" s="7" t="n">
        <v>45253</v>
      </c>
      <c r="B198" s="7" t="n">
        <v>45310</v>
      </c>
      <c r="C198" s="8" t="n">
        <v>6121</v>
      </c>
      <c r="D198" s="8" t="n">
        <v>3500</v>
      </c>
      <c r="E198" s="8" t="n">
        <v>5375</v>
      </c>
      <c r="F198" s="8" t="s">
        <v>2200</v>
      </c>
      <c r="G198" s="8" t="s">
        <v>2201</v>
      </c>
      <c r="H198" s="8" t="s">
        <v>2243</v>
      </c>
    </row>
    <row r="199" customFormat="false" ht="15" hidden="false" customHeight="false" outlineLevel="0" collapsed="false">
      <c r="A199" s="7" t="n">
        <v>45253</v>
      </c>
      <c r="B199" s="7" t="n">
        <v>45342</v>
      </c>
      <c r="C199" s="8" t="n">
        <v>6006</v>
      </c>
      <c r="D199" s="8" t="n">
        <v>1160</v>
      </c>
      <c r="E199" s="8" t="n">
        <v>965</v>
      </c>
      <c r="F199" s="8" t="s">
        <v>2200</v>
      </c>
      <c r="G199" s="8" t="s">
        <v>2201</v>
      </c>
      <c r="H199" s="8" t="s">
        <v>2243</v>
      </c>
    </row>
    <row r="200" customFormat="false" ht="15" hidden="false" customHeight="false" outlineLevel="0" collapsed="false">
      <c r="A200" s="7" t="n">
        <v>45253</v>
      </c>
      <c r="B200" s="7" t="n">
        <v>45371</v>
      </c>
      <c r="C200" s="8" t="n">
        <v>6006</v>
      </c>
      <c r="D200" s="8" t="n">
        <v>0</v>
      </c>
      <c r="E200" s="8" t="n">
        <v>0</v>
      </c>
      <c r="F200" s="8" t="s">
        <v>2200</v>
      </c>
      <c r="G200" s="8" t="s">
        <v>2201</v>
      </c>
      <c r="H200" s="8" t="s">
        <v>2243</v>
      </c>
    </row>
    <row r="201" customFormat="false" ht="15" hidden="false" customHeight="false" outlineLevel="0" collapsed="false">
      <c r="A201" s="7" t="n">
        <v>45254</v>
      </c>
      <c r="B201" s="7" t="n">
        <v>45280</v>
      </c>
      <c r="C201" s="8" t="n">
        <v>6120</v>
      </c>
      <c r="D201" s="8" t="n">
        <v>9820</v>
      </c>
      <c r="E201" s="8" t="n">
        <v>15100</v>
      </c>
      <c r="F201" s="8" t="s">
        <v>2200</v>
      </c>
      <c r="G201" s="8" t="s">
        <v>2201</v>
      </c>
      <c r="H201" s="8" t="s">
        <v>2244</v>
      </c>
    </row>
    <row r="202" customFormat="false" ht="15" hidden="false" customHeight="false" outlineLevel="0" collapsed="false">
      <c r="A202" s="7" t="n">
        <v>45254</v>
      </c>
      <c r="B202" s="7" t="n">
        <v>45310</v>
      </c>
      <c r="C202" s="8" t="n">
        <v>6055</v>
      </c>
      <c r="D202" s="8" t="n">
        <v>1430</v>
      </c>
      <c r="E202" s="8" t="n">
        <v>5645</v>
      </c>
      <c r="F202" s="8" t="s">
        <v>2200</v>
      </c>
      <c r="G202" s="8" t="s">
        <v>2201</v>
      </c>
      <c r="H202" s="8" t="s">
        <v>2244</v>
      </c>
    </row>
    <row r="203" customFormat="false" ht="15" hidden="false" customHeight="false" outlineLevel="0" collapsed="false">
      <c r="A203" s="7" t="n">
        <v>45254</v>
      </c>
      <c r="B203" s="7" t="n">
        <v>45342</v>
      </c>
      <c r="C203" s="8" t="n">
        <v>5998</v>
      </c>
      <c r="D203" s="8" t="n">
        <v>310</v>
      </c>
      <c r="E203" s="8" t="n">
        <v>1155</v>
      </c>
      <c r="F203" s="8" t="s">
        <v>2200</v>
      </c>
      <c r="G203" s="8" t="s">
        <v>2201</v>
      </c>
      <c r="H203" s="8" t="s">
        <v>2244</v>
      </c>
    </row>
    <row r="204" customFormat="false" ht="15" hidden="false" customHeight="false" outlineLevel="0" collapsed="false">
      <c r="A204" s="7" t="n">
        <v>45254</v>
      </c>
      <c r="B204" s="7" t="n">
        <v>45371</v>
      </c>
      <c r="C204" s="8" t="n">
        <v>5998</v>
      </c>
      <c r="D204" s="8" t="n">
        <v>0</v>
      </c>
      <c r="E204" s="8" t="n">
        <v>0</v>
      </c>
      <c r="F204" s="8" t="s">
        <v>2200</v>
      </c>
      <c r="G204" s="8" t="s">
        <v>2201</v>
      </c>
      <c r="H204" s="8" t="s">
        <v>2244</v>
      </c>
    </row>
    <row r="205" customFormat="false" ht="15" hidden="false" customHeight="false" outlineLevel="0" collapsed="false">
      <c r="A205" s="7" t="n">
        <v>45258</v>
      </c>
      <c r="B205" s="7" t="n">
        <v>45280</v>
      </c>
      <c r="C205" s="8" t="n">
        <v>6177</v>
      </c>
      <c r="D205" s="8" t="n">
        <v>5195</v>
      </c>
      <c r="E205" s="8" t="n">
        <v>14955</v>
      </c>
      <c r="F205" s="8" t="s">
        <v>2200</v>
      </c>
      <c r="G205" s="8" t="s">
        <v>2201</v>
      </c>
      <c r="H205" s="8" t="s">
        <v>2245</v>
      </c>
    </row>
    <row r="206" customFormat="false" ht="15" hidden="false" customHeight="false" outlineLevel="0" collapsed="false">
      <c r="A206" s="7" t="n">
        <v>45258</v>
      </c>
      <c r="B206" s="7" t="n">
        <v>45310</v>
      </c>
      <c r="C206" s="8" t="n">
        <v>6115</v>
      </c>
      <c r="D206" s="8" t="n">
        <v>2635</v>
      </c>
      <c r="E206" s="8" t="n">
        <v>6485</v>
      </c>
      <c r="F206" s="8" t="s">
        <v>2200</v>
      </c>
      <c r="G206" s="8" t="s">
        <v>2201</v>
      </c>
      <c r="H206" s="8" t="s">
        <v>2245</v>
      </c>
    </row>
    <row r="207" customFormat="false" ht="15" hidden="false" customHeight="false" outlineLevel="0" collapsed="false">
      <c r="A207" s="7" t="n">
        <v>45258</v>
      </c>
      <c r="B207" s="7" t="n">
        <v>45342</v>
      </c>
      <c r="C207" s="8" t="n">
        <v>6066</v>
      </c>
      <c r="D207" s="8" t="n">
        <v>185</v>
      </c>
      <c r="E207" s="8" t="n">
        <v>1225</v>
      </c>
      <c r="F207" s="8" t="s">
        <v>2200</v>
      </c>
      <c r="G207" s="8" t="s">
        <v>2201</v>
      </c>
      <c r="H207" s="8" t="s">
        <v>2245</v>
      </c>
    </row>
    <row r="208" customFormat="false" ht="15" hidden="false" customHeight="false" outlineLevel="0" collapsed="false">
      <c r="A208" s="7" t="n">
        <v>45258</v>
      </c>
      <c r="B208" s="7" t="n">
        <v>45371</v>
      </c>
      <c r="C208" s="8" t="n">
        <v>5905</v>
      </c>
      <c r="D208" s="8" t="n">
        <v>10</v>
      </c>
      <c r="E208" s="8" t="n">
        <v>10</v>
      </c>
      <c r="F208" s="8" t="s">
        <v>2200</v>
      </c>
      <c r="G208" s="8" t="s">
        <v>2201</v>
      </c>
      <c r="H208" s="8" t="s">
        <v>2245</v>
      </c>
    </row>
    <row r="209" customFormat="false" ht="15" hidden="false" customHeight="false" outlineLevel="0" collapsed="false">
      <c r="A209" s="7" t="n">
        <v>45259</v>
      </c>
      <c r="B209" s="7" t="n">
        <v>45280</v>
      </c>
      <c r="C209" s="8" t="n">
        <v>6121</v>
      </c>
      <c r="D209" s="8" t="n">
        <v>4505</v>
      </c>
      <c r="E209" s="8" t="n">
        <v>14995</v>
      </c>
      <c r="F209" s="8" t="s">
        <v>2200</v>
      </c>
      <c r="G209" s="8" t="s">
        <v>2201</v>
      </c>
      <c r="H209" s="8" t="s">
        <v>2246</v>
      </c>
    </row>
    <row r="210" customFormat="false" ht="15" hidden="false" customHeight="false" outlineLevel="0" collapsed="false">
      <c r="A210" s="7" t="n">
        <v>45259</v>
      </c>
      <c r="B210" s="7" t="n">
        <v>45310</v>
      </c>
      <c r="C210" s="8" t="n">
        <v>6079</v>
      </c>
      <c r="D210" s="8" t="n">
        <v>2690</v>
      </c>
      <c r="E210" s="8" t="n">
        <v>6970</v>
      </c>
      <c r="F210" s="8" t="s">
        <v>2200</v>
      </c>
      <c r="G210" s="8" t="s">
        <v>2201</v>
      </c>
      <c r="H210" s="8" t="s">
        <v>2246</v>
      </c>
    </row>
    <row r="211" customFormat="false" ht="15" hidden="false" customHeight="false" outlineLevel="0" collapsed="false">
      <c r="A211" s="7" t="n">
        <v>45259</v>
      </c>
      <c r="B211" s="7" t="n">
        <v>45342</v>
      </c>
      <c r="C211" s="8" t="n">
        <v>6015</v>
      </c>
      <c r="D211" s="8" t="n">
        <v>730</v>
      </c>
      <c r="E211" s="8" t="n">
        <v>1715</v>
      </c>
      <c r="F211" s="8" t="s">
        <v>2200</v>
      </c>
      <c r="G211" s="8" t="s">
        <v>2201</v>
      </c>
      <c r="H211" s="8" t="s">
        <v>2246</v>
      </c>
    </row>
    <row r="212" customFormat="false" ht="15" hidden="false" customHeight="false" outlineLevel="0" collapsed="false">
      <c r="A212" s="7" t="n">
        <v>45259</v>
      </c>
      <c r="B212" s="7" t="n">
        <v>45371</v>
      </c>
      <c r="C212" s="8" t="n">
        <v>6000</v>
      </c>
      <c r="D212" s="8" t="n">
        <v>150</v>
      </c>
      <c r="E212" s="8" t="n">
        <v>160</v>
      </c>
      <c r="F212" s="8" t="s">
        <v>2200</v>
      </c>
      <c r="G212" s="8" t="s">
        <v>2201</v>
      </c>
      <c r="H212" s="8" t="s">
        <v>2246</v>
      </c>
    </row>
    <row r="213" customFormat="false" ht="15" hidden="false" customHeight="false" outlineLevel="0" collapsed="false">
      <c r="A213" s="7" t="n">
        <v>45260</v>
      </c>
      <c r="B213" s="7" t="n">
        <v>45280</v>
      </c>
      <c r="C213" s="8" t="n">
        <v>6066</v>
      </c>
      <c r="D213" s="8" t="n">
        <v>6095</v>
      </c>
      <c r="E213" s="8" t="n">
        <v>13675</v>
      </c>
      <c r="F213" s="8" t="s">
        <v>2200</v>
      </c>
      <c r="G213" s="8" t="s">
        <v>2201</v>
      </c>
      <c r="H213" s="8" t="s">
        <v>2247</v>
      </c>
    </row>
    <row r="214" customFormat="false" ht="15" hidden="false" customHeight="false" outlineLevel="0" collapsed="false">
      <c r="A214" s="7" t="n">
        <v>45260</v>
      </c>
      <c r="B214" s="7" t="n">
        <v>45310</v>
      </c>
      <c r="C214" s="8" t="n">
        <v>6006</v>
      </c>
      <c r="D214" s="8" t="n">
        <v>5410</v>
      </c>
      <c r="E214" s="8" t="n">
        <v>9415</v>
      </c>
      <c r="F214" s="8" t="s">
        <v>2200</v>
      </c>
      <c r="G214" s="8" t="s">
        <v>2201</v>
      </c>
      <c r="H214" s="8" t="s">
        <v>2247</v>
      </c>
    </row>
    <row r="215" customFormat="false" ht="15" hidden="false" customHeight="false" outlineLevel="0" collapsed="false">
      <c r="A215" s="7" t="n">
        <v>45260</v>
      </c>
      <c r="B215" s="7" t="n">
        <v>45342</v>
      </c>
      <c r="C215" s="8" t="n">
        <v>5955</v>
      </c>
      <c r="D215" s="8" t="n">
        <v>465</v>
      </c>
      <c r="E215" s="8" t="n">
        <v>1915</v>
      </c>
      <c r="F215" s="8" t="s">
        <v>2200</v>
      </c>
      <c r="G215" s="8" t="s">
        <v>2201</v>
      </c>
      <c r="H215" s="8" t="s">
        <v>2247</v>
      </c>
    </row>
    <row r="216" customFormat="false" ht="15" hidden="false" customHeight="false" outlineLevel="0" collapsed="false">
      <c r="A216" s="7" t="n">
        <v>45260</v>
      </c>
      <c r="B216" s="7" t="n">
        <v>45371</v>
      </c>
      <c r="C216" s="8" t="n">
        <v>5911</v>
      </c>
      <c r="D216" s="8" t="n">
        <v>15</v>
      </c>
      <c r="E216" s="8" t="n">
        <v>170</v>
      </c>
      <c r="F216" s="8" t="s">
        <v>2200</v>
      </c>
      <c r="G216" s="8" t="s">
        <v>2201</v>
      </c>
      <c r="H216" s="8" t="s">
        <v>2247</v>
      </c>
    </row>
    <row r="217" customFormat="false" ht="15" hidden="false" customHeight="false" outlineLevel="0" collapsed="false">
      <c r="A217" s="7" t="n">
        <v>45261</v>
      </c>
      <c r="B217" s="7" t="n">
        <v>45280</v>
      </c>
      <c r="C217" s="8" t="n">
        <v>5995</v>
      </c>
      <c r="D217" s="8" t="n">
        <v>7490</v>
      </c>
      <c r="E217" s="8" t="n">
        <v>11650</v>
      </c>
      <c r="F217" s="8" t="s">
        <v>2200</v>
      </c>
      <c r="G217" s="8" t="s">
        <v>2201</v>
      </c>
      <c r="H217" s="8" t="s">
        <v>2248</v>
      </c>
    </row>
    <row r="218" customFormat="false" ht="15" hidden="false" customHeight="false" outlineLevel="0" collapsed="false">
      <c r="A218" s="7" t="n">
        <v>45261</v>
      </c>
      <c r="B218" s="7" t="n">
        <v>45310</v>
      </c>
      <c r="C218" s="8" t="n">
        <v>5940</v>
      </c>
      <c r="D218" s="8" t="n">
        <v>7375</v>
      </c>
      <c r="E218" s="8" t="n">
        <v>11300</v>
      </c>
      <c r="F218" s="8" t="s">
        <v>2200</v>
      </c>
      <c r="G218" s="8" t="s">
        <v>2201</v>
      </c>
      <c r="H218" s="8" t="s">
        <v>2248</v>
      </c>
    </row>
    <row r="219" customFormat="false" ht="15" hidden="false" customHeight="false" outlineLevel="0" collapsed="false">
      <c r="A219" s="7" t="n">
        <v>45261</v>
      </c>
      <c r="B219" s="7" t="n">
        <v>45342</v>
      </c>
      <c r="C219" s="8" t="n">
        <v>5842</v>
      </c>
      <c r="D219" s="8" t="n">
        <v>1380</v>
      </c>
      <c r="E219" s="8" t="n">
        <v>2425</v>
      </c>
      <c r="F219" s="8" t="s">
        <v>2200</v>
      </c>
      <c r="G219" s="8" t="s">
        <v>2201</v>
      </c>
      <c r="H219" s="8" t="s">
        <v>2248</v>
      </c>
    </row>
    <row r="220" customFormat="false" ht="15" hidden="false" customHeight="false" outlineLevel="0" collapsed="false">
      <c r="A220" s="7" t="n">
        <v>45261</v>
      </c>
      <c r="B220" s="7" t="n">
        <v>45371</v>
      </c>
      <c r="C220" s="8" t="n">
        <v>5876</v>
      </c>
      <c r="D220" s="8" t="n">
        <v>160</v>
      </c>
      <c r="E220" s="8" t="n">
        <v>245</v>
      </c>
      <c r="F220" s="8" t="s">
        <v>2200</v>
      </c>
      <c r="G220" s="8" t="s">
        <v>2201</v>
      </c>
      <c r="H220" s="8" t="s">
        <v>2248</v>
      </c>
    </row>
    <row r="221" customFormat="false" ht="15" hidden="false" customHeight="false" outlineLevel="0" collapsed="false">
      <c r="A221" s="7" t="n">
        <v>45261</v>
      </c>
      <c r="B221" s="7" t="n">
        <v>45401</v>
      </c>
      <c r="C221" s="8" t="n">
        <v>5910</v>
      </c>
      <c r="D221" s="8" t="n">
        <v>0</v>
      </c>
      <c r="E221" s="8" t="n">
        <v>0</v>
      </c>
      <c r="F221" s="8" t="s">
        <v>2200</v>
      </c>
      <c r="G221" s="8" t="s">
        <v>2201</v>
      </c>
      <c r="H221" s="8" t="s">
        <v>2248</v>
      </c>
    </row>
    <row r="222" customFormat="false" ht="15" hidden="false" customHeight="false" outlineLevel="0" collapsed="false">
      <c r="A222" s="7" t="n">
        <v>45264</v>
      </c>
      <c r="B222" s="7" t="n">
        <v>45280</v>
      </c>
      <c r="C222" s="8" t="n">
        <v>5843</v>
      </c>
      <c r="D222" s="8" t="n">
        <v>8310</v>
      </c>
      <c r="E222" s="8" t="n">
        <v>10310</v>
      </c>
      <c r="F222" s="8" t="s">
        <v>2200</v>
      </c>
      <c r="G222" s="8" t="s">
        <v>2201</v>
      </c>
      <c r="H222" s="8" t="s">
        <v>2249</v>
      </c>
    </row>
    <row r="223" customFormat="false" ht="15" hidden="false" customHeight="false" outlineLevel="0" collapsed="false">
      <c r="A223" s="7" t="n">
        <v>45264</v>
      </c>
      <c r="B223" s="7" t="n">
        <v>45310</v>
      </c>
      <c r="C223" s="8" t="n">
        <v>5868</v>
      </c>
      <c r="D223" s="8" t="n">
        <v>10185</v>
      </c>
      <c r="E223" s="8" t="n">
        <v>12010</v>
      </c>
      <c r="F223" s="8" t="s">
        <v>2200</v>
      </c>
      <c r="G223" s="8" t="s">
        <v>2201</v>
      </c>
      <c r="H223" s="8" t="s">
        <v>2249</v>
      </c>
    </row>
    <row r="224" customFormat="false" ht="15" hidden="false" customHeight="false" outlineLevel="0" collapsed="false">
      <c r="A224" s="7" t="n">
        <v>45264</v>
      </c>
      <c r="B224" s="7" t="n">
        <v>45342</v>
      </c>
      <c r="C224" s="8" t="n">
        <v>5829</v>
      </c>
      <c r="D224" s="8" t="n">
        <v>3405</v>
      </c>
      <c r="E224" s="8" t="n">
        <v>3520</v>
      </c>
      <c r="F224" s="8" t="s">
        <v>2200</v>
      </c>
      <c r="G224" s="8" t="s">
        <v>2201</v>
      </c>
      <c r="H224" s="8" t="s">
        <v>2249</v>
      </c>
    </row>
    <row r="225" customFormat="false" ht="15" hidden="false" customHeight="false" outlineLevel="0" collapsed="false">
      <c r="A225" s="7" t="n">
        <v>45264</v>
      </c>
      <c r="B225" s="7" t="n">
        <v>45371</v>
      </c>
      <c r="C225" s="8" t="n">
        <v>5804</v>
      </c>
      <c r="D225" s="8" t="n">
        <v>755</v>
      </c>
      <c r="E225" s="8" t="n">
        <v>630</v>
      </c>
      <c r="F225" s="8" t="s">
        <v>2200</v>
      </c>
      <c r="G225" s="8" t="s">
        <v>2201</v>
      </c>
      <c r="H225" s="8" t="s">
        <v>2249</v>
      </c>
    </row>
    <row r="226" customFormat="false" ht="15" hidden="false" customHeight="false" outlineLevel="0" collapsed="false">
      <c r="A226" s="7" t="n">
        <v>45264</v>
      </c>
      <c r="B226" s="7" t="n">
        <v>45401</v>
      </c>
      <c r="C226" s="8" t="n">
        <v>5804</v>
      </c>
      <c r="D226" s="8" t="n">
        <v>0</v>
      </c>
      <c r="E226" s="8" t="n">
        <v>0</v>
      </c>
      <c r="F226" s="8" t="s">
        <v>2200</v>
      </c>
      <c r="G226" s="8" t="s">
        <v>2201</v>
      </c>
      <c r="H226" s="8" t="s">
        <v>2249</v>
      </c>
    </row>
    <row r="227" customFormat="false" ht="15" hidden="false" customHeight="false" outlineLevel="0" collapsed="false">
      <c r="A227" s="7" t="n">
        <v>45265</v>
      </c>
      <c r="B227" s="7" t="n">
        <v>45280</v>
      </c>
      <c r="C227" s="8" t="n">
        <v>5880</v>
      </c>
      <c r="D227" s="8" t="n">
        <v>5410</v>
      </c>
      <c r="E227" s="8" t="n">
        <v>10395</v>
      </c>
      <c r="F227" s="8" t="s">
        <v>2200</v>
      </c>
      <c r="G227" s="8" t="s">
        <v>2201</v>
      </c>
      <c r="H227" s="8" t="s">
        <v>2250</v>
      </c>
    </row>
    <row r="228" customFormat="false" ht="15" hidden="false" customHeight="false" outlineLevel="0" collapsed="false">
      <c r="A228" s="7" t="n">
        <v>45265</v>
      </c>
      <c r="B228" s="7" t="n">
        <v>45310</v>
      </c>
      <c r="C228" s="8" t="n">
        <v>5925</v>
      </c>
      <c r="D228" s="8" t="n">
        <v>6885</v>
      </c>
      <c r="E228" s="8" t="n">
        <v>13830</v>
      </c>
      <c r="F228" s="8" t="s">
        <v>2200</v>
      </c>
      <c r="G228" s="8" t="s">
        <v>2201</v>
      </c>
      <c r="H228" s="8" t="s">
        <v>2250</v>
      </c>
    </row>
    <row r="229" customFormat="false" ht="15" hidden="false" customHeight="false" outlineLevel="0" collapsed="false">
      <c r="A229" s="7" t="n">
        <v>45265</v>
      </c>
      <c r="B229" s="7" t="n">
        <v>45342</v>
      </c>
      <c r="C229" s="8" t="n">
        <v>5886</v>
      </c>
      <c r="D229" s="8" t="n">
        <v>2110</v>
      </c>
      <c r="E229" s="8" t="n">
        <v>4110</v>
      </c>
      <c r="F229" s="8" t="s">
        <v>2200</v>
      </c>
      <c r="G229" s="8" t="s">
        <v>2201</v>
      </c>
      <c r="H229" s="8" t="s">
        <v>2250</v>
      </c>
    </row>
    <row r="230" customFormat="false" ht="15" hidden="false" customHeight="false" outlineLevel="0" collapsed="false">
      <c r="A230" s="7" t="n">
        <v>45265</v>
      </c>
      <c r="B230" s="7" t="n">
        <v>45371</v>
      </c>
      <c r="C230" s="8" t="n">
        <v>5850</v>
      </c>
      <c r="D230" s="8" t="n">
        <v>1025</v>
      </c>
      <c r="E230" s="8" t="n">
        <v>1135</v>
      </c>
      <c r="F230" s="8" t="s">
        <v>2200</v>
      </c>
      <c r="G230" s="8" t="s">
        <v>2201</v>
      </c>
      <c r="H230" s="8" t="s">
        <v>2250</v>
      </c>
    </row>
    <row r="231" customFormat="false" ht="15" hidden="false" customHeight="false" outlineLevel="0" collapsed="false">
      <c r="A231" s="7" t="n">
        <v>45265</v>
      </c>
      <c r="B231" s="7" t="n">
        <v>45401</v>
      </c>
      <c r="C231" s="8" t="n">
        <v>5850</v>
      </c>
      <c r="D231" s="8" t="n">
        <v>0</v>
      </c>
      <c r="E231" s="8" t="n">
        <v>0</v>
      </c>
      <c r="F231" s="8" t="s">
        <v>2200</v>
      </c>
      <c r="G231" s="8" t="s">
        <v>2201</v>
      </c>
      <c r="H231" s="8" t="s">
        <v>2250</v>
      </c>
    </row>
    <row r="232" customFormat="false" ht="15" hidden="false" customHeight="false" outlineLevel="0" collapsed="false">
      <c r="A232" s="7" t="n">
        <v>45266</v>
      </c>
      <c r="B232" s="7" t="n">
        <v>45280</v>
      </c>
      <c r="C232" s="8" t="n">
        <v>5953</v>
      </c>
      <c r="D232" s="8" t="n">
        <v>5240</v>
      </c>
      <c r="E232" s="8" t="n">
        <v>9655</v>
      </c>
      <c r="F232" s="8" t="s">
        <v>2200</v>
      </c>
      <c r="G232" s="8" t="s">
        <v>2201</v>
      </c>
      <c r="H232" s="8" t="s">
        <v>2251</v>
      </c>
    </row>
    <row r="233" customFormat="false" ht="15" hidden="false" customHeight="false" outlineLevel="0" collapsed="false">
      <c r="A233" s="7" t="n">
        <v>45266</v>
      </c>
      <c r="B233" s="7" t="n">
        <v>45310</v>
      </c>
      <c r="C233" s="8" t="n">
        <v>5988</v>
      </c>
      <c r="D233" s="8" t="n">
        <v>4400</v>
      </c>
      <c r="E233" s="8" t="n">
        <v>13395</v>
      </c>
      <c r="F233" s="8" t="s">
        <v>2200</v>
      </c>
      <c r="G233" s="8" t="s">
        <v>2201</v>
      </c>
      <c r="H233" s="8" t="s">
        <v>2251</v>
      </c>
    </row>
    <row r="234" customFormat="false" ht="15" hidden="false" customHeight="false" outlineLevel="0" collapsed="false">
      <c r="A234" s="7" t="n">
        <v>45266</v>
      </c>
      <c r="B234" s="7" t="n">
        <v>45342</v>
      </c>
      <c r="C234" s="8" t="n">
        <v>5948</v>
      </c>
      <c r="D234" s="8" t="n">
        <v>1080</v>
      </c>
      <c r="E234" s="8" t="n">
        <v>4420</v>
      </c>
      <c r="F234" s="8" t="s">
        <v>2200</v>
      </c>
      <c r="G234" s="8" t="s">
        <v>2201</v>
      </c>
      <c r="H234" s="8" t="s">
        <v>2251</v>
      </c>
    </row>
    <row r="235" customFormat="false" ht="15" hidden="false" customHeight="false" outlineLevel="0" collapsed="false">
      <c r="A235" s="7" t="n">
        <v>45266</v>
      </c>
      <c r="B235" s="7" t="n">
        <v>45371</v>
      </c>
      <c r="C235" s="8" t="n">
        <v>5891</v>
      </c>
      <c r="D235" s="8" t="n">
        <v>235</v>
      </c>
      <c r="E235" s="8" t="n">
        <v>1255</v>
      </c>
      <c r="F235" s="8" t="s">
        <v>2200</v>
      </c>
      <c r="G235" s="8" t="s">
        <v>2201</v>
      </c>
      <c r="H235" s="8" t="s">
        <v>2251</v>
      </c>
    </row>
    <row r="236" customFormat="false" ht="15" hidden="false" customHeight="false" outlineLevel="0" collapsed="false">
      <c r="A236" s="7" t="n">
        <v>45266</v>
      </c>
      <c r="B236" s="7" t="n">
        <v>45401</v>
      </c>
      <c r="C236" s="8" t="n">
        <v>5891</v>
      </c>
      <c r="D236" s="8" t="n">
        <v>0</v>
      </c>
      <c r="E236" s="8" t="n">
        <v>0</v>
      </c>
      <c r="F236" s="8" t="s">
        <v>2200</v>
      </c>
      <c r="G236" s="8" t="s">
        <v>2201</v>
      </c>
      <c r="H236" s="8" t="s">
        <v>2251</v>
      </c>
    </row>
    <row r="237" customFormat="false" ht="15" hidden="false" customHeight="false" outlineLevel="0" collapsed="false">
      <c r="A237" s="7" t="n">
        <v>45267</v>
      </c>
      <c r="B237" s="7" t="n">
        <v>45280</v>
      </c>
      <c r="C237" s="8" t="n">
        <v>5926</v>
      </c>
      <c r="D237" s="8" t="n">
        <v>4310</v>
      </c>
      <c r="E237" s="8" t="n">
        <v>8410</v>
      </c>
      <c r="F237" s="8" t="s">
        <v>2200</v>
      </c>
      <c r="G237" s="8" t="s">
        <v>2201</v>
      </c>
      <c r="H237" s="8" t="s">
        <v>2252</v>
      </c>
    </row>
    <row r="238" customFormat="false" ht="15" hidden="false" customHeight="false" outlineLevel="0" collapsed="false">
      <c r="A238" s="7" t="n">
        <v>45267</v>
      </c>
      <c r="B238" s="7" t="n">
        <v>45310</v>
      </c>
      <c r="C238" s="8" t="n">
        <v>5935</v>
      </c>
      <c r="D238" s="8" t="n">
        <v>4765</v>
      </c>
      <c r="E238" s="8" t="n">
        <v>14935</v>
      </c>
      <c r="F238" s="8" t="s">
        <v>2200</v>
      </c>
      <c r="G238" s="8" t="s">
        <v>2201</v>
      </c>
      <c r="H238" s="8" t="s">
        <v>2252</v>
      </c>
    </row>
    <row r="239" customFormat="false" ht="15" hidden="false" customHeight="false" outlineLevel="0" collapsed="false">
      <c r="A239" s="7" t="n">
        <v>45267</v>
      </c>
      <c r="B239" s="7" t="n">
        <v>45342</v>
      </c>
      <c r="C239" s="8" t="n">
        <v>5883</v>
      </c>
      <c r="D239" s="8" t="n">
        <v>610</v>
      </c>
      <c r="E239" s="8" t="n">
        <v>4680</v>
      </c>
      <c r="F239" s="8" t="s">
        <v>2200</v>
      </c>
      <c r="G239" s="8" t="s">
        <v>2201</v>
      </c>
      <c r="H239" s="8" t="s">
        <v>2252</v>
      </c>
    </row>
    <row r="240" customFormat="false" ht="15" hidden="false" customHeight="false" outlineLevel="0" collapsed="false">
      <c r="A240" s="7" t="n">
        <v>45267</v>
      </c>
      <c r="B240" s="7" t="n">
        <v>45371</v>
      </c>
      <c r="C240" s="8" t="n">
        <v>5864</v>
      </c>
      <c r="D240" s="8" t="n">
        <v>340</v>
      </c>
      <c r="E240" s="8" t="n">
        <v>1410</v>
      </c>
      <c r="F240" s="8" t="s">
        <v>2200</v>
      </c>
      <c r="G240" s="8" t="s">
        <v>2201</v>
      </c>
      <c r="H240" s="8" t="s">
        <v>2252</v>
      </c>
    </row>
    <row r="241" customFormat="false" ht="15" hidden="false" customHeight="false" outlineLevel="0" collapsed="false">
      <c r="A241" s="7" t="n">
        <v>45267</v>
      </c>
      <c r="B241" s="7" t="n">
        <v>45401</v>
      </c>
      <c r="C241" s="8" t="n">
        <v>5864</v>
      </c>
      <c r="D241" s="8" t="n">
        <v>0</v>
      </c>
      <c r="E241" s="8" t="n">
        <v>0</v>
      </c>
      <c r="F241" s="8" t="s">
        <v>2200</v>
      </c>
      <c r="G241" s="8" t="s">
        <v>2201</v>
      </c>
      <c r="H241" s="8" t="s">
        <v>2252</v>
      </c>
    </row>
    <row r="242" customFormat="false" ht="15" hidden="false" customHeight="false" outlineLevel="0" collapsed="false">
      <c r="A242" s="7" t="n">
        <v>45268</v>
      </c>
      <c r="B242" s="7" t="n">
        <v>45280</v>
      </c>
      <c r="C242" s="8" t="n">
        <v>5914</v>
      </c>
      <c r="D242" s="8" t="n">
        <v>2625</v>
      </c>
      <c r="E242" s="8" t="n">
        <v>7515</v>
      </c>
      <c r="F242" s="8" t="s">
        <v>2200</v>
      </c>
      <c r="G242" s="8" t="s">
        <v>2201</v>
      </c>
      <c r="H242" s="8" t="s">
        <v>2253</v>
      </c>
    </row>
    <row r="243" customFormat="false" ht="15" hidden="false" customHeight="false" outlineLevel="0" collapsed="false">
      <c r="A243" s="7" t="n">
        <v>45268</v>
      </c>
      <c r="B243" s="7" t="n">
        <v>45310</v>
      </c>
      <c r="C243" s="8" t="n">
        <v>5942</v>
      </c>
      <c r="D243" s="8" t="n">
        <v>2945</v>
      </c>
      <c r="E243" s="8" t="n">
        <v>15565</v>
      </c>
      <c r="F243" s="8" t="s">
        <v>2200</v>
      </c>
      <c r="G243" s="8" t="s">
        <v>2201</v>
      </c>
      <c r="H243" s="8" t="s">
        <v>2253</v>
      </c>
    </row>
    <row r="244" customFormat="false" ht="15" hidden="false" customHeight="false" outlineLevel="0" collapsed="false">
      <c r="A244" s="7" t="n">
        <v>45268</v>
      </c>
      <c r="B244" s="7" t="n">
        <v>45342</v>
      </c>
      <c r="C244" s="8" t="n">
        <v>5851</v>
      </c>
      <c r="D244" s="8" t="n">
        <v>480</v>
      </c>
      <c r="E244" s="8" t="n">
        <v>4915</v>
      </c>
      <c r="F244" s="8" t="s">
        <v>2200</v>
      </c>
      <c r="G244" s="8" t="s">
        <v>2201</v>
      </c>
      <c r="H244" s="8" t="s">
        <v>2253</v>
      </c>
    </row>
    <row r="245" customFormat="false" ht="15" hidden="false" customHeight="false" outlineLevel="0" collapsed="false">
      <c r="A245" s="7" t="n">
        <v>45268</v>
      </c>
      <c r="B245" s="7" t="n">
        <v>45371</v>
      </c>
      <c r="C245" s="8" t="n">
        <v>5803</v>
      </c>
      <c r="D245" s="8" t="n">
        <v>200</v>
      </c>
      <c r="E245" s="8" t="n">
        <v>1505</v>
      </c>
      <c r="F245" s="8" t="s">
        <v>2200</v>
      </c>
      <c r="G245" s="8" t="s">
        <v>2201</v>
      </c>
      <c r="H245" s="8" t="s">
        <v>2253</v>
      </c>
    </row>
    <row r="246" customFormat="false" ht="15" hidden="false" customHeight="false" outlineLevel="0" collapsed="false">
      <c r="A246" s="7" t="n">
        <v>45268</v>
      </c>
      <c r="B246" s="7" t="n">
        <v>45401</v>
      </c>
      <c r="C246" s="8" t="n">
        <v>5803</v>
      </c>
      <c r="D246" s="8" t="n">
        <v>0</v>
      </c>
      <c r="E246" s="8" t="n">
        <v>0</v>
      </c>
      <c r="F246" s="8" t="s">
        <v>2200</v>
      </c>
      <c r="G246" s="8" t="s">
        <v>2201</v>
      </c>
      <c r="H246" s="8" t="s">
        <v>2253</v>
      </c>
    </row>
    <row r="247" customFormat="false" ht="15" hidden="false" customHeight="false" outlineLevel="0" collapsed="false">
      <c r="A247" s="7" t="n">
        <v>45271</v>
      </c>
      <c r="B247" s="7" t="n">
        <v>45280</v>
      </c>
      <c r="C247" s="8" t="n">
        <v>5874</v>
      </c>
      <c r="D247" s="8" t="n">
        <v>3350</v>
      </c>
      <c r="E247" s="8" t="n">
        <v>6915</v>
      </c>
      <c r="F247" s="8" t="s">
        <v>2200</v>
      </c>
      <c r="G247" s="8" t="s">
        <v>2201</v>
      </c>
      <c r="H247" s="8" t="s">
        <v>2254</v>
      </c>
    </row>
    <row r="248" customFormat="false" ht="15" hidden="false" customHeight="false" outlineLevel="0" collapsed="false">
      <c r="A248" s="7" t="n">
        <v>45271</v>
      </c>
      <c r="B248" s="7" t="n">
        <v>45310</v>
      </c>
      <c r="C248" s="8" t="n">
        <v>5913</v>
      </c>
      <c r="D248" s="8" t="n">
        <v>3880</v>
      </c>
      <c r="E248" s="8" t="n">
        <v>16835</v>
      </c>
      <c r="F248" s="8" t="s">
        <v>2200</v>
      </c>
      <c r="G248" s="8" t="s">
        <v>2201</v>
      </c>
      <c r="H248" s="8" t="s">
        <v>2254</v>
      </c>
    </row>
    <row r="249" customFormat="false" ht="15" hidden="false" customHeight="false" outlineLevel="0" collapsed="false">
      <c r="A249" s="7" t="n">
        <v>45271</v>
      </c>
      <c r="B249" s="7" t="n">
        <v>45342</v>
      </c>
      <c r="C249" s="8" t="n">
        <v>5870</v>
      </c>
      <c r="D249" s="8" t="n">
        <v>460</v>
      </c>
      <c r="E249" s="8" t="n">
        <v>5080</v>
      </c>
      <c r="F249" s="8" t="s">
        <v>2200</v>
      </c>
      <c r="G249" s="8" t="s">
        <v>2201</v>
      </c>
      <c r="H249" s="8" t="s">
        <v>2254</v>
      </c>
    </row>
    <row r="250" customFormat="false" ht="15" hidden="false" customHeight="false" outlineLevel="0" collapsed="false">
      <c r="A250" s="7" t="n">
        <v>45271</v>
      </c>
      <c r="B250" s="7" t="n">
        <v>45371</v>
      </c>
      <c r="C250" s="8" t="n">
        <v>5798</v>
      </c>
      <c r="D250" s="8" t="n">
        <v>35</v>
      </c>
      <c r="E250" s="8" t="n">
        <v>1520</v>
      </c>
      <c r="F250" s="8" t="s">
        <v>2200</v>
      </c>
      <c r="G250" s="8" t="s">
        <v>2201</v>
      </c>
      <c r="H250" s="8" t="s">
        <v>2254</v>
      </c>
    </row>
    <row r="251" customFormat="false" ht="15" hidden="false" customHeight="false" outlineLevel="0" collapsed="false">
      <c r="A251" s="7" t="n">
        <v>45271</v>
      </c>
      <c r="B251" s="7" t="n">
        <v>45401</v>
      </c>
      <c r="C251" s="8" t="n">
        <v>5798</v>
      </c>
      <c r="D251" s="8" t="n">
        <v>0</v>
      </c>
      <c r="E251" s="8" t="n">
        <v>0</v>
      </c>
      <c r="F251" s="8" t="s">
        <v>2200</v>
      </c>
      <c r="G251" s="8" t="s">
        <v>2201</v>
      </c>
      <c r="H251" s="8" t="s">
        <v>2254</v>
      </c>
    </row>
    <row r="252" customFormat="false" ht="15" hidden="false" customHeight="false" outlineLevel="0" collapsed="false">
      <c r="A252" s="7" t="n">
        <v>45272</v>
      </c>
      <c r="B252" s="7" t="n">
        <v>45280</v>
      </c>
      <c r="C252" s="8" t="n">
        <v>5806</v>
      </c>
      <c r="D252" s="8" t="n">
        <v>2300</v>
      </c>
      <c r="E252" s="8" t="n">
        <v>6015</v>
      </c>
      <c r="F252" s="8" t="s">
        <v>2200</v>
      </c>
      <c r="G252" s="8" t="s">
        <v>2201</v>
      </c>
      <c r="H252" s="8" t="s">
        <v>2255</v>
      </c>
    </row>
    <row r="253" customFormat="false" ht="15" hidden="false" customHeight="false" outlineLevel="0" collapsed="false">
      <c r="A253" s="7" t="n">
        <v>45272</v>
      </c>
      <c r="B253" s="7" t="n">
        <v>45310</v>
      </c>
      <c r="C253" s="8" t="n">
        <v>5870</v>
      </c>
      <c r="D253" s="8" t="n">
        <v>9830</v>
      </c>
      <c r="E253" s="8" t="n">
        <v>14965</v>
      </c>
      <c r="F253" s="8" t="s">
        <v>2200</v>
      </c>
      <c r="G253" s="8" t="s">
        <v>2201</v>
      </c>
      <c r="H253" s="8" t="s">
        <v>2255</v>
      </c>
    </row>
    <row r="254" customFormat="false" ht="15" hidden="false" customHeight="false" outlineLevel="0" collapsed="false">
      <c r="A254" s="7" t="n">
        <v>45272</v>
      </c>
      <c r="B254" s="7" t="n">
        <v>45342</v>
      </c>
      <c r="C254" s="8" t="n">
        <v>5829</v>
      </c>
      <c r="D254" s="8" t="n">
        <v>1805</v>
      </c>
      <c r="E254" s="8" t="n">
        <v>5965</v>
      </c>
      <c r="F254" s="8" t="s">
        <v>2200</v>
      </c>
      <c r="G254" s="8" t="s">
        <v>2201</v>
      </c>
      <c r="H254" s="8" t="s">
        <v>2255</v>
      </c>
    </row>
    <row r="255" customFormat="false" ht="15" hidden="false" customHeight="false" outlineLevel="0" collapsed="false">
      <c r="A255" s="7" t="n">
        <v>45272</v>
      </c>
      <c r="B255" s="7" t="n">
        <v>45371</v>
      </c>
      <c r="C255" s="8" t="n">
        <v>5717</v>
      </c>
      <c r="D255" s="8" t="n">
        <v>610</v>
      </c>
      <c r="E255" s="8" t="n">
        <v>1905</v>
      </c>
      <c r="F255" s="8" t="s">
        <v>2200</v>
      </c>
      <c r="G255" s="8" t="s">
        <v>2201</v>
      </c>
      <c r="H255" s="8" t="s">
        <v>2255</v>
      </c>
    </row>
    <row r="256" customFormat="false" ht="15" hidden="false" customHeight="false" outlineLevel="0" collapsed="false">
      <c r="A256" s="7" t="n">
        <v>45272</v>
      </c>
      <c r="B256" s="7" t="n">
        <v>45401</v>
      </c>
      <c r="C256" s="8" t="n">
        <v>5717</v>
      </c>
      <c r="D256" s="8" t="n">
        <v>0</v>
      </c>
      <c r="E256" s="8" t="n">
        <v>0</v>
      </c>
      <c r="F256" s="8" t="s">
        <v>2200</v>
      </c>
      <c r="G256" s="8" t="s">
        <v>2201</v>
      </c>
      <c r="H256" s="8" t="s">
        <v>2255</v>
      </c>
    </row>
    <row r="257" customFormat="false" ht="15" hidden="false" customHeight="false" outlineLevel="0" collapsed="false">
      <c r="A257" s="7" t="n">
        <v>45273</v>
      </c>
      <c r="B257" s="7" t="n">
        <v>45280</v>
      </c>
      <c r="C257" s="8" t="n">
        <v>5834</v>
      </c>
      <c r="D257" s="8" t="n">
        <v>1990</v>
      </c>
      <c r="E257" s="8" t="n">
        <v>4580</v>
      </c>
      <c r="F257" s="8" t="s">
        <v>2200</v>
      </c>
      <c r="G257" s="8" t="s">
        <v>2201</v>
      </c>
      <c r="H257" s="8" t="s">
        <v>2256</v>
      </c>
    </row>
    <row r="258" customFormat="false" ht="15" hidden="false" customHeight="false" outlineLevel="0" collapsed="false">
      <c r="A258" s="7" t="n">
        <v>45273</v>
      </c>
      <c r="B258" s="7" t="n">
        <v>45310</v>
      </c>
      <c r="C258" s="8" t="n">
        <v>5881</v>
      </c>
      <c r="D258" s="8" t="n">
        <v>4645</v>
      </c>
      <c r="E258" s="8" t="n">
        <v>15565</v>
      </c>
      <c r="F258" s="8" t="s">
        <v>2200</v>
      </c>
      <c r="G258" s="8" t="s">
        <v>2201</v>
      </c>
      <c r="H258" s="8" t="s">
        <v>2256</v>
      </c>
    </row>
    <row r="259" customFormat="false" ht="15" hidden="false" customHeight="false" outlineLevel="0" collapsed="false">
      <c r="A259" s="7" t="n">
        <v>45273</v>
      </c>
      <c r="B259" s="7" t="n">
        <v>45342</v>
      </c>
      <c r="C259" s="8" t="n">
        <v>5849</v>
      </c>
      <c r="D259" s="8" t="n">
        <v>675</v>
      </c>
      <c r="E259" s="8" t="n">
        <v>6350</v>
      </c>
      <c r="F259" s="8" t="s">
        <v>2200</v>
      </c>
      <c r="G259" s="8" t="s">
        <v>2201</v>
      </c>
      <c r="H259" s="8" t="s">
        <v>2256</v>
      </c>
    </row>
    <row r="260" customFormat="false" ht="15" hidden="false" customHeight="false" outlineLevel="0" collapsed="false">
      <c r="A260" s="7" t="n">
        <v>45273</v>
      </c>
      <c r="B260" s="7" t="n">
        <v>45371</v>
      </c>
      <c r="C260" s="8" t="n">
        <v>5775</v>
      </c>
      <c r="D260" s="8" t="n">
        <v>100</v>
      </c>
      <c r="E260" s="8" t="n">
        <v>1940</v>
      </c>
      <c r="F260" s="8" t="s">
        <v>2200</v>
      </c>
      <c r="G260" s="8" t="s">
        <v>2201</v>
      </c>
      <c r="H260" s="8" t="s">
        <v>2256</v>
      </c>
    </row>
    <row r="261" customFormat="false" ht="15" hidden="false" customHeight="false" outlineLevel="0" collapsed="false">
      <c r="A261" s="7" t="n">
        <v>45273</v>
      </c>
      <c r="B261" s="7" t="n">
        <v>45401</v>
      </c>
      <c r="C261" s="8" t="n">
        <v>5775</v>
      </c>
      <c r="D261" s="8" t="n">
        <v>0</v>
      </c>
      <c r="E261" s="8" t="n">
        <v>0</v>
      </c>
      <c r="F261" s="8" t="s">
        <v>2200</v>
      </c>
      <c r="G261" s="8" t="s">
        <v>2201</v>
      </c>
      <c r="H261" s="8" t="s">
        <v>2256</v>
      </c>
    </row>
    <row r="262" customFormat="false" ht="15" hidden="false" customHeight="false" outlineLevel="0" collapsed="false">
      <c r="A262" s="7" t="n">
        <v>45274</v>
      </c>
      <c r="B262" s="7" t="n">
        <v>45280</v>
      </c>
      <c r="C262" s="8" t="n">
        <v>5798</v>
      </c>
      <c r="D262" s="8" t="n">
        <v>3990</v>
      </c>
      <c r="E262" s="8" t="n">
        <v>3655</v>
      </c>
      <c r="F262" s="8" t="s">
        <v>2200</v>
      </c>
      <c r="G262" s="8" t="s">
        <v>2201</v>
      </c>
      <c r="H262" s="8" t="s">
        <v>2257</v>
      </c>
    </row>
    <row r="263" customFormat="false" ht="15" hidden="false" customHeight="false" outlineLevel="0" collapsed="false">
      <c r="A263" s="7" t="n">
        <v>45274</v>
      </c>
      <c r="B263" s="7" t="n">
        <v>45310</v>
      </c>
      <c r="C263" s="8" t="n">
        <v>5880</v>
      </c>
      <c r="D263" s="8" t="n">
        <v>7570</v>
      </c>
      <c r="E263" s="8" t="n">
        <v>20025</v>
      </c>
      <c r="F263" s="8" t="s">
        <v>2200</v>
      </c>
      <c r="G263" s="8" t="s">
        <v>2201</v>
      </c>
      <c r="H263" s="8" t="s">
        <v>2257</v>
      </c>
    </row>
    <row r="264" customFormat="false" ht="15" hidden="false" customHeight="false" outlineLevel="0" collapsed="false">
      <c r="A264" s="7" t="n">
        <v>45274</v>
      </c>
      <c r="B264" s="7" t="n">
        <v>45342</v>
      </c>
      <c r="C264" s="8" t="n">
        <v>5856</v>
      </c>
      <c r="D264" s="8" t="n">
        <v>435</v>
      </c>
      <c r="E264" s="8" t="n">
        <v>6470</v>
      </c>
      <c r="F264" s="8" t="s">
        <v>2200</v>
      </c>
      <c r="G264" s="8" t="s">
        <v>2201</v>
      </c>
      <c r="H264" s="8" t="s">
        <v>2257</v>
      </c>
    </row>
    <row r="265" customFormat="false" ht="15" hidden="false" customHeight="false" outlineLevel="0" collapsed="false">
      <c r="A265" s="7" t="n">
        <v>45274</v>
      </c>
      <c r="B265" s="7" t="n">
        <v>45371</v>
      </c>
      <c r="C265" s="8" t="n">
        <v>5801</v>
      </c>
      <c r="D265" s="8" t="n">
        <v>135</v>
      </c>
      <c r="E265" s="8" t="n">
        <v>2020</v>
      </c>
      <c r="F265" s="8" t="s">
        <v>2200</v>
      </c>
      <c r="G265" s="8" t="s">
        <v>2201</v>
      </c>
      <c r="H265" s="8" t="s">
        <v>2257</v>
      </c>
    </row>
    <row r="266" customFormat="false" ht="15" hidden="false" customHeight="false" outlineLevel="0" collapsed="false">
      <c r="A266" s="7" t="n">
        <v>45274</v>
      </c>
      <c r="B266" s="7" t="n">
        <v>45401</v>
      </c>
      <c r="C266" s="8" t="n">
        <v>5801</v>
      </c>
      <c r="D266" s="8" t="n">
        <v>0</v>
      </c>
      <c r="E266" s="8" t="n">
        <v>0</v>
      </c>
      <c r="F266" s="8" t="s">
        <v>2200</v>
      </c>
      <c r="G266" s="8" t="s">
        <v>2201</v>
      </c>
      <c r="H266" s="8" t="s">
        <v>2257</v>
      </c>
    </row>
    <row r="267" customFormat="false" ht="15" hidden="false" customHeight="false" outlineLevel="0" collapsed="false">
      <c r="A267" s="7" t="n">
        <v>45275</v>
      </c>
      <c r="B267" s="7" t="n">
        <v>45280</v>
      </c>
      <c r="C267" s="8" t="n">
        <v>5735</v>
      </c>
      <c r="D267" s="8" t="n">
        <v>25</v>
      </c>
      <c r="E267" s="8" t="n">
        <v>3285</v>
      </c>
      <c r="F267" s="8" t="s">
        <v>2200</v>
      </c>
      <c r="G267" s="8" t="s">
        <v>2201</v>
      </c>
      <c r="H267" s="8" t="s">
        <v>2258</v>
      </c>
    </row>
    <row r="268" customFormat="false" ht="15" hidden="false" customHeight="false" outlineLevel="0" collapsed="false">
      <c r="A268" s="7" t="n">
        <v>45275</v>
      </c>
      <c r="B268" s="7" t="n">
        <v>45310</v>
      </c>
      <c r="C268" s="8" t="n">
        <v>5785</v>
      </c>
      <c r="D268" s="8" t="n">
        <v>8925</v>
      </c>
      <c r="E268" s="8" t="n">
        <v>21030</v>
      </c>
      <c r="F268" s="8" t="s">
        <v>2200</v>
      </c>
      <c r="G268" s="8" t="s">
        <v>2201</v>
      </c>
      <c r="H268" s="8" t="s">
        <v>2258</v>
      </c>
    </row>
    <row r="269" customFormat="false" ht="15" hidden="false" customHeight="false" outlineLevel="0" collapsed="false">
      <c r="A269" s="7" t="n">
        <v>45275</v>
      </c>
      <c r="B269" s="7" t="n">
        <v>45342</v>
      </c>
      <c r="C269" s="8" t="n">
        <v>5789</v>
      </c>
      <c r="D269" s="8" t="n">
        <v>1785</v>
      </c>
      <c r="E269" s="8" t="n">
        <v>6700</v>
      </c>
      <c r="F269" s="8" t="s">
        <v>2200</v>
      </c>
      <c r="G269" s="8" t="s">
        <v>2201</v>
      </c>
      <c r="H269" s="8" t="s">
        <v>2258</v>
      </c>
    </row>
    <row r="270" customFormat="false" ht="15" hidden="false" customHeight="false" outlineLevel="0" collapsed="false">
      <c r="A270" s="7" t="n">
        <v>45275</v>
      </c>
      <c r="B270" s="7" t="n">
        <v>45371</v>
      </c>
      <c r="C270" s="8" t="n">
        <v>5748</v>
      </c>
      <c r="D270" s="8" t="n">
        <v>355</v>
      </c>
      <c r="E270" s="8" t="n">
        <v>2115</v>
      </c>
      <c r="F270" s="8" t="s">
        <v>2200</v>
      </c>
      <c r="G270" s="8" t="s">
        <v>2201</v>
      </c>
      <c r="H270" s="8" t="s">
        <v>2258</v>
      </c>
    </row>
    <row r="271" customFormat="false" ht="15" hidden="false" customHeight="false" outlineLevel="0" collapsed="false">
      <c r="A271" s="7" t="n">
        <v>45275</v>
      </c>
      <c r="B271" s="7" t="n">
        <v>45401</v>
      </c>
      <c r="C271" s="8" t="n">
        <v>5748</v>
      </c>
      <c r="D271" s="8" t="n">
        <v>0</v>
      </c>
      <c r="E271" s="8" t="n">
        <v>0</v>
      </c>
      <c r="F271" s="8" t="s">
        <v>2200</v>
      </c>
      <c r="G271" s="8" t="s">
        <v>2201</v>
      </c>
      <c r="H271" s="8" t="s">
        <v>2258</v>
      </c>
    </row>
    <row r="272" customFormat="false" ht="15" hidden="false" customHeight="false" outlineLevel="0" collapsed="false">
      <c r="A272" s="7" t="n">
        <v>45278</v>
      </c>
      <c r="B272" s="7" t="n">
        <v>45280</v>
      </c>
      <c r="C272" s="8" t="n">
        <v>5683</v>
      </c>
      <c r="D272" s="8" t="n">
        <v>75</v>
      </c>
      <c r="E272" s="8" t="n">
        <v>625</v>
      </c>
      <c r="F272" s="8" t="s">
        <v>2200</v>
      </c>
      <c r="G272" s="8" t="s">
        <v>2201</v>
      </c>
      <c r="H272" s="8" t="s">
        <v>2259</v>
      </c>
    </row>
    <row r="273" customFormat="false" ht="15" hidden="false" customHeight="false" outlineLevel="0" collapsed="false">
      <c r="A273" s="7" t="n">
        <v>45278</v>
      </c>
      <c r="B273" s="7" t="n">
        <v>45310</v>
      </c>
      <c r="C273" s="8" t="n">
        <v>5764</v>
      </c>
      <c r="D273" s="8" t="n">
        <v>5275</v>
      </c>
      <c r="E273" s="8" t="n">
        <v>20850</v>
      </c>
      <c r="F273" s="8" t="s">
        <v>2200</v>
      </c>
      <c r="G273" s="8" t="s">
        <v>2201</v>
      </c>
      <c r="H273" s="8" t="s">
        <v>2259</v>
      </c>
    </row>
    <row r="274" customFormat="false" ht="15" hidden="false" customHeight="false" outlineLevel="0" collapsed="false">
      <c r="A274" s="7" t="n">
        <v>45278</v>
      </c>
      <c r="B274" s="7" t="n">
        <v>45342</v>
      </c>
      <c r="C274" s="8" t="n">
        <v>5755</v>
      </c>
      <c r="D274" s="8" t="n">
        <v>1790</v>
      </c>
      <c r="E274" s="8" t="n">
        <v>7345</v>
      </c>
      <c r="F274" s="8" t="s">
        <v>2200</v>
      </c>
      <c r="G274" s="8" t="s">
        <v>2201</v>
      </c>
      <c r="H274" s="8" t="s">
        <v>2259</v>
      </c>
    </row>
    <row r="275" customFormat="false" ht="15" hidden="false" customHeight="false" outlineLevel="0" collapsed="false">
      <c r="A275" s="7" t="n">
        <v>45278</v>
      </c>
      <c r="B275" s="7" t="n">
        <v>45371</v>
      </c>
      <c r="C275" s="8" t="n">
        <v>5727</v>
      </c>
      <c r="D275" s="8" t="n">
        <v>315</v>
      </c>
      <c r="E275" s="8" t="n">
        <v>2290</v>
      </c>
      <c r="F275" s="8" t="s">
        <v>2200</v>
      </c>
      <c r="G275" s="8" t="s">
        <v>2201</v>
      </c>
      <c r="H275" s="8" t="s">
        <v>2259</v>
      </c>
    </row>
    <row r="276" customFormat="false" ht="15" hidden="false" customHeight="false" outlineLevel="0" collapsed="false">
      <c r="A276" s="7" t="n">
        <v>45278</v>
      </c>
      <c r="B276" s="7" t="n">
        <v>45401</v>
      </c>
      <c r="C276" s="8" t="n">
        <v>5727</v>
      </c>
      <c r="D276" s="8" t="n">
        <v>0</v>
      </c>
      <c r="E276" s="8" t="n">
        <v>0</v>
      </c>
      <c r="F276" s="8" t="s">
        <v>2200</v>
      </c>
      <c r="G276" s="8" t="s">
        <v>2201</v>
      </c>
      <c r="H276" s="8" t="s">
        <v>2259</v>
      </c>
    </row>
    <row r="277" customFormat="false" ht="15" hidden="false" customHeight="false" outlineLevel="0" collapsed="false">
      <c r="A277" s="7" t="n">
        <v>45279</v>
      </c>
      <c r="B277" s="7" t="n">
        <v>45280</v>
      </c>
      <c r="C277" s="8" t="n">
        <v>5746</v>
      </c>
      <c r="D277" s="8" t="n">
        <v>55</v>
      </c>
      <c r="E277" s="8" t="n">
        <v>615</v>
      </c>
      <c r="F277" s="8" t="s">
        <v>2200</v>
      </c>
      <c r="G277" s="8" t="s">
        <v>2201</v>
      </c>
      <c r="H277" s="8" t="s">
        <v>2260</v>
      </c>
    </row>
    <row r="278" customFormat="false" ht="15" hidden="false" customHeight="false" outlineLevel="0" collapsed="false">
      <c r="A278" s="7" t="n">
        <v>45279</v>
      </c>
      <c r="B278" s="7" t="n">
        <v>45310</v>
      </c>
      <c r="C278" s="8" t="n">
        <v>5808</v>
      </c>
      <c r="D278" s="8" t="n">
        <v>2730</v>
      </c>
      <c r="E278" s="8" t="n">
        <v>20785</v>
      </c>
      <c r="F278" s="8" t="s">
        <v>2200</v>
      </c>
      <c r="G278" s="8" t="s">
        <v>2201</v>
      </c>
      <c r="H278" s="8" t="s">
        <v>2260</v>
      </c>
    </row>
    <row r="279" customFormat="false" ht="15" hidden="false" customHeight="false" outlineLevel="0" collapsed="false">
      <c r="A279" s="7" t="n">
        <v>45279</v>
      </c>
      <c r="B279" s="7" t="n">
        <v>45342</v>
      </c>
      <c r="C279" s="8" t="n">
        <v>5801</v>
      </c>
      <c r="D279" s="8" t="n">
        <v>915</v>
      </c>
      <c r="E279" s="8" t="n">
        <v>7640</v>
      </c>
      <c r="F279" s="8" t="s">
        <v>2200</v>
      </c>
      <c r="G279" s="8" t="s">
        <v>2201</v>
      </c>
      <c r="H279" s="8" t="s">
        <v>2260</v>
      </c>
    </row>
    <row r="280" customFormat="false" ht="15" hidden="false" customHeight="false" outlineLevel="0" collapsed="false">
      <c r="A280" s="7" t="n">
        <v>45279</v>
      </c>
      <c r="B280" s="7" t="n">
        <v>45371</v>
      </c>
      <c r="C280" s="8" t="n">
        <v>5744</v>
      </c>
      <c r="D280" s="8" t="n">
        <v>100</v>
      </c>
      <c r="E280" s="8" t="n">
        <v>2355</v>
      </c>
      <c r="F280" s="8" t="s">
        <v>2200</v>
      </c>
      <c r="G280" s="8" t="s">
        <v>2201</v>
      </c>
      <c r="H280" s="8" t="s">
        <v>2260</v>
      </c>
    </row>
    <row r="281" customFormat="false" ht="15" hidden="false" customHeight="false" outlineLevel="0" collapsed="false">
      <c r="A281" s="7" t="n">
        <v>45279</v>
      </c>
      <c r="B281" s="7" t="n">
        <v>45401</v>
      </c>
      <c r="C281" s="8" t="n">
        <v>5744</v>
      </c>
      <c r="D281" s="8" t="n">
        <v>0</v>
      </c>
      <c r="E281" s="8" t="n">
        <v>0</v>
      </c>
      <c r="F281" s="8" t="s">
        <v>2200</v>
      </c>
      <c r="G281" s="8" t="s">
        <v>2201</v>
      </c>
      <c r="H281" s="8" t="s">
        <v>2260</v>
      </c>
    </row>
    <row r="282" customFormat="false" ht="15" hidden="false" customHeight="false" outlineLevel="0" collapsed="false">
      <c r="A282" s="7" t="n">
        <v>45280</v>
      </c>
      <c r="B282" s="7" t="n">
        <v>45280</v>
      </c>
      <c r="C282" s="8" t="n">
        <v>5710</v>
      </c>
      <c r="D282" s="8" t="n">
        <v>225</v>
      </c>
      <c r="E282" s="8" t="n">
        <v>535</v>
      </c>
      <c r="F282" s="8" t="s">
        <v>2200</v>
      </c>
      <c r="G282" s="8" t="s">
        <v>2201</v>
      </c>
      <c r="H282" s="8" t="s">
        <v>2261</v>
      </c>
    </row>
    <row r="283" customFormat="false" ht="15" hidden="false" customHeight="false" outlineLevel="0" collapsed="false">
      <c r="A283" s="7" t="n">
        <v>45280</v>
      </c>
      <c r="B283" s="7" t="n">
        <v>45310</v>
      </c>
      <c r="C283" s="8" t="n">
        <v>5728</v>
      </c>
      <c r="D283" s="8" t="n">
        <v>7200</v>
      </c>
      <c r="E283" s="8" t="n">
        <v>20105</v>
      </c>
      <c r="F283" s="8" t="s">
        <v>2200</v>
      </c>
      <c r="G283" s="8" t="s">
        <v>2201</v>
      </c>
      <c r="H283" s="8" t="s">
        <v>2261</v>
      </c>
    </row>
    <row r="284" customFormat="false" ht="15" hidden="false" customHeight="false" outlineLevel="0" collapsed="false">
      <c r="A284" s="7" t="n">
        <v>45280</v>
      </c>
      <c r="B284" s="7" t="n">
        <v>45342</v>
      </c>
      <c r="C284" s="8" t="n">
        <v>5696</v>
      </c>
      <c r="D284" s="8" t="n">
        <v>3620</v>
      </c>
      <c r="E284" s="8" t="n">
        <v>9645</v>
      </c>
      <c r="F284" s="8" t="s">
        <v>2200</v>
      </c>
      <c r="G284" s="8" t="s">
        <v>2201</v>
      </c>
      <c r="H284" s="8" t="s">
        <v>2261</v>
      </c>
    </row>
    <row r="285" customFormat="false" ht="15" hidden="false" customHeight="false" outlineLevel="0" collapsed="false">
      <c r="A285" s="7" t="n">
        <v>45280</v>
      </c>
      <c r="B285" s="7" t="n">
        <v>45371</v>
      </c>
      <c r="C285" s="8" t="n">
        <v>5679</v>
      </c>
      <c r="D285" s="8" t="n">
        <v>195</v>
      </c>
      <c r="E285" s="8" t="n">
        <v>2395</v>
      </c>
      <c r="F285" s="8" t="s">
        <v>2200</v>
      </c>
      <c r="G285" s="8" t="s">
        <v>2201</v>
      </c>
      <c r="H285" s="8" t="s">
        <v>2261</v>
      </c>
    </row>
    <row r="286" customFormat="false" ht="15" hidden="false" customHeight="false" outlineLevel="0" collapsed="false">
      <c r="A286" s="7" t="n">
        <v>45280</v>
      </c>
      <c r="B286" s="7" t="n">
        <v>45401</v>
      </c>
      <c r="C286" s="8" t="n">
        <v>5679</v>
      </c>
      <c r="D286" s="8" t="n">
        <v>0</v>
      </c>
      <c r="E286" s="8" t="n">
        <v>0</v>
      </c>
      <c r="F286" s="8" t="s">
        <v>2200</v>
      </c>
      <c r="G286" s="8" t="s">
        <v>2201</v>
      </c>
      <c r="H286" s="8" t="s">
        <v>2261</v>
      </c>
    </row>
    <row r="287" customFormat="false" ht="15" hidden="false" customHeight="false" outlineLevel="0" collapsed="false">
      <c r="A287" s="7" t="n">
        <v>45281</v>
      </c>
      <c r="B287" s="7" t="n">
        <v>45310</v>
      </c>
      <c r="C287" s="8" t="n">
        <v>5728</v>
      </c>
      <c r="D287" s="8" t="n">
        <v>8990</v>
      </c>
      <c r="E287" s="8" t="n">
        <v>19115</v>
      </c>
      <c r="F287" s="8" t="s">
        <v>2200</v>
      </c>
      <c r="G287" s="8" t="s">
        <v>2201</v>
      </c>
      <c r="H287" s="8" t="s">
        <v>2262</v>
      </c>
    </row>
    <row r="288" customFormat="false" ht="15" hidden="false" customHeight="false" outlineLevel="0" collapsed="false">
      <c r="A288" s="7" t="n">
        <v>45281</v>
      </c>
      <c r="B288" s="7" t="n">
        <v>45342</v>
      </c>
      <c r="C288" s="8" t="n">
        <v>5718</v>
      </c>
      <c r="D288" s="8" t="n">
        <v>3370</v>
      </c>
      <c r="E288" s="8" t="n">
        <v>11615</v>
      </c>
      <c r="F288" s="8" t="s">
        <v>2200</v>
      </c>
      <c r="G288" s="8" t="s">
        <v>2201</v>
      </c>
      <c r="H288" s="8" t="s">
        <v>2262</v>
      </c>
    </row>
    <row r="289" customFormat="false" ht="15" hidden="false" customHeight="false" outlineLevel="0" collapsed="false">
      <c r="A289" s="7" t="n">
        <v>45281</v>
      </c>
      <c r="B289" s="7" t="n">
        <v>45371</v>
      </c>
      <c r="C289" s="8" t="n">
        <v>5692</v>
      </c>
      <c r="D289" s="8" t="n">
        <v>75</v>
      </c>
      <c r="E289" s="8" t="n">
        <v>2415</v>
      </c>
      <c r="F289" s="8" t="s">
        <v>2200</v>
      </c>
      <c r="G289" s="8" t="s">
        <v>2201</v>
      </c>
      <c r="H289" s="8" t="s">
        <v>2262</v>
      </c>
    </row>
    <row r="290" customFormat="false" ht="15" hidden="false" customHeight="false" outlineLevel="0" collapsed="false">
      <c r="A290" s="7" t="n">
        <v>45281</v>
      </c>
      <c r="B290" s="7" t="n">
        <v>45401</v>
      </c>
      <c r="C290" s="8" t="n">
        <v>5692</v>
      </c>
      <c r="D290" s="8" t="n">
        <v>0</v>
      </c>
      <c r="E290" s="8" t="n">
        <v>0</v>
      </c>
      <c r="F290" s="8" t="s">
        <v>2200</v>
      </c>
      <c r="G290" s="8" t="s">
        <v>2201</v>
      </c>
      <c r="H290" s="8" t="s">
        <v>2262</v>
      </c>
    </row>
    <row r="291" customFormat="false" ht="15" hidden="false" customHeight="false" outlineLevel="0" collapsed="false">
      <c r="A291" s="7" t="n">
        <v>45282</v>
      </c>
      <c r="B291" s="7" t="n">
        <v>45310</v>
      </c>
      <c r="C291" s="8" t="n">
        <v>5767</v>
      </c>
      <c r="D291" s="8" t="n">
        <v>3190</v>
      </c>
      <c r="E291" s="8" t="n">
        <v>19090</v>
      </c>
      <c r="F291" s="8" t="s">
        <v>2200</v>
      </c>
      <c r="G291" s="8" t="s">
        <v>2201</v>
      </c>
      <c r="H291" s="8" t="s">
        <v>2263</v>
      </c>
    </row>
    <row r="292" customFormat="false" ht="15" hidden="false" customHeight="false" outlineLevel="0" collapsed="false">
      <c r="A292" s="7" t="n">
        <v>45282</v>
      </c>
      <c r="B292" s="7" t="n">
        <v>45342</v>
      </c>
      <c r="C292" s="8" t="n">
        <v>5745</v>
      </c>
      <c r="D292" s="8" t="n">
        <v>980</v>
      </c>
      <c r="E292" s="8" t="n">
        <v>11835</v>
      </c>
      <c r="F292" s="8" t="s">
        <v>2200</v>
      </c>
      <c r="G292" s="8" t="s">
        <v>2201</v>
      </c>
      <c r="H292" s="8" t="s">
        <v>2263</v>
      </c>
    </row>
    <row r="293" customFormat="false" ht="15" hidden="false" customHeight="false" outlineLevel="0" collapsed="false">
      <c r="A293" s="7" t="n">
        <v>45282</v>
      </c>
      <c r="B293" s="7" t="n">
        <v>45371</v>
      </c>
      <c r="C293" s="8" t="n">
        <v>5720</v>
      </c>
      <c r="D293" s="8" t="n">
        <v>135</v>
      </c>
      <c r="E293" s="8" t="n">
        <v>2515</v>
      </c>
      <c r="F293" s="8" t="s">
        <v>2200</v>
      </c>
      <c r="G293" s="8" t="s">
        <v>2201</v>
      </c>
      <c r="H293" s="8" t="s">
        <v>2263</v>
      </c>
    </row>
    <row r="294" customFormat="false" ht="15" hidden="false" customHeight="false" outlineLevel="0" collapsed="false">
      <c r="A294" s="7" t="n">
        <v>45282</v>
      </c>
      <c r="B294" s="7" t="n">
        <v>45401</v>
      </c>
      <c r="C294" s="8" t="n">
        <v>5720</v>
      </c>
      <c r="D294" s="8" t="n">
        <v>0</v>
      </c>
      <c r="E294" s="8" t="n">
        <v>0</v>
      </c>
      <c r="F294" s="8" t="s">
        <v>2200</v>
      </c>
      <c r="G294" s="8" t="s">
        <v>2201</v>
      </c>
      <c r="H294" s="8" t="s">
        <v>2263</v>
      </c>
    </row>
    <row r="295" customFormat="false" ht="15" hidden="false" customHeight="false" outlineLevel="0" collapsed="false">
      <c r="A295" s="7" t="n">
        <v>45286</v>
      </c>
      <c r="B295" s="7" t="n">
        <v>45310</v>
      </c>
      <c r="C295" s="8" t="n">
        <v>5736</v>
      </c>
      <c r="D295" s="8" t="n">
        <v>1870</v>
      </c>
      <c r="E295" s="8" t="n">
        <v>18695</v>
      </c>
      <c r="F295" s="8" t="s">
        <v>2200</v>
      </c>
      <c r="G295" s="8" t="s">
        <v>2201</v>
      </c>
      <c r="H295" s="8" t="s">
        <v>2264</v>
      </c>
    </row>
    <row r="296" customFormat="false" ht="15" hidden="false" customHeight="false" outlineLevel="0" collapsed="false">
      <c r="A296" s="7" t="n">
        <v>45286</v>
      </c>
      <c r="B296" s="7" t="n">
        <v>45342</v>
      </c>
      <c r="C296" s="8" t="n">
        <v>5723</v>
      </c>
      <c r="D296" s="8" t="n">
        <v>790</v>
      </c>
      <c r="E296" s="8" t="n">
        <v>12225</v>
      </c>
      <c r="F296" s="8" t="s">
        <v>2200</v>
      </c>
      <c r="G296" s="8" t="s">
        <v>2201</v>
      </c>
      <c r="H296" s="8" t="s">
        <v>2264</v>
      </c>
    </row>
    <row r="297" customFormat="false" ht="15" hidden="false" customHeight="false" outlineLevel="0" collapsed="false">
      <c r="A297" s="7" t="n">
        <v>45286</v>
      </c>
      <c r="B297" s="7" t="n">
        <v>45371</v>
      </c>
      <c r="C297" s="8" t="n">
        <v>5723</v>
      </c>
      <c r="D297" s="8" t="n">
        <v>0</v>
      </c>
      <c r="E297" s="8" t="n">
        <v>2515</v>
      </c>
      <c r="F297" s="8" t="s">
        <v>2200</v>
      </c>
      <c r="G297" s="8" t="s">
        <v>2201</v>
      </c>
      <c r="H297" s="8" t="s">
        <v>2264</v>
      </c>
    </row>
    <row r="298" customFormat="false" ht="15" hidden="false" customHeight="false" outlineLevel="0" collapsed="false">
      <c r="A298" s="7" t="n">
        <v>45286</v>
      </c>
      <c r="B298" s="7" t="n">
        <v>45401</v>
      </c>
      <c r="C298" s="8" t="n">
        <v>5723</v>
      </c>
      <c r="D298" s="8" t="n">
        <v>0</v>
      </c>
      <c r="E298" s="8" t="n">
        <v>0</v>
      </c>
      <c r="F298" s="8" t="s">
        <v>2200</v>
      </c>
      <c r="G298" s="8" t="s">
        <v>2201</v>
      </c>
      <c r="H298" s="8" t="s">
        <v>2264</v>
      </c>
    </row>
    <row r="299" customFormat="false" ht="15" hidden="false" customHeight="false" outlineLevel="0" collapsed="false">
      <c r="A299" s="7" t="n">
        <v>45287</v>
      </c>
      <c r="B299" s="7" t="n">
        <v>45310</v>
      </c>
      <c r="C299" s="8" t="n">
        <v>5739</v>
      </c>
      <c r="D299" s="8" t="n">
        <v>3265</v>
      </c>
      <c r="E299" s="8" t="n">
        <v>17730</v>
      </c>
      <c r="F299" s="8" t="s">
        <v>2200</v>
      </c>
      <c r="G299" s="8" t="s">
        <v>2201</v>
      </c>
      <c r="H299" s="8" t="s">
        <v>2265</v>
      </c>
    </row>
    <row r="300" customFormat="false" ht="15" hidden="false" customHeight="false" outlineLevel="0" collapsed="false">
      <c r="A300" s="7" t="n">
        <v>45287</v>
      </c>
      <c r="B300" s="7" t="n">
        <v>45342</v>
      </c>
      <c r="C300" s="8" t="n">
        <v>5729</v>
      </c>
      <c r="D300" s="8" t="n">
        <v>1550</v>
      </c>
      <c r="E300" s="8" t="n">
        <v>13005</v>
      </c>
      <c r="F300" s="8" t="s">
        <v>2200</v>
      </c>
      <c r="G300" s="8" t="s">
        <v>2201</v>
      </c>
      <c r="H300" s="8" t="s">
        <v>2265</v>
      </c>
    </row>
    <row r="301" customFormat="false" ht="15" hidden="false" customHeight="false" outlineLevel="0" collapsed="false">
      <c r="A301" s="7" t="n">
        <v>45287</v>
      </c>
      <c r="B301" s="7" t="n">
        <v>45371</v>
      </c>
      <c r="C301" s="8" t="n">
        <v>5640</v>
      </c>
      <c r="D301" s="8" t="n">
        <v>75</v>
      </c>
      <c r="E301" s="8" t="n">
        <v>2535</v>
      </c>
      <c r="F301" s="8" t="s">
        <v>2200</v>
      </c>
      <c r="G301" s="8" t="s">
        <v>2201</v>
      </c>
      <c r="H301" s="8" t="s">
        <v>2265</v>
      </c>
    </row>
    <row r="302" customFormat="false" ht="15" hidden="false" customHeight="false" outlineLevel="0" collapsed="false">
      <c r="A302" s="7" t="n">
        <v>45287</v>
      </c>
      <c r="B302" s="7" t="n">
        <v>45401</v>
      </c>
      <c r="C302" s="8" t="n">
        <v>5640</v>
      </c>
      <c r="D302" s="8" t="n">
        <v>0</v>
      </c>
      <c r="E302" s="8" t="n">
        <v>0</v>
      </c>
      <c r="F302" s="8" t="s">
        <v>2200</v>
      </c>
      <c r="G302" s="8" t="s">
        <v>2201</v>
      </c>
      <c r="H302" s="8" t="s">
        <v>2265</v>
      </c>
    </row>
    <row r="303" customFormat="false" ht="15" hidden="false" customHeight="false" outlineLevel="0" collapsed="false">
      <c r="A303" s="7" t="n">
        <v>45288</v>
      </c>
      <c r="B303" s="7" t="n">
        <v>45310</v>
      </c>
      <c r="C303" s="8" t="n">
        <v>5740</v>
      </c>
      <c r="D303" s="8" t="n">
        <v>3345</v>
      </c>
      <c r="E303" s="8" t="n">
        <v>16460</v>
      </c>
      <c r="F303" s="8" t="s">
        <v>2200</v>
      </c>
      <c r="G303" s="8" t="s">
        <v>2201</v>
      </c>
      <c r="H303" s="8" t="s">
        <v>2266</v>
      </c>
    </row>
    <row r="304" customFormat="false" ht="15" hidden="false" customHeight="false" outlineLevel="0" collapsed="false">
      <c r="A304" s="7" t="n">
        <v>45288</v>
      </c>
      <c r="B304" s="7" t="n">
        <v>45342</v>
      </c>
      <c r="C304" s="8" t="n">
        <v>5751</v>
      </c>
      <c r="D304" s="8" t="n">
        <v>2345</v>
      </c>
      <c r="E304" s="8" t="n">
        <v>14785</v>
      </c>
      <c r="F304" s="8" t="s">
        <v>2200</v>
      </c>
      <c r="G304" s="8" t="s">
        <v>2201</v>
      </c>
      <c r="H304" s="8" t="s">
        <v>2266</v>
      </c>
    </row>
    <row r="305" customFormat="false" ht="15" hidden="false" customHeight="false" outlineLevel="0" collapsed="false">
      <c r="A305" s="7" t="n">
        <v>45288</v>
      </c>
      <c r="B305" s="7" t="n">
        <v>45371</v>
      </c>
      <c r="C305" s="8" t="n">
        <v>5756</v>
      </c>
      <c r="D305" s="8" t="n">
        <v>75</v>
      </c>
      <c r="E305" s="8" t="n">
        <v>2565</v>
      </c>
      <c r="F305" s="8" t="s">
        <v>2200</v>
      </c>
      <c r="G305" s="8" t="s">
        <v>2201</v>
      </c>
      <c r="H305" s="8" t="s">
        <v>2266</v>
      </c>
    </row>
    <row r="306" customFormat="false" ht="15" hidden="false" customHeight="false" outlineLevel="0" collapsed="false">
      <c r="A306" s="7" t="n">
        <v>45288</v>
      </c>
      <c r="B306" s="7" t="n">
        <v>45401</v>
      </c>
      <c r="C306" s="8" t="n">
        <v>5761</v>
      </c>
      <c r="D306" s="8" t="n">
        <v>0</v>
      </c>
      <c r="E306" s="8" t="n">
        <v>0</v>
      </c>
      <c r="F306" s="8" t="s">
        <v>2200</v>
      </c>
      <c r="G306" s="8" t="s">
        <v>2201</v>
      </c>
      <c r="H306" s="8" t="s">
        <v>2266</v>
      </c>
    </row>
    <row r="307" customFormat="false" ht="15" hidden="false" customHeight="false" outlineLevel="0" collapsed="false">
      <c r="A307" s="7" t="n">
        <v>45289</v>
      </c>
      <c r="B307" s="7" t="n">
        <v>45310</v>
      </c>
      <c r="C307" s="8" t="n">
        <v>5724</v>
      </c>
      <c r="D307" s="8" t="n">
        <v>3235</v>
      </c>
      <c r="E307" s="8" t="n">
        <v>15925</v>
      </c>
      <c r="F307" s="8" t="s">
        <v>2200</v>
      </c>
      <c r="G307" s="8" t="s">
        <v>2201</v>
      </c>
      <c r="H307" s="8" t="s">
        <v>2267</v>
      </c>
    </row>
    <row r="308" customFormat="false" ht="15" hidden="false" customHeight="false" outlineLevel="0" collapsed="false">
      <c r="A308" s="7" t="n">
        <v>45289</v>
      </c>
      <c r="B308" s="7" t="n">
        <v>45342</v>
      </c>
      <c r="C308" s="8" t="n">
        <v>5737</v>
      </c>
      <c r="D308" s="8" t="n">
        <v>2665</v>
      </c>
      <c r="E308" s="8" t="n">
        <v>15350</v>
      </c>
      <c r="F308" s="8" t="s">
        <v>2200</v>
      </c>
      <c r="G308" s="8" t="s">
        <v>2201</v>
      </c>
      <c r="H308" s="8" t="s">
        <v>2267</v>
      </c>
    </row>
    <row r="309" customFormat="false" ht="15" hidden="false" customHeight="false" outlineLevel="0" collapsed="false">
      <c r="A309" s="7" t="n">
        <v>45289</v>
      </c>
      <c r="B309" s="7" t="n">
        <v>45371</v>
      </c>
      <c r="C309" s="8" t="n">
        <v>5727</v>
      </c>
      <c r="D309" s="8" t="n">
        <v>1115</v>
      </c>
      <c r="E309" s="8" t="n">
        <v>3225</v>
      </c>
      <c r="F309" s="8" t="s">
        <v>2200</v>
      </c>
      <c r="G309" s="8" t="s">
        <v>2201</v>
      </c>
      <c r="H309" s="8" t="s">
        <v>2267</v>
      </c>
    </row>
    <row r="310" customFormat="false" ht="15" hidden="false" customHeight="false" outlineLevel="0" collapsed="false">
      <c r="A310" s="7" t="n">
        <v>45289</v>
      </c>
      <c r="B310" s="7" t="n">
        <v>45401</v>
      </c>
      <c r="C310" s="8" t="n">
        <v>5727</v>
      </c>
      <c r="D310" s="8" t="n">
        <v>0</v>
      </c>
      <c r="E310" s="8" t="n">
        <v>0</v>
      </c>
      <c r="F310" s="8" t="s">
        <v>2200</v>
      </c>
      <c r="G310" s="8" t="s">
        <v>2201</v>
      </c>
      <c r="H310" s="8" t="s">
        <v>2267</v>
      </c>
    </row>
    <row r="311" customFormat="false" ht="15" hidden="false" customHeight="false" outlineLevel="0" collapsed="false">
      <c r="A311" s="7" t="n">
        <v>45292</v>
      </c>
      <c r="B311" s="7" t="n">
        <v>45310</v>
      </c>
      <c r="C311" s="8" t="n">
        <v>5667</v>
      </c>
      <c r="D311" s="8" t="n">
        <v>6945</v>
      </c>
      <c r="E311" s="8" t="n">
        <v>14005</v>
      </c>
      <c r="F311" s="8" t="s">
        <v>2200</v>
      </c>
      <c r="G311" s="8" t="s">
        <v>2201</v>
      </c>
      <c r="H311" s="8" t="s">
        <v>2268</v>
      </c>
    </row>
    <row r="312" customFormat="false" ht="15" hidden="false" customHeight="false" outlineLevel="0" collapsed="false">
      <c r="A312" s="7" t="n">
        <v>45292</v>
      </c>
      <c r="B312" s="7" t="n">
        <v>45342</v>
      </c>
      <c r="C312" s="8" t="n">
        <v>5695</v>
      </c>
      <c r="D312" s="8" t="n">
        <v>7090</v>
      </c>
      <c r="E312" s="8" t="n">
        <v>16060</v>
      </c>
      <c r="F312" s="8" t="s">
        <v>2200</v>
      </c>
      <c r="G312" s="8" t="s">
        <v>2201</v>
      </c>
      <c r="H312" s="8" t="s">
        <v>2268</v>
      </c>
    </row>
    <row r="313" customFormat="false" ht="15" hidden="false" customHeight="false" outlineLevel="0" collapsed="false">
      <c r="A313" s="7" t="n">
        <v>45292</v>
      </c>
      <c r="B313" s="7" t="n">
        <v>45371</v>
      </c>
      <c r="C313" s="8" t="n">
        <v>5701</v>
      </c>
      <c r="D313" s="8" t="n">
        <v>2510</v>
      </c>
      <c r="E313" s="8" t="n">
        <v>4600</v>
      </c>
      <c r="F313" s="8" t="s">
        <v>2200</v>
      </c>
      <c r="G313" s="8" t="s">
        <v>2201</v>
      </c>
      <c r="H313" s="8" t="s">
        <v>2268</v>
      </c>
    </row>
    <row r="314" customFormat="false" ht="15" hidden="false" customHeight="false" outlineLevel="0" collapsed="false">
      <c r="A314" s="7" t="n">
        <v>45292</v>
      </c>
      <c r="B314" s="7" t="n">
        <v>45401</v>
      </c>
      <c r="C314" s="8" t="n">
        <v>5785</v>
      </c>
      <c r="D314" s="8" t="n">
        <v>5</v>
      </c>
      <c r="E314" s="8" t="n">
        <v>5</v>
      </c>
      <c r="F314" s="8" t="s">
        <v>2200</v>
      </c>
      <c r="G314" s="8" t="s">
        <v>2201</v>
      </c>
      <c r="H314" s="8" t="s">
        <v>2268</v>
      </c>
    </row>
    <row r="315" customFormat="false" ht="15" hidden="false" customHeight="false" outlineLevel="0" collapsed="false">
      <c r="A315" s="7" t="n">
        <v>45292</v>
      </c>
      <c r="B315" s="7" t="n">
        <v>45432</v>
      </c>
      <c r="C315" s="8" t="n">
        <v>5785</v>
      </c>
      <c r="D315" s="8" t="n">
        <v>0</v>
      </c>
      <c r="E315" s="8" t="n">
        <v>0</v>
      </c>
      <c r="F315" s="8" t="s">
        <v>2200</v>
      </c>
      <c r="G315" s="8" t="s">
        <v>2201</v>
      </c>
      <c r="H315" s="8" t="s">
        <v>2268</v>
      </c>
    </row>
    <row r="316" customFormat="false" ht="15" hidden="false" customHeight="false" outlineLevel="0" collapsed="false">
      <c r="A316" s="7" t="n">
        <v>45293</v>
      </c>
      <c r="B316" s="7" t="n">
        <v>45310</v>
      </c>
      <c r="C316" s="8" t="n">
        <v>5670</v>
      </c>
      <c r="D316" s="8" t="n">
        <v>3650</v>
      </c>
      <c r="E316" s="8" t="n">
        <v>11770</v>
      </c>
      <c r="F316" s="8" t="s">
        <v>2200</v>
      </c>
      <c r="G316" s="8" t="s">
        <v>2201</v>
      </c>
      <c r="H316" s="8" t="s">
        <v>2269</v>
      </c>
    </row>
    <row r="317" customFormat="false" ht="15" hidden="false" customHeight="false" outlineLevel="0" collapsed="false">
      <c r="A317" s="7" t="n">
        <v>45293</v>
      </c>
      <c r="B317" s="7" t="n">
        <v>45342</v>
      </c>
      <c r="C317" s="8" t="n">
        <v>5708</v>
      </c>
      <c r="D317" s="8" t="n">
        <v>4520</v>
      </c>
      <c r="E317" s="8" t="n">
        <v>16765</v>
      </c>
      <c r="F317" s="8" t="s">
        <v>2200</v>
      </c>
      <c r="G317" s="8" t="s">
        <v>2201</v>
      </c>
      <c r="H317" s="8" t="s">
        <v>2269</v>
      </c>
    </row>
    <row r="318" customFormat="false" ht="15" hidden="false" customHeight="false" outlineLevel="0" collapsed="false">
      <c r="A318" s="7" t="n">
        <v>45293</v>
      </c>
      <c r="B318" s="7" t="n">
        <v>45371</v>
      </c>
      <c r="C318" s="8" t="n">
        <v>5701</v>
      </c>
      <c r="D318" s="8" t="n">
        <v>690</v>
      </c>
      <c r="E318" s="8" t="n">
        <v>5005</v>
      </c>
      <c r="F318" s="8" t="s">
        <v>2200</v>
      </c>
      <c r="G318" s="8" t="s">
        <v>2201</v>
      </c>
      <c r="H318" s="8" t="s">
        <v>2269</v>
      </c>
    </row>
    <row r="319" customFormat="false" ht="15" hidden="false" customHeight="false" outlineLevel="0" collapsed="false">
      <c r="A319" s="7" t="n">
        <v>45293</v>
      </c>
      <c r="B319" s="7" t="n">
        <v>45401</v>
      </c>
      <c r="C319" s="8" t="n">
        <v>5701</v>
      </c>
      <c r="D319" s="8" t="n">
        <v>0</v>
      </c>
      <c r="E319" s="8" t="n">
        <v>5</v>
      </c>
      <c r="F319" s="8" t="s">
        <v>2200</v>
      </c>
      <c r="G319" s="8" t="s">
        <v>2201</v>
      </c>
      <c r="H319" s="8" t="s">
        <v>2269</v>
      </c>
    </row>
    <row r="320" customFormat="false" ht="15" hidden="false" customHeight="false" outlineLevel="0" collapsed="false">
      <c r="A320" s="7" t="n">
        <v>45293</v>
      </c>
      <c r="B320" s="7" t="n">
        <v>45432</v>
      </c>
      <c r="C320" s="8" t="n">
        <v>5701</v>
      </c>
      <c r="D320" s="8" t="n">
        <v>0</v>
      </c>
      <c r="E320" s="8" t="n">
        <v>0</v>
      </c>
      <c r="F320" s="8" t="s">
        <v>2200</v>
      </c>
      <c r="G320" s="8" t="s">
        <v>2201</v>
      </c>
      <c r="H320" s="8" t="s">
        <v>2269</v>
      </c>
    </row>
    <row r="321" customFormat="false" ht="15" hidden="false" customHeight="false" outlineLevel="0" collapsed="false">
      <c r="A321" s="7" t="n">
        <v>45294</v>
      </c>
      <c r="B321" s="7" t="n">
        <v>45310</v>
      </c>
      <c r="C321" s="8" t="n">
        <v>5681</v>
      </c>
      <c r="D321" s="8" t="n">
        <v>3830</v>
      </c>
      <c r="E321" s="8" t="n">
        <v>9570</v>
      </c>
      <c r="F321" s="8" t="s">
        <v>2200</v>
      </c>
      <c r="G321" s="8" t="s">
        <v>2201</v>
      </c>
      <c r="H321" s="8" t="s">
        <v>2270</v>
      </c>
    </row>
    <row r="322" customFormat="false" ht="15" hidden="false" customHeight="false" outlineLevel="0" collapsed="false">
      <c r="A322" s="7" t="n">
        <v>45294</v>
      </c>
      <c r="B322" s="7" t="n">
        <v>45342</v>
      </c>
      <c r="C322" s="8" t="n">
        <v>5720</v>
      </c>
      <c r="D322" s="8" t="n">
        <v>3860</v>
      </c>
      <c r="E322" s="8" t="n">
        <v>16645</v>
      </c>
      <c r="F322" s="8" t="s">
        <v>2200</v>
      </c>
      <c r="G322" s="8" t="s">
        <v>2201</v>
      </c>
      <c r="H322" s="8" t="s">
        <v>2270</v>
      </c>
    </row>
    <row r="323" customFormat="false" ht="15" hidden="false" customHeight="false" outlineLevel="0" collapsed="false">
      <c r="A323" s="7" t="n">
        <v>45294</v>
      </c>
      <c r="B323" s="7" t="n">
        <v>45371</v>
      </c>
      <c r="C323" s="8" t="n">
        <v>5733</v>
      </c>
      <c r="D323" s="8" t="n">
        <v>130</v>
      </c>
      <c r="E323" s="8" t="n">
        <v>5035</v>
      </c>
      <c r="F323" s="8" t="s">
        <v>2200</v>
      </c>
      <c r="G323" s="8" t="s">
        <v>2201</v>
      </c>
      <c r="H323" s="8" t="s">
        <v>2270</v>
      </c>
    </row>
    <row r="324" customFormat="false" ht="15" hidden="false" customHeight="false" outlineLevel="0" collapsed="false">
      <c r="A324" s="7" t="n">
        <v>45294</v>
      </c>
      <c r="B324" s="7" t="n">
        <v>45401</v>
      </c>
      <c r="C324" s="8" t="n">
        <v>5746</v>
      </c>
      <c r="D324" s="8" t="n">
        <v>0</v>
      </c>
      <c r="E324" s="8" t="n">
        <v>5</v>
      </c>
      <c r="F324" s="8" t="s">
        <v>2200</v>
      </c>
      <c r="G324" s="8" t="s">
        <v>2201</v>
      </c>
      <c r="H324" s="8" t="s">
        <v>2270</v>
      </c>
    </row>
    <row r="325" customFormat="false" ht="15" hidden="false" customHeight="false" outlineLevel="0" collapsed="false">
      <c r="A325" s="7" t="n">
        <v>45294</v>
      </c>
      <c r="B325" s="7" t="n">
        <v>45432</v>
      </c>
      <c r="C325" s="8" t="n">
        <v>5759</v>
      </c>
      <c r="D325" s="8" t="n">
        <v>0</v>
      </c>
      <c r="E325" s="8" t="n">
        <v>0</v>
      </c>
      <c r="F325" s="8" t="s">
        <v>2200</v>
      </c>
      <c r="G325" s="8" t="s">
        <v>2201</v>
      </c>
      <c r="H325" s="8" t="s">
        <v>2270</v>
      </c>
    </row>
    <row r="326" customFormat="false" ht="15" hidden="false" customHeight="false" outlineLevel="0" collapsed="false">
      <c r="A326" s="7" t="n">
        <v>45295</v>
      </c>
      <c r="B326" s="7" t="n">
        <v>45310</v>
      </c>
      <c r="C326" s="8" t="n">
        <v>5721</v>
      </c>
      <c r="D326" s="8" t="n">
        <v>2790</v>
      </c>
      <c r="E326" s="8" t="n">
        <v>8235</v>
      </c>
      <c r="F326" s="8" t="s">
        <v>2200</v>
      </c>
      <c r="G326" s="8" t="s">
        <v>2201</v>
      </c>
      <c r="H326" s="8" t="s">
        <v>2271</v>
      </c>
    </row>
    <row r="327" customFormat="false" ht="15" hidden="false" customHeight="false" outlineLevel="0" collapsed="false">
      <c r="A327" s="7" t="n">
        <v>45295</v>
      </c>
      <c r="B327" s="7" t="n">
        <v>45342</v>
      </c>
      <c r="C327" s="8" t="n">
        <v>5762</v>
      </c>
      <c r="D327" s="8" t="n">
        <v>2535</v>
      </c>
      <c r="E327" s="8" t="n">
        <v>16930</v>
      </c>
      <c r="F327" s="8" t="s">
        <v>2200</v>
      </c>
      <c r="G327" s="8" t="s">
        <v>2201</v>
      </c>
      <c r="H327" s="8" t="s">
        <v>2271</v>
      </c>
    </row>
    <row r="328" customFormat="false" ht="15" hidden="false" customHeight="false" outlineLevel="0" collapsed="false">
      <c r="A328" s="7" t="n">
        <v>45295</v>
      </c>
      <c r="B328" s="7" t="n">
        <v>45371</v>
      </c>
      <c r="C328" s="8" t="n">
        <v>5774</v>
      </c>
      <c r="D328" s="8" t="n">
        <v>130</v>
      </c>
      <c r="E328" s="8" t="n">
        <v>5070</v>
      </c>
      <c r="F328" s="8" t="s">
        <v>2200</v>
      </c>
      <c r="G328" s="8" t="s">
        <v>2201</v>
      </c>
      <c r="H328" s="8" t="s">
        <v>2271</v>
      </c>
    </row>
    <row r="329" customFormat="false" ht="15" hidden="false" customHeight="false" outlineLevel="0" collapsed="false">
      <c r="A329" s="7" t="n">
        <v>45295</v>
      </c>
      <c r="B329" s="7" t="n">
        <v>45401</v>
      </c>
      <c r="C329" s="8" t="n">
        <v>5786</v>
      </c>
      <c r="D329" s="8" t="n">
        <v>0</v>
      </c>
      <c r="E329" s="8" t="n">
        <v>5</v>
      </c>
      <c r="F329" s="8" t="s">
        <v>2200</v>
      </c>
      <c r="G329" s="8" t="s">
        <v>2201</v>
      </c>
      <c r="H329" s="8" t="s">
        <v>2271</v>
      </c>
    </row>
    <row r="330" customFormat="false" ht="15" hidden="false" customHeight="false" outlineLevel="0" collapsed="false">
      <c r="A330" s="7" t="n">
        <v>45295</v>
      </c>
      <c r="B330" s="7" t="n">
        <v>45432</v>
      </c>
      <c r="C330" s="8" t="n">
        <v>5798</v>
      </c>
      <c r="D330" s="8" t="n">
        <v>0</v>
      </c>
      <c r="E330" s="8" t="n">
        <v>0</v>
      </c>
      <c r="F330" s="8" t="s">
        <v>2200</v>
      </c>
      <c r="G330" s="8" t="s">
        <v>2201</v>
      </c>
      <c r="H330" s="8" t="s">
        <v>2271</v>
      </c>
    </row>
    <row r="331" customFormat="false" ht="15" hidden="false" customHeight="false" outlineLevel="0" collapsed="false">
      <c r="A331" s="7" t="n">
        <v>45296</v>
      </c>
      <c r="B331" s="7" t="n">
        <v>45310</v>
      </c>
      <c r="C331" s="8" t="n">
        <v>5686</v>
      </c>
      <c r="D331" s="8" t="n">
        <v>2530</v>
      </c>
      <c r="E331" s="8" t="n">
        <v>7460</v>
      </c>
      <c r="F331" s="8" t="s">
        <v>2200</v>
      </c>
      <c r="G331" s="8" t="s">
        <v>2201</v>
      </c>
      <c r="H331" s="8" t="s">
        <v>2272</v>
      </c>
    </row>
    <row r="332" customFormat="false" ht="15" hidden="false" customHeight="false" outlineLevel="0" collapsed="false">
      <c r="A332" s="7" t="n">
        <v>45296</v>
      </c>
      <c r="B332" s="7" t="n">
        <v>45342</v>
      </c>
      <c r="C332" s="8" t="n">
        <v>5739</v>
      </c>
      <c r="D332" s="8" t="n">
        <v>4450</v>
      </c>
      <c r="E332" s="8" t="n">
        <v>17850</v>
      </c>
      <c r="F332" s="8" t="s">
        <v>2200</v>
      </c>
      <c r="G332" s="8" t="s">
        <v>2201</v>
      </c>
      <c r="H332" s="8" t="s">
        <v>2272</v>
      </c>
    </row>
    <row r="333" customFormat="false" ht="15" hidden="false" customHeight="false" outlineLevel="0" collapsed="false">
      <c r="A333" s="7" t="n">
        <v>45296</v>
      </c>
      <c r="B333" s="7" t="n">
        <v>45371</v>
      </c>
      <c r="C333" s="8" t="n">
        <v>5740</v>
      </c>
      <c r="D333" s="8" t="n">
        <v>600</v>
      </c>
      <c r="E333" s="8" t="n">
        <v>5400</v>
      </c>
      <c r="F333" s="8" t="s">
        <v>2200</v>
      </c>
      <c r="G333" s="8" t="s">
        <v>2201</v>
      </c>
      <c r="H333" s="8" t="s">
        <v>2272</v>
      </c>
    </row>
    <row r="334" customFormat="false" ht="15" hidden="false" customHeight="false" outlineLevel="0" collapsed="false">
      <c r="A334" s="7" t="n">
        <v>45296</v>
      </c>
      <c r="B334" s="7" t="n">
        <v>45401</v>
      </c>
      <c r="C334" s="8" t="n">
        <v>5741</v>
      </c>
      <c r="D334" s="8" t="n">
        <v>0</v>
      </c>
      <c r="E334" s="8" t="n">
        <v>5</v>
      </c>
      <c r="F334" s="8" t="s">
        <v>2200</v>
      </c>
      <c r="G334" s="8" t="s">
        <v>2201</v>
      </c>
      <c r="H334" s="8" t="s">
        <v>2272</v>
      </c>
    </row>
    <row r="335" customFormat="false" ht="15" hidden="false" customHeight="false" outlineLevel="0" collapsed="false">
      <c r="A335" s="7" t="n">
        <v>45296</v>
      </c>
      <c r="B335" s="7" t="n">
        <v>45432</v>
      </c>
      <c r="C335" s="8" t="n">
        <v>5742</v>
      </c>
      <c r="D335" s="8" t="n">
        <v>0</v>
      </c>
      <c r="E335" s="8" t="n">
        <v>0</v>
      </c>
      <c r="F335" s="8" t="s">
        <v>2200</v>
      </c>
      <c r="G335" s="8" t="s">
        <v>2201</v>
      </c>
      <c r="H335" s="8" t="s">
        <v>2272</v>
      </c>
    </row>
    <row r="336" customFormat="false" ht="15" hidden="false" customHeight="false" outlineLevel="0" collapsed="false">
      <c r="A336" s="7" t="n">
        <v>45299</v>
      </c>
      <c r="B336" s="7" t="n">
        <v>45310</v>
      </c>
      <c r="C336" s="8" t="n">
        <v>5620</v>
      </c>
      <c r="D336" s="8" t="n">
        <v>2470</v>
      </c>
      <c r="E336" s="8" t="n">
        <v>6800</v>
      </c>
      <c r="F336" s="8" t="s">
        <v>2200</v>
      </c>
      <c r="G336" s="8" t="s">
        <v>2201</v>
      </c>
      <c r="H336" s="8" t="s">
        <v>2273</v>
      </c>
    </row>
    <row r="337" customFormat="false" ht="15" hidden="false" customHeight="false" outlineLevel="0" collapsed="false">
      <c r="A337" s="7" t="n">
        <v>45299</v>
      </c>
      <c r="B337" s="7" t="n">
        <v>45342</v>
      </c>
      <c r="C337" s="8" t="n">
        <v>5672</v>
      </c>
      <c r="D337" s="8" t="n">
        <v>4530</v>
      </c>
      <c r="E337" s="8" t="n">
        <v>18640</v>
      </c>
      <c r="F337" s="8" t="s">
        <v>2200</v>
      </c>
      <c r="G337" s="8" t="s">
        <v>2201</v>
      </c>
      <c r="H337" s="8" t="s">
        <v>2273</v>
      </c>
    </row>
    <row r="338" customFormat="false" ht="15" hidden="false" customHeight="false" outlineLevel="0" collapsed="false">
      <c r="A338" s="7" t="n">
        <v>45299</v>
      </c>
      <c r="B338" s="7" t="n">
        <v>45371</v>
      </c>
      <c r="C338" s="8" t="n">
        <v>5683</v>
      </c>
      <c r="D338" s="8" t="n">
        <v>695</v>
      </c>
      <c r="E338" s="8" t="n">
        <v>5675</v>
      </c>
      <c r="F338" s="8" t="s">
        <v>2200</v>
      </c>
      <c r="G338" s="8" t="s">
        <v>2201</v>
      </c>
      <c r="H338" s="8" t="s">
        <v>2273</v>
      </c>
    </row>
    <row r="339" customFormat="false" ht="15" hidden="false" customHeight="false" outlineLevel="0" collapsed="false">
      <c r="A339" s="7" t="n">
        <v>45299</v>
      </c>
      <c r="B339" s="7" t="n">
        <v>45401</v>
      </c>
      <c r="C339" s="8" t="n">
        <v>5694</v>
      </c>
      <c r="D339" s="8" t="n">
        <v>0</v>
      </c>
      <c r="E339" s="8" t="n">
        <v>5</v>
      </c>
      <c r="F339" s="8" t="s">
        <v>2200</v>
      </c>
      <c r="G339" s="8" t="s">
        <v>2201</v>
      </c>
      <c r="H339" s="8" t="s">
        <v>2273</v>
      </c>
    </row>
    <row r="340" customFormat="false" ht="15" hidden="false" customHeight="false" outlineLevel="0" collapsed="false">
      <c r="A340" s="7" t="n">
        <v>45299</v>
      </c>
      <c r="B340" s="7" t="n">
        <v>45432</v>
      </c>
      <c r="C340" s="8" t="n">
        <v>5705</v>
      </c>
      <c r="D340" s="8" t="n">
        <v>0</v>
      </c>
      <c r="E340" s="8" t="n">
        <v>0</v>
      </c>
      <c r="F340" s="8" t="s">
        <v>2200</v>
      </c>
      <c r="G340" s="8" t="s">
        <v>2201</v>
      </c>
      <c r="H340" s="8" t="s">
        <v>2273</v>
      </c>
    </row>
    <row r="341" customFormat="false" ht="15" hidden="false" customHeight="false" outlineLevel="0" collapsed="false">
      <c r="A341" s="7" t="n">
        <v>45300</v>
      </c>
      <c r="B341" s="7" t="n">
        <v>45310</v>
      </c>
      <c r="C341" s="8" t="n">
        <v>5605</v>
      </c>
      <c r="D341" s="8" t="n">
        <v>1725</v>
      </c>
      <c r="E341" s="8" t="n">
        <v>5760</v>
      </c>
      <c r="F341" s="8" t="s">
        <v>2200</v>
      </c>
      <c r="G341" s="8" t="s">
        <v>2201</v>
      </c>
      <c r="H341" s="8" t="s">
        <v>2274</v>
      </c>
    </row>
    <row r="342" customFormat="false" ht="15" hidden="false" customHeight="false" outlineLevel="0" collapsed="false">
      <c r="A342" s="7" t="n">
        <v>45300</v>
      </c>
      <c r="B342" s="7" t="n">
        <v>45342</v>
      </c>
      <c r="C342" s="8" t="n">
        <v>5671</v>
      </c>
      <c r="D342" s="8" t="n">
        <v>3190</v>
      </c>
      <c r="E342" s="8" t="n">
        <v>19415</v>
      </c>
      <c r="F342" s="8" t="s">
        <v>2200</v>
      </c>
      <c r="G342" s="8" t="s">
        <v>2201</v>
      </c>
      <c r="H342" s="8" t="s">
        <v>2274</v>
      </c>
    </row>
    <row r="343" customFormat="false" ht="15" hidden="false" customHeight="false" outlineLevel="0" collapsed="false">
      <c r="A343" s="7" t="n">
        <v>45300</v>
      </c>
      <c r="B343" s="7" t="n">
        <v>45371</v>
      </c>
      <c r="C343" s="8" t="n">
        <v>5673</v>
      </c>
      <c r="D343" s="8" t="n">
        <v>660</v>
      </c>
      <c r="E343" s="8" t="n">
        <v>6100</v>
      </c>
      <c r="F343" s="8" t="s">
        <v>2200</v>
      </c>
      <c r="G343" s="8" t="s">
        <v>2201</v>
      </c>
      <c r="H343" s="8" t="s">
        <v>2274</v>
      </c>
    </row>
    <row r="344" customFormat="false" ht="15" hidden="false" customHeight="false" outlineLevel="0" collapsed="false">
      <c r="A344" s="7" t="n">
        <v>45300</v>
      </c>
      <c r="B344" s="7" t="n">
        <v>45401</v>
      </c>
      <c r="C344" s="8" t="n">
        <v>5675</v>
      </c>
      <c r="D344" s="8" t="n">
        <v>0</v>
      </c>
      <c r="E344" s="8" t="n">
        <v>5</v>
      </c>
      <c r="F344" s="8" t="s">
        <v>2200</v>
      </c>
      <c r="G344" s="8" t="s">
        <v>2201</v>
      </c>
      <c r="H344" s="8" t="s">
        <v>2274</v>
      </c>
    </row>
    <row r="345" customFormat="false" ht="15" hidden="false" customHeight="false" outlineLevel="0" collapsed="false">
      <c r="A345" s="7" t="n">
        <v>45300</v>
      </c>
      <c r="B345" s="7" t="n">
        <v>45432</v>
      </c>
      <c r="C345" s="8" t="n">
        <v>5677</v>
      </c>
      <c r="D345" s="8" t="n">
        <v>0</v>
      </c>
      <c r="E345" s="8" t="n">
        <v>0</v>
      </c>
      <c r="F345" s="8" t="s">
        <v>2200</v>
      </c>
      <c r="G345" s="8" t="s">
        <v>2201</v>
      </c>
      <c r="H345" s="8" t="s">
        <v>2274</v>
      </c>
    </row>
    <row r="346" customFormat="false" ht="15" hidden="false" customHeight="false" outlineLevel="0" collapsed="false">
      <c r="A346" s="7" t="n">
        <v>45301</v>
      </c>
      <c r="B346" s="7" t="n">
        <v>45310</v>
      </c>
      <c r="C346" s="8" t="n">
        <v>5552</v>
      </c>
      <c r="D346" s="8" t="n">
        <v>2035</v>
      </c>
      <c r="E346" s="8" t="n">
        <v>4350</v>
      </c>
      <c r="F346" s="8" t="s">
        <v>2200</v>
      </c>
      <c r="G346" s="8" t="s">
        <v>2201</v>
      </c>
      <c r="H346" s="8" t="s">
        <v>2275</v>
      </c>
    </row>
    <row r="347" customFormat="false" ht="15" hidden="false" customHeight="false" outlineLevel="0" collapsed="false">
      <c r="A347" s="7" t="n">
        <v>45301</v>
      </c>
      <c r="B347" s="7" t="n">
        <v>45342</v>
      </c>
      <c r="C347" s="8" t="n">
        <v>5614</v>
      </c>
      <c r="D347" s="8" t="n">
        <v>4225</v>
      </c>
      <c r="E347" s="8" t="n">
        <v>20040</v>
      </c>
      <c r="F347" s="8" t="s">
        <v>2200</v>
      </c>
      <c r="G347" s="8" t="s">
        <v>2201</v>
      </c>
      <c r="H347" s="8" t="s">
        <v>2275</v>
      </c>
    </row>
    <row r="348" customFormat="false" ht="15" hidden="false" customHeight="false" outlineLevel="0" collapsed="false">
      <c r="A348" s="7" t="n">
        <v>45301</v>
      </c>
      <c r="B348" s="7" t="n">
        <v>45371</v>
      </c>
      <c r="C348" s="8" t="n">
        <v>5645</v>
      </c>
      <c r="D348" s="8" t="n">
        <v>845</v>
      </c>
      <c r="E348" s="8" t="n">
        <v>6655</v>
      </c>
      <c r="F348" s="8" t="s">
        <v>2200</v>
      </c>
      <c r="G348" s="8" t="s">
        <v>2201</v>
      </c>
      <c r="H348" s="8" t="s">
        <v>2275</v>
      </c>
    </row>
    <row r="349" customFormat="false" ht="15" hidden="false" customHeight="false" outlineLevel="0" collapsed="false">
      <c r="A349" s="7" t="n">
        <v>45301</v>
      </c>
      <c r="B349" s="7" t="n">
        <v>45401</v>
      </c>
      <c r="C349" s="8" t="n">
        <v>5676</v>
      </c>
      <c r="D349" s="8" t="n">
        <v>0</v>
      </c>
      <c r="E349" s="8" t="n">
        <v>5</v>
      </c>
      <c r="F349" s="8" t="s">
        <v>2200</v>
      </c>
      <c r="G349" s="8" t="s">
        <v>2201</v>
      </c>
      <c r="H349" s="8" t="s">
        <v>2275</v>
      </c>
    </row>
    <row r="350" customFormat="false" ht="15" hidden="false" customHeight="false" outlineLevel="0" collapsed="false">
      <c r="A350" s="7" t="n">
        <v>45301</v>
      </c>
      <c r="B350" s="7" t="n">
        <v>45432</v>
      </c>
      <c r="C350" s="8" t="n">
        <v>5707</v>
      </c>
      <c r="D350" s="8" t="n">
        <v>0</v>
      </c>
      <c r="E350" s="8" t="n">
        <v>0</v>
      </c>
      <c r="F350" s="8" t="s">
        <v>2200</v>
      </c>
      <c r="G350" s="8" t="s">
        <v>2201</v>
      </c>
      <c r="H350" s="8" t="s">
        <v>2275</v>
      </c>
    </row>
    <row r="351" customFormat="false" ht="15" hidden="false" customHeight="false" outlineLevel="0" collapsed="false">
      <c r="A351" s="7" t="n">
        <v>45302</v>
      </c>
      <c r="B351" s="7" t="n">
        <v>45310</v>
      </c>
      <c r="C351" s="8" t="n">
        <v>5566</v>
      </c>
      <c r="D351" s="8" t="n">
        <v>2575</v>
      </c>
      <c r="E351" s="8" t="n">
        <v>2885</v>
      </c>
      <c r="F351" s="8" t="s">
        <v>2200</v>
      </c>
      <c r="G351" s="8" t="s">
        <v>2201</v>
      </c>
      <c r="H351" s="8" t="s">
        <v>2276</v>
      </c>
    </row>
    <row r="352" customFormat="false" ht="15" hidden="false" customHeight="false" outlineLevel="0" collapsed="false">
      <c r="A352" s="7" t="n">
        <v>45302</v>
      </c>
      <c r="B352" s="7" t="n">
        <v>45342</v>
      </c>
      <c r="C352" s="8" t="n">
        <v>5624</v>
      </c>
      <c r="D352" s="8" t="n">
        <v>7510</v>
      </c>
      <c r="E352" s="8" t="n">
        <v>19040</v>
      </c>
      <c r="F352" s="8" t="s">
        <v>2200</v>
      </c>
      <c r="G352" s="8" t="s">
        <v>2201</v>
      </c>
      <c r="H352" s="8" t="s">
        <v>2276</v>
      </c>
    </row>
    <row r="353" customFormat="false" ht="15" hidden="false" customHeight="false" outlineLevel="0" collapsed="false">
      <c r="A353" s="7" t="n">
        <v>45302</v>
      </c>
      <c r="B353" s="7" t="n">
        <v>45371</v>
      </c>
      <c r="C353" s="8" t="n">
        <v>5642</v>
      </c>
      <c r="D353" s="8" t="n">
        <v>3290</v>
      </c>
      <c r="E353" s="8" t="n">
        <v>8905</v>
      </c>
      <c r="F353" s="8" t="s">
        <v>2200</v>
      </c>
      <c r="G353" s="8" t="s">
        <v>2201</v>
      </c>
      <c r="H353" s="8" t="s">
        <v>2276</v>
      </c>
    </row>
    <row r="354" customFormat="false" ht="15" hidden="false" customHeight="false" outlineLevel="0" collapsed="false">
      <c r="A354" s="7" t="n">
        <v>45302</v>
      </c>
      <c r="B354" s="7" t="n">
        <v>45401</v>
      </c>
      <c r="C354" s="8" t="n">
        <v>5660</v>
      </c>
      <c r="D354" s="8" t="n">
        <v>0</v>
      </c>
      <c r="E354" s="8" t="n">
        <v>5</v>
      </c>
      <c r="F354" s="8" t="s">
        <v>2200</v>
      </c>
      <c r="G354" s="8" t="s">
        <v>2201</v>
      </c>
      <c r="H354" s="8" t="s">
        <v>2276</v>
      </c>
    </row>
    <row r="355" customFormat="false" ht="15" hidden="false" customHeight="false" outlineLevel="0" collapsed="false">
      <c r="A355" s="7" t="n">
        <v>45302</v>
      </c>
      <c r="B355" s="7" t="n">
        <v>45432</v>
      </c>
      <c r="C355" s="8" t="n">
        <v>5678</v>
      </c>
      <c r="D355" s="8" t="n">
        <v>0</v>
      </c>
      <c r="E355" s="8" t="n">
        <v>0</v>
      </c>
      <c r="F355" s="8" t="s">
        <v>2200</v>
      </c>
      <c r="G355" s="8" t="s">
        <v>2201</v>
      </c>
      <c r="H355" s="8" t="s">
        <v>2276</v>
      </c>
    </row>
    <row r="356" customFormat="false" ht="15" hidden="false" customHeight="false" outlineLevel="0" collapsed="false">
      <c r="A356" s="7" t="n">
        <v>45303</v>
      </c>
      <c r="B356" s="7" t="n">
        <v>45310</v>
      </c>
      <c r="C356" s="8" t="n">
        <v>5588</v>
      </c>
      <c r="D356" s="8" t="n">
        <v>1880</v>
      </c>
      <c r="E356" s="8" t="n">
        <v>1730</v>
      </c>
      <c r="F356" s="8" t="s">
        <v>2200</v>
      </c>
      <c r="G356" s="8" t="s">
        <v>2201</v>
      </c>
      <c r="H356" s="8" t="s">
        <v>2277</v>
      </c>
    </row>
    <row r="357" customFormat="false" ht="15" hidden="false" customHeight="false" outlineLevel="0" collapsed="false">
      <c r="A357" s="7" t="n">
        <v>45303</v>
      </c>
      <c r="B357" s="7" t="n">
        <v>45342</v>
      </c>
      <c r="C357" s="8" t="n">
        <v>5653</v>
      </c>
      <c r="D357" s="8" t="n">
        <v>5215</v>
      </c>
      <c r="E357" s="8" t="n">
        <v>19495</v>
      </c>
      <c r="F357" s="8" t="s">
        <v>2200</v>
      </c>
      <c r="G357" s="8" t="s">
        <v>2201</v>
      </c>
      <c r="H357" s="8" t="s">
        <v>2277</v>
      </c>
    </row>
    <row r="358" customFormat="false" ht="15" hidden="false" customHeight="false" outlineLevel="0" collapsed="false">
      <c r="A358" s="7" t="n">
        <v>45303</v>
      </c>
      <c r="B358" s="7" t="n">
        <v>45371</v>
      </c>
      <c r="C358" s="8" t="n">
        <v>5675</v>
      </c>
      <c r="D358" s="8" t="n">
        <v>1170</v>
      </c>
      <c r="E358" s="8" t="n">
        <v>9575</v>
      </c>
      <c r="F358" s="8" t="s">
        <v>2200</v>
      </c>
      <c r="G358" s="8" t="s">
        <v>2201</v>
      </c>
      <c r="H358" s="8" t="s">
        <v>2277</v>
      </c>
    </row>
    <row r="359" customFormat="false" ht="15" hidden="false" customHeight="false" outlineLevel="0" collapsed="false">
      <c r="A359" s="7" t="n">
        <v>45303</v>
      </c>
      <c r="B359" s="7" t="n">
        <v>45401</v>
      </c>
      <c r="C359" s="8" t="n">
        <v>5697</v>
      </c>
      <c r="D359" s="8" t="n">
        <v>0</v>
      </c>
      <c r="E359" s="8" t="n">
        <v>5</v>
      </c>
      <c r="F359" s="8" t="s">
        <v>2200</v>
      </c>
      <c r="G359" s="8" t="s">
        <v>2201</v>
      </c>
      <c r="H359" s="8" t="s">
        <v>2277</v>
      </c>
    </row>
    <row r="360" customFormat="false" ht="15" hidden="false" customHeight="false" outlineLevel="0" collapsed="false">
      <c r="A360" s="7" t="n">
        <v>45303</v>
      </c>
      <c r="B360" s="7" t="n">
        <v>45432</v>
      </c>
      <c r="C360" s="8" t="n">
        <v>5719</v>
      </c>
      <c r="D360" s="8" t="n">
        <v>0</v>
      </c>
      <c r="E360" s="8" t="n">
        <v>0</v>
      </c>
      <c r="F360" s="8" t="s">
        <v>2200</v>
      </c>
      <c r="G360" s="8" t="s">
        <v>2201</v>
      </c>
      <c r="H360" s="8" t="s">
        <v>2277</v>
      </c>
    </row>
    <row r="361" customFormat="false" ht="15" hidden="false" customHeight="false" outlineLevel="0" collapsed="false">
      <c r="A361" s="7" t="n">
        <v>45306</v>
      </c>
      <c r="B361" s="7" t="n">
        <v>45310</v>
      </c>
      <c r="C361" s="8" t="n">
        <v>5559</v>
      </c>
      <c r="D361" s="8" t="n">
        <v>2270</v>
      </c>
      <c r="E361" s="8" t="n">
        <v>865</v>
      </c>
      <c r="F361" s="8" t="s">
        <v>2200</v>
      </c>
      <c r="G361" s="8" t="s">
        <v>2201</v>
      </c>
      <c r="H361" s="8" t="s">
        <v>2278</v>
      </c>
    </row>
    <row r="362" customFormat="false" ht="15" hidden="false" customHeight="false" outlineLevel="0" collapsed="false">
      <c r="A362" s="7" t="n">
        <v>45306</v>
      </c>
      <c r="B362" s="7" t="n">
        <v>45342</v>
      </c>
      <c r="C362" s="8" t="n">
        <v>5639</v>
      </c>
      <c r="D362" s="8" t="n">
        <v>3295</v>
      </c>
      <c r="E362" s="8" t="n">
        <v>20470</v>
      </c>
      <c r="F362" s="8" t="s">
        <v>2200</v>
      </c>
      <c r="G362" s="8" t="s">
        <v>2201</v>
      </c>
      <c r="H362" s="8" t="s">
        <v>2278</v>
      </c>
    </row>
    <row r="363" customFormat="false" ht="15" hidden="false" customHeight="false" outlineLevel="0" collapsed="false">
      <c r="A363" s="7" t="n">
        <v>45306</v>
      </c>
      <c r="B363" s="7" t="n">
        <v>45371</v>
      </c>
      <c r="C363" s="8" t="n">
        <v>5647</v>
      </c>
      <c r="D363" s="8" t="n">
        <v>1035</v>
      </c>
      <c r="E363" s="8" t="n">
        <v>9880</v>
      </c>
      <c r="F363" s="8" t="s">
        <v>2200</v>
      </c>
      <c r="G363" s="8" t="s">
        <v>2201</v>
      </c>
      <c r="H363" s="8" t="s">
        <v>2278</v>
      </c>
    </row>
    <row r="364" customFormat="false" ht="15" hidden="false" customHeight="false" outlineLevel="0" collapsed="false">
      <c r="A364" s="7" t="n">
        <v>45306</v>
      </c>
      <c r="B364" s="7" t="n">
        <v>45401</v>
      </c>
      <c r="C364" s="8" t="n">
        <v>5655</v>
      </c>
      <c r="D364" s="8" t="n">
        <v>0</v>
      </c>
      <c r="E364" s="8" t="n">
        <v>5</v>
      </c>
      <c r="F364" s="8" t="s">
        <v>2200</v>
      </c>
      <c r="G364" s="8" t="s">
        <v>2201</v>
      </c>
      <c r="H364" s="8" t="s">
        <v>2278</v>
      </c>
    </row>
    <row r="365" customFormat="false" ht="15" hidden="false" customHeight="false" outlineLevel="0" collapsed="false">
      <c r="A365" s="7" t="n">
        <v>45306</v>
      </c>
      <c r="B365" s="7" t="n">
        <v>45432</v>
      </c>
      <c r="C365" s="8" t="n">
        <v>5663</v>
      </c>
      <c r="D365" s="8" t="n">
        <v>0</v>
      </c>
      <c r="E365" s="8" t="n">
        <v>0</v>
      </c>
      <c r="F365" s="8" t="s">
        <v>2200</v>
      </c>
      <c r="G365" s="8" t="s">
        <v>2201</v>
      </c>
      <c r="H365" s="8" t="s">
        <v>2278</v>
      </c>
    </row>
    <row r="366" customFormat="false" ht="15" hidden="false" customHeight="false" outlineLevel="0" collapsed="false">
      <c r="A366" s="7" t="n">
        <v>45307</v>
      </c>
      <c r="B366" s="7" t="n">
        <v>45310</v>
      </c>
      <c r="C366" s="8" t="n">
        <v>5818</v>
      </c>
      <c r="D366" s="8" t="n">
        <v>0</v>
      </c>
      <c r="E366" s="8" t="n">
        <v>210</v>
      </c>
      <c r="F366" s="8" t="s">
        <v>2200</v>
      </c>
      <c r="G366" s="8" t="s">
        <v>2201</v>
      </c>
      <c r="H366" s="8" t="s">
        <v>2279</v>
      </c>
    </row>
    <row r="367" customFormat="false" ht="15" hidden="false" customHeight="false" outlineLevel="0" collapsed="false">
      <c r="A367" s="7" t="n">
        <v>45307</v>
      </c>
      <c r="B367" s="7" t="n">
        <v>45342</v>
      </c>
      <c r="C367" s="8" t="n">
        <v>5649</v>
      </c>
      <c r="D367" s="8" t="n">
        <v>4940</v>
      </c>
      <c r="E367" s="8" t="n">
        <v>20525</v>
      </c>
      <c r="F367" s="8" t="s">
        <v>2200</v>
      </c>
      <c r="G367" s="8" t="s">
        <v>2201</v>
      </c>
      <c r="H367" s="8" t="s">
        <v>2279</v>
      </c>
    </row>
    <row r="368" customFormat="false" ht="15" hidden="false" customHeight="false" outlineLevel="0" collapsed="false">
      <c r="A368" s="7" t="n">
        <v>45307</v>
      </c>
      <c r="B368" s="7" t="n">
        <v>45371</v>
      </c>
      <c r="C368" s="8" t="n">
        <v>5651</v>
      </c>
      <c r="D368" s="8" t="n">
        <v>2100</v>
      </c>
      <c r="E368" s="8" t="n">
        <v>11290</v>
      </c>
      <c r="F368" s="8" t="s">
        <v>2200</v>
      </c>
      <c r="G368" s="8" t="s">
        <v>2201</v>
      </c>
      <c r="H368" s="8" t="s">
        <v>2279</v>
      </c>
    </row>
    <row r="369" customFormat="false" ht="15" hidden="false" customHeight="false" outlineLevel="0" collapsed="false">
      <c r="A369" s="7" t="n">
        <v>45307</v>
      </c>
      <c r="B369" s="7" t="n">
        <v>45401</v>
      </c>
      <c r="C369" s="8" t="n">
        <v>5653</v>
      </c>
      <c r="D369" s="8" t="n">
        <v>0</v>
      </c>
      <c r="E369" s="8" t="n">
        <v>5</v>
      </c>
      <c r="F369" s="8" t="s">
        <v>2200</v>
      </c>
      <c r="G369" s="8" t="s">
        <v>2201</v>
      </c>
      <c r="H369" s="8" t="s">
        <v>2279</v>
      </c>
    </row>
    <row r="370" customFormat="false" ht="15" hidden="false" customHeight="false" outlineLevel="0" collapsed="false">
      <c r="A370" s="7" t="n">
        <v>45307</v>
      </c>
      <c r="B370" s="7" t="n">
        <v>45432</v>
      </c>
      <c r="C370" s="8" t="n">
        <v>5655</v>
      </c>
      <c r="D370" s="8" t="n">
        <v>0</v>
      </c>
      <c r="E370" s="8" t="n">
        <v>0</v>
      </c>
      <c r="F370" s="8" t="s">
        <v>2200</v>
      </c>
      <c r="G370" s="8" t="s">
        <v>2201</v>
      </c>
      <c r="H370" s="8" t="s">
        <v>2279</v>
      </c>
    </row>
    <row r="371" customFormat="false" ht="15" hidden="false" customHeight="false" outlineLevel="0" collapsed="false">
      <c r="A371" s="7" t="n">
        <v>45308</v>
      </c>
      <c r="B371" s="7" t="n">
        <v>45310</v>
      </c>
      <c r="C371" s="8" t="n">
        <v>5644</v>
      </c>
      <c r="D371" s="8" t="n">
        <v>375</v>
      </c>
      <c r="E371" s="8" t="n">
        <v>175</v>
      </c>
      <c r="F371" s="8" t="s">
        <v>2200</v>
      </c>
      <c r="G371" s="8" t="s">
        <v>2201</v>
      </c>
      <c r="H371" s="8" t="s">
        <v>2280</v>
      </c>
    </row>
    <row r="372" customFormat="false" ht="15" hidden="false" customHeight="false" outlineLevel="0" collapsed="false">
      <c r="A372" s="7" t="n">
        <v>45308</v>
      </c>
      <c r="B372" s="7" t="n">
        <v>45342</v>
      </c>
      <c r="C372" s="8" t="n">
        <v>5647</v>
      </c>
      <c r="D372" s="8" t="n">
        <v>4775</v>
      </c>
      <c r="E372" s="8" t="n">
        <v>19545</v>
      </c>
      <c r="F372" s="8" t="s">
        <v>2200</v>
      </c>
      <c r="G372" s="8" t="s">
        <v>2201</v>
      </c>
      <c r="H372" s="8" t="s">
        <v>2280</v>
      </c>
    </row>
    <row r="373" customFormat="false" ht="15" hidden="false" customHeight="false" outlineLevel="0" collapsed="false">
      <c r="A373" s="7" t="n">
        <v>45308</v>
      </c>
      <c r="B373" s="7" t="n">
        <v>45371</v>
      </c>
      <c r="C373" s="8" t="n">
        <v>5649</v>
      </c>
      <c r="D373" s="8" t="n">
        <v>1845</v>
      </c>
      <c r="E373" s="8" t="n">
        <v>12150</v>
      </c>
      <c r="F373" s="8" t="s">
        <v>2200</v>
      </c>
      <c r="G373" s="8" t="s">
        <v>2201</v>
      </c>
      <c r="H373" s="8" t="s">
        <v>2280</v>
      </c>
    </row>
    <row r="374" customFormat="false" ht="15" hidden="false" customHeight="false" outlineLevel="0" collapsed="false">
      <c r="A374" s="7" t="n">
        <v>45308</v>
      </c>
      <c r="B374" s="7" t="n">
        <v>45401</v>
      </c>
      <c r="C374" s="8" t="n">
        <v>5713</v>
      </c>
      <c r="D374" s="8" t="n">
        <v>200</v>
      </c>
      <c r="E374" s="8" t="n">
        <v>165</v>
      </c>
      <c r="F374" s="8" t="s">
        <v>2200</v>
      </c>
      <c r="G374" s="8" t="s">
        <v>2201</v>
      </c>
      <c r="H374" s="8" t="s">
        <v>2280</v>
      </c>
    </row>
    <row r="375" customFormat="false" ht="15" hidden="false" customHeight="false" outlineLevel="0" collapsed="false">
      <c r="A375" s="7" t="n">
        <v>45308</v>
      </c>
      <c r="B375" s="7" t="n">
        <v>45432</v>
      </c>
      <c r="C375" s="8" t="n">
        <v>5777</v>
      </c>
      <c r="D375" s="8" t="n">
        <v>0</v>
      </c>
      <c r="E375" s="8" t="n">
        <v>0</v>
      </c>
      <c r="F375" s="8" t="s">
        <v>2200</v>
      </c>
      <c r="G375" s="8" t="s">
        <v>2201</v>
      </c>
      <c r="H375" s="8" t="s">
        <v>2280</v>
      </c>
    </row>
    <row r="376" customFormat="false" ht="15" hidden="false" customHeight="false" outlineLevel="0" collapsed="false">
      <c r="A376" s="7" t="n">
        <v>45309</v>
      </c>
      <c r="B376" s="7" t="n">
        <v>45310</v>
      </c>
      <c r="C376" s="8" t="n">
        <v>5842</v>
      </c>
      <c r="D376" s="8" t="n">
        <v>0</v>
      </c>
      <c r="E376" s="8" t="n">
        <v>175</v>
      </c>
      <c r="F376" s="8" t="s">
        <v>2200</v>
      </c>
      <c r="G376" s="8" t="s">
        <v>2201</v>
      </c>
      <c r="H376" s="8" t="s">
        <v>2281</v>
      </c>
    </row>
    <row r="377" customFormat="false" ht="15" hidden="false" customHeight="false" outlineLevel="0" collapsed="false">
      <c r="A377" s="7" t="n">
        <v>45309</v>
      </c>
      <c r="B377" s="7" t="n">
        <v>45342</v>
      </c>
      <c r="C377" s="8" t="n">
        <v>5683</v>
      </c>
      <c r="D377" s="8" t="n">
        <v>3735</v>
      </c>
      <c r="E377" s="8" t="n">
        <v>19050</v>
      </c>
      <c r="F377" s="8" t="s">
        <v>2200</v>
      </c>
      <c r="G377" s="8" t="s">
        <v>2201</v>
      </c>
      <c r="H377" s="8" t="s">
        <v>2281</v>
      </c>
    </row>
    <row r="378" customFormat="false" ht="15" hidden="false" customHeight="false" outlineLevel="0" collapsed="false">
      <c r="A378" s="7" t="n">
        <v>45309</v>
      </c>
      <c r="B378" s="7" t="n">
        <v>45371</v>
      </c>
      <c r="C378" s="8" t="n">
        <v>5664</v>
      </c>
      <c r="D378" s="8" t="n">
        <v>2775</v>
      </c>
      <c r="E378" s="8" t="n">
        <v>12815</v>
      </c>
      <c r="F378" s="8" t="s">
        <v>2200</v>
      </c>
      <c r="G378" s="8" t="s">
        <v>2201</v>
      </c>
      <c r="H378" s="8" t="s">
        <v>2281</v>
      </c>
    </row>
    <row r="379" customFormat="false" ht="15" hidden="false" customHeight="false" outlineLevel="0" collapsed="false">
      <c r="A379" s="7" t="n">
        <v>45309</v>
      </c>
      <c r="B379" s="7" t="n">
        <v>45401</v>
      </c>
      <c r="C379" s="8" t="n">
        <v>5664</v>
      </c>
      <c r="D379" s="8" t="n">
        <v>0</v>
      </c>
      <c r="E379" s="8" t="n">
        <v>165</v>
      </c>
      <c r="F379" s="8" t="s">
        <v>2200</v>
      </c>
      <c r="G379" s="8" t="s">
        <v>2201</v>
      </c>
      <c r="H379" s="8" t="s">
        <v>2281</v>
      </c>
    </row>
    <row r="380" customFormat="false" ht="15" hidden="false" customHeight="false" outlineLevel="0" collapsed="false">
      <c r="A380" s="7" t="n">
        <v>45309</v>
      </c>
      <c r="B380" s="7" t="n">
        <v>45432</v>
      </c>
      <c r="C380" s="8" t="n">
        <v>5664</v>
      </c>
      <c r="D380" s="8" t="n">
        <v>0</v>
      </c>
      <c r="E380" s="8" t="n">
        <v>0</v>
      </c>
      <c r="F380" s="8" t="s">
        <v>2200</v>
      </c>
      <c r="G380" s="8" t="s">
        <v>2201</v>
      </c>
      <c r="H380" s="8" t="s">
        <v>2281</v>
      </c>
    </row>
    <row r="381" customFormat="false" ht="15" hidden="false" customHeight="false" outlineLevel="0" collapsed="false">
      <c r="A381" s="7" t="n">
        <v>45310</v>
      </c>
      <c r="B381" s="7" t="n">
        <v>45310</v>
      </c>
      <c r="C381" s="8" t="n">
        <v>5850</v>
      </c>
      <c r="D381" s="8" t="n">
        <v>0</v>
      </c>
      <c r="E381" s="8" t="n">
        <v>175</v>
      </c>
      <c r="F381" s="8" t="s">
        <v>2200</v>
      </c>
      <c r="G381" s="8" t="s">
        <v>2201</v>
      </c>
      <c r="H381" s="8" t="s">
        <v>2282</v>
      </c>
    </row>
    <row r="382" customFormat="false" ht="15" hidden="false" customHeight="false" outlineLevel="0" collapsed="false">
      <c r="A382" s="7" t="n">
        <v>45310</v>
      </c>
      <c r="B382" s="7" t="n">
        <v>45342</v>
      </c>
      <c r="C382" s="8" t="n">
        <v>5687</v>
      </c>
      <c r="D382" s="8" t="n">
        <v>4330</v>
      </c>
      <c r="E382" s="8" t="n">
        <v>18500</v>
      </c>
      <c r="F382" s="8" t="s">
        <v>2200</v>
      </c>
      <c r="G382" s="8" t="s">
        <v>2201</v>
      </c>
      <c r="H382" s="8" t="s">
        <v>2282</v>
      </c>
    </row>
    <row r="383" customFormat="false" ht="15" hidden="false" customHeight="false" outlineLevel="0" collapsed="false">
      <c r="A383" s="7" t="n">
        <v>45310</v>
      </c>
      <c r="B383" s="7" t="n">
        <v>45371</v>
      </c>
      <c r="C383" s="8" t="n">
        <v>5653</v>
      </c>
      <c r="D383" s="8" t="n">
        <v>1785</v>
      </c>
      <c r="E383" s="8" t="n">
        <v>13235</v>
      </c>
      <c r="F383" s="8" t="s">
        <v>2200</v>
      </c>
      <c r="G383" s="8" t="s">
        <v>2201</v>
      </c>
      <c r="H383" s="8" t="s">
        <v>2282</v>
      </c>
    </row>
    <row r="384" customFormat="false" ht="15" hidden="false" customHeight="false" outlineLevel="0" collapsed="false">
      <c r="A384" s="7" t="n">
        <v>45310</v>
      </c>
      <c r="B384" s="7" t="n">
        <v>45401</v>
      </c>
      <c r="C384" s="8" t="n">
        <v>5750</v>
      </c>
      <c r="D384" s="8" t="n">
        <v>135</v>
      </c>
      <c r="E384" s="8" t="n">
        <v>260</v>
      </c>
      <c r="F384" s="8" t="s">
        <v>2200</v>
      </c>
      <c r="G384" s="8" t="s">
        <v>2201</v>
      </c>
      <c r="H384" s="8" t="s">
        <v>2282</v>
      </c>
    </row>
    <row r="385" customFormat="false" ht="15" hidden="false" customHeight="false" outlineLevel="0" collapsed="false">
      <c r="A385" s="7" t="n">
        <v>45310</v>
      </c>
      <c r="B385" s="7" t="n">
        <v>45432</v>
      </c>
      <c r="C385" s="8" t="n">
        <v>5847</v>
      </c>
      <c r="D385" s="8" t="n">
        <v>0</v>
      </c>
      <c r="E385" s="8" t="n">
        <v>0</v>
      </c>
      <c r="F385" s="8" t="s">
        <v>2200</v>
      </c>
      <c r="G385" s="8" t="s">
        <v>2201</v>
      </c>
      <c r="H385" s="8" t="s">
        <v>2282</v>
      </c>
    </row>
    <row r="386" customFormat="false" ht="15" hidden="false" customHeight="false" outlineLevel="0" collapsed="false">
      <c r="A386" s="7" t="n">
        <v>45314</v>
      </c>
      <c r="B386" s="7" t="n">
        <v>45342</v>
      </c>
      <c r="C386" s="8" t="n">
        <v>5793</v>
      </c>
      <c r="D386" s="8" t="n">
        <v>6265</v>
      </c>
      <c r="E386" s="8" t="n">
        <v>17555</v>
      </c>
      <c r="F386" s="8" t="s">
        <v>2200</v>
      </c>
      <c r="G386" s="8" t="s">
        <v>2201</v>
      </c>
      <c r="H386" s="8" t="s">
        <v>2283</v>
      </c>
    </row>
    <row r="387" customFormat="false" ht="15" hidden="false" customHeight="false" outlineLevel="0" collapsed="false">
      <c r="A387" s="7" t="n">
        <v>45314</v>
      </c>
      <c r="B387" s="7" t="n">
        <v>45371</v>
      </c>
      <c r="C387" s="8" t="n">
        <v>5750</v>
      </c>
      <c r="D387" s="8" t="n">
        <v>4705</v>
      </c>
      <c r="E387" s="8" t="n">
        <v>13500</v>
      </c>
      <c r="F387" s="8" t="s">
        <v>2200</v>
      </c>
      <c r="G387" s="8" t="s">
        <v>2201</v>
      </c>
      <c r="H387" s="8" t="s">
        <v>2283</v>
      </c>
    </row>
    <row r="388" customFormat="false" ht="15" hidden="false" customHeight="false" outlineLevel="0" collapsed="false">
      <c r="A388" s="7" t="n">
        <v>45314</v>
      </c>
      <c r="B388" s="7" t="n">
        <v>45401</v>
      </c>
      <c r="C388" s="8" t="n">
        <v>5760</v>
      </c>
      <c r="D388" s="8" t="n">
        <v>1250</v>
      </c>
      <c r="E388" s="8" t="n">
        <v>995</v>
      </c>
      <c r="F388" s="8" t="s">
        <v>2200</v>
      </c>
      <c r="G388" s="8" t="s">
        <v>2201</v>
      </c>
      <c r="H388" s="8" t="s">
        <v>2283</v>
      </c>
    </row>
    <row r="389" customFormat="false" ht="15" hidden="false" customHeight="false" outlineLevel="0" collapsed="false">
      <c r="A389" s="7" t="n">
        <v>45314</v>
      </c>
      <c r="B389" s="7" t="n">
        <v>45432</v>
      </c>
      <c r="C389" s="8" t="n">
        <v>5770</v>
      </c>
      <c r="D389" s="8" t="n">
        <v>0</v>
      </c>
      <c r="E389" s="8" t="n">
        <v>0</v>
      </c>
      <c r="F389" s="8" t="s">
        <v>2200</v>
      </c>
      <c r="G389" s="8" t="s">
        <v>2201</v>
      </c>
      <c r="H389" s="8" t="s">
        <v>2283</v>
      </c>
    </row>
    <row r="390" customFormat="false" ht="15" hidden="false" customHeight="false" outlineLevel="0" collapsed="false">
      <c r="A390" s="7" t="n">
        <v>45315</v>
      </c>
      <c r="B390" s="7" t="n">
        <v>45342</v>
      </c>
      <c r="C390" s="8" t="n">
        <v>5784</v>
      </c>
      <c r="D390" s="8" t="n">
        <v>6945</v>
      </c>
      <c r="E390" s="8" t="n">
        <v>18370</v>
      </c>
      <c r="F390" s="8" t="s">
        <v>2200</v>
      </c>
      <c r="G390" s="8" t="s">
        <v>2201</v>
      </c>
      <c r="H390" s="8" t="s">
        <v>2284</v>
      </c>
    </row>
    <row r="391" customFormat="false" ht="15" hidden="false" customHeight="false" outlineLevel="0" collapsed="false">
      <c r="A391" s="7" t="n">
        <v>45315</v>
      </c>
      <c r="B391" s="7" t="n">
        <v>45371</v>
      </c>
      <c r="C391" s="8" t="n">
        <v>5721</v>
      </c>
      <c r="D391" s="8" t="n">
        <v>4750</v>
      </c>
      <c r="E391" s="8" t="n">
        <v>13555</v>
      </c>
      <c r="F391" s="8" t="s">
        <v>2200</v>
      </c>
      <c r="G391" s="8" t="s">
        <v>2201</v>
      </c>
      <c r="H391" s="8" t="s">
        <v>2284</v>
      </c>
    </row>
    <row r="392" customFormat="false" ht="15" hidden="false" customHeight="false" outlineLevel="0" collapsed="false">
      <c r="A392" s="7" t="n">
        <v>45315</v>
      </c>
      <c r="B392" s="7" t="n">
        <v>45401</v>
      </c>
      <c r="C392" s="8" t="n">
        <v>5720</v>
      </c>
      <c r="D392" s="8" t="n">
        <v>775</v>
      </c>
      <c r="E392" s="8" t="n">
        <v>1460</v>
      </c>
      <c r="F392" s="8" t="s">
        <v>2200</v>
      </c>
      <c r="G392" s="8" t="s">
        <v>2201</v>
      </c>
      <c r="H392" s="8" t="s">
        <v>2284</v>
      </c>
    </row>
    <row r="393" customFormat="false" ht="15" hidden="false" customHeight="false" outlineLevel="0" collapsed="false">
      <c r="A393" s="7" t="n">
        <v>45315</v>
      </c>
      <c r="B393" s="7" t="n">
        <v>45432</v>
      </c>
      <c r="C393" s="8" t="n">
        <v>5720</v>
      </c>
      <c r="D393" s="8" t="n">
        <v>0</v>
      </c>
      <c r="E393" s="8" t="n">
        <v>0</v>
      </c>
      <c r="F393" s="8" t="s">
        <v>2200</v>
      </c>
      <c r="G393" s="8" t="s">
        <v>2201</v>
      </c>
      <c r="H393" s="8" t="s">
        <v>2284</v>
      </c>
    </row>
    <row r="394" customFormat="false" ht="15" hidden="false" customHeight="false" outlineLevel="0" collapsed="false">
      <c r="A394" s="7" t="n">
        <v>45316</v>
      </c>
      <c r="B394" s="7" t="n">
        <v>45342</v>
      </c>
      <c r="C394" s="8" t="n">
        <v>5818</v>
      </c>
      <c r="D394" s="8" t="n">
        <v>2720</v>
      </c>
      <c r="E394" s="8" t="n">
        <v>18190</v>
      </c>
      <c r="F394" s="8" t="s">
        <v>2200</v>
      </c>
      <c r="G394" s="8" t="s">
        <v>2201</v>
      </c>
      <c r="H394" s="8" t="s">
        <v>2285</v>
      </c>
    </row>
    <row r="395" customFormat="false" ht="15" hidden="false" customHeight="false" outlineLevel="0" collapsed="false">
      <c r="A395" s="7" t="n">
        <v>45316</v>
      </c>
      <c r="B395" s="7" t="n">
        <v>45371</v>
      </c>
      <c r="C395" s="8" t="n">
        <v>5743</v>
      </c>
      <c r="D395" s="8" t="n">
        <v>1420</v>
      </c>
      <c r="E395" s="8" t="n">
        <v>14120</v>
      </c>
      <c r="F395" s="8" t="s">
        <v>2200</v>
      </c>
      <c r="G395" s="8" t="s">
        <v>2201</v>
      </c>
      <c r="H395" s="8" t="s">
        <v>2285</v>
      </c>
    </row>
    <row r="396" customFormat="false" ht="15" hidden="false" customHeight="false" outlineLevel="0" collapsed="false">
      <c r="A396" s="7" t="n">
        <v>45316</v>
      </c>
      <c r="B396" s="7" t="n">
        <v>45401</v>
      </c>
      <c r="C396" s="8" t="n">
        <v>5742</v>
      </c>
      <c r="D396" s="8" t="n">
        <v>265</v>
      </c>
      <c r="E396" s="8" t="n">
        <v>1645</v>
      </c>
      <c r="F396" s="8" t="s">
        <v>2200</v>
      </c>
      <c r="G396" s="8" t="s">
        <v>2201</v>
      </c>
      <c r="H396" s="8" t="s">
        <v>2285</v>
      </c>
    </row>
    <row r="397" customFormat="false" ht="15" hidden="false" customHeight="false" outlineLevel="0" collapsed="false">
      <c r="A397" s="7" t="n">
        <v>45316</v>
      </c>
      <c r="B397" s="7" t="n">
        <v>45432</v>
      </c>
      <c r="C397" s="8" t="n">
        <v>5742</v>
      </c>
      <c r="D397" s="8" t="n">
        <v>0</v>
      </c>
      <c r="E397" s="8" t="n">
        <v>0</v>
      </c>
      <c r="F397" s="8" t="s">
        <v>2200</v>
      </c>
      <c r="G397" s="8" t="s">
        <v>2201</v>
      </c>
      <c r="H397" s="8" t="s">
        <v>2285</v>
      </c>
    </row>
    <row r="398" customFormat="false" ht="15" hidden="false" customHeight="false" outlineLevel="0" collapsed="false">
      <c r="A398" s="7" t="n">
        <v>45320</v>
      </c>
      <c r="B398" s="7" t="n">
        <v>45342</v>
      </c>
      <c r="C398" s="8" t="n">
        <v>5713</v>
      </c>
      <c r="D398" s="8" t="n">
        <v>5095</v>
      </c>
      <c r="E398" s="8" t="n">
        <v>18055</v>
      </c>
      <c r="F398" s="8" t="s">
        <v>2200</v>
      </c>
      <c r="G398" s="8" t="s">
        <v>2201</v>
      </c>
      <c r="H398" s="8" t="s">
        <v>2286</v>
      </c>
    </row>
    <row r="399" customFormat="false" ht="15" hidden="false" customHeight="false" outlineLevel="0" collapsed="false">
      <c r="A399" s="7" t="n">
        <v>45320</v>
      </c>
      <c r="B399" s="7" t="n">
        <v>45371</v>
      </c>
      <c r="C399" s="8" t="n">
        <v>5668</v>
      </c>
      <c r="D399" s="8" t="n">
        <v>2655</v>
      </c>
      <c r="E399" s="8" t="n">
        <v>14185</v>
      </c>
      <c r="F399" s="8" t="s">
        <v>2200</v>
      </c>
      <c r="G399" s="8" t="s">
        <v>2201</v>
      </c>
      <c r="H399" s="8" t="s">
        <v>2286</v>
      </c>
    </row>
    <row r="400" customFormat="false" ht="15" hidden="false" customHeight="false" outlineLevel="0" collapsed="false">
      <c r="A400" s="7" t="n">
        <v>45320</v>
      </c>
      <c r="B400" s="7" t="n">
        <v>45401</v>
      </c>
      <c r="C400" s="8" t="n">
        <v>5650</v>
      </c>
      <c r="D400" s="8" t="n">
        <v>770</v>
      </c>
      <c r="E400" s="8" t="n">
        <v>2105</v>
      </c>
      <c r="F400" s="8" t="s">
        <v>2200</v>
      </c>
      <c r="G400" s="8" t="s">
        <v>2201</v>
      </c>
      <c r="H400" s="8" t="s">
        <v>2286</v>
      </c>
    </row>
    <row r="401" customFormat="false" ht="15" hidden="false" customHeight="false" outlineLevel="0" collapsed="false">
      <c r="A401" s="7" t="n">
        <v>45320</v>
      </c>
      <c r="B401" s="7" t="n">
        <v>45432</v>
      </c>
      <c r="C401" s="8" t="n">
        <v>5650</v>
      </c>
      <c r="D401" s="8" t="n">
        <v>0</v>
      </c>
      <c r="E401" s="8" t="n">
        <v>0</v>
      </c>
      <c r="F401" s="8" t="s">
        <v>2200</v>
      </c>
      <c r="G401" s="8" t="s">
        <v>2201</v>
      </c>
      <c r="H401" s="8" t="s">
        <v>2286</v>
      </c>
    </row>
    <row r="402" customFormat="false" ht="15" hidden="false" customHeight="false" outlineLevel="0" collapsed="false">
      <c r="A402" s="7" t="n">
        <v>45321</v>
      </c>
      <c r="B402" s="7" t="n">
        <v>45342</v>
      </c>
      <c r="C402" s="8" t="n">
        <v>5763</v>
      </c>
      <c r="D402" s="8" t="n">
        <v>4430</v>
      </c>
      <c r="E402" s="8" t="n">
        <v>18350</v>
      </c>
      <c r="F402" s="8" t="s">
        <v>2200</v>
      </c>
      <c r="G402" s="8" t="s">
        <v>2201</v>
      </c>
      <c r="H402" s="8" t="s">
        <v>2287</v>
      </c>
    </row>
    <row r="403" customFormat="false" ht="15" hidden="false" customHeight="false" outlineLevel="0" collapsed="false">
      <c r="A403" s="7" t="n">
        <v>45321</v>
      </c>
      <c r="B403" s="7" t="n">
        <v>45371</v>
      </c>
      <c r="C403" s="8" t="n">
        <v>5696</v>
      </c>
      <c r="D403" s="8" t="n">
        <v>3360</v>
      </c>
      <c r="E403" s="8" t="n">
        <v>15065</v>
      </c>
      <c r="F403" s="8" t="s">
        <v>2200</v>
      </c>
      <c r="G403" s="8" t="s">
        <v>2201</v>
      </c>
      <c r="H403" s="8" t="s">
        <v>2287</v>
      </c>
    </row>
    <row r="404" customFormat="false" ht="15" hidden="false" customHeight="false" outlineLevel="0" collapsed="false">
      <c r="A404" s="7" t="n">
        <v>45321</v>
      </c>
      <c r="B404" s="7" t="n">
        <v>45401</v>
      </c>
      <c r="C404" s="8" t="n">
        <v>5677</v>
      </c>
      <c r="D404" s="8" t="n">
        <v>560</v>
      </c>
      <c r="E404" s="8" t="n">
        <v>2415</v>
      </c>
      <c r="F404" s="8" t="s">
        <v>2200</v>
      </c>
      <c r="G404" s="8" t="s">
        <v>2201</v>
      </c>
      <c r="H404" s="8" t="s">
        <v>2287</v>
      </c>
    </row>
    <row r="405" customFormat="false" ht="15" hidden="false" customHeight="false" outlineLevel="0" collapsed="false">
      <c r="A405" s="7" t="n">
        <v>45321</v>
      </c>
      <c r="B405" s="7" t="n">
        <v>45432</v>
      </c>
      <c r="C405" s="8" t="n">
        <v>5677</v>
      </c>
      <c r="D405" s="8" t="n">
        <v>0</v>
      </c>
      <c r="E405" s="8" t="n">
        <v>0</v>
      </c>
      <c r="F405" s="8" t="s">
        <v>2200</v>
      </c>
      <c r="G405" s="8" t="s">
        <v>2201</v>
      </c>
      <c r="H405" s="8" t="s">
        <v>2287</v>
      </c>
    </row>
    <row r="406" customFormat="false" ht="15" hidden="false" customHeight="false" outlineLevel="0" collapsed="false">
      <c r="A406" s="7" t="n">
        <v>45322</v>
      </c>
      <c r="B406" s="7" t="n">
        <v>45342</v>
      </c>
      <c r="C406" s="8" t="n">
        <v>5739</v>
      </c>
      <c r="D406" s="8" t="n">
        <v>5345</v>
      </c>
      <c r="E406" s="8" t="n">
        <v>17555</v>
      </c>
      <c r="F406" s="8" t="s">
        <v>2200</v>
      </c>
      <c r="G406" s="8" t="s">
        <v>2201</v>
      </c>
      <c r="H406" s="8" t="s">
        <v>2288</v>
      </c>
    </row>
    <row r="407" customFormat="false" ht="15" hidden="false" customHeight="false" outlineLevel="0" collapsed="false">
      <c r="A407" s="7" t="n">
        <v>45322</v>
      </c>
      <c r="B407" s="7" t="n">
        <v>45371</v>
      </c>
      <c r="C407" s="8" t="n">
        <v>5659</v>
      </c>
      <c r="D407" s="8" t="n">
        <v>2810</v>
      </c>
      <c r="E407" s="8" t="n">
        <v>15490</v>
      </c>
      <c r="F407" s="8" t="s">
        <v>2200</v>
      </c>
      <c r="G407" s="8" t="s">
        <v>2201</v>
      </c>
      <c r="H407" s="8" t="s">
        <v>2288</v>
      </c>
    </row>
    <row r="408" customFormat="false" ht="15" hidden="false" customHeight="false" outlineLevel="0" collapsed="false">
      <c r="A408" s="7" t="n">
        <v>45322</v>
      </c>
      <c r="B408" s="7" t="n">
        <v>45401</v>
      </c>
      <c r="C408" s="8" t="n">
        <v>5647</v>
      </c>
      <c r="D408" s="8" t="n">
        <v>435</v>
      </c>
      <c r="E408" s="8" t="n">
        <v>2585</v>
      </c>
      <c r="F408" s="8" t="s">
        <v>2200</v>
      </c>
      <c r="G408" s="8" t="s">
        <v>2201</v>
      </c>
      <c r="H408" s="8" t="s">
        <v>2288</v>
      </c>
    </row>
    <row r="409" customFormat="false" ht="15" hidden="false" customHeight="false" outlineLevel="0" collapsed="false">
      <c r="A409" s="7" t="n">
        <v>45322</v>
      </c>
      <c r="B409" s="7" t="n">
        <v>45432</v>
      </c>
      <c r="C409" s="8" t="n">
        <v>5647</v>
      </c>
      <c r="D409" s="8" t="n">
        <v>0</v>
      </c>
      <c r="E409" s="8" t="n">
        <v>0</v>
      </c>
      <c r="F409" s="8" t="s">
        <v>2200</v>
      </c>
      <c r="G409" s="8" t="s">
        <v>2201</v>
      </c>
      <c r="H409" s="8" t="s">
        <v>2288</v>
      </c>
    </row>
    <row r="410" customFormat="false" ht="15" hidden="false" customHeight="false" outlineLevel="0" collapsed="false">
      <c r="A410" s="7" t="n">
        <v>45323</v>
      </c>
      <c r="B410" s="7" t="n">
        <v>45342</v>
      </c>
      <c r="C410" s="8" t="n">
        <v>5740</v>
      </c>
      <c r="D410" s="8" t="n">
        <v>2905</v>
      </c>
      <c r="E410" s="8" t="n">
        <v>17195</v>
      </c>
      <c r="F410" s="8" t="s">
        <v>2200</v>
      </c>
      <c r="G410" s="8" t="s">
        <v>2201</v>
      </c>
      <c r="H410" s="8" t="s">
        <v>2289</v>
      </c>
    </row>
    <row r="411" customFormat="false" ht="15" hidden="false" customHeight="false" outlineLevel="0" collapsed="false">
      <c r="A411" s="7" t="n">
        <v>45323</v>
      </c>
      <c r="B411" s="7" t="n">
        <v>45371</v>
      </c>
      <c r="C411" s="8" t="n">
        <v>5661</v>
      </c>
      <c r="D411" s="8" t="n">
        <v>2665</v>
      </c>
      <c r="E411" s="8" t="n">
        <v>15955</v>
      </c>
      <c r="F411" s="8" t="s">
        <v>2200</v>
      </c>
      <c r="G411" s="8" t="s">
        <v>2201</v>
      </c>
      <c r="H411" s="8" t="s">
        <v>2289</v>
      </c>
    </row>
    <row r="412" customFormat="false" ht="15" hidden="false" customHeight="false" outlineLevel="0" collapsed="false">
      <c r="A412" s="7" t="n">
        <v>45323</v>
      </c>
      <c r="B412" s="7" t="n">
        <v>45401</v>
      </c>
      <c r="C412" s="8" t="n">
        <v>5657</v>
      </c>
      <c r="D412" s="8" t="n">
        <v>840</v>
      </c>
      <c r="E412" s="8" t="n">
        <v>3150</v>
      </c>
      <c r="F412" s="8" t="s">
        <v>2200</v>
      </c>
      <c r="G412" s="8" t="s">
        <v>2201</v>
      </c>
      <c r="H412" s="8" t="s">
        <v>2289</v>
      </c>
    </row>
    <row r="413" customFormat="false" ht="15" hidden="false" customHeight="false" outlineLevel="0" collapsed="false">
      <c r="A413" s="7" t="n">
        <v>45323</v>
      </c>
      <c r="B413" s="7" t="n">
        <v>45432</v>
      </c>
      <c r="C413" s="8" t="n">
        <v>5657</v>
      </c>
      <c r="D413" s="8" t="n">
        <v>0</v>
      </c>
      <c r="E413" s="8" t="n">
        <v>0</v>
      </c>
      <c r="F413" s="8" t="s">
        <v>2200</v>
      </c>
      <c r="G413" s="8" t="s">
        <v>2201</v>
      </c>
      <c r="H413" s="8" t="s">
        <v>2289</v>
      </c>
    </row>
    <row r="414" customFormat="false" ht="15" hidden="false" customHeight="false" outlineLevel="0" collapsed="false">
      <c r="A414" s="7" t="n">
        <v>45323</v>
      </c>
      <c r="B414" s="7" t="n">
        <v>45463</v>
      </c>
      <c r="C414" s="8" t="n">
        <v>5657</v>
      </c>
      <c r="D414" s="8" t="n">
        <v>0</v>
      </c>
      <c r="E414" s="8" t="n">
        <v>0</v>
      </c>
      <c r="F414" s="8" t="s">
        <v>2200</v>
      </c>
      <c r="G414" s="8" t="s">
        <v>2201</v>
      </c>
      <c r="H414" s="8" t="s">
        <v>2289</v>
      </c>
    </row>
    <row r="415" customFormat="false" ht="15" hidden="false" customHeight="false" outlineLevel="0" collapsed="false">
      <c r="A415" s="7" t="n">
        <v>45324</v>
      </c>
      <c r="B415" s="7" t="n">
        <v>45342</v>
      </c>
      <c r="C415" s="8" t="n">
        <v>5739</v>
      </c>
      <c r="D415" s="8" t="n">
        <v>3005</v>
      </c>
      <c r="E415" s="8" t="n">
        <v>17410</v>
      </c>
      <c r="F415" s="8" t="s">
        <v>2200</v>
      </c>
      <c r="G415" s="8" t="s">
        <v>2201</v>
      </c>
      <c r="H415" s="8" t="s">
        <v>2290</v>
      </c>
    </row>
    <row r="416" customFormat="false" ht="15" hidden="false" customHeight="false" outlineLevel="0" collapsed="false">
      <c r="A416" s="7" t="n">
        <v>45324</v>
      </c>
      <c r="B416" s="7" t="n">
        <v>45371</v>
      </c>
      <c r="C416" s="8" t="n">
        <v>5648</v>
      </c>
      <c r="D416" s="8" t="n">
        <v>3310</v>
      </c>
      <c r="E416" s="8" t="n">
        <v>15470</v>
      </c>
      <c r="F416" s="8" t="s">
        <v>2200</v>
      </c>
      <c r="G416" s="8" t="s">
        <v>2201</v>
      </c>
      <c r="H416" s="8" t="s">
        <v>2290</v>
      </c>
    </row>
    <row r="417" customFormat="false" ht="15" hidden="false" customHeight="false" outlineLevel="0" collapsed="false">
      <c r="A417" s="7" t="n">
        <v>45324</v>
      </c>
      <c r="B417" s="7" t="n">
        <v>45401</v>
      </c>
      <c r="C417" s="8" t="n">
        <v>5632</v>
      </c>
      <c r="D417" s="8" t="n">
        <v>830</v>
      </c>
      <c r="E417" s="8" t="n">
        <v>3935</v>
      </c>
      <c r="F417" s="8" t="s">
        <v>2200</v>
      </c>
      <c r="G417" s="8" t="s">
        <v>2201</v>
      </c>
      <c r="H417" s="8" t="s">
        <v>2290</v>
      </c>
    </row>
    <row r="418" customFormat="false" ht="15" hidden="false" customHeight="false" outlineLevel="0" collapsed="false">
      <c r="A418" s="7" t="n">
        <v>45324</v>
      </c>
      <c r="B418" s="7" t="n">
        <v>45432</v>
      </c>
      <c r="C418" s="8" t="n">
        <v>5632</v>
      </c>
      <c r="D418" s="8" t="n">
        <v>0</v>
      </c>
      <c r="E418" s="8" t="n">
        <v>0</v>
      </c>
      <c r="F418" s="8" t="s">
        <v>2200</v>
      </c>
      <c r="G418" s="8" t="s">
        <v>2201</v>
      </c>
      <c r="H418" s="8" t="s">
        <v>2290</v>
      </c>
    </row>
    <row r="419" customFormat="false" ht="15" hidden="false" customHeight="false" outlineLevel="0" collapsed="false">
      <c r="A419" s="7" t="n">
        <v>45324</v>
      </c>
      <c r="B419" s="7" t="n">
        <v>45463</v>
      </c>
      <c r="C419" s="8" t="n">
        <v>5632</v>
      </c>
      <c r="D419" s="8" t="n">
        <v>0</v>
      </c>
      <c r="E419" s="8" t="n">
        <v>0</v>
      </c>
      <c r="F419" s="8" t="s">
        <v>2200</v>
      </c>
      <c r="G419" s="8" t="s">
        <v>2201</v>
      </c>
      <c r="H419" s="8" t="s">
        <v>2290</v>
      </c>
    </row>
    <row r="420" customFormat="false" ht="15" hidden="false" customHeight="false" outlineLevel="0" collapsed="false">
      <c r="A420" s="7" t="n">
        <v>45327</v>
      </c>
      <c r="B420" s="7" t="n">
        <v>45342</v>
      </c>
      <c r="C420" s="8" t="n">
        <v>5675</v>
      </c>
      <c r="D420" s="8" t="n">
        <v>2845</v>
      </c>
      <c r="E420" s="8" t="n">
        <v>16925</v>
      </c>
      <c r="F420" s="8" t="s">
        <v>2200</v>
      </c>
      <c r="G420" s="8" t="s">
        <v>2201</v>
      </c>
      <c r="H420" s="8" t="s">
        <v>2291</v>
      </c>
    </row>
    <row r="421" customFormat="false" ht="15" hidden="false" customHeight="false" outlineLevel="0" collapsed="false">
      <c r="A421" s="7" t="n">
        <v>45327</v>
      </c>
      <c r="B421" s="7" t="n">
        <v>45371</v>
      </c>
      <c r="C421" s="8" t="n">
        <v>5588</v>
      </c>
      <c r="D421" s="8" t="n">
        <v>4695</v>
      </c>
      <c r="E421" s="8" t="n">
        <v>14910</v>
      </c>
      <c r="F421" s="8" t="s">
        <v>2200</v>
      </c>
      <c r="G421" s="8" t="s">
        <v>2201</v>
      </c>
      <c r="H421" s="8" t="s">
        <v>2291</v>
      </c>
    </row>
    <row r="422" customFormat="false" ht="15" hidden="false" customHeight="false" outlineLevel="0" collapsed="false">
      <c r="A422" s="7" t="n">
        <v>45327</v>
      </c>
      <c r="B422" s="7" t="n">
        <v>45401</v>
      </c>
      <c r="C422" s="8" t="n">
        <v>5618</v>
      </c>
      <c r="D422" s="8" t="n">
        <v>1650</v>
      </c>
      <c r="E422" s="8" t="n">
        <v>5190</v>
      </c>
      <c r="F422" s="8" t="s">
        <v>2200</v>
      </c>
      <c r="G422" s="8" t="s">
        <v>2201</v>
      </c>
      <c r="H422" s="8" t="s">
        <v>2291</v>
      </c>
    </row>
    <row r="423" customFormat="false" ht="15" hidden="false" customHeight="false" outlineLevel="0" collapsed="false">
      <c r="A423" s="7" t="n">
        <v>45327</v>
      </c>
      <c r="B423" s="7" t="n">
        <v>45432</v>
      </c>
      <c r="C423" s="8" t="n">
        <v>5648</v>
      </c>
      <c r="D423" s="8" t="n">
        <v>0</v>
      </c>
      <c r="E423" s="8" t="n">
        <v>0</v>
      </c>
      <c r="F423" s="8" t="s">
        <v>2200</v>
      </c>
      <c r="G423" s="8" t="s">
        <v>2201</v>
      </c>
      <c r="H423" s="8" t="s">
        <v>2291</v>
      </c>
    </row>
    <row r="424" customFormat="false" ht="15" hidden="false" customHeight="false" outlineLevel="0" collapsed="false">
      <c r="A424" s="7" t="n">
        <v>45327</v>
      </c>
      <c r="B424" s="7" t="n">
        <v>45463</v>
      </c>
      <c r="C424" s="8" t="n">
        <v>5678</v>
      </c>
      <c r="D424" s="8" t="n">
        <v>0</v>
      </c>
      <c r="E424" s="8" t="n">
        <v>0</v>
      </c>
      <c r="F424" s="8" t="s">
        <v>2200</v>
      </c>
      <c r="G424" s="8" t="s">
        <v>2201</v>
      </c>
      <c r="H424" s="8" t="s">
        <v>2291</v>
      </c>
    </row>
    <row r="425" customFormat="false" ht="15" hidden="false" customHeight="false" outlineLevel="0" collapsed="false">
      <c r="A425" s="7" t="n">
        <v>45328</v>
      </c>
      <c r="B425" s="7" t="n">
        <v>45342</v>
      </c>
      <c r="C425" s="8" t="n">
        <v>5697</v>
      </c>
      <c r="D425" s="8" t="n">
        <v>2105</v>
      </c>
      <c r="E425" s="8" t="n">
        <v>16645</v>
      </c>
      <c r="F425" s="8" t="s">
        <v>2200</v>
      </c>
      <c r="G425" s="8" t="s">
        <v>2201</v>
      </c>
      <c r="H425" s="8" t="s">
        <v>2292</v>
      </c>
    </row>
    <row r="426" customFormat="false" ht="15" hidden="false" customHeight="false" outlineLevel="0" collapsed="false">
      <c r="A426" s="7" t="n">
        <v>45328</v>
      </c>
      <c r="B426" s="7" t="n">
        <v>45371</v>
      </c>
      <c r="C426" s="8" t="n">
        <v>5593</v>
      </c>
      <c r="D426" s="8" t="n">
        <v>2720</v>
      </c>
      <c r="E426" s="8" t="n">
        <v>14910</v>
      </c>
      <c r="F426" s="8" t="s">
        <v>2200</v>
      </c>
      <c r="G426" s="8" t="s">
        <v>2201</v>
      </c>
      <c r="H426" s="8" t="s">
        <v>2292</v>
      </c>
    </row>
    <row r="427" customFormat="false" ht="15" hidden="false" customHeight="false" outlineLevel="0" collapsed="false">
      <c r="A427" s="7" t="n">
        <v>45328</v>
      </c>
      <c r="B427" s="7" t="n">
        <v>45401</v>
      </c>
      <c r="C427" s="8" t="n">
        <v>5597</v>
      </c>
      <c r="D427" s="8" t="n">
        <v>575</v>
      </c>
      <c r="E427" s="8" t="n">
        <v>5305</v>
      </c>
      <c r="F427" s="8" t="s">
        <v>2200</v>
      </c>
      <c r="G427" s="8" t="s">
        <v>2201</v>
      </c>
      <c r="H427" s="8" t="s">
        <v>2292</v>
      </c>
    </row>
    <row r="428" customFormat="false" ht="15" hidden="false" customHeight="false" outlineLevel="0" collapsed="false">
      <c r="A428" s="7" t="n">
        <v>45328</v>
      </c>
      <c r="B428" s="7" t="n">
        <v>45432</v>
      </c>
      <c r="C428" s="8" t="n">
        <v>5601</v>
      </c>
      <c r="D428" s="8" t="n">
        <v>0</v>
      </c>
      <c r="E428" s="8" t="n">
        <v>0</v>
      </c>
      <c r="F428" s="8" t="s">
        <v>2200</v>
      </c>
      <c r="G428" s="8" t="s">
        <v>2201</v>
      </c>
      <c r="H428" s="8" t="s">
        <v>2292</v>
      </c>
    </row>
    <row r="429" customFormat="false" ht="15" hidden="false" customHeight="false" outlineLevel="0" collapsed="false">
      <c r="A429" s="7" t="n">
        <v>45328</v>
      </c>
      <c r="B429" s="7" t="n">
        <v>45463</v>
      </c>
      <c r="C429" s="8" t="n">
        <v>5605</v>
      </c>
      <c r="D429" s="8" t="n">
        <v>0</v>
      </c>
      <c r="E429" s="8" t="n">
        <v>0</v>
      </c>
      <c r="F429" s="8" t="s">
        <v>2200</v>
      </c>
      <c r="G429" s="8" t="s">
        <v>2201</v>
      </c>
      <c r="H429" s="8" t="s">
        <v>2292</v>
      </c>
    </row>
    <row r="430" customFormat="false" ht="15" hidden="false" customHeight="false" outlineLevel="0" collapsed="false">
      <c r="A430" s="7" t="n">
        <v>45329</v>
      </c>
      <c r="B430" s="7" t="n">
        <v>45342</v>
      </c>
      <c r="C430" s="8" t="n">
        <v>5758</v>
      </c>
      <c r="D430" s="8" t="n">
        <v>4685</v>
      </c>
      <c r="E430" s="8" t="n">
        <v>16445</v>
      </c>
      <c r="F430" s="8" t="s">
        <v>2200</v>
      </c>
      <c r="G430" s="8" t="s">
        <v>2201</v>
      </c>
      <c r="H430" s="8" t="s">
        <v>2293</v>
      </c>
    </row>
    <row r="431" customFormat="false" ht="15" hidden="false" customHeight="false" outlineLevel="0" collapsed="false">
      <c r="A431" s="7" t="n">
        <v>45329</v>
      </c>
      <c r="B431" s="7" t="n">
        <v>45371</v>
      </c>
      <c r="C431" s="8" t="n">
        <v>5630</v>
      </c>
      <c r="D431" s="8" t="n">
        <v>4340</v>
      </c>
      <c r="E431" s="8" t="n">
        <v>15335</v>
      </c>
      <c r="F431" s="8" t="s">
        <v>2200</v>
      </c>
      <c r="G431" s="8" t="s">
        <v>2201</v>
      </c>
      <c r="H431" s="8" t="s">
        <v>2293</v>
      </c>
    </row>
    <row r="432" customFormat="false" ht="15" hidden="false" customHeight="false" outlineLevel="0" collapsed="false">
      <c r="A432" s="7" t="n">
        <v>45329</v>
      </c>
      <c r="B432" s="7" t="n">
        <v>45401</v>
      </c>
      <c r="C432" s="8" t="n">
        <v>5650</v>
      </c>
      <c r="D432" s="8" t="n">
        <v>780</v>
      </c>
      <c r="E432" s="8" t="n">
        <v>5605</v>
      </c>
      <c r="F432" s="8" t="s">
        <v>2200</v>
      </c>
      <c r="G432" s="8" t="s">
        <v>2201</v>
      </c>
      <c r="H432" s="8" t="s">
        <v>2293</v>
      </c>
    </row>
    <row r="433" customFormat="false" ht="15" hidden="false" customHeight="false" outlineLevel="0" collapsed="false">
      <c r="A433" s="7" t="n">
        <v>45329</v>
      </c>
      <c r="B433" s="7" t="n">
        <v>45432</v>
      </c>
      <c r="C433" s="8" t="n">
        <v>5670</v>
      </c>
      <c r="D433" s="8" t="n">
        <v>0</v>
      </c>
      <c r="E433" s="8" t="n">
        <v>0</v>
      </c>
      <c r="F433" s="8" t="s">
        <v>2200</v>
      </c>
      <c r="G433" s="8" t="s">
        <v>2201</v>
      </c>
      <c r="H433" s="8" t="s">
        <v>2293</v>
      </c>
    </row>
    <row r="434" customFormat="false" ht="15" hidden="false" customHeight="false" outlineLevel="0" collapsed="false">
      <c r="A434" s="7" t="n">
        <v>45329</v>
      </c>
      <c r="B434" s="7" t="n">
        <v>45463</v>
      </c>
      <c r="C434" s="8" t="n">
        <v>5690</v>
      </c>
      <c r="D434" s="8" t="n">
        <v>0</v>
      </c>
      <c r="E434" s="8" t="n">
        <v>0</v>
      </c>
      <c r="F434" s="8" t="s">
        <v>2200</v>
      </c>
      <c r="G434" s="8" t="s">
        <v>2201</v>
      </c>
      <c r="H434" s="8" t="s">
        <v>2293</v>
      </c>
    </row>
    <row r="435" customFormat="false" ht="15" hidden="false" customHeight="false" outlineLevel="0" collapsed="false">
      <c r="A435" s="7" t="n">
        <v>45330</v>
      </c>
      <c r="B435" s="7" t="n">
        <v>45342</v>
      </c>
      <c r="C435" s="8" t="n">
        <v>5756</v>
      </c>
      <c r="D435" s="8" t="n">
        <v>3430</v>
      </c>
      <c r="E435" s="8" t="n">
        <v>14835</v>
      </c>
      <c r="F435" s="8" t="s">
        <v>2200</v>
      </c>
      <c r="G435" s="8" t="s">
        <v>2201</v>
      </c>
      <c r="H435" s="8" t="s">
        <v>2294</v>
      </c>
    </row>
    <row r="436" customFormat="false" ht="15" hidden="false" customHeight="false" outlineLevel="0" collapsed="false">
      <c r="A436" s="7" t="n">
        <v>45330</v>
      </c>
      <c r="B436" s="7" t="n">
        <v>45371</v>
      </c>
      <c r="C436" s="8" t="n">
        <v>5620</v>
      </c>
      <c r="D436" s="8" t="n">
        <v>5900</v>
      </c>
      <c r="E436" s="8" t="n">
        <v>15515</v>
      </c>
      <c r="F436" s="8" t="s">
        <v>2200</v>
      </c>
      <c r="G436" s="8" t="s">
        <v>2201</v>
      </c>
      <c r="H436" s="8" t="s">
        <v>2294</v>
      </c>
    </row>
    <row r="437" customFormat="false" ht="15" hidden="false" customHeight="false" outlineLevel="0" collapsed="false">
      <c r="A437" s="7" t="n">
        <v>45330</v>
      </c>
      <c r="B437" s="7" t="n">
        <v>45401</v>
      </c>
      <c r="C437" s="8" t="n">
        <v>5640</v>
      </c>
      <c r="D437" s="8" t="n">
        <v>1420</v>
      </c>
      <c r="E437" s="8" t="n">
        <v>6360</v>
      </c>
      <c r="F437" s="8" t="s">
        <v>2200</v>
      </c>
      <c r="G437" s="8" t="s">
        <v>2201</v>
      </c>
      <c r="H437" s="8" t="s">
        <v>2294</v>
      </c>
    </row>
    <row r="438" customFormat="false" ht="15" hidden="false" customHeight="false" outlineLevel="0" collapsed="false">
      <c r="A438" s="7" t="n">
        <v>45330</v>
      </c>
      <c r="B438" s="7" t="n">
        <v>45432</v>
      </c>
      <c r="C438" s="8" t="n">
        <v>5660</v>
      </c>
      <c r="D438" s="8" t="n">
        <v>0</v>
      </c>
      <c r="E438" s="8" t="n">
        <v>0</v>
      </c>
      <c r="F438" s="8" t="s">
        <v>2200</v>
      </c>
      <c r="G438" s="8" t="s">
        <v>2201</v>
      </c>
      <c r="H438" s="8" t="s">
        <v>2294</v>
      </c>
    </row>
    <row r="439" customFormat="false" ht="15" hidden="false" customHeight="false" outlineLevel="0" collapsed="false">
      <c r="A439" s="7" t="n">
        <v>45330</v>
      </c>
      <c r="B439" s="7" t="n">
        <v>45463</v>
      </c>
      <c r="C439" s="8" t="n">
        <v>5680</v>
      </c>
      <c r="D439" s="8" t="n">
        <v>0</v>
      </c>
      <c r="E439" s="8" t="n">
        <v>0</v>
      </c>
      <c r="F439" s="8" t="s">
        <v>2200</v>
      </c>
      <c r="G439" s="8" t="s">
        <v>2201</v>
      </c>
      <c r="H439" s="8" t="s">
        <v>2294</v>
      </c>
    </row>
    <row r="440" customFormat="false" ht="15" hidden="false" customHeight="false" outlineLevel="0" collapsed="false">
      <c r="A440" s="7" t="n">
        <v>45331</v>
      </c>
      <c r="B440" s="7" t="n">
        <v>45342</v>
      </c>
      <c r="C440" s="8" t="n">
        <v>5773</v>
      </c>
      <c r="D440" s="8" t="n">
        <v>3565</v>
      </c>
      <c r="E440" s="8" t="n">
        <v>14080</v>
      </c>
      <c r="F440" s="8" t="s">
        <v>2200</v>
      </c>
      <c r="G440" s="8" t="s">
        <v>2201</v>
      </c>
      <c r="H440" s="8" t="s">
        <v>2295</v>
      </c>
    </row>
    <row r="441" customFormat="false" ht="15" hidden="false" customHeight="false" outlineLevel="0" collapsed="false">
      <c r="A441" s="7" t="n">
        <v>45331</v>
      </c>
      <c r="B441" s="7" t="n">
        <v>45371</v>
      </c>
      <c r="C441" s="8" t="n">
        <v>5610</v>
      </c>
      <c r="D441" s="8" t="n">
        <v>4870</v>
      </c>
      <c r="E441" s="8" t="n">
        <v>16565</v>
      </c>
      <c r="F441" s="8" t="s">
        <v>2200</v>
      </c>
      <c r="G441" s="8" t="s">
        <v>2201</v>
      </c>
      <c r="H441" s="8" t="s">
        <v>2295</v>
      </c>
    </row>
    <row r="442" customFormat="false" ht="15" hidden="false" customHeight="false" outlineLevel="0" collapsed="false">
      <c r="A442" s="7" t="n">
        <v>45331</v>
      </c>
      <c r="B442" s="7" t="n">
        <v>45401</v>
      </c>
      <c r="C442" s="8" t="n">
        <v>5640</v>
      </c>
      <c r="D442" s="8" t="n">
        <v>105</v>
      </c>
      <c r="E442" s="8" t="n">
        <v>6405</v>
      </c>
      <c r="F442" s="8" t="s">
        <v>2200</v>
      </c>
      <c r="G442" s="8" t="s">
        <v>2201</v>
      </c>
      <c r="H442" s="8" t="s">
        <v>2295</v>
      </c>
    </row>
    <row r="443" customFormat="false" ht="15" hidden="false" customHeight="false" outlineLevel="0" collapsed="false">
      <c r="A443" s="7" t="n">
        <v>45331</v>
      </c>
      <c r="B443" s="7" t="n">
        <v>45432</v>
      </c>
      <c r="C443" s="8" t="n">
        <v>5670</v>
      </c>
      <c r="D443" s="8" t="n">
        <v>0</v>
      </c>
      <c r="E443" s="8" t="n">
        <v>0</v>
      </c>
      <c r="F443" s="8" t="s">
        <v>2200</v>
      </c>
      <c r="G443" s="8" t="s">
        <v>2201</v>
      </c>
      <c r="H443" s="8" t="s">
        <v>2295</v>
      </c>
    </row>
    <row r="444" customFormat="false" ht="15" hidden="false" customHeight="false" outlineLevel="0" collapsed="false">
      <c r="A444" s="7" t="n">
        <v>45331</v>
      </c>
      <c r="B444" s="7" t="n">
        <v>45463</v>
      </c>
      <c r="C444" s="8" t="n">
        <v>5700</v>
      </c>
      <c r="D444" s="8" t="n">
        <v>0</v>
      </c>
      <c r="E444" s="8" t="n">
        <v>0</v>
      </c>
      <c r="F444" s="8" t="s">
        <v>2200</v>
      </c>
      <c r="G444" s="8" t="s">
        <v>2201</v>
      </c>
      <c r="H444" s="8" t="s">
        <v>2295</v>
      </c>
    </row>
    <row r="445" customFormat="false" ht="15" hidden="false" customHeight="false" outlineLevel="0" collapsed="false">
      <c r="A445" s="7" t="n">
        <v>45334</v>
      </c>
      <c r="B445" s="7" t="n">
        <v>45342</v>
      </c>
      <c r="C445" s="8" t="n">
        <v>5754</v>
      </c>
      <c r="D445" s="8" t="n">
        <v>1765</v>
      </c>
      <c r="E445" s="8" t="n">
        <v>13475</v>
      </c>
      <c r="F445" s="8" t="s">
        <v>2200</v>
      </c>
      <c r="G445" s="8" t="s">
        <v>2201</v>
      </c>
      <c r="H445" s="8" t="s">
        <v>2296</v>
      </c>
    </row>
    <row r="446" customFormat="false" ht="15" hidden="false" customHeight="false" outlineLevel="0" collapsed="false">
      <c r="A446" s="7" t="n">
        <v>45334</v>
      </c>
      <c r="B446" s="7" t="n">
        <v>45371</v>
      </c>
      <c r="C446" s="8" t="n">
        <v>5605</v>
      </c>
      <c r="D446" s="8" t="n">
        <v>5045</v>
      </c>
      <c r="E446" s="8" t="n">
        <v>15490</v>
      </c>
      <c r="F446" s="8" t="s">
        <v>2200</v>
      </c>
      <c r="G446" s="8" t="s">
        <v>2201</v>
      </c>
      <c r="H446" s="8" t="s">
        <v>2296</v>
      </c>
    </row>
    <row r="447" customFormat="false" ht="15" hidden="false" customHeight="false" outlineLevel="0" collapsed="false">
      <c r="A447" s="7" t="n">
        <v>45334</v>
      </c>
      <c r="B447" s="7" t="n">
        <v>45401</v>
      </c>
      <c r="C447" s="8" t="n">
        <v>5629</v>
      </c>
      <c r="D447" s="8" t="n">
        <v>2995</v>
      </c>
      <c r="E447" s="8" t="n">
        <v>8965</v>
      </c>
      <c r="F447" s="8" t="s">
        <v>2200</v>
      </c>
      <c r="G447" s="8" t="s">
        <v>2201</v>
      </c>
      <c r="H447" s="8" t="s">
        <v>2296</v>
      </c>
    </row>
    <row r="448" customFormat="false" ht="15" hidden="false" customHeight="false" outlineLevel="0" collapsed="false">
      <c r="A448" s="7" t="n">
        <v>45334</v>
      </c>
      <c r="B448" s="7" t="n">
        <v>45432</v>
      </c>
      <c r="C448" s="8" t="n">
        <v>5653</v>
      </c>
      <c r="D448" s="8" t="n">
        <v>0</v>
      </c>
      <c r="E448" s="8" t="n">
        <v>0</v>
      </c>
      <c r="F448" s="8" t="s">
        <v>2200</v>
      </c>
      <c r="G448" s="8" t="s">
        <v>2201</v>
      </c>
      <c r="H448" s="8" t="s">
        <v>2296</v>
      </c>
    </row>
    <row r="449" customFormat="false" ht="15" hidden="false" customHeight="false" outlineLevel="0" collapsed="false">
      <c r="A449" s="7" t="n">
        <v>45334</v>
      </c>
      <c r="B449" s="7" t="n">
        <v>45463</v>
      </c>
      <c r="C449" s="8" t="n">
        <v>5677</v>
      </c>
      <c r="D449" s="8" t="n">
        <v>0</v>
      </c>
      <c r="E449" s="8" t="n">
        <v>0</v>
      </c>
      <c r="F449" s="8" t="s">
        <v>2200</v>
      </c>
      <c r="G449" s="8" t="s">
        <v>2201</v>
      </c>
      <c r="H449" s="8" t="s">
        <v>2296</v>
      </c>
    </row>
    <row r="450" customFormat="false" ht="15" hidden="false" customHeight="false" outlineLevel="0" collapsed="false">
      <c r="A450" s="7" t="n">
        <v>45335</v>
      </c>
      <c r="B450" s="7" t="n">
        <v>45342</v>
      </c>
      <c r="C450" s="8" t="n">
        <v>5785</v>
      </c>
      <c r="D450" s="8" t="n">
        <v>2660</v>
      </c>
      <c r="E450" s="8" t="n">
        <v>12035</v>
      </c>
      <c r="F450" s="8" t="s">
        <v>2200</v>
      </c>
      <c r="G450" s="8" t="s">
        <v>2201</v>
      </c>
      <c r="H450" s="8" t="s">
        <v>2297</v>
      </c>
    </row>
    <row r="451" customFormat="false" ht="15" hidden="false" customHeight="false" outlineLevel="0" collapsed="false">
      <c r="A451" s="7" t="n">
        <v>45335</v>
      </c>
      <c r="B451" s="7" t="n">
        <v>45371</v>
      </c>
      <c r="C451" s="8" t="n">
        <v>5620</v>
      </c>
      <c r="D451" s="8" t="n">
        <v>4260</v>
      </c>
      <c r="E451" s="8" t="n">
        <v>14895</v>
      </c>
      <c r="F451" s="8" t="s">
        <v>2200</v>
      </c>
      <c r="G451" s="8" t="s">
        <v>2201</v>
      </c>
      <c r="H451" s="8" t="s">
        <v>2297</v>
      </c>
    </row>
    <row r="452" customFormat="false" ht="15" hidden="false" customHeight="false" outlineLevel="0" collapsed="false">
      <c r="A452" s="7" t="n">
        <v>45335</v>
      </c>
      <c r="B452" s="7" t="n">
        <v>45401</v>
      </c>
      <c r="C452" s="8" t="n">
        <v>5659</v>
      </c>
      <c r="D452" s="8" t="n">
        <v>2060</v>
      </c>
      <c r="E452" s="8" t="n">
        <v>9860</v>
      </c>
      <c r="F452" s="8" t="s">
        <v>2200</v>
      </c>
      <c r="G452" s="8" t="s">
        <v>2201</v>
      </c>
      <c r="H452" s="8" t="s">
        <v>2297</v>
      </c>
    </row>
    <row r="453" customFormat="false" ht="15" hidden="false" customHeight="false" outlineLevel="0" collapsed="false">
      <c r="A453" s="7" t="n">
        <v>45335</v>
      </c>
      <c r="B453" s="7" t="n">
        <v>45432</v>
      </c>
      <c r="C453" s="8" t="n">
        <v>5698</v>
      </c>
      <c r="D453" s="8" t="n">
        <v>0</v>
      </c>
      <c r="E453" s="8" t="n">
        <v>0</v>
      </c>
      <c r="F453" s="8" t="s">
        <v>2200</v>
      </c>
      <c r="G453" s="8" t="s">
        <v>2201</v>
      </c>
      <c r="H453" s="8" t="s">
        <v>2297</v>
      </c>
    </row>
    <row r="454" customFormat="false" ht="15" hidden="false" customHeight="false" outlineLevel="0" collapsed="false">
      <c r="A454" s="7" t="n">
        <v>45335</v>
      </c>
      <c r="B454" s="7" t="n">
        <v>45463</v>
      </c>
      <c r="C454" s="8" t="n">
        <v>5737</v>
      </c>
      <c r="D454" s="8" t="n">
        <v>0</v>
      </c>
      <c r="E454" s="8" t="n">
        <v>0</v>
      </c>
      <c r="F454" s="8" t="s">
        <v>2200</v>
      </c>
      <c r="G454" s="8" t="s">
        <v>2201</v>
      </c>
      <c r="H454" s="8" t="s">
        <v>2297</v>
      </c>
    </row>
    <row r="455" customFormat="false" ht="15" hidden="false" customHeight="false" outlineLevel="0" collapsed="false">
      <c r="A455" s="7" t="n">
        <v>45336</v>
      </c>
      <c r="B455" s="7" t="n">
        <v>45342</v>
      </c>
      <c r="C455" s="8" t="n">
        <v>5854</v>
      </c>
      <c r="D455" s="8" t="n">
        <v>7340</v>
      </c>
      <c r="E455" s="8" t="n">
        <v>10825</v>
      </c>
      <c r="F455" s="8" t="s">
        <v>2200</v>
      </c>
      <c r="G455" s="8" t="s">
        <v>2201</v>
      </c>
      <c r="H455" s="8" t="s">
        <v>2298</v>
      </c>
    </row>
    <row r="456" customFormat="false" ht="15" hidden="false" customHeight="false" outlineLevel="0" collapsed="false">
      <c r="A456" s="7" t="n">
        <v>45336</v>
      </c>
      <c r="B456" s="7" t="n">
        <v>45371</v>
      </c>
      <c r="C456" s="8" t="n">
        <v>5638</v>
      </c>
      <c r="D456" s="8" t="n">
        <v>10910</v>
      </c>
      <c r="E456" s="8" t="n">
        <v>15705</v>
      </c>
      <c r="F456" s="8" t="s">
        <v>2200</v>
      </c>
      <c r="G456" s="8" t="s">
        <v>2201</v>
      </c>
      <c r="H456" s="8" t="s">
        <v>2298</v>
      </c>
    </row>
    <row r="457" customFormat="false" ht="15" hidden="false" customHeight="false" outlineLevel="0" collapsed="false">
      <c r="A457" s="7" t="n">
        <v>45336</v>
      </c>
      <c r="B457" s="7" t="n">
        <v>45401</v>
      </c>
      <c r="C457" s="8" t="n">
        <v>5691</v>
      </c>
      <c r="D457" s="8" t="n">
        <v>3010</v>
      </c>
      <c r="E457" s="8" t="n">
        <v>11955</v>
      </c>
      <c r="F457" s="8" t="s">
        <v>2200</v>
      </c>
      <c r="G457" s="8" t="s">
        <v>2201</v>
      </c>
      <c r="H457" s="8" t="s">
        <v>2298</v>
      </c>
    </row>
    <row r="458" customFormat="false" ht="15" hidden="false" customHeight="false" outlineLevel="0" collapsed="false">
      <c r="A458" s="7" t="n">
        <v>45336</v>
      </c>
      <c r="B458" s="7" t="n">
        <v>45432</v>
      </c>
      <c r="C458" s="8" t="n">
        <v>5744</v>
      </c>
      <c r="D458" s="8" t="n">
        <v>0</v>
      </c>
      <c r="E458" s="8" t="n">
        <v>0</v>
      </c>
      <c r="F458" s="8" t="s">
        <v>2200</v>
      </c>
      <c r="G458" s="8" t="s">
        <v>2201</v>
      </c>
      <c r="H458" s="8" t="s">
        <v>2298</v>
      </c>
    </row>
    <row r="459" customFormat="false" ht="15" hidden="false" customHeight="false" outlineLevel="0" collapsed="false">
      <c r="A459" s="7" t="n">
        <v>45336</v>
      </c>
      <c r="B459" s="7" t="n">
        <v>45463</v>
      </c>
      <c r="C459" s="8" t="n">
        <v>5797</v>
      </c>
      <c r="D459" s="8" t="n">
        <v>0</v>
      </c>
      <c r="E459" s="8" t="n">
        <v>0</v>
      </c>
      <c r="F459" s="8" t="s">
        <v>2200</v>
      </c>
      <c r="G459" s="8" t="s">
        <v>2201</v>
      </c>
      <c r="H459" s="8" t="s">
        <v>2298</v>
      </c>
    </row>
    <row r="460" customFormat="false" ht="15" hidden="false" customHeight="false" outlineLevel="0" collapsed="false">
      <c r="A460" s="7" t="n">
        <v>45337</v>
      </c>
      <c r="B460" s="7" t="n">
        <v>45342</v>
      </c>
      <c r="C460" s="8" t="n">
        <v>5895</v>
      </c>
      <c r="D460" s="8" t="n">
        <v>920</v>
      </c>
      <c r="E460" s="8" t="n">
        <v>10075</v>
      </c>
      <c r="F460" s="8" t="s">
        <v>2200</v>
      </c>
      <c r="G460" s="8" t="s">
        <v>2201</v>
      </c>
      <c r="H460" s="8" t="s">
        <v>2299</v>
      </c>
    </row>
    <row r="461" customFormat="false" ht="15" hidden="false" customHeight="false" outlineLevel="0" collapsed="false">
      <c r="A461" s="7" t="n">
        <v>45337</v>
      </c>
      <c r="B461" s="7" t="n">
        <v>45371</v>
      </c>
      <c r="C461" s="8" t="n">
        <v>5639</v>
      </c>
      <c r="D461" s="8" t="n">
        <v>3965</v>
      </c>
      <c r="E461" s="8" t="n">
        <v>15980</v>
      </c>
      <c r="F461" s="8" t="s">
        <v>2200</v>
      </c>
      <c r="G461" s="8" t="s">
        <v>2201</v>
      </c>
      <c r="H461" s="8" t="s">
        <v>2299</v>
      </c>
    </row>
    <row r="462" customFormat="false" ht="15" hidden="false" customHeight="false" outlineLevel="0" collapsed="false">
      <c r="A462" s="7" t="n">
        <v>45337</v>
      </c>
      <c r="B462" s="7" t="n">
        <v>45401</v>
      </c>
      <c r="C462" s="8" t="n">
        <v>5706</v>
      </c>
      <c r="D462" s="8" t="n">
        <v>2475</v>
      </c>
      <c r="E462" s="8" t="n">
        <v>13630</v>
      </c>
      <c r="F462" s="8" t="s">
        <v>2200</v>
      </c>
      <c r="G462" s="8" t="s">
        <v>2201</v>
      </c>
      <c r="H462" s="8" t="s">
        <v>2299</v>
      </c>
    </row>
    <row r="463" customFormat="false" ht="15" hidden="false" customHeight="false" outlineLevel="0" collapsed="false">
      <c r="A463" s="7" t="n">
        <v>45337</v>
      </c>
      <c r="B463" s="7" t="n">
        <v>45432</v>
      </c>
      <c r="C463" s="8" t="n">
        <v>5773</v>
      </c>
      <c r="D463" s="8" t="n">
        <v>0</v>
      </c>
      <c r="E463" s="8" t="n">
        <v>0</v>
      </c>
      <c r="F463" s="8" t="s">
        <v>2200</v>
      </c>
      <c r="G463" s="8" t="s">
        <v>2201</v>
      </c>
      <c r="H463" s="8" t="s">
        <v>2299</v>
      </c>
    </row>
    <row r="464" customFormat="false" ht="15" hidden="false" customHeight="false" outlineLevel="0" collapsed="false">
      <c r="A464" s="7" t="n">
        <v>45337</v>
      </c>
      <c r="B464" s="7" t="n">
        <v>45463</v>
      </c>
      <c r="C464" s="8" t="n">
        <v>5840</v>
      </c>
      <c r="D464" s="8" t="n">
        <v>0</v>
      </c>
      <c r="E464" s="8" t="n">
        <v>0</v>
      </c>
      <c r="F464" s="8" t="s">
        <v>2200</v>
      </c>
      <c r="G464" s="8" t="s">
        <v>2201</v>
      </c>
      <c r="H464" s="8" t="s">
        <v>2299</v>
      </c>
    </row>
    <row r="465" customFormat="false" ht="15" hidden="false" customHeight="false" outlineLevel="0" collapsed="false">
      <c r="A465" s="7" t="n">
        <v>45338</v>
      </c>
      <c r="B465" s="7" t="n">
        <v>45342</v>
      </c>
      <c r="C465" s="8" t="n">
        <v>5869</v>
      </c>
      <c r="D465" s="8" t="n">
        <v>1075</v>
      </c>
      <c r="E465" s="8" t="n">
        <v>9295</v>
      </c>
      <c r="F465" s="8" t="s">
        <v>2200</v>
      </c>
      <c r="G465" s="8" t="s">
        <v>2201</v>
      </c>
      <c r="H465" s="8" t="s">
        <v>2300</v>
      </c>
    </row>
    <row r="466" customFormat="false" ht="15" hidden="false" customHeight="false" outlineLevel="0" collapsed="false">
      <c r="A466" s="7" t="n">
        <v>45338</v>
      </c>
      <c r="B466" s="7" t="n">
        <v>45371</v>
      </c>
      <c r="C466" s="8" t="n">
        <v>5638</v>
      </c>
      <c r="D466" s="8" t="n">
        <v>2280</v>
      </c>
      <c r="E466" s="8" t="n">
        <v>15835</v>
      </c>
      <c r="F466" s="8" t="s">
        <v>2200</v>
      </c>
      <c r="G466" s="8" t="s">
        <v>2201</v>
      </c>
      <c r="H466" s="8" t="s">
        <v>2300</v>
      </c>
    </row>
    <row r="467" customFormat="false" ht="15" hidden="false" customHeight="false" outlineLevel="0" collapsed="false">
      <c r="A467" s="7" t="n">
        <v>45338</v>
      </c>
      <c r="B467" s="7" t="n">
        <v>45401</v>
      </c>
      <c r="C467" s="8" t="n">
        <v>5700</v>
      </c>
      <c r="D467" s="8" t="n">
        <v>1075</v>
      </c>
      <c r="E467" s="8" t="n">
        <v>14325</v>
      </c>
      <c r="F467" s="8" t="s">
        <v>2200</v>
      </c>
      <c r="G467" s="8" t="s">
        <v>2201</v>
      </c>
      <c r="H467" s="8" t="s">
        <v>2300</v>
      </c>
    </row>
    <row r="468" customFormat="false" ht="15" hidden="false" customHeight="false" outlineLevel="0" collapsed="false">
      <c r="A468" s="7" t="n">
        <v>45338</v>
      </c>
      <c r="B468" s="7" t="n">
        <v>45432</v>
      </c>
      <c r="C468" s="8" t="n">
        <v>5762</v>
      </c>
      <c r="D468" s="8" t="n">
        <v>0</v>
      </c>
      <c r="E468" s="8" t="n">
        <v>0</v>
      </c>
      <c r="F468" s="8" t="s">
        <v>2200</v>
      </c>
      <c r="G468" s="8" t="s">
        <v>2201</v>
      </c>
      <c r="H468" s="8" t="s">
        <v>2300</v>
      </c>
    </row>
    <row r="469" customFormat="false" ht="15" hidden="false" customHeight="false" outlineLevel="0" collapsed="false">
      <c r="A469" s="7" t="n">
        <v>45338</v>
      </c>
      <c r="B469" s="7" t="n">
        <v>45463</v>
      </c>
      <c r="C469" s="8" t="n">
        <v>5824</v>
      </c>
      <c r="D469" s="8" t="n">
        <v>0</v>
      </c>
      <c r="E469" s="8" t="n">
        <v>0</v>
      </c>
      <c r="F469" s="8" t="s">
        <v>2200</v>
      </c>
      <c r="G469" s="8" t="s">
        <v>2201</v>
      </c>
      <c r="H469" s="8" t="s">
        <v>2300</v>
      </c>
    </row>
    <row r="470" customFormat="false" ht="15" hidden="false" customHeight="false" outlineLevel="0" collapsed="false">
      <c r="A470" s="7" t="n">
        <v>45341</v>
      </c>
      <c r="B470" s="7" t="n">
        <v>45342</v>
      </c>
      <c r="C470" s="8" t="n">
        <v>6024</v>
      </c>
      <c r="D470" s="8" t="n">
        <v>980</v>
      </c>
      <c r="E470" s="8" t="n">
        <v>7350</v>
      </c>
      <c r="F470" s="8" t="s">
        <v>2200</v>
      </c>
      <c r="G470" s="8" t="s">
        <v>2201</v>
      </c>
      <c r="H470" s="8" t="s">
        <v>2301</v>
      </c>
    </row>
    <row r="471" customFormat="false" ht="15" hidden="false" customHeight="false" outlineLevel="0" collapsed="false">
      <c r="A471" s="7" t="n">
        <v>45341</v>
      </c>
      <c r="B471" s="7" t="n">
        <v>45371</v>
      </c>
      <c r="C471" s="8" t="n">
        <v>5698</v>
      </c>
      <c r="D471" s="8" t="n">
        <v>6850</v>
      </c>
      <c r="E471" s="8" t="n">
        <v>17505</v>
      </c>
      <c r="F471" s="8" t="s">
        <v>2200</v>
      </c>
      <c r="G471" s="8" t="s">
        <v>2201</v>
      </c>
      <c r="H471" s="8" t="s">
        <v>2301</v>
      </c>
    </row>
    <row r="472" customFormat="false" ht="15" hidden="false" customHeight="false" outlineLevel="0" collapsed="false">
      <c r="A472" s="7" t="n">
        <v>45341</v>
      </c>
      <c r="B472" s="7" t="n">
        <v>45401</v>
      </c>
      <c r="C472" s="8" t="n">
        <v>5775</v>
      </c>
      <c r="D472" s="8" t="n">
        <v>4390</v>
      </c>
      <c r="E472" s="8" t="n">
        <v>17435</v>
      </c>
      <c r="F472" s="8" t="s">
        <v>2200</v>
      </c>
      <c r="G472" s="8" t="s">
        <v>2201</v>
      </c>
      <c r="H472" s="8" t="s">
        <v>2301</v>
      </c>
    </row>
    <row r="473" customFormat="false" ht="15" hidden="false" customHeight="false" outlineLevel="0" collapsed="false">
      <c r="A473" s="7" t="n">
        <v>45341</v>
      </c>
      <c r="B473" s="7" t="n">
        <v>45432</v>
      </c>
      <c r="C473" s="8" t="n">
        <v>5852</v>
      </c>
      <c r="D473" s="8" t="n">
        <v>0</v>
      </c>
      <c r="E473" s="8" t="n">
        <v>0</v>
      </c>
      <c r="F473" s="8" t="s">
        <v>2200</v>
      </c>
      <c r="G473" s="8" t="s">
        <v>2201</v>
      </c>
      <c r="H473" s="8" t="s">
        <v>2301</v>
      </c>
    </row>
    <row r="474" customFormat="false" ht="15" hidden="false" customHeight="false" outlineLevel="0" collapsed="false">
      <c r="A474" s="7" t="n">
        <v>45341</v>
      </c>
      <c r="B474" s="7" t="n">
        <v>45463</v>
      </c>
      <c r="C474" s="8" t="n">
        <v>5929</v>
      </c>
      <c r="D474" s="8" t="n">
        <v>0</v>
      </c>
      <c r="E474" s="8" t="n">
        <v>0</v>
      </c>
      <c r="F474" s="8" t="s">
        <v>2200</v>
      </c>
      <c r="G474" s="8" t="s">
        <v>2201</v>
      </c>
      <c r="H474" s="8" t="s">
        <v>2301</v>
      </c>
    </row>
    <row r="475" customFormat="false" ht="15" hidden="false" customHeight="false" outlineLevel="0" collapsed="false">
      <c r="A475" s="7" t="n">
        <v>45342</v>
      </c>
      <c r="B475" s="7" t="n">
        <v>45342</v>
      </c>
      <c r="C475" s="8" t="n">
        <v>6023</v>
      </c>
      <c r="D475" s="8" t="n">
        <v>2435</v>
      </c>
      <c r="E475" s="8" t="n">
        <v>4060</v>
      </c>
      <c r="F475" s="8" t="s">
        <v>2200</v>
      </c>
      <c r="G475" s="8" t="s">
        <v>2201</v>
      </c>
      <c r="H475" s="8" t="s">
        <v>2302</v>
      </c>
    </row>
    <row r="476" customFormat="false" ht="15" hidden="false" customHeight="false" outlineLevel="0" collapsed="false">
      <c r="A476" s="7" t="n">
        <v>45342</v>
      </c>
      <c r="B476" s="7" t="n">
        <v>45371</v>
      </c>
      <c r="C476" s="8" t="n">
        <v>5708</v>
      </c>
      <c r="D476" s="8" t="n">
        <v>8355</v>
      </c>
      <c r="E476" s="8" t="n">
        <v>18545</v>
      </c>
      <c r="F476" s="8" t="s">
        <v>2200</v>
      </c>
      <c r="G476" s="8" t="s">
        <v>2201</v>
      </c>
      <c r="H476" s="8" t="s">
        <v>2302</v>
      </c>
    </row>
    <row r="477" customFormat="false" ht="15" hidden="false" customHeight="false" outlineLevel="0" collapsed="false">
      <c r="A477" s="7" t="n">
        <v>45342</v>
      </c>
      <c r="B477" s="7" t="n">
        <v>45401</v>
      </c>
      <c r="C477" s="8" t="n">
        <v>5798</v>
      </c>
      <c r="D477" s="8" t="n">
        <v>6950</v>
      </c>
      <c r="E477" s="8" t="n">
        <v>21670</v>
      </c>
      <c r="F477" s="8" t="s">
        <v>2200</v>
      </c>
      <c r="G477" s="8" t="s">
        <v>2201</v>
      </c>
      <c r="H477" s="8" t="s">
        <v>2302</v>
      </c>
    </row>
    <row r="478" customFormat="false" ht="15" hidden="false" customHeight="false" outlineLevel="0" collapsed="false">
      <c r="A478" s="7" t="n">
        <v>45342</v>
      </c>
      <c r="B478" s="7" t="n">
        <v>45432</v>
      </c>
      <c r="C478" s="8" t="n">
        <v>5888</v>
      </c>
      <c r="D478" s="8" t="n">
        <v>0</v>
      </c>
      <c r="E478" s="8" t="n">
        <v>0</v>
      </c>
      <c r="F478" s="8" t="s">
        <v>2200</v>
      </c>
      <c r="G478" s="8" t="s">
        <v>2201</v>
      </c>
      <c r="H478" s="8" t="s">
        <v>2302</v>
      </c>
    </row>
    <row r="479" customFormat="false" ht="15" hidden="false" customHeight="false" outlineLevel="0" collapsed="false">
      <c r="A479" s="7" t="n">
        <v>45342</v>
      </c>
      <c r="B479" s="7" t="n">
        <v>45463</v>
      </c>
      <c r="C479" s="8" t="n">
        <v>5978</v>
      </c>
      <c r="D479" s="8" t="n">
        <v>0</v>
      </c>
      <c r="E479" s="8" t="n">
        <v>0</v>
      </c>
      <c r="F479" s="8" t="s">
        <v>2200</v>
      </c>
      <c r="G479" s="8" t="s">
        <v>2201</v>
      </c>
      <c r="H479" s="8" t="s">
        <v>2302</v>
      </c>
    </row>
    <row r="480" customFormat="false" ht="15" hidden="false" customHeight="false" outlineLevel="0" collapsed="false">
      <c r="A480" s="7" t="n">
        <v>45343</v>
      </c>
      <c r="B480" s="7" t="n">
        <v>45371</v>
      </c>
      <c r="C480" s="8" t="n">
        <v>5759</v>
      </c>
      <c r="D480" s="8" t="n">
        <v>12695</v>
      </c>
      <c r="E480" s="8" t="n">
        <v>21635</v>
      </c>
      <c r="F480" s="8" t="s">
        <v>2200</v>
      </c>
      <c r="G480" s="8" t="s">
        <v>2201</v>
      </c>
      <c r="H480" s="8" t="s">
        <v>2303</v>
      </c>
    </row>
    <row r="481" customFormat="false" ht="15" hidden="false" customHeight="false" outlineLevel="0" collapsed="false">
      <c r="A481" s="7" t="n">
        <v>45343</v>
      </c>
      <c r="B481" s="7" t="n">
        <v>45401</v>
      </c>
      <c r="C481" s="8" t="n">
        <v>5840</v>
      </c>
      <c r="D481" s="8" t="n">
        <v>4190</v>
      </c>
      <c r="E481" s="8" t="n">
        <v>22995</v>
      </c>
      <c r="F481" s="8" t="s">
        <v>2200</v>
      </c>
      <c r="G481" s="8" t="s">
        <v>2201</v>
      </c>
      <c r="H481" s="8" t="s">
        <v>2303</v>
      </c>
    </row>
    <row r="482" customFormat="false" ht="15" hidden="false" customHeight="false" outlineLevel="0" collapsed="false">
      <c r="A482" s="7" t="n">
        <v>45343</v>
      </c>
      <c r="B482" s="7" t="n">
        <v>45432</v>
      </c>
      <c r="C482" s="8" t="n">
        <v>5921</v>
      </c>
      <c r="D482" s="8" t="n">
        <v>0</v>
      </c>
      <c r="E482" s="8" t="n">
        <v>0</v>
      </c>
      <c r="F482" s="8" t="s">
        <v>2200</v>
      </c>
      <c r="G482" s="8" t="s">
        <v>2201</v>
      </c>
      <c r="H482" s="8" t="s">
        <v>2303</v>
      </c>
    </row>
    <row r="483" customFormat="false" ht="15" hidden="false" customHeight="false" outlineLevel="0" collapsed="false">
      <c r="A483" s="7" t="n">
        <v>45343</v>
      </c>
      <c r="B483" s="7" t="n">
        <v>45463</v>
      </c>
      <c r="C483" s="8" t="n">
        <v>6002</v>
      </c>
      <c r="D483" s="8" t="n">
        <v>0</v>
      </c>
      <c r="E483" s="8" t="n">
        <v>0</v>
      </c>
      <c r="F483" s="8" t="s">
        <v>2200</v>
      </c>
      <c r="G483" s="8" t="s">
        <v>2201</v>
      </c>
      <c r="H483" s="8" t="s">
        <v>2303</v>
      </c>
    </row>
    <row r="484" customFormat="false" ht="15" hidden="false" customHeight="false" outlineLevel="0" collapsed="false">
      <c r="A484" s="7" t="n">
        <v>45344</v>
      </c>
      <c r="B484" s="7" t="n">
        <v>45371</v>
      </c>
      <c r="C484" s="8" t="n">
        <v>5742</v>
      </c>
      <c r="D484" s="8" t="n">
        <v>9985</v>
      </c>
      <c r="E484" s="8" t="n">
        <v>20800</v>
      </c>
      <c r="F484" s="8" t="s">
        <v>2200</v>
      </c>
      <c r="G484" s="8" t="s">
        <v>2201</v>
      </c>
      <c r="H484" s="8" t="s">
        <v>2304</v>
      </c>
    </row>
    <row r="485" customFormat="false" ht="15" hidden="false" customHeight="false" outlineLevel="0" collapsed="false">
      <c r="A485" s="7" t="n">
        <v>45344</v>
      </c>
      <c r="B485" s="7" t="n">
        <v>45401</v>
      </c>
      <c r="C485" s="8" t="n">
        <v>5875</v>
      </c>
      <c r="D485" s="8" t="n">
        <v>10200</v>
      </c>
      <c r="E485" s="8" t="n">
        <v>25585</v>
      </c>
      <c r="F485" s="8" t="s">
        <v>2200</v>
      </c>
      <c r="G485" s="8" t="s">
        <v>2201</v>
      </c>
      <c r="H485" s="8" t="s">
        <v>2304</v>
      </c>
    </row>
    <row r="486" customFormat="false" ht="15" hidden="false" customHeight="false" outlineLevel="0" collapsed="false">
      <c r="A486" s="7" t="n">
        <v>45344</v>
      </c>
      <c r="B486" s="7" t="n">
        <v>45432</v>
      </c>
      <c r="C486" s="8" t="n">
        <v>5805</v>
      </c>
      <c r="D486" s="8" t="n">
        <v>10</v>
      </c>
      <c r="E486" s="8" t="n">
        <v>10</v>
      </c>
      <c r="F486" s="8" t="s">
        <v>2200</v>
      </c>
      <c r="G486" s="8" t="s">
        <v>2201</v>
      </c>
      <c r="H486" s="8" t="s">
        <v>2304</v>
      </c>
    </row>
    <row r="487" customFormat="false" ht="15" hidden="false" customHeight="false" outlineLevel="0" collapsed="false">
      <c r="A487" s="7" t="n">
        <v>45344</v>
      </c>
      <c r="B487" s="7" t="n">
        <v>45463</v>
      </c>
      <c r="C487" s="8" t="n">
        <v>5969</v>
      </c>
      <c r="D487" s="8" t="n">
        <v>0</v>
      </c>
      <c r="E487" s="8" t="n">
        <v>0</v>
      </c>
      <c r="F487" s="8" t="s">
        <v>2200</v>
      </c>
      <c r="G487" s="8" t="s">
        <v>2201</v>
      </c>
      <c r="H487" s="8" t="s">
        <v>2304</v>
      </c>
    </row>
    <row r="488" customFormat="false" ht="15" hidden="false" customHeight="false" outlineLevel="0" collapsed="false">
      <c r="A488" s="7" t="n">
        <v>45345</v>
      </c>
      <c r="B488" s="7" t="n">
        <v>45371</v>
      </c>
      <c r="C488" s="8" t="n">
        <v>5780</v>
      </c>
      <c r="D488" s="8" t="n">
        <v>6450</v>
      </c>
      <c r="E488" s="8" t="n">
        <v>21155</v>
      </c>
      <c r="F488" s="8" t="s">
        <v>2200</v>
      </c>
      <c r="G488" s="8" t="s">
        <v>2201</v>
      </c>
      <c r="H488" s="8" t="s">
        <v>2305</v>
      </c>
    </row>
    <row r="489" customFormat="false" ht="15" hidden="false" customHeight="false" outlineLevel="0" collapsed="false">
      <c r="A489" s="7" t="n">
        <v>45345</v>
      </c>
      <c r="B489" s="7" t="n">
        <v>45401</v>
      </c>
      <c r="C489" s="8" t="n">
        <v>5921</v>
      </c>
      <c r="D489" s="8" t="n">
        <v>9045</v>
      </c>
      <c r="E489" s="8" t="n">
        <v>28720</v>
      </c>
      <c r="F489" s="8" t="s">
        <v>2200</v>
      </c>
      <c r="G489" s="8" t="s">
        <v>2201</v>
      </c>
      <c r="H489" s="8" t="s">
        <v>2305</v>
      </c>
    </row>
    <row r="490" customFormat="false" ht="15" hidden="false" customHeight="false" outlineLevel="0" collapsed="false">
      <c r="A490" s="7" t="n">
        <v>45345</v>
      </c>
      <c r="B490" s="7" t="n">
        <v>45432</v>
      </c>
      <c r="C490" s="8" t="n">
        <v>5980</v>
      </c>
      <c r="D490" s="8" t="n">
        <v>1170</v>
      </c>
      <c r="E490" s="8" t="n">
        <v>665</v>
      </c>
      <c r="F490" s="8" t="s">
        <v>2200</v>
      </c>
      <c r="G490" s="8" t="s">
        <v>2201</v>
      </c>
      <c r="H490" s="8" t="s">
        <v>2305</v>
      </c>
    </row>
    <row r="491" customFormat="false" ht="15" hidden="false" customHeight="false" outlineLevel="0" collapsed="false">
      <c r="A491" s="7" t="n">
        <v>45345</v>
      </c>
      <c r="B491" s="7" t="n">
        <v>45463</v>
      </c>
      <c r="C491" s="8" t="n">
        <v>6039</v>
      </c>
      <c r="D491" s="8" t="n">
        <v>0</v>
      </c>
      <c r="E491" s="8" t="n">
        <v>0</v>
      </c>
      <c r="F491" s="8" t="s">
        <v>2200</v>
      </c>
      <c r="G491" s="8" t="s">
        <v>2201</v>
      </c>
      <c r="H491" s="8" t="s">
        <v>2305</v>
      </c>
    </row>
    <row r="492" customFormat="false" ht="15" hidden="false" customHeight="false" outlineLevel="0" collapsed="false">
      <c r="A492" s="7" t="n">
        <v>45348</v>
      </c>
      <c r="B492" s="7" t="n">
        <v>45371</v>
      </c>
      <c r="C492" s="8" t="n">
        <v>5798</v>
      </c>
      <c r="D492" s="8" t="n">
        <v>5745</v>
      </c>
      <c r="E492" s="8" t="n">
        <v>21165</v>
      </c>
      <c r="F492" s="8" t="s">
        <v>2200</v>
      </c>
      <c r="G492" s="8" t="s">
        <v>2201</v>
      </c>
      <c r="H492" s="8" t="s">
        <v>2306</v>
      </c>
    </row>
    <row r="493" customFormat="false" ht="15" hidden="false" customHeight="false" outlineLevel="0" collapsed="false">
      <c r="A493" s="7" t="n">
        <v>45348</v>
      </c>
      <c r="B493" s="7" t="n">
        <v>45401</v>
      </c>
      <c r="C493" s="8" t="n">
        <v>5932</v>
      </c>
      <c r="D493" s="8" t="n">
        <v>6440</v>
      </c>
      <c r="E493" s="8" t="n">
        <v>30235</v>
      </c>
      <c r="F493" s="8" t="s">
        <v>2200</v>
      </c>
      <c r="G493" s="8" t="s">
        <v>2201</v>
      </c>
      <c r="H493" s="8" t="s">
        <v>2306</v>
      </c>
    </row>
    <row r="494" customFormat="false" ht="15" hidden="false" customHeight="false" outlineLevel="0" collapsed="false">
      <c r="A494" s="7" t="n">
        <v>45348</v>
      </c>
      <c r="B494" s="7" t="n">
        <v>45432</v>
      </c>
      <c r="C494" s="8" t="n">
        <v>5900</v>
      </c>
      <c r="D494" s="8" t="n">
        <v>345</v>
      </c>
      <c r="E494" s="8" t="n">
        <v>785</v>
      </c>
      <c r="F494" s="8" t="s">
        <v>2200</v>
      </c>
      <c r="G494" s="8" t="s">
        <v>2201</v>
      </c>
      <c r="H494" s="8" t="s">
        <v>2306</v>
      </c>
    </row>
    <row r="495" customFormat="false" ht="15" hidden="false" customHeight="false" outlineLevel="0" collapsed="false">
      <c r="A495" s="7" t="n">
        <v>45348</v>
      </c>
      <c r="B495" s="7" t="n">
        <v>45463</v>
      </c>
      <c r="C495" s="8" t="n">
        <v>6039</v>
      </c>
      <c r="D495" s="8" t="n">
        <v>0</v>
      </c>
      <c r="E495" s="8" t="n">
        <v>0</v>
      </c>
      <c r="F495" s="8" t="s">
        <v>2200</v>
      </c>
      <c r="G495" s="8" t="s">
        <v>2201</v>
      </c>
      <c r="H495" s="8" t="s">
        <v>2306</v>
      </c>
    </row>
    <row r="496" customFormat="false" ht="15" hidden="false" customHeight="false" outlineLevel="0" collapsed="false">
      <c r="A496" s="7" t="n">
        <v>45349</v>
      </c>
      <c r="B496" s="7" t="n">
        <v>45371</v>
      </c>
      <c r="C496" s="8" t="n">
        <v>5769</v>
      </c>
      <c r="D496" s="8" t="n">
        <v>2865</v>
      </c>
      <c r="E496" s="8" t="n">
        <v>21215</v>
      </c>
      <c r="F496" s="8" t="s">
        <v>2200</v>
      </c>
      <c r="G496" s="8" t="s">
        <v>2201</v>
      </c>
      <c r="H496" s="8" t="s">
        <v>2307</v>
      </c>
    </row>
    <row r="497" customFormat="false" ht="15" hidden="false" customHeight="false" outlineLevel="0" collapsed="false">
      <c r="A497" s="7" t="n">
        <v>45349</v>
      </c>
      <c r="B497" s="7" t="n">
        <v>45401</v>
      </c>
      <c r="C497" s="8" t="n">
        <v>5894</v>
      </c>
      <c r="D497" s="8" t="n">
        <v>2300</v>
      </c>
      <c r="E497" s="8" t="n">
        <v>30335</v>
      </c>
      <c r="F497" s="8" t="s">
        <v>2200</v>
      </c>
      <c r="G497" s="8" t="s">
        <v>2201</v>
      </c>
      <c r="H497" s="8" t="s">
        <v>2307</v>
      </c>
    </row>
    <row r="498" customFormat="false" ht="15" hidden="false" customHeight="false" outlineLevel="0" collapsed="false">
      <c r="A498" s="7" t="n">
        <v>45349</v>
      </c>
      <c r="B498" s="7" t="n">
        <v>45432</v>
      </c>
      <c r="C498" s="8" t="n">
        <v>5946</v>
      </c>
      <c r="D498" s="8" t="n">
        <v>670</v>
      </c>
      <c r="E498" s="8" t="n">
        <v>1235</v>
      </c>
      <c r="F498" s="8" t="s">
        <v>2200</v>
      </c>
      <c r="G498" s="8" t="s">
        <v>2201</v>
      </c>
      <c r="H498" s="8" t="s">
        <v>2307</v>
      </c>
    </row>
    <row r="499" customFormat="false" ht="15" hidden="false" customHeight="false" outlineLevel="0" collapsed="false">
      <c r="A499" s="7" t="n">
        <v>45349</v>
      </c>
      <c r="B499" s="7" t="n">
        <v>45463</v>
      </c>
      <c r="C499" s="8" t="n">
        <v>5998</v>
      </c>
      <c r="D499" s="8" t="n">
        <v>0</v>
      </c>
      <c r="E499" s="8" t="n">
        <v>0</v>
      </c>
      <c r="F499" s="8" t="s">
        <v>2200</v>
      </c>
      <c r="G499" s="8" t="s">
        <v>2201</v>
      </c>
      <c r="H499" s="8" t="s">
        <v>2307</v>
      </c>
    </row>
    <row r="500" customFormat="false" ht="15" hidden="false" customHeight="false" outlineLevel="0" collapsed="false">
      <c r="A500" s="7" t="n">
        <v>45350</v>
      </c>
      <c r="B500" s="7" t="n">
        <v>45371</v>
      </c>
      <c r="C500" s="8" t="n">
        <v>5751</v>
      </c>
      <c r="D500" s="8" t="n">
        <v>2275</v>
      </c>
      <c r="E500" s="8" t="n">
        <v>21385</v>
      </c>
      <c r="F500" s="8" t="s">
        <v>2200</v>
      </c>
      <c r="G500" s="8" t="s">
        <v>2201</v>
      </c>
      <c r="H500" s="8" t="s">
        <v>2308</v>
      </c>
    </row>
    <row r="501" customFormat="false" ht="15" hidden="false" customHeight="false" outlineLevel="0" collapsed="false">
      <c r="A501" s="7" t="n">
        <v>45350</v>
      </c>
      <c r="B501" s="7" t="n">
        <v>45401</v>
      </c>
      <c r="C501" s="8" t="n">
        <v>5878</v>
      </c>
      <c r="D501" s="8" t="n">
        <v>1710</v>
      </c>
      <c r="E501" s="8" t="n">
        <v>30480</v>
      </c>
      <c r="F501" s="8" t="s">
        <v>2200</v>
      </c>
      <c r="G501" s="8" t="s">
        <v>2201</v>
      </c>
      <c r="H501" s="8" t="s">
        <v>2308</v>
      </c>
    </row>
    <row r="502" customFormat="false" ht="15" hidden="false" customHeight="false" outlineLevel="0" collapsed="false">
      <c r="A502" s="7" t="n">
        <v>45350</v>
      </c>
      <c r="B502" s="7" t="n">
        <v>45432</v>
      </c>
      <c r="C502" s="8" t="n">
        <v>5922</v>
      </c>
      <c r="D502" s="8" t="n">
        <v>160</v>
      </c>
      <c r="E502" s="8" t="n">
        <v>1320</v>
      </c>
      <c r="F502" s="8" t="s">
        <v>2200</v>
      </c>
      <c r="G502" s="8" t="s">
        <v>2201</v>
      </c>
      <c r="H502" s="8" t="s">
        <v>2308</v>
      </c>
    </row>
    <row r="503" customFormat="false" ht="15" hidden="false" customHeight="false" outlineLevel="0" collapsed="false">
      <c r="A503" s="7" t="n">
        <v>45350</v>
      </c>
      <c r="B503" s="7" t="n">
        <v>45463</v>
      </c>
      <c r="C503" s="8" t="n">
        <v>5966</v>
      </c>
      <c r="D503" s="8" t="n">
        <v>0</v>
      </c>
      <c r="E503" s="8" t="n">
        <v>0</v>
      </c>
      <c r="F503" s="8" t="s">
        <v>2200</v>
      </c>
      <c r="G503" s="8" t="s">
        <v>2201</v>
      </c>
      <c r="H503" s="8" t="s">
        <v>2308</v>
      </c>
    </row>
    <row r="504" customFormat="false" ht="15" hidden="false" customHeight="false" outlineLevel="0" collapsed="false">
      <c r="A504" s="7" t="n">
        <v>45351</v>
      </c>
      <c r="B504" s="7" t="n">
        <v>45371</v>
      </c>
      <c r="C504" s="8" t="n">
        <v>5720</v>
      </c>
      <c r="D504" s="8" t="n">
        <v>4015</v>
      </c>
      <c r="E504" s="8" t="n">
        <v>20405</v>
      </c>
      <c r="F504" s="8" t="s">
        <v>2200</v>
      </c>
      <c r="G504" s="8" t="s">
        <v>2201</v>
      </c>
      <c r="H504" s="8" t="s">
        <v>2309</v>
      </c>
    </row>
    <row r="505" customFormat="false" ht="15" hidden="false" customHeight="false" outlineLevel="0" collapsed="false">
      <c r="A505" s="7" t="n">
        <v>45351</v>
      </c>
      <c r="B505" s="7" t="n">
        <v>45401</v>
      </c>
      <c r="C505" s="8" t="n">
        <v>5827</v>
      </c>
      <c r="D505" s="8" t="n">
        <v>4215</v>
      </c>
      <c r="E505" s="8" t="n">
        <v>30940</v>
      </c>
      <c r="F505" s="8" t="s">
        <v>2200</v>
      </c>
      <c r="G505" s="8" t="s">
        <v>2201</v>
      </c>
      <c r="H505" s="8" t="s">
        <v>2309</v>
      </c>
    </row>
    <row r="506" customFormat="false" ht="15" hidden="false" customHeight="false" outlineLevel="0" collapsed="false">
      <c r="A506" s="7" t="n">
        <v>45351</v>
      </c>
      <c r="B506" s="7" t="n">
        <v>45432</v>
      </c>
      <c r="C506" s="8" t="n">
        <v>5835</v>
      </c>
      <c r="D506" s="8" t="n">
        <v>670</v>
      </c>
      <c r="E506" s="8" t="n">
        <v>1620</v>
      </c>
      <c r="F506" s="8" t="s">
        <v>2200</v>
      </c>
      <c r="G506" s="8" t="s">
        <v>2201</v>
      </c>
      <c r="H506" s="8" t="s">
        <v>2309</v>
      </c>
    </row>
    <row r="507" customFormat="false" ht="15" hidden="false" customHeight="false" outlineLevel="0" collapsed="false">
      <c r="A507" s="7" t="n">
        <v>45351</v>
      </c>
      <c r="B507" s="7" t="n">
        <v>45463</v>
      </c>
      <c r="C507" s="8" t="n">
        <v>5843</v>
      </c>
      <c r="D507" s="8" t="n">
        <v>0</v>
      </c>
      <c r="E507" s="8" t="n">
        <v>0</v>
      </c>
      <c r="F507" s="8" t="s">
        <v>2200</v>
      </c>
      <c r="G507" s="8" t="s">
        <v>2201</v>
      </c>
      <c r="H507" s="8" t="s">
        <v>2309</v>
      </c>
    </row>
    <row r="508" customFormat="false" ht="15" hidden="false" customHeight="false" outlineLevel="0" collapsed="false">
      <c r="A508" s="7" t="n">
        <v>45352</v>
      </c>
      <c r="B508" s="7" t="n">
        <v>45371</v>
      </c>
      <c r="C508" s="8" t="n">
        <v>5705</v>
      </c>
      <c r="D508" s="8" t="n">
        <v>1680</v>
      </c>
      <c r="E508" s="8" t="n">
        <v>20465</v>
      </c>
      <c r="F508" s="8" t="s">
        <v>2200</v>
      </c>
      <c r="G508" s="8" t="s">
        <v>2201</v>
      </c>
      <c r="H508" s="8" t="s">
        <v>2310</v>
      </c>
    </row>
    <row r="509" customFormat="false" ht="15" hidden="false" customHeight="false" outlineLevel="0" collapsed="false">
      <c r="A509" s="7" t="n">
        <v>45352</v>
      </c>
      <c r="B509" s="7" t="n">
        <v>45401</v>
      </c>
      <c r="C509" s="8" t="n">
        <v>5820</v>
      </c>
      <c r="D509" s="8" t="n">
        <v>2570</v>
      </c>
      <c r="E509" s="8" t="n">
        <v>30825</v>
      </c>
      <c r="F509" s="8" t="s">
        <v>2200</v>
      </c>
      <c r="G509" s="8" t="s">
        <v>2201</v>
      </c>
      <c r="H509" s="8" t="s">
        <v>2310</v>
      </c>
    </row>
    <row r="510" customFormat="false" ht="15" hidden="false" customHeight="false" outlineLevel="0" collapsed="false">
      <c r="A510" s="7" t="n">
        <v>45352</v>
      </c>
      <c r="B510" s="7" t="n">
        <v>45432</v>
      </c>
      <c r="C510" s="8" t="n">
        <v>5841</v>
      </c>
      <c r="D510" s="8" t="n">
        <v>960</v>
      </c>
      <c r="E510" s="8" t="n">
        <v>2190</v>
      </c>
      <c r="F510" s="8" t="s">
        <v>2200</v>
      </c>
      <c r="G510" s="8" t="s">
        <v>2201</v>
      </c>
      <c r="H510" s="8" t="s">
        <v>2310</v>
      </c>
    </row>
    <row r="511" customFormat="false" ht="15" hidden="false" customHeight="false" outlineLevel="0" collapsed="false">
      <c r="A511" s="7" t="n">
        <v>45352</v>
      </c>
      <c r="B511" s="7" t="n">
        <v>45463</v>
      </c>
      <c r="C511" s="8" t="n">
        <v>5862</v>
      </c>
      <c r="D511" s="8" t="n">
        <v>0</v>
      </c>
      <c r="E511" s="8" t="n">
        <v>0</v>
      </c>
      <c r="F511" s="8" t="s">
        <v>2200</v>
      </c>
      <c r="G511" s="8" t="s">
        <v>2201</v>
      </c>
      <c r="H511" s="8" t="s">
        <v>2310</v>
      </c>
    </row>
    <row r="512" customFormat="false" ht="15" hidden="false" customHeight="false" outlineLevel="0" collapsed="false">
      <c r="A512" s="7" t="n">
        <v>45352</v>
      </c>
      <c r="B512" s="7" t="n">
        <v>45492</v>
      </c>
      <c r="C512" s="8" t="n">
        <v>5883</v>
      </c>
      <c r="D512" s="8" t="n">
        <v>0</v>
      </c>
      <c r="E512" s="8" t="n">
        <v>0</v>
      </c>
      <c r="F512" s="8" t="s">
        <v>2200</v>
      </c>
      <c r="G512" s="8" t="s">
        <v>2201</v>
      </c>
      <c r="H512" s="8" t="s">
        <v>2310</v>
      </c>
    </row>
    <row r="513" customFormat="false" ht="15" hidden="false" customHeight="false" outlineLevel="0" collapsed="false">
      <c r="A513" s="7" t="n">
        <v>45355</v>
      </c>
      <c r="B513" s="7" t="n">
        <v>45371</v>
      </c>
      <c r="C513" s="8" t="n">
        <v>5700</v>
      </c>
      <c r="D513" s="8" t="n">
        <v>2795</v>
      </c>
      <c r="E513" s="8" t="n">
        <v>19965</v>
      </c>
      <c r="F513" s="8" t="s">
        <v>2200</v>
      </c>
      <c r="G513" s="8" t="s">
        <v>2201</v>
      </c>
      <c r="H513" s="8" t="s">
        <v>2311</v>
      </c>
    </row>
    <row r="514" customFormat="false" ht="15" hidden="false" customHeight="false" outlineLevel="0" collapsed="false">
      <c r="A514" s="7" t="n">
        <v>45355</v>
      </c>
      <c r="B514" s="7" t="n">
        <v>45401</v>
      </c>
      <c r="C514" s="8" t="n">
        <v>5820</v>
      </c>
      <c r="D514" s="8" t="n">
        <v>3530</v>
      </c>
      <c r="E514" s="8" t="n">
        <v>30745</v>
      </c>
      <c r="F514" s="8" t="s">
        <v>2200</v>
      </c>
      <c r="G514" s="8" t="s">
        <v>2201</v>
      </c>
      <c r="H514" s="8" t="s">
        <v>2311</v>
      </c>
    </row>
    <row r="515" customFormat="false" ht="15" hidden="false" customHeight="false" outlineLevel="0" collapsed="false">
      <c r="A515" s="7" t="n">
        <v>45355</v>
      </c>
      <c r="B515" s="7" t="n">
        <v>45432</v>
      </c>
      <c r="C515" s="8" t="n">
        <v>5856</v>
      </c>
      <c r="D515" s="8" t="n">
        <v>710</v>
      </c>
      <c r="E515" s="8" t="n">
        <v>2455</v>
      </c>
      <c r="F515" s="8" t="s">
        <v>2200</v>
      </c>
      <c r="G515" s="8" t="s">
        <v>2201</v>
      </c>
      <c r="H515" s="8" t="s">
        <v>2311</v>
      </c>
    </row>
    <row r="516" customFormat="false" ht="15" hidden="false" customHeight="false" outlineLevel="0" collapsed="false">
      <c r="A516" s="7" t="n">
        <v>45355</v>
      </c>
      <c r="B516" s="7" t="n">
        <v>45463</v>
      </c>
      <c r="C516" s="8" t="n">
        <v>5892</v>
      </c>
      <c r="D516" s="8" t="n">
        <v>0</v>
      </c>
      <c r="E516" s="8" t="n">
        <v>0</v>
      </c>
      <c r="F516" s="8" t="s">
        <v>2200</v>
      </c>
      <c r="G516" s="8" t="s">
        <v>2201</v>
      </c>
      <c r="H516" s="8" t="s">
        <v>2311</v>
      </c>
    </row>
    <row r="517" customFormat="false" ht="15" hidden="false" customHeight="false" outlineLevel="0" collapsed="false">
      <c r="A517" s="7" t="n">
        <v>45355</v>
      </c>
      <c r="B517" s="7" t="n">
        <v>45492</v>
      </c>
      <c r="C517" s="8" t="n">
        <v>5928</v>
      </c>
      <c r="D517" s="8" t="n">
        <v>0</v>
      </c>
      <c r="E517" s="8" t="n">
        <v>0</v>
      </c>
      <c r="F517" s="8" t="s">
        <v>2200</v>
      </c>
      <c r="G517" s="8" t="s">
        <v>2201</v>
      </c>
      <c r="H517" s="8" t="s">
        <v>2311</v>
      </c>
    </row>
    <row r="518" customFormat="false" ht="15" hidden="false" customHeight="false" outlineLevel="0" collapsed="false">
      <c r="A518" s="7" t="n">
        <v>45356</v>
      </c>
      <c r="B518" s="7" t="n">
        <v>45371</v>
      </c>
      <c r="C518" s="8" t="n">
        <v>5713</v>
      </c>
      <c r="D518" s="8" t="n">
        <v>2810</v>
      </c>
      <c r="E518" s="8" t="n">
        <v>18495</v>
      </c>
      <c r="F518" s="8" t="s">
        <v>2200</v>
      </c>
      <c r="G518" s="8" t="s">
        <v>2201</v>
      </c>
      <c r="H518" s="8" t="s">
        <v>2312</v>
      </c>
    </row>
    <row r="519" customFormat="false" ht="15" hidden="false" customHeight="false" outlineLevel="0" collapsed="false">
      <c r="A519" s="7" t="n">
        <v>45356</v>
      </c>
      <c r="B519" s="7" t="n">
        <v>45401</v>
      </c>
      <c r="C519" s="8" t="n">
        <v>5845</v>
      </c>
      <c r="D519" s="8" t="n">
        <v>2750</v>
      </c>
      <c r="E519" s="8" t="n">
        <v>30375</v>
      </c>
      <c r="F519" s="8" t="s">
        <v>2200</v>
      </c>
      <c r="G519" s="8" t="s">
        <v>2201</v>
      </c>
      <c r="H519" s="8" t="s">
        <v>2312</v>
      </c>
    </row>
    <row r="520" customFormat="false" ht="15" hidden="false" customHeight="false" outlineLevel="0" collapsed="false">
      <c r="A520" s="7" t="n">
        <v>45356</v>
      </c>
      <c r="B520" s="7" t="n">
        <v>45432</v>
      </c>
      <c r="C520" s="8" t="n">
        <v>5874</v>
      </c>
      <c r="D520" s="8" t="n">
        <v>240</v>
      </c>
      <c r="E520" s="8" t="n">
        <v>2585</v>
      </c>
      <c r="F520" s="8" t="s">
        <v>2200</v>
      </c>
      <c r="G520" s="8" t="s">
        <v>2201</v>
      </c>
      <c r="H520" s="8" t="s">
        <v>2312</v>
      </c>
    </row>
    <row r="521" customFormat="false" ht="15" hidden="false" customHeight="false" outlineLevel="0" collapsed="false">
      <c r="A521" s="7" t="n">
        <v>45356</v>
      </c>
      <c r="B521" s="7" t="n">
        <v>45463</v>
      </c>
      <c r="C521" s="8" t="n">
        <v>5903</v>
      </c>
      <c r="D521" s="8" t="n">
        <v>0</v>
      </c>
      <c r="E521" s="8" t="n">
        <v>0</v>
      </c>
      <c r="F521" s="8" t="s">
        <v>2200</v>
      </c>
      <c r="G521" s="8" t="s">
        <v>2201</v>
      </c>
      <c r="H521" s="8" t="s">
        <v>2312</v>
      </c>
    </row>
    <row r="522" customFormat="false" ht="15" hidden="false" customHeight="false" outlineLevel="0" collapsed="false">
      <c r="A522" s="7" t="n">
        <v>45356</v>
      </c>
      <c r="B522" s="7" t="n">
        <v>45492</v>
      </c>
      <c r="C522" s="8" t="n">
        <v>5932</v>
      </c>
      <c r="D522" s="8" t="n">
        <v>0</v>
      </c>
      <c r="E522" s="8" t="n">
        <v>0</v>
      </c>
      <c r="F522" s="8" t="s">
        <v>2200</v>
      </c>
      <c r="G522" s="8" t="s">
        <v>2201</v>
      </c>
      <c r="H522" s="8" t="s">
        <v>2312</v>
      </c>
    </row>
    <row r="523" customFormat="false" ht="15" hidden="false" customHeight="false" outlineLevel="0" collapsed="false">
      <c r="A523" s="7" t="n">
        <v>45357</v>
      </c>
      <c r="B523" s="7" t="n">
        <v>45371</v>
      </c>
      <c r="C523" s="8" t="n">
        <v>5761</v>
      </c>
      <c r="D523" s="8" t="n">
        <v>3655</v>
      </c>
      <c r="E523" s="8" t="n">
        <v>16610</v>
      </c>
      <c r="F523" s="8" t="s">
        <v>2200</v>
      </c>
      <c r="G523" s="8" t="s">
        <v>2201</v>
      </c>
      <c r="H523" s="8" t="s">
        <v>2313</v>
      </c>
    </row>
    <row r="524" customFormat="false" ht="15" hidden="false" customHeight="false" outlineLevel="0" collapsed="false">
      <c r="A524" s="7" t="n">
        <v>45357</v>
      </c>
      <c r="B524" s="7" t="n">
        <v>45401</v>
      </c>
      <c r="C524" s="8" t="n">
        <v>5896</v>
      </c>
      <c r="D524" s="8" t="n">
        <v>6050</v>
      </c>
      <c r="E524" s="8" t="n">
        <v>28655</v>
      </c>
      <c r="F524" s="8" t="s">
        <v>2200</v>
      </c>
      <c r="G524" s="8" t="s">
        <v>2201</v>
      </c>
      <c r="H524" s="8" t="s">
        <v>2313</v>
      </c>
    </row>
    <row r="525" customFormat="false" ht="15" hidden="false" customHeight="false" outlineLevel="0" collapsed="false">
      <c r="A525" s="7" t="n">
        <v>45357</v>
      </c>
      <c r="B525" s="7" t="n">
        <v>45432</v>
      </c>
      <c r="C525" s="8" t="n">
        <v>5933</v>
      </c>
      <c r="D525" s="8" t="n">
        <v>2350</v>
      </c>
      <c r="E525" s="8" t="n">
        <v>3905</v>
      </c>
      <c r="F525" s="8" t="s">
        <v>2200</v>
      </c>
      <c r="G525" s="8" t="s">
        <v>2201</v>
      </c>
      <c r="H525" s="8" t="s">
        <v>2313</v>
      </c>
    </row>
    <row r="526" customFormat="false" ht="15" hidden="false" customHeight="false" outlineLevel="0" collapsed="false">
      <c r="A526" s="7" t="n">
        <v>45357</v>
      </c>
      <c r="B526" s="7" t="n">
        <v>45463</v>
      </c>
      <c r="C526" s="8" t="n">
        <v>5970</v>
      </c>
      <c r="D526" s="8" t="n">
        <v>0</v>
      </c>
      <c r="E526" s="8" t="n">
        <v>0</v>
      </c>
      <c r="F526" s="8" t="s">
        <v>2200</v>
      </c>
      <c r="G526" s="8" t="s">
        <v>2201</v>
      </c>
      <c r="H526" s="8" t="s">
        <v>2313</v>
      </c>
    </row>
    <row r="527" customFormat="false" ht="15" hidden="false" customHeight="false" outlineLevel="0" collapsed="false">
      <c r="A527" s="7" t="n">
        <v>45357</v>
      </c>
      <c r="B527" s="7" t="n">
        <v>45492</v>
      </c>
      <c r="C527" s="8" t="n">
        <v>6007</v>
      </c>
      <c r="D527" s="8" t="n">
        <v>0</v>
      </c>
      <c r="E527" s="8" t="n">
        <v>0</v>
      </c>
      <c r="F527" s="8" t="s">
        <v>2200</v>
      </c>
      <c r="G527" s="8" t="s">
        <v>2201</v>
      </c>
      <c r="H527" s="8" t="s">
        <v>2313</v>
      </c>
    </row>
    <row r="528" customFormat="false" ht="15" hidden="false" customHeight="false" outlineLevel="0" collapsed="false">
      <c r="A528" s="7" t="n">
        <v>45358</v>
      </c>
      <c r="B528" s="7" t="n">
        <v>45371</v>
      </c>
      <c r="C528" s="8" t="n">
        <v>5722</v>
      </c>
      <c r="D528" s="8" t="n">
        <v>5230</v>
      </c>
      <c r="E528" s="8" t="n">
        <v>14625</v>
      </c>
      <c r="F528" s="8" t="s">
        <v>2200</v>
      </c>
      <c r="G528" s="8" t="s">
        <v>2201</v>
      </c>
      <c r="H528" s="8" t="s">
        <v>2314</v>
      </c>
    </row>
    <row r="529" customFormat="false" ht="15" hidden="false" customHeight="false" outlineLevel="0" collapsed="false">
      <c r="A529" s="7" t="n">
        <v>45358</v>
      </c>
      <c r="B529" s="7" t="n">
        <v>45401</v>
      </c>
      <c r="C529" s="8" t="n">
        <v>5847</v>
      </c>
      <c r="D529" s="8" t="n">
        <v>7610</v>
      </c>
      <c r="E529" s="8" t="n">
        <v>28760</v>
      </c>
      <c r="F529" s="8" t="s">
        <v>2200</v>
      </c>
      <c r="G529" s="8" t="s">
        <v>2201</v>
      </c>
      <c r="H529" s="8" t="s">
        <v>2314</v>
      </c>
    </row>
    <row r="530" customFormat="false" ht="15" hidden="false" customHeight="false" outlineLevel="0" collapsed="false">
      <c r="A530" s="7" t="n">
        <v>45358</v>
      </c>
      <c r="B530" s="7" t="n">
        <v>45432</v>
      </c>
      <c r="C530" s="8" t="n">
        <v>5858</v>
      </c>
      <c r="D530" s="8" t="n">
        <v>790</v>
      </c>
      <c r="E530" s="8" t="n">
        <v>4250</v>
      </c>
      <c r="F530" s="8" t="s">
        <v>2200</v>
      </c>
      <c r="G530" s="8" t="s">
        <v>2201</v>
      </c>
      <c r="H530" s="8" t="s">
        <v>2314</v>
      </c>
    </row>
    <row r="531" customFormat="false" ht="15" hidden="false" customHeight="false" outlineLevel="0" collapsed="false">
      <c r="A531" s="7" t="n">
        <v>45358</v>
      </c>
      <c r="B531" s="7" t="n">
        <v>45463</v>
      </c>
      <c r="C531" s="8" t="n">
        <v>5869</v>
      </c>
      <c r="D531" s="8" t="n">
        <v>0</v>
      </c>
      <c r="E531" s="8" t="n">
        <v>0</v>
      </c>
      <c r="F531" s="8" t="s">
        <v>2200</v>
      </c>
      <c r="G531" s="8" t="s">
        <v>2201</v>
      </c>
      <c r="H531" s="8" t="s">
        <v>2314</v>
      </c>
    </row>
    <row r="532" customFormat="false" ht="15" hidden="false" customHeight="false" outlineLevel="0" collapsed="false">
      <c r="A532" s="7" t="n">
        <v>45358</v>
      </c>
      <c r="B532" s="7" t="n">
        <v>45492</v>
      </c>
      <c r="C532" s="8" t="n">
        <v>5880</v>
      </c>
      <c r="D532" s="8" t="n">
        <v>0</v>
      </c>
      <c r="E532" s="8" t="n">
        <v>0</v>
      </c>
      <c r="F532" s="8" t="s">
        <v>2200</v>
      </c>
      <c r="G532" s="8" t="s">
        <v>2201</v>
      </c>
      <c r="H532" s="8" t="s">
        <v>2314</v>
      </c>
    </row>
    <row r="533" customFormat="false" ht="15" hidden="false" customHeight="false" outlineLevel="0" collapsed="false">
      <c r="A533" s="7" t="n">
        <v>45362</v>
      </c>
      <c r="B533" s="7" t="n">
        <v>45371</v>
      </c>
      <c r="C533" s="8" t="n">
        <v>5708</v>
      </c>
      <c r="D533" s="8" t="n">
        <v>2250</v>
      </c>
      <c r="E533" s="8" t="n">
        <v>12915</v>
      </c>
      <c r="F533" s="8" t="s">
        <v>2200</v>
      </c>
      <c r="G533" s="8" t="s">
        <v>2201</v>
      </c>
      <c r="H533" s="8" t="s">
        <v>2315</v>
      </c>
    </row>
    <row r="534" customFormat="false" ht="15" hidden="false" customHeight="false" outlineLevel="0" collapsed="false">
      <c r="A534" s="7" t="n">
        <v>45362</v>
      </c>
      <c r="B534" s="7" t="n">
        <v>45401</v>
      </c>
      <c r="C534" s="8" t="n">
        <v>5857</v>
      </c>
      <c r="D534" s="8" t="n">
        <v>4940</v>
      </c>
      <c r="E534" s="8" t="n">
        <v>27895</v>
      </c>
      <c r="F534" s="8" t="s">
        <v>2200</v>
      </c>
      <c r="G534" s="8" t="s">
        <v>2201</v>
      </c>
      <c r="H534" s="8" t="s">
        <v>2315</v>
      </c>
    </row>
    <row r="535" customFormat="false" ht="15" hidden="false" customHeight="false" outlineLevel="0" collapsed="false">
      <c r="A535" s="7" t="n">
        <v>45362</v>
      </c>
      <c r="B535" s="7" t="n">
        <v>45432</v>
      </c>
      <c r="C535" s="8" t="n">
        <v>5904</v>
      </c>
      <c r="D535" s="8" t="n">
        <v>1085</v>
      </c>
      <c r="E535" s="8" t="n">
        <v>5075</v>
      </c>
      <c r="F535" s="8" t="s">
        <v>2200</v>
      </c>
      <c r="G535" s="8" t="s">
        <v>2201</v>
      </c>
      <c r="H535" s="8" t="s">
        <v>2315</v>
      </c>
    </row>
    <row r="536" customFormat="false" ht="15" hidden="false" customHeight="false" outlineLevel="0" collapsed="false">
      <c r="A536" s="7" t="n">
        <v>45362</v>
      </c>
      <c r="B536" s="7" t="n">
        <v>45463</v>
      </c>
      <c r="C536" s="8" t="n">
        <v>5951</v>
      </c>
      <c r="D536" s="8" t="n">
        <v>0</v>
      </c>
      <c r="E536" s="8" t="n">
        <v>0</v>
      </c>
      <c r="F536" s="8" t="s">
        <v>2200</v>
      </c>
      <c r="G536" s="8" t="s">
        <v>2201</v>
      </c>
      <c r="H536" s="8" t="s">
        <v>2315</v>
      </c>
    </row>
    <row r="537" customFormat="false" ht="15" hidden="false" customHeight="false" outlineLevel="0" collapsed="false">
      <c r="A537" s="7" t="n">
        <v>45362</v>
      </c>
      <c r="B537" s="7" t="n">
        <v>45492</v>
      </c>
      <c r="C537" s="8" t="n">
        <v>5998</v>
      </c>
      <c r="D537" s="8" t="n">
        <v>0</v>
      </c>
      <c r="E537" s="8" t="n">
        <v>0</v>
      </c>
      <c r="F537" s="8" t="s">
        <v>2200</v>
      </c>
      <c r="G537" s="8" t="s">
        <v>2201</v>
      </c>
      <c r="H537" s="8" t="s">
        <v>2315</v>
      </c>
    </row>
    <row r="538" customFormat="false" ht="15" hidden="false" customHeight="false" outlineLevel="0" collapsed="false">
      <c r="A538" s="7" t="n">
        <v>45363</v>
      </c>
      <c r="B538" s="7" t="n">
        <v>45371</v>
      </c>
      <c r="C538" s="8" t="n">
        <v>5712</v>
      </c>
      <c r="D538" s="8" t="n">
        <v>2140</v>
      </c>
      <c r="E538" s="8" t="n">
        <v>11155</v>
      </c>
      <c r="F538" s="8" t="s">
        <v>2200</v>
      </c>
      <c r="G538" s="8" t="s">
        <v>2201</v>
      </c>
      <c r="H538" s="8" t="s">
        <v>2316</v>
      </c>
    </row>
    <row r="539" customFormat="false" ht="15" hidden="false" customHeight="false" outlineLevel="0" collapsed="false">
      <c r="A539" s="7" t="n">
        <v>45363</v>
      </c>
      <c r="B539" s="7" t="n">
        <v>45401</v>
      </c>
      <c r="C539" s="8" t="n">
        <v>5860</v>
      </c>
      <c r="D539" s="8" t="n">
        <v>5385</v>
      </c>
      <c r="E539" s="8" t="n">
        <v>28235</v>
      </c>
      <c r="F539" s="8" t="s">
        <v>2200</v>
      </c>
      <c r="G539" s="8" t="s">
        <v>2201</v>
      </c>
      <c r="H539" s="8" t="s">
        <v>2316</v>
      </c>
    </row>
    <row r="540" customFormat="false" ht="15" hidden="false" customHeight="false" outlineLevel="0" collapsed="false">
      <c r="A540" s="7" t="n">
        <v>45363</v>
      </c>
      <c r="B540" s="7" t="n">
        <v>45432</v>
      </c>
      <c r="C540" s="8" t="n">
        <v>5896</v>
      </c>
      <c r="D540" s="8" t="n">
        <v>265</v>
      </c>
      <c r="E540" s="8" t="n">
        <v>5225</v>
      </c>
      <c r="F540" s="8" t="s">
        <v>2200</v>
      </c>
      <c r="G540" s="8" t="s">
        <v>2201</v>
      </c>
      <c r="H540" s="8" t="s">
        <v>2316</v>
      </c>
    </row>
    <row r="541" customFormat="false" ht="15" hidden="false" customHeight="false" outlineLevel="0" collapsed="false">
      <c r="A541" s="7" t="n">
        <v>45363</v>
      </c>
      <c r="B541" s="7" t="n">
        <v>45463</v>
      </c>
      <c r="C541" s="8" t="n">
        <v>5932</v>
      </c>
      <c r="D541" s="8" t="n">
        <v>0</v>
      </c>
      <c r="E541" s="8" t="n">
        <v>0</v>
      </c>
      <c r="F541" s="8" t="s">
        <v>2200</v>
      </c>
      <c r="G541" s="8" t="s">
        <v>2201</v>
      </c>
      <c r="H541" s="8" t="s">
        <v>2316</v>
      </c>
    </row>
    <row r="542" customFormat="false" ht="15" hidden="false" customHeight="false" outlineLevel="0" collapsed="false">
      <c r="A542" s="7" t="n">
        <v>45363</v>
      </c>
      <c r="B542" s="7" t="n">
        <v>45492</v>
      </c>
      <c r="C542" s="8" t="n">
        <v>5968</v>
      </c>
      <c r="D542" s="8" t="n">
        <v>0</v>
      </c>
      <c r="E542" s="8" t="n">
        <v>0</v>
      </c>
      <c r="F542" s="8" t="s">
        <v>2200</v>
      </c>
      <c r="G542" s="8" t="s">
        <v>2201</v>
      </c>
      <c r="H542" s="8" t="s">
        <v>2316</v>
      </c>
    </row>
    <row r="543" customFormat="false" ht="15" hidden="false" customHeight="false" outlineLevel="0" collapsed="false">
      <c r="A543" s="7" t="n">
        <v>45364</v>
      </c>
      <c r="B543" s="7" t="n">
        <v>45371</v>
      </c>
      <c r="C543" s="8" t="n">
        <v>5778</v>
      </c>
      <c r="D543" s="8" t="n">
        <v>3155</v>
      </c>
      <c r="E543" s="8" t="n">
        <v>9260</v>
      </c>
      <c r="F543" s="8" t="s">
        <v>2200</v>
      </c>
      <c r="G543" s="8" t="s">
        <v>2201</v>
      </c>
      <c r="H543" s="8" t="s">
        <v>2317</v>
      </c>
    </row>
    <row r="544" customFormat="false" ht="15" hidden="false" customHeight="false" outlineLevel="0" collapsed="false">
      <c r="A544" s="7" t="n">
        <v>45364</v>
      </c>
      <c r="B544" s="7" t="n">
        <v>45401</v>
      </c>
      <c r="C544" s="8" t="n">
        <v>5907</v>
      </c>
      <c r="D544" s="8" t="n">
        <v>5235</v>
      </c>
      <c r="E544" s="8" t="n">
        <v>28875</v>
      </c>
      <c r="F544" s="8" t="s">
        <v>2200</v>
      </c>
      <c r="G544" s="8" t="s">
        <v>2201</v>
      </c>
      <c r="H544" s="8" t="s">
        <v>2317</v>
      </c>
    </row>
    <row r="545" customFormat="false" ht="15" hidden="false" customHeight="false" outlineLevel="0" collapsed="false">
      <c r="A545" s="7" t="n">
        <v>45364</v>
      </c>
      <c r="B545" s="7" t="n">
        <v>45432</v>
      </c>
      <c r="C545" s="8" t="n">
        <v>5942</v>
      </c>
      <c r="D545" s="8" t="n">
        <v>475</v>
      </c>
      <c r="E545" s="8" t="n">
        <v>5470</v>
      </c>
      <c r="F545" s="8" t="s">
        <v>2200</v>
      </c>
      <c r="G545" s="8" t="s">
        <v>2201</v>
      </c>
      <c r="H545" s="8" t="s">
        <v>2317</v>
      </c>
    </row>
    <row r="546" customFormat="false" ht="15" hidden="false" customHeight="false" outlineLevel="0" collapsed="false">
      <c r="A546" s="7" t="n">
        <v>45364</v>
      </c>
      <c r="B546" s="7" t="n">
        <v>45463</v>
      </c>
      <c r="C546" s="8" t="n">
        <v>5977</v>
      </c>
      <c r="D546" s="8" t="n">
        <v>0</v>
      </c>
      <c r="E546" s="8" t="n">
        <v>0</v>
      </c>
      <c r="F546" s="8" t="s">
        <v>2200</v>
      </c>
      <c r="G546" s="8" t="s">
        <v>2201</v>
      </c>
      <c r="H546" s="8" t="s">
        <v>2317</v>
      </c>
    </row>
    <row r="547" customFormat="false" ht="15" hidden="false" customHeight="false" outlineLevel="0" collapsed="false">
      <c r="A547" s="7" t="n">
        <v>45364</v>
      </c>
      <c r="B547" s="7" t="n">
        <v>45492</v>
      </c>
      <c r="C547" s="8" t="n">
        <v>6012</v>
      </c>
      <c r="D547" s="8" t="n">
        <v>0</v>
      </c>
      <c r="E547" s="8" t="n">
        <v>0</v>
      </c>
      <c r="F547" s="8" t="s">
        <v>2200</v>
      </c>
      <c r="G547" s="8" t="s">
        <v>2201</v>
      </c>
      <c r="H547" s="8" t="s">
        <v>2317</v>
      </c>
    </row>
    <row r="548" customFormat="false" ht="15" hidden="false" customHeight="false" outlineLevel="0" collapsed="false">
      <c r="A548" s="7" t="n">
        <v>45365</v>
      </c>
      <c r="B548" s="7" t="n">
        <v>45371</v>
      </c>
      <c r="C548" s="8" t="n">
        <v>5789</v>
      </c>
      <c r="D548" s="8" t="n">
        <v>5920</v>
      </c>
      <c r="E548" s="8" t="n">
        <v>5920</v>
      </c>
      <c r="F548" s="8" t="s">
        <v>2200</v>
      </c>
      <c r="G548" s="8" t="s">
        <v>2201</v>
      </c>
      <c r="H548" s="8" t="s">
        <v>2318</v>
      </c>
    </row>
    <row r="549" customFormat="false" ht="15" hidden="false" customHeight="false" outlineLevel="0" collapsed="false">
      <c r="A549" s="7" t="n">
        <v>45365</v>
      </c>
      <c r="B549" s="7" t="n">
        <v>45401</v>
      </c>
      <c r="C549" s="8" t="n">
        <v>5926</v>
      </c>
      <c r="D549" s="8" t="n">
        <v>5745</v>
      </c>
      <c r="E549" s="8" t="n">
        <v>27790</v>
      </c>
      <c r="F549" s="8" t="s">
        <v>2200</v>
      </c>
      <c r="G549" s="8" t="s">
        <v>2201</v>
      </c>
      <c r="H549" s="8" t="s">
        <v>2318</v>
      </c>
    </row>
    <row r="550" customFormat="false" ht="15" hidden="false" customHeight="false" outlineLevel="0" collapsed="false">
      <c r="A550" s="7" t="n">
        <v>45365</v>
      </c>
      <c r="B550" s="7" t="n">
        <v>45432</v>
      </c>
      <c r="C550" s="8" t="n">
        <v>5963</v>
      </c>
      <c r="D550" s="8" t="n">
        <v>290</v>
      </c>
      <c r="E550" s="8" t="n">
        <v>5575</v>
      </c>
      <c r="F550" s="8" t="s">
        <v>2200</v>
      </c>
      <c r="G550" s="8" t="s">
        <v>2201</v>
      </c>
      <c r="H550" s="8" t="s">
        <v>2318</v>
      </c>
    </row>
    <row r="551" customFormat="false" ht="15" hidden="false" customHeight="false" outlineLevel="0" collapsed="false">
      <c r="A551" s="7" t="n">
        <v>45365</v>
      </c>
      <c r="B551" s="7" t="n">
        <v>45463</v>
      </c>
      <c r="C551" s="8" t="n">
        <v>6000</v>
      </c>
      <c r="D551" s="8" t="n">
        <v>0</v>
      </c>
      <c r="E551" s="8" t="n">
        <v>0</v>
      </c>
      <c r="F551" s="8" t="s">
        <v>2200</v>
      </c>
      <c r="G551" s="8" t="s">
        <v>2201</v>
      </c>
      <c r="H551" s="8" t="s">
        <v>2318</v>
      </c>
    </row>
    <row r="552" customFormat="false" ht="15" hidden="false" customHeight="false" outlineLevel="0" collapsed="false">
      <c r="A552" s="7" t="n">
        <v>45365</v>
      </c>
      <c r="B552" s="7" t="n">
        <v>45492</v>
      </c>
      <c r="C552" s="8" t="n">
        <v>6037</v>
      </c>
      <c r="D552" s="8" t="n">
        <v>0</v>
      </c>
      <c r="E552" s="8" t="n">
        <v>0</v>
      </c>
      <c r="F552" s="8" t="s">
        <v>2200</v>
      </c>
      <c r="G552" s="8" t="s">
        <v>2201</v>
      </c>
      <c r="H552" s="8" t="s">
        <v>2318</v>
      </c>
    </row>
    <row r="553" customFormat="false" ht="15" hidden="false" customHeight="false" outlineLevel="0" collapsed="false">
      <c r="A553" s="7" t="n">
        <v>45366</v>
      </c>
      <c r="B553" s="7" t="n">
        <v>45371</v>
      </c>
      <c r="C553" s="8" t="n">
        <v>5830</v>
      </c>
      <c r="D553" s="8" t="n">
        <v>25</v>
      </c>
      <c r="E553" s="8" t="n">
        <v>3510</v>
      </c>
      <c r="F553" s="8" t="s">
        <v>2200</v>
      </c>
      <c r="G553" s="8" t="s">
        <v>2201</v>
      </c>
      <c r="H553" s="8" t="s">
        <v>2319</v>
      </c>
    </row>
    <row r="554" customFormat="false" ht="15" hidden="false" customHeight="false" outlineLevel="0" collapsed="false">
      <c r="A554" s="7" t="n">
        <v>45366</v>
      </c>
      <c r="B554" s="7" t="n">
        <v>45401</v>
      </c>
      <c r="C554" s="8" t="n">
        <v>5892</v>
      </c>
      <c r="D554" s="8" t="n">
        <v>2540</v>
      </c>
      <c r="E554" s="8" t="n">
        <v>27950</v>
      </c>
      <c r="F554" s="8" t="s">
        <v>2200</v>
      </c>
      <c r="G554" s="8" t="s">
        <v>2201</v>
      </c>
      <c r="H554" s="8" t="s">
        <v>2319</v>
      </c>
    </row>
    <row r="555" customFormat="false" ht="15" hidden="false" customHeight="false" outlineLevel="0" collapsed="false">
      <c r="A555" s="7" t="n">
        <v>45366</v>
      </c>
      <c r="B555" s="7" t="n">
        <v>45432</v>
      </c>
      <c r="C555" s="8" t="n">
        <v>5919</v>
      </c>
      <c r="D555" s="8" t="n">
        <v>590</v>
      </c>
      <c r="E555" s="8" t="n">
        <v>5780</v>
      </c>
      <c r="F555" s="8" t="s">
        <v>2200</v>
      </c>
      <c r="G555" s="8" t="s">
        <v>2201</v>
      </c>
      <c r="H555" s="8" t="s">
        <v>2319</v>
      </c>
    </row>
    <row r="556" customFormat="false" ht="15" hidden="false" customHeight="false" outlineLevel="0" collapsed="false">
      <c r="A556" s="7" t="n">
        <v>45366</v>
      </c>
      <c r="B556" s="7" t="n">
        <v>45463</v>
      </c>
      <c r="C556" s="8" t="n">
        <v>5946</v>
      </c>
      <c r="D556" s="8" t="n">
        <v>0</v>
      </c>
      <c r="E556" s="8" t="n">
        <v>0</v>
      </c>
      <c r="F556" s="8" t="s">
        <v>2200</v>
      </c>
      <c r="G556" s="8" t="s">
        <v>2201</v>
      </c>
      <c r="H556" s="8" t="s">
        <v>2319</v>
      </c>
    </row>
    <row r="557" customFormat="false" ht="15" hidden="false" customHeight="false" outlineLevel="0" collapsed="false">
      <c r="A557" s="7" t="n">
        <v>45366</v>
      </c>
      <c r="B557" s="7" t="n">
        <v>45492</v>
      </c>
      <c r="C557" s="8" t="n">
        <v>5973</v>
      </c>
      <c r="D557" s="8" t="n">
        <v>0</v>
      </c>
      <c r="E557" s="8" t="n">
        <v>0</v>
      </c>
      <c r="F557" s="8" t="s">
        <v>2200</v>
      </c>
      <c r="G557" s="8" t="s">
        <v>2201</v>
      </c>
      <c r="H557" s="8" t="s">
        <v>2319</v>
      </c>
    </row>
    <row r="558" customFormat="false" ht="15" hidden="false" customHeight="false" outlineLevel="0" collapsed="false">
      <c r="A558" s="7" t="n">
        <v>45369</v>
      </c>
      <c r="B558" s="7" t="n">
        <v>45371</v>
      </c>
      <c r="C558" s="8" t="n">
        <v>5830</v>
      </c>
      <c r="D558" s="8" t="n">
        <v>95</v>
      </c>
      <c r="E558" s="8" t="n">
        <v>170</v>
      </c>
      <c r="F558" s="8" t="s">
        <v>2200</v>
      </c>
      <c r="G558" s="8" t="s">
        <v>2201</v>
      </c>
      <c r="H558" s="8" t="s">
        <v>2320</v>
      </c>
    </row>
    <row r="559" customFormat="false" ht="15" hidden="false" customHeight="false" outlineLevel="0" collapsed="false">
      <c r="A559" s="7" t="n">
        <v>45369</v>
      </c>
      <c r="B559" s="7" t="n">
        <v>45401</v>
      </c>
      <c r="C559" s="8" t="n">
        <v>5897</v>
      </c>
      <c r="D559" s="8" t="n">
        <v>2210</v>
      </c>
      <c r="E559" s="8" t="n">
        <v>28310</v>
      </c>
      <c r="F559" s="8" t="s">
        <v>2200</v>
      </c>
      <c r="G559" s="8" t="s">
        <v>2201</v>
      </c>
      <c r="H559" s="8" t="s">
        <v>2320</v>
      </c>
    </row>
    <row r="560" customFormat="false" ht="15" hidden="false" customHeight="false" outlineLevel="0" collapsed="false">
      <c r="A560" s="7" t="n">
        <v>45369</v>
      </c>
      <c r="B560" s="7" t="n">
        <v>45432</v>
      </c>
      <c r="C560" s="8" t="n">
        <v>5924</v>
      </c>
      <c r="D560" s="8" t="n">
        <v>405</v>
      </c>
      <c r="E560" s="8" t="n">
        <v>5885</v>
      </c>
      <c r="F560" s="8" t="s">
        <v>2200</v>
      </c>
      <c r="G560" s="8" t="s">
        <v>2201</v>
      </c>
      <c r="H560" s="8" t="s">
        <v>2320</v>
      </c>
    </row>
    <row r="561" customFormat="false" ht="15" hidden="false" customHeight="false" outlineLevel="0" collapsed="false">
      <c r="A561" s="7" t="n">
        <v>45369</v>
      </c>
      <c r="B561" s="7" t="n">
        <v>45463</v>
      </c>
      <c r="C561" s="8" t="n">
        <v>5951</v>
      </c>
      <c r="D561" s="8" t="n">
        <v>0</v>
      </c>
      <c r="E561" s="8" t="n">
        <v>0</v>
      </c>
      <c r="F561" s="8" t="s">
        <v>2200</v>
      </c>
      <c r="G561" s="8" t="s">
        <v>2201</v>
      </c>
      <c r="H561" s="8" t="s">
        <v>2320</v>
      </c>
    </row>
    <row r="562" customFormat="false" ht="15" hidden="false" customHeight="false" outlineLevel="0" collapsed="false">
      <c r="A562" s="7" t="n">
        <v>45369</v>
      </c>
      <c r="B562" s="7" t="n">
        <v>45492</v>
      </c>
      <c r="C562" s="8" t="n">
        <v>5978</v>
      </c>
      <c r="D562" s="8" t="n">
        <v>0</v>
      </c>
      <c r="E562" s="8" t="n">
        <v>0</v>
      </c>
      <c r="F562" s="8" t="s">
        <v>2200</v>
      </c>
      <c r="G562" s="8" t="s">
        <v>2201</v>
      </c>
      <c r="H562" s="8" t="s">
        <v>2320</v>
      </c>
    </row>
    <row r="563" customFormat="false" ht="15" hidden="false" customHeight="false" outlineLevel="0" collapsed="false">
      <c r="A563" s="7" t="n">
        <v>45370</v>
      </c>
      <c r="B563" s="7" t="n">
        <v>45371</v>
      </c>
      <c r="C563" s="8" t="n">
        <v>5865</v>
      </c>
      <c r="D563" s="8" t="n">
        <v>65</v>
      </c>
      <c r="E563" s="8" t="n">
        <v>105</v>
      </c>
      <c r="F563" s="8" t="s">
        <v>2200</v>
      </c>
      <c r="G563" s="8" t="s">
        <v>2201</v>
      </c>
      <c r="H563" s="8" t="s">
        <v>2321</v>
      </c>
    </row>
    <row r="564" customFormat="false" ht="15" hidden="false" customHeight="false" outlineLevel="0" collapsed="false">
      <c r="A564" s="7" t="n">
        <v>45370</v>
      </c>
      <c r="B564" s="7" t="n">
        <v>45401</v>
      </c>
      <c r="C564" s="8" t="n">
        <v>5991</v>
      </c>
      <c r="D564" s="8" t="n">
        <v>5775</v>
      </c>
      <c r="E564" s="8" t="n">
        <v>26935</v>
      </c>
      <c r="F564" s="8" t="s">
        <v>2200</v>
      </c>
      <c r="G564" s="8" t="s">
        <v>2201</v>
      </c>
      <c r="H564" s="8" t="s">
        <v>2321</v>
      </c>
    </row>
    <row r="565" customFormat="false" ht="15" hidden="false" customHeight="false" outlineLevel="0" collapsed="false">
      <c r="A565" s="7" t="n">
        <v>45370</v>
      </c>
      <c r="B565" s="7" t="n">
        <v>45432</v>
      </c>
      <c r="C565" s="8" t="n">
        <v>5983</v>
      </c>
      <c r="D565" s="8" t="n">
        <v>1155</v>
      </c>
      <c r="E565" s="8" t="n">
        <v>6460</v>
      </c>
      <c r="F565" s="8" t="s">
        <v>2200</v>
      </c>
      <c r="G565" s="8" t="s">
        <v>2201</v>
      </c>
      <c r="H565" s="8" t="s">
        <v>2321</v>
      </c>
    </row>
    <row r="566" customFormat="false" ht="15" hidden="false" customHeight="false" outlineLevel="0" collapsed="false">
      <c r="A566" s="7" t="n">
        <v>45370</v>
      </c>
      <c r="B566" s="7" t="n">
        <v>45463</v>
      </c>
      <c r="C566" s="8" t="n">
        <v>5983</v>
      </c>
      <c r="D566" s="8" t="n">
        <v>0</v>
      </c>
      <c r="E566" s="8" t="n">
        <v>0</v>
      </c>
      <c r="F566" s="8" t="s">
        <v>2200</v>
      </c>
      <c r="G566" s="8" t="s">
        <v>2201</v>
      </c>
      <c r="H566" s="8" t="s">
        <v>2321</v>
      </c>
    </row>
    <row r="567" customFormat="false" ht="15" hidden="false" customHeight="false" outlineLevel="0" collapsed="false">
      <c r="A567" s="7" t="n">
        <v>45370</v>
      </c>
      <c r="B567" s="7" t="n">
        <v>45492</v>
      </c>
      <c r="C567" s="8" t="n">
        <v>5983</v>
      </c>
      <c r="D567" s="8" t="n">
        <v>0</v>
      </c>
      <c r="E567" s="8" t="n">
        <v>0</v>
      </c>
      <c r="F567" s="8" t="s">
        <v>2200</v>
      </c>
      <c r="G567" s="8" t="s">
        <v>2201</v>
      </c>
      <c r="H567" s="8" t="s">
        <v>2321</v>
      </c>
    </row>
    <row r="568" customFormat="false" ht="15" hidden="false" customHeight="false" outlineLevel="0" collapsed="false">
      <c r="A568" s="7" t="n">
        <v>45371</v>
      </c>
      <c r="B568" s="7" t="n">
        <v>45371</v>
      </c>
      <c r="C568" s="8" t="n">
        <v>5865</v>
      </c>
      <c r="D568" s="8" t="n">
        <v>30</v>
      </c>
      <c r="E568" s="8" t="n">
        <v>75</v>
      </c>
      <c r="F568" s="8" t="s">
        <v>2200</v>
      </c>
      <c r="G568" s="8" t="s">
        <v>2201</v>
      </c>
      <c r="H568" s="8" t="s">
        <v>2322</v>
      </c>
    </row>
    <row r="569" customFormat="false" ht="15" hidden="false" customHeight="false" outlineLevel="0" collapsed="false">
      <c r="A569" s="7" t="n">
        <v>45371</v>
      </c>
      <c r="B569" s="7" t="n">
        <v>45401</v>
      </c>
      <c r="C569" s="8" t="n">
        <v>6008</v>
      </c>
      <c r="D569" s="8" t="n">
        <v>3540</v>
      </c>
      <c r="E569" s="8" t="n">
        <v>27035</v>
      </c>
      <c r="F569" s="8" t="s">
        <v>2200</v>
      </c>
      <c r="G569" s="8" t="s">
        <v>2201</v>
      </c>
      <c r="H569" s="8" t="s">
        <v>2322</v>
      </c>
    </row>
    <row r="570" customFormat="false" ht="15" hidden="false" customHeight="false" outlineLevel="0" collapsed="false">
      <c r="A570" s="7" t="n">
        <v>45371</v>
      </c>
      <c r="B570" s="7" t="n">
        <v>45432</v>
      </c>
      <c r="C570" s="8" t="n">
        <v>5965</v>
      </c>
      <c r="D570" s="8" t="n">
        <v>1575</v>
      </c>
      <c r="E570" s="8" t="n">
        <v>6940</v>
      </c>
      <c r="F570" s="8" t="s">
        <v>2200</v>
      </c>
      <c r="G570" s="8" t="s">
        <v>2201</v>
      </c>
      <c r="H570" s="8" t="s">
        <v>2322</v>
      </c>
    </row>
    <row r="571" customFormat="false" ht="15" hidden="false" customHeight="false" outlineLevel="0" collapsed="false">
      <c r="A571" s="7" t="n">
        <v>45371</v>
      </c>
      <c r="B571" s="7" t="n">
        <v>45463</v>
      </c>
      <c r="C571" s="8" t="n">
        <v>5965</v>
      </c>
      <c r="D571" s="8" t="n">
        <v>0</v>
      </c>
      <c r="E571" s="8" t="n">
        <v>0</v>
      </c>
      <c r="F571" s="8" t="s">
        <v>2200</v>
      </c>
      <c r="G571" s="8" t="s">
        <v>2201</v>
      </c>
      <c r="H571" s="8" t="s">
        <v>2322</v>
      </c>
    </row>
    <row r="572" customFormat="false" ht="15" hidden="false" customHeight="false" outlineLevel="0" collapsed="false">
      <c r="A572" s="7" t="n">
        <v>45371</v>
      </c>
      <c r="B572" s="7" t="n">
        <v>45492</v>
      </c>
      <c r="C572" s="8" t="n">
        <v>5965</v>
      </c>
      <c r="D572" s="8" t="n">
        <v>0</v>
      </c>
      <c r="E572" s="8" t="n">
        <v>0</v>
      </c>
      <c r="F572" s="8" t="s">
        <v>2200</v>
      </c>
      <c r="G572" s="8" t="s">
        <v>2201</v>
      </c>
      <c r="H572" s="8" t="s">
        <v>2322</v>
      </c>
    </row>
    <row r="573" customFormat="false" ht="15" hidden="false" customHeight="false" outlineLevel="0" collapsed="false">
      <c r="A573" s="7" t="n">
        <v>45372</v>
      </c>
      <c r="B573" s="7" t="n">
        <v>45401</v>
      </c>
      <c r="C573" s="8" t="n">
        <v>6100</v>
      </c>
      <c r="D573" s="8" t="n">
        <v>9225</v>
      </c>
      <c r="E573" s="8" t="n">
        <v>26740</v>
      </c>
      <c r="F573" s="8" t="s">
        <v>2200</v>
      </c>
      <c r="G573" s="8" t="s">
        <v>2201</v>
      </c>
      <c r="H573" s="8" t="s">
        <v>2323</v>
      </c>
    </row>
    <row r="574" customFormat="false" ht="15" hidden="false" customHeight="false" outlineLevel="0" collapsed="false">
      <c r="A574" s="7" t="n">
        <v>45372</v>
      </c>
      <c r="B574" s="7" t="n">
        <v>45432</v>
      </c>
      <c r="C574" s="8" t="n">
        <v>6089</v>
      </c>
      <c r="D574" s="8" t="n">
        <v>1020</v>
      </c>
      <c r="E574" s="8" t="n">
        <v>7095</v>
      </c>
      <c r="F574" s="8" t="s">
        <v>2200</v>
      </c>
      <c r="G574" s="8" t="s">
        <v>2201</v>
      </c>
      <c r="H574" s="8" t="s">
        <v>2323</v>
      </c>
    </row>
    <row r="575" customFormat="false" ht="15" hidden="false" customHeight="false" outlineLevel="0" collapsed="false">
      <c r="A575" s="7" t="n">
        <v>45372</v>
      </c>
      <c r="B575" s="7" t="n">
        <v>45463</v>
      </c>
      <c r="C575" s="8" t="n">
        <v>6116</v>
      </c>
      <c r="D575" s="8" t="n">
        <v>0</v>
      </c>
      <c r="E575" s="8" t="n">
        <v>0</v>
      </c>
      <c r="F575" s="8" t="s">
        <v>2200</v>
      </c>
      <c r="G575" s="8" t="s">
        <v>2201</v>
      </c>
      <c r="H575" s="8" t="s">
        <v>2323</v>
      </c>
    </row>
    <row r="576" customFormat="false" ht="15" hidden="false" customHeight="false" outlineLevel="0" collapsed="false">
      <c r="A576" s="7" t="n">
        <v>45372</v>
      </c>
      <c r="B576" s="7" t="n">
        <v>45492</v>
      </c>
      <c r="C576" s="8" t="n">
        <v>6143</v>
      </c>
      <c r="D576" s="8" t="n">
        <v>0</v>
      </c>
      <c r="E576" s="8" t="n">
        <v>0</v>
      </c>
      <c r="F576" s="8" t="s">
        <v>2200</v>
      </c>
      <c r="G576" s="8" t="s">
        <v>2201</v>
      </c>
      <c r="H576" s="8" t="s">
        <v>2323</v>
      </c>
    </row>
    <row r="577" customFormat="false" ht="15" hidden="false" customHeight="false" outlineLevel="0" collapsed="false">
      <c r="A577" s="7" t="n">
        <v>45373</v>
      </c>
      <c r="B577" s="7" t="n">
        <v>45401</v>
      </c>
      <c r="C577" s="8" t="n">
        <v>6138</v>
      </c>
      <c r="D577" s="8" t="n">
        <v>7240</v>
      </c>
      <c r="E577" s="8" t="n">
        <v>25730</v>
      </c>
      <c r="F577" s="8" t="s">
        <v>2200</v>
      </c>
      <c r="G577" s="8" t="s">
        <v>2201</v>
      </c>
      <c r="H577" s="8" t="s">
        <v>2324</v>
      </c>
    </row>
    <row r="578" customFormat="false" ht="15" hidden="false" customHeight="false" outlineLevel="0" collapsed="false">
      <c r="A578" s="7" t="n">
        <v>45373</v>
      </c>
      <c r="B578" s="7" t="n">
        <v>45432</v>
      </c>
      <c r="C578" s="8" t="n">
        <v>6096</v>
      </c>
      <c r="D578" s="8" t="n">
        <v>2645</v>
      </c>
      <c r="E578" s="8" t="n">
        <v>8675</v>
      </c>
      <c r="F578" s="8" t="s">
        <v>2200</v>
      </c>
      <c r="G578" s="8" t="s">
        <v>2201</v>
      </c>
      <c r="H578" s="8" t="s">
        <v>2324</v>
      </c>
    </row>
    <row r="579" customFormat="false" ht="15" hidden="false" customHeight="false" outlineLevel="0" collapsed="false">
      <c r="A579" s="7" t="n">
        <v>45373</v>
      </c>
      <c r="B579" s="7" t="n">
        <v>45463</v>
      </c>
      <c r="C579" s="8" t="n">
        <v>6131</v>
      </c>
      <c r="D579" s="8" t="n">
        <v>0</v>
      </c>
      <c r="E579" s="8" t="n">
        <v>0</v>
      </c>
      <c r="F579" s="8" t="s">
        <v>2200</v>
      </c>
      <c r="G579" s="8" t="s">
        <v>2201</v>
      </c>
      <c r="H579" s="8" t="s">
        <v>2324</v>
      </c>
    </row>
    <row r="580" customFormat="false" ht="15" hidden="false" customHeight="false" outlineLevel="0" collapsed="false">
      <c r="A580" s="7" t="n">
        <v>45373</v>
      </c>
      <c r="B580" s="7" t="n">
        <v>45492</v>
      </c>
      <c r="C580" s="8" t="n">
        <v>6166</v>
      </c>
      <c r="D580" s="8" t="n">
        <v>0</v>
      </c>
      <c r="E580" s="8" t="n">
        <v>0</v>
      </c>
      <c r="F580" s="8" t="s">
        <v>2200</v>
      </c>
      <c r="G580" s="8" t="s">
        <v>2201</v>
      </c>
      <c r="H580" s="8" t="s">
        <v>2324</v>
      </c>
    </row>
    <row r="581" customFormat="false" ht="15" hidden="false" customHeight="false" outlineLevel="0" collapsed="false">
      <c r="A581" s="7" t="n">
        <v>45377</v>
      </c>
      <c r="B581" s="7" t="n">
        <v>45401</v>
      </c>
      <c r="C581" s="8" t="n">
        <v>6023</v>
      </c>
      <c r="D581" s="8" t="n">
        <v>5990</v>
      </c>
      <c r="E581" s="8" t="n">
        <v>23870</v>
      </c>
      <c r="F581" s="8" t="s">
        <v>2200</v>
      </c>
      <c r="G581" s="8" t="s">
        <v>2201</v>
      </c>
      <c r="H581" s="8" t="s">
        <v>2325</v>
      </c>
    </row>
    <row r="582" customFormat="false" ht="15" hidden="false" customHeight="false" outlineLevel="0" collapsed="false">
      <c r="A582" s="7" t="n">
        <v>45377</v>
      </c>
      <c r="B582" s="7" t="n">
        <v>45432</v>
      </c>
      <c r="C582" s="8" t="n">
        <v>5970</v>
      </c>
      <c r="D582" s="8" t="n">
        <v>2515</v>
      </c>
      <c r="E582" s="8" t="n">
        <v>9415</v>
      </c>
      <c r="F582" s="8" t="s">
        <v>2200</v>
      </c>
      <c r="G582" s="8" t="s">
        <v>2201</v>
      </c>
      <c r="H582" s="8" t="s">
        <v>2325</v>
      </c>
    </row>
    <row r="583" customFormat="false" ht="15" hidden="false" customHeight="false" outlineLevel="0" collapsed="false">
      <c r="A583" s="7" t="n">
        <v>45377</v>
      </c>
      <c r="B583" s="7" t="n">
        <v>45463</v>
      </c>
      <c r="C583" s="8" t="n">
        <v>6127</v>
      </c>
      <c r="D583" s="8" t="n">
        <v>0</v>
      </c>
      <c r="E583" s="8" t="n">
        <v>0</v>
      </c>
      <c r="F583" s="8" t="s">
        <v>2200</v>
      </c>
      <c r="G583" s="8" t="s">
        <v>2201</v>
      </c>
      <c r="H583" s="8" t="s">
        <v>2325</v>
      </c>
    </row>
    <row r="584" customFormat="false" ht="15" hidden="false" customHeight="false" outlineLevel="0" collapsed="false">
      <c r="A584" s="7" t="n">
        <v>45377</v>
      </c>
      <c r="B584" s="7" t="n">
        <v>45492</v>
      </c>
      <c r="C584" s="8" t="n">
        <v>6284</v>
      </c>
      <c r="D584" s="8" t="n">
        <v>0</v>
      </c>
      <c r="E584" s="8" t="n">
        <v>0</v>
      </c>
      <c r="F584" s="8" t="s">
        <v>2200</v>
      </c>
      <c r="G584" s="8" t="s">
        <v>2201</v>
      </c>
      <c r="H584" s="8" t="s">
        <v>2325</v>
      </c>
    </row>
    <row r="585" customFormat="false" ht="15" hidden="false" customHeight="false" outlineLevel="0" collapsed="false">
      <c r="A585" s="7" t="n">
        <v>45378</v>
      </c>
      <c r="B585" s="7" t="n">
        <v>45401</v>
      </c>
      <c r="C585" s="8" t="n">
        <v>6072</v>
      </c>
      <c r="D585" s="8" t="n">
        <v>19265</v>
      </c>
      <c r="E585" s="8" t="n">
        <v>24715</v>
      </c>
      <c r="F585" s="8" t="s">
        <v>2200</v>
      </c>
      <c r="G585" s="8" t="s">
        <v>2201</v>
      </c>
      <c r="H585" s="8" t="s">
        <v>2326</v>
      </c>
    </row>
    <row r="586" customFormat="false" ht="15" hidden="false" customHeight="false" outlineLevel="0" collapsed="false">
      <c r="A586" s="7" t="n">
        <v>45378</v>
      </c>
      <c r="B586" s="7" t="n">
        <v>45432</v>
      </c>
      <c r="C586" s="8" t="n">
        <v>6000</v>
      </c>
      <c r="D586" s="8" t="n">
        <v>2470</v>
      </c>
      <c r="E586" s="8" t="n">
        <v>9820</v>
      </c>
      <c r="F586" s="8" t="s">
        <v>2200</v>
      </c>
      <c r="G586" s="8" t="s">
        <v>2201</v>
      </c>
      <c r="H586" s="8" t="s">
        <v>2326</v>
      </c>
    </row>
    <row r="587" customFormat="false" ht="15" hidden="false" customHeight="false" outlineLevel="0" collapsed="false">
      <c r="A587" s="7" t="n">
        <v>45378</v>
      </c>
      <c r="B587" s="7" t="n">
        <v>45463</v>
      </c>
      <c r="C587" s="8" t="n">
        <v>6126</v>
      </c>
      <c r="D587" s="8" t="n">
        <v>0</v>
      </c>
      <c r="E587" s="8" t="n">
        <v>0</v>
      </c>
      <c r="F587" s="8" t="s">
        <v>2200</v>
      </c>
      <c r="G587" s="8" t="s">
        <v>2201</v>
      </c>
      <c r="H587" s="8" t="s">
        <v>2326</v>
      </c>
    </row>
    <row r="588" customFormat="false" ht="15" hidden="false" customHeight="false" outlineLevel="0" collapsed="false">
      <c r="A588" s="7" t="n">
        <v>45378</v>
      </c>
      <c r="B588" s="7" t="n">
        <v>45492</v>
      </c>
      <c r="C588" s="8" t="n">
        <v>6252</v>
      </c>
      <c r="D588" s="8" t="n">
        <v>0</v>
      </c>
      <c r="E588" s="8" t="n">
        <v>0</v>
      </c>
      <c r="F588" s="8" t="s">
        <v>2200</v>
      </c>
      <c r="G588" s="8" t="s">
        <v>2201</v>
      </c>
      <c r="H588" s="8" t="s">
        <v>2326</v>
      </c>
    </row>
    <row r="589" customFormat="false" ht="15" hidden="false" customHeight="false" outlineLevel="0" collapsed="false">
      <c r="A589" s="7" t="n">
        <v>45379</v>
      </c>
      <c r="B589" s="7" t="n">
        <v>45401</v>
      </c>
      <c r="C589" s="8" t="n">
        <v>6050</v>
      </c>
      <c r="D589" s="8" t="n">
        <v>2270</v>
      </c>
      <c r="E589" s="8" t="n">
        <v>25455</v>
      </c>
      <c r="F589" s="8" t="s">
        <v>2200</v>
      </c>
      <c r="G589" s="8" t="s">
        <v>2201</v>
      </c>
      <c r="H589" s="8" t="s">
        <v>2327</v>
      </c>
    </row>
    <row r="590" customFormat="false" ht="15" hidden="false" customHeight="false" outlineLevel="0" collapsed="false">
      <c r="A590" s="7" t="n">
        <v>45379</v>
      </c>
      <c r="B590" s="7" t="n">
        <v>45432</v>
      </c>
      <c r="C590" s="8" t="n">
        <v>5990</v>
      </c>
      <c r="D590" s="8" t="n">
        <v>985</v>
      </c>
      <c r="E590" s="8" t="n">
        <v>9845</v>
      </c>
      <c r="F590" s="8" t="s">
        <v>2200</v>
      </c>
      <c r="G590" s="8" t="s">
        <v>2201</v>
      </c>
      <c r="H590" s="8" t="s">
        <v>2327</v>
      </c>
    </row>
    <row r="591" customFormat="false" ht="15" hidden="false" customHeight="false" outlineLevel="0" collapsed="false">
      <c r="A591" s="7" t="n">
        <v>45379</v>
      </c>
      <c r="B591" s="7" t="n">
        <v>45463</v>
      </c>
      <c r="C591" s="8" t="n">
        <v>6125</v>
      </c>
      <c r="D591" s="8" t="n">
        <v>0</v>
      </c>
      <c r="E591" s="8" t="n">
        <v>0</v>
      </c>
      <c r="F591" s="8" t="s">
        <v>2200</v>
      </c>
      <c r="G591" s="8" t="s">
        <v>2201</v>
      </c>
      <c r="H591" s="8" t="s">
        <v>2327</v>
      </c>
    </row>
    <row r="592" customFormat="false" ht="15" hidden="false" customHeight="false" outlineLevel="0" collapsed="false">
      <c r="A592" s="7" t="n">
        <v>45379</v>
      </c>
      <c r="B592" s="7" t="n">
        <v>45492</v>
      </c>
      <c r="C592" s="8" t="n">
        <v>6260</v>
      </c>
      <c r="D592" s="8" t="n">
        <v>0</v>
      </c>
      <c r="E592" s="8" t="n">
        <v>0</v>
      </c>
      <c r="F592" s="8" t="s">
        <v>2200</v>
      </c>
      <c r="G592" s="8" t="s">
        <v>2201</v>
      </c>
      <c r="H592" s="8" t="s">
        <v>2327</v>
      </c>
    </row>
    <row r="593" customFormat="false" ht="15" hidden="false" customHeight="false" outlineLevel="0" collapsed="false">
      <c r="A593" s="7" t="n">
        <v>45383</v>
      </c>
      <c r="B593" s="7" t="n">
        <v>45401</v>
      </c>
      <c r="C593" s="8" t="n">
        <v>6009</v>
      </c>
      <c r="D593" s="8" t="n">
        <v>1790</v>
      </c>
      <c r="E593" s="8" t="n">
        <v>25895</v>
      </c>
      <c r="F593" s="8" t="s">
        <v>2200</v>
      </c>
      <c r="G593" s="8" t="s">
        <v>2201</v>
      </c>
      <c r="H593" s="8" t="s">
        <v>2328</v>
      </c>
    </row>
    <row r="594" customFormat="false" ht="15" hidden="false" customHeight="false" outlineLevel="0" collapsed="false">
      <c r="A594" s="7" t="n">
        <v>45383</v>
      </c>
      <c r="B594" s="7" t="n">
        <v>45432</v>
      </c>
      <c r="C594" s="8" t="n">
        <v>5936</v>
      </c>
      <c r="D594" s="8" t="n">
        <v>1410</v>
      </c>
      <c r="E594" s="8" t="n">
        <v>10740</v>
      </c>
      <c r="F594" s="8" t="s">
        <v>2200</v>
      </c>
      <c r="G594" s="8" t="s">
        <v>2201</v>
      </c>
      <c r="H594" s="8" t="s">
        <v>2328</v>
      </c>
    </row>
    <row r="595" customFormat="false" ht="15" hidden="false" customHeight="false" outlineLevel="0" collapsed="false">
      <c r="A595" s="7" t="n">
        <v>45383</v>
      </c>
      <c r="B595" s="7" t="n">
        <v>45463</v>
      </c>
      <c r="C595" s="8" t="n">
        <v>6121</v>
      </c>
      <c r="D595" s="8" t="n">
        <v>0</v>
      </c>
      <c r="E595" s="8" t="n">
        <v>0</v>
      </c>
      <c r="F595" s="8" t="s">
        <v>2200</v>
      </c>
      <c r="G595" s="8" t="s">
        <v>2201</v>
      </c>
      <c r="H595" s="8" t="s">
        <v>2328</v>
      </c>
    </row>
    <row r="596" customFormat="false" ht="15" hidden="false" customHeight="false" outlineLevel="0" collapsed="false">
      <c r="A596" s="7" t="n">
        <v>45383</v>
      </c>
      <c r="B596" s="7" t="n">
        <v>45492</v>
      </c>
      <c r="C596" s="8" t="n">
        <v>6306</v>
      </c>
      <c r="D596" s="8" t="n">
        <v>0</v>
      </c>
      <c r="E596" s="8" t="n">
        <v>0</v>
      </c>
      <c r="F596" s="8" t="s">
        <v>2200</v>
      </c>
      <c r="G596" s="8" t="s">
        <v>2201</v>
      </c>
      <c r="H596" s="8" t="s">
        <v>2328</v>
      </c>
    </row>
    <row r="597" customFormat="false" ht="15" hidden="false" customHeight="false" outlineLevel="0" collapsed="false">
      <c r="A597" s="7" t="n">
        <v>45383</v>
      </c>
      <c r="B597" s="7" t="n">
        <v>45524</v>
      </c>
      <c r="C597" s="8" t="n">
        <v>6491</v>
      </c>
      <c r="D597" s="8" t="n">
        <v>0</v>
      </c>
      <c r="E597" s="8" t="n">
        <v>0</v>
      </c>
      <c r="F597" s="8" t="s">
        <v>2200</v>
      </c>
      <c r="G597" s="8" t="s">
        <v>2201</v>
      </c>
      <c r="H597" s="8" t="s">
        <v>2328</v>
      </c>
    </row>
    <row r="598" customFormat="false" ht="15" hidden="false" customHeight="false" outlineLevel="0" collapsed="false">
      <c r="A598" s="7" t="n">
        <v>45384</v>
      </c>
      <c r="B598" s="7" t="n">
        <v>45401</v>
      </c>
      <c r="C598" s="8" t="n">
        <v>5979</v>
      </c>
      <c r="D598" s="8" t="n">
        <v>2490</v>
      </c>
      <c r="E598" s="8" t="n">
        <v>25685</v>
      </c>
      <c r="F598" s="8" t="s">
        <v>2200</v>
      </c>
      <c r="G598" s="8" t="s">
        <v>2201</v>
      </c>
      <c r="H598" s="8" t="s">
        <v>2329</v>
      </c>
    </row>
    <row r="599" customFormat="false" ht="15" hidden="false" customHeight="false" outlineLevel="0" collapsed="false">
      <c r="A599" s="7" t="n">
        <v>45384</v>
      </c>
      <c r="B599" s="7" t="n">
        <v>45432</v>
      </c>
      <c r="C599" s="8" t="n">
        <v>5897</v>
      </c>
      <c r="D599" s="8" t="n">
        <v>1165</v>
      </c>
      <c r="E599" s="8" t="n">
        <v>11230</v>
      </c>
      <c r="F599" s="8" t="s">
        <v>2200</v>
      </c>
      <c r="G599" s="8" t="s">
        <v>2201</v>
      </c>
      <c r="H599" s="8" t="s">
        <v>2329</v>
      </c>
    </row>
    <row r="600" customFormat="false" ht="15" hidden="false" customHeight="false" outlineLevel="0" collapsed="false">
      <c r="A600" s="7" t="n">
        <v>45384</v>
      </c>
      <c r="B600" s="7" t="n">
        <v>45463</v>
      </c>
      <c r="C600" s="8" t="n">
        <v>6053</v>
      </c>
      <c r="D600" s="8" t="n">
        <v>0</v>
      </c>
      <c r="E600" s="8" t="n">
        <v>0</v>
      </c>
      <c r="F600" s="8" t="s">
        <v>2200</v>
      </c>
      <c r="G600" s="8" t="s">
        <v>2201</v>
      </c>
      <c r="H600" s="8" t="s">
        <v>2329</v>
      </c>
    </row>
    <row r="601" customFormat="false" ht="15" hidden="false" customHeight="false" outlineLevel="0" collapsed="false">
      <c r="A601" s="7" t="n">
        <v>45384</v>
      </c>
      <c r="B601" s="7" t="n">
        <v>45492</v>
      </c>
      <c r="C601" s="8" t="n">
        <v>6209</v>
      </c>
      <c r="D601" s="8" t="n">
        <v>0</v>
      </c>
      <c r="E601" s="8" t="n">
        <v>0</v>
      </c>
      <c r="F601" s="8" t="s">
        <v>2200</v>
      </c>
      <c r="G601" s="8" t="s">
        <v>2201</v>
      </c>
      <c r="H601" s="8" t="s">
        <v>2329</v>
      </c>
    </row>
    <row r="602" customFormat="false" ht="15" hidden="false" customHeight="false" outlineLevel="0" collapsed="false">
      <c r="A602" s="7" t="n">
        <v>45384</v>
      </c>
      <c r="B602" s="7" t="n">
        <v>45524</v>
      </c>
      <c r="C602" s="8" t="n">
        <v>6365</v>
      </c>
      <c r="D602" s="8" t="n">
        <v>0</v>
      </c>
      <c r="E602" s="8" t="n">
        <v>0</v>
      </c>
      <c r="F602" s="8" t="s">
        <v>2200</v>
      </c>
      <c r="G602" s="8" t="s">
        <v>2201</v>
      </c>
      <c r="H602" s="8" t="s">
        <v>2329</v>
      </c>
    </row>
    <row r="603" customFormat="false" ht="15" hidden="false" customHeight="false" outlineLevel="0" collapsed="false">
      <c r="A603" s="7" t="n">
        <v>45385</v>
      </c>
      <c r="B603" s="7" t="n">
        <v>45401</v>
      </c>
      <c r="C603" s="8" t="n">
        <v>6026</v>
      </c>
      <c r="D603" s="8" t="n">
        <v>3225</v>
      </c>
      <c r="E603" s="8" t="n">
        <v>25145</v>
      </c>
      <c r="F603" s="8" t="s">
        <v>2200</v>
      </c>
      <c r="G603" s="8" t="s">
        <v>2201</v>
      </c>
      <c r="H603" s="8" t="s">
        <v>2330</v>
      </c>
    </row>
    <row r="604" customFormat="false" ht="15" hidden="false" customHeight="false" outlineLevel="0" collapsed="false">
      <c r="A604" s="7" t="n">
        <v>45385</v>
      </c>
      <c r="B604" s="7" t="n">
        <v>45432</v>
      </c>
      <c r="C604" s="8" t="n">
        <v>5943</v>
      </c>
      <c r="D604" s="8" t="n">
        <v>1640</v>
      </c>
      <c r="E604" s="8" t="n">
        <v>11660</v>
      </c>
      <c r="F604" s="8" t="s">
        <v>2200</v>
      </c>
      <c r="G604" s="8" t="s">
        <v>2201</v>
      </c>
      <c r="H604" s="8" t="s">
        <v>2330</v>
      </c>
    </row>
    <row r="605" customFormat="false" ht="15" hidden="false" customHeight="false" outlineLevel="0" collapsed="false">
      <c r="A605" s="7" t="n">
        <v>45385</v>
      </c>
      <c r="B605" s="7" t="n">
        <v>45463</v>
      </c>
      <c r="C605" s="8" t="n">
        <v>6076</v>
      </c>
      <c r="D605" s="8" t="n">
        <v>0</v>
      </c>
      <c r="E605" s="8" t="n">
        <v>0</v>
      </c>
      <c r="F605" s="8" t="s">
        <v>2200</v>
      </c>
      <c r="G605" s="8" t="s">
        <v>2201</v>
      </c>
      <c r="H605" s="8" t="s">
        <v>2330</v>
      </c>
    </row>
    <row r="606" customFormat="false" ht="15" hidden="false" customHeight="false" outlineLevel="0" collapsed="false">
      <c r="A606" s="7" t="n">
        <v>45385</v>
      </c>
      <c r="B606" s="7" t="n">
        <v>45492</v>
      </c>
      <c r="C606" s="8" t="n">
        <v>6209</v>
      </c>
      <c r="D606" s="8" t="n">
        <v>0</v>
      </c>
      <c r="E606" s="8" t="n">
        <v>0</v>
      </c>
      <c r="F606" s="8" t="s">
        <v>2200</v>
      </c>
      <c r="G606" s="8" t="s">
        <v>2201</v>
      </c>
      <c r="H606" s="8" t="s">
        <v>2330</v>
      </c>
    </row>
    <row r="607" customFormat="false" ht="15" hidden="false" customHeight="false" outlineLevel="0" collapsed="false">
      <c r="A607" s="7" t="n">
        <v>45385</v>
      </c>
      <c r="B607" s="7" t="n">
        <v>45524</v>
      </c>
      <c r="C607" s="8" t="n">
        <v>6342</v>
      </c>
      <c r="D607" s="8" t="n">
        <v>0</v>
      </c>
      <c r="E607" s="8" t="n">
        <v>0</v>
      </c>
      <c r="F607" s="8" t="s">
        <v>2200</v>
      </c>
      <c r="G607" s="8" t="s">
        <v>2201</v>
      </c>
      <c r="H607" s="8" t="s">
        <v>2330</v>
      </c>
    </row>
    <row r="608" customFormat="false" ht="15" hidden="false" customHeight="false" outlineLevel="0" collapsed="false">
      <c r="A608" s="7" t="n">
        <v>45386</v>
      </c>
      <c r="B608" s="7" t="n">
        <v>45401</v>
      </c>
      <c r="C608" s="8" t="n">
        <v>6081</v>
      </c>
      <c r="D608" s="8" t="n">
        <v>3295</v>
      </c>
      <c r="E608" s="8" t="n">
        <v>24825</v>
      </c>
      <c r="F608" s="8" t="s">
        <v>2200</v>
      </c>
      <c r="G608" s="8" t="s">
        <v>2201</v>
      </c>
      <c r="H608" s="8" t="s">
        <v>2331</v>
      </c>
    </row>
    <row r="609" customFormat="false" ht="15" hidden="false" customHeight="false" outlineLevel="0" collapsed="false">
      <c r="A609" s="7" t="n">
        <v>45386</v>
      </c>
      <c r="B609" s="7" t="n">
        <v>45432</v>
      </c>
      <c r="C609" s="8" t="n">
        <v>5993</v>
      </c>
      <c r="D609" s="8" t="n">
        <v>2955</v>
      </c>
      <c r="E609" s="8" t="n">
        <v>12130</v>
      </c>
      <c r="F609" s="8" t="s">
        <v>2200</v>
      </c>
      <c r="G609" s="8" t="s">
        <v>2201</v>
      </c>
      <c r="H609" s="8" t="s">
        <v>2331</v>
      </c>
    </row>
    <row r="610" customFormat="false" ht="15" hidden="false" customHeight="false" outlineLevel="0" collapsed="false">
      <c r="A610" s="7" t="n">
        <v>45386</v>
      </c>
      <c r="B610" s="7" t="n">
        <v>45463</v>
      </c>
      <c r="C610" s="8" t="n">
        <v>6086</v>
      </c>
      <c r="D610" s="8" t="n">
        <v>0</v>
      </c>
      <c r="E610" s="8" t="n">
        <v>0</v>
      </c>
      <c r="F610" s="8" t="s">
        <v>2200</v>
      </c>
      <c r="G610" s="8" t="s">
        <v>2201</v>
      </c>
      <c r="H610" s="8" t="s">
        <v>2331</v>
      </c>
    </row>
    <row r="611" customFormat="false" ht="15" hidden="false" customHeight="false" outlineLevel="0" collapsed="false">
      <c r="A611" s="7" t="n">
        <v>45386</v>
      </c>
      <c r="B611" s="7" t="n">
        <v>45492</v>
      </c>
      <c r="C611" s="8" t="n">
        <v>6179</v>
      </c>
      <c r="D611" s="8" t="n">
        <v>0</v>
      </c>
      <c r="E611" s="8" t="n">
        <v>0</v>
      </c>
      <c r="F611" s="8" t="s">
        <v>2200</v>
      </c>
      <c r="G611" s="8" t="s">
        <v>2201</v>
      </c>
      <c r="H611" s="8" t="s">
        <v>2331</v>
      </c>
    </row>
    <row r="612" customFormat="false" ht="15" hidden="false" customHeight="false" outlineLevel="0" collapsed="false">
      <c r="A612" s="7" t="n">
        <v>45386</v>
      </c>
      <c r="B612" s="7" t="n">
        <v>45524</v>
      </c>
      <c r="C612" s="8" t="n">
        <v>6272</v>
      </c>
      <c r="D612" s="8" t="n">
        <v>0</v>
      </c>
      <c r="E612" s="8" t="n">
        <v>0</v>
      </c>
      <c r="F612" s="8" t="s">
        <v>2200</v>
      </c>
      <c r="G612" s="8" t="s">
        <v>2201</v>
      </c>
      <c r="H612" s="8" t="s">
        <v>2331</v>
      </c>
    </row>
    <row r="613" customFormat="false" ht="15" hidden="false" customHeight="false" outlineLevel="0" collapsed="false">
      <c r="A613" s="7" t="n">
        <v>45387</v>
      </c>
      <c r="B613" s="7" t="n">
        <v>45401</v>
      </c>
      <c r="C613" s="8" t="n">
        <v>6028</v>
      </c>
      <c r="D613" s="8" t="n">
        <v>2990</v>
      </c>
      <c r="E613" s="8" t="n">
        <v>24630</v>
      </c>
      <c r="F613" s="8" t="s">
        <v>2200</v>
      </c>
      <c r="G613" s="8" t="s">
        <v>2201</v>
      </c>
      <c r="H613" s="8" t="s">
        <v>2332</v>
      </c>
    </row>
    <row r="614" customFormat="false" ht="15" hidden="false" customHeight="false" outlineLevel="0" collapsed="false">
      <c r="A614" s="7" t="n">
        <v>45387</v>
      </c>
      <c r="B614" s="7" t="n">
        <v>45432</v>
      </c>
      <c r="C614" s="8" t="n">
        <v>5953</v>
      </c>
      <c r="D614" s="8" t="n">
        <v>3310</v>
      </c>
      <c r="E614" s="8" t="n">
        <v>12020</v>
      </c>
      <c r="F614" s="8" t="s">
        <v>2200</v>
      </c>
      <c r="G614" s="8" t="s">
        <v>2201</v>
      </c>
      <c r="H614" s="8" t="s">
        <v>2332</v>
      </c>
    </row>
    <row r="615" customFormat="false" ht="15" hidden="false" customHeight="false" outlineLevel="0" collapsed="false">
      <c r="A615" s="7" t="n">
        <v>45387</v>
      </c>
      <c r="B615" s="7" t="n">
        <v>45463</v>
      </c>
      <c r="C615" s="8" t="n">
        <v>6059</v>
      </c>
      <c r="D615" s="8" t="n">
        <v>0</v>
      </c>
      <c r="E615" s="8" t="n">
        <v>0</v>
      </c>
      <c r="F615" s="8" t="s">
        <v>2200</v>
      </c>
      <c r="G615" s="8" t="s">
        <v>2201</v>
      </c>
      <c r="H615" s="8" t="s">
        <v>2332</v>
      </c>
    </row>
    <row r="616" customFormat="false" ht="15" hidden="false" customHeight="false" outlineLevel="0" collapsed="false">
      <c r="A616" s="7" t="n">
        <v>45387</v>
      </c>
      <c r="B616" s="7" t="n">
        <v>45492</v>
      </c>
      <c r="C616" s="8" t="n">
        <v>6165</v>
      </c>
      <c r="D616" s="8" t="n">
        <v>0</v>
      </c>
      <c r="E616" s="8" t="n">
        <v>0</v>
      </c>
      <c r="F616" s="8" t="s">
        <v>2200</v>
      </c>
      <c r="G616" s="8" t="s">
        <v>2201</v>
      </c>
      <c r="H616" s="8" t="s">
        <v>2332</v>
      </c>
    </row>
    <row r="617" customFormat="false" ht="15" hidden="false" customHeight="false" outlineLevel="0" collapsed="false">
      <c r="A617" s="7" t="n">
        <v>45387</v>
      </c>
      <c r="B617" s="7" t="n">
        <v>45524</v>
      </c>
      <c r="C617" s="8" t="n">
        <v>6271</v>
      </c>
      <c r="D617" s="8" t="n">
        <v>0</v>
      </c>
      <c r="E617" s="8" t="n">
        <v>0</v>
      </c>
      <c r="F617" s="8" t="s">
        <v>2200</v>
      </c>
      <c r="G617" s="8" t="s">
        <v>2201</v>
      </c>
      <c r="H617" s="8" t="s">
        <v>2332</v>
      </c>
    </row>
    <row r="618" customFormat="false" ht="15" hidden="false" customHeight="false" outlineLevel="0" collapsed="false">
      <c r="A618" s="7" t="n">
        <v>45390</v>
      </c>
      <c r="B618" s="7" t="n">
        <v>45401</v>
      </c>
      <c r="C618" s="8" t="n">
        <v>5931</v>
      </c>
      <c r="D618" s="8" t="n">
        <v>8140</v>
      </c>
      <c r="E618" s="8" t="n">
        <v>23950</v>
      </c>
      <c r="F618" s="8" t="s">
        <v>2200</v>
      </c>
      <c r="G618" s="8" t="s">
        <v>2201</v>
      </c>
      <c r="H618" s="8" t="s">
        <v>2333</v>
      </c>
    </row>
    <row r="619" customFormat="false" ht="15" hidden="false" customHeight="false" outlineLevel="0" collapsed="false">
      <c r="A619" s="7" t="n">
        <v>45390</v>
      </c>
      <c r="B619" s="7" t="n">
        <v>45432</v>
      </c>
      <c r="C619" s="8" t="n">
        <v>5895</v>
      </c>
      <c r="D619" s="8" t="n">
        <v>4180</v>
      </c>
      <c r="E619" s="8" t="n">
        <v>11970</v>
      </c>
      <c r="F619" s="8" t="s">
        <v>2200</v>
      </c>
      <c r="G619" s="8" t="s">
        <v>2201</v>
      </c>
      <c r="H619" s="8" t="s">
        <v>2333</v>
      </c>
    </row>
    <row r="620" customFormat="false" ht="15" hidden="false" customHeight="false" outlineLevel="0" collapsed="false">
      <c r="A620" s="7" t="n">
        <v>45390</v>
      </c>
      <c r="B620" s="7" t="n">
        <v>45463</v>
      </c>
      <c r="C620" s="8" t="n">
        <v>5989</v>
      </c>
      <c r="D620" s="8" t="n">
        <v>0</v>
      </c>
      <c r="E620" s="8" t="n">
        <v>0</v>
      </c>
      <c r="F620" s="8" t="s">
        <v>2200</v>
      </c>
      <c r="G620" s="8" t="s">
        <v>2201</v>
      </c>
      <c r="H620" s="8" t="s">
        <v>2333</v>
      </c>
    </row>
    <row r="621" customFormat="false" ht="15" hidden="false" customHeight="false" outlineLevel="0" collapsed="false">
      <c r="A621" s="7" t="n">
        <v>45390</v>
      </c>
      <c r="B621" s="7" t="n">
        <v>45492</v>
      </c>
      <c r="C621" s="8" t="n">
        <v>6083</v>
      </c>
      <c r="D621" s="8" t="n">
        <v>0</v>
      </c>
      <c r="E621" s="8" t="n">
        <v>0</v>
      </c>
      <c r="F621" s="8" t="s">
        <v>2200</v>
      </c>
      <c r="G621" s="8" t="s">
        <v>2201</v>
      </c>
      <c r="H621" s="8" t="s">
        <v>2333</v>
      </c>
    </row>
    <row r="622" customFormat="false" ht="15" hidden="false" customHeight="false" outlineLevel="0" collapsed="false">
      <c r="A622" s="7" t="n">
        <v>45390</v>
      </c>
      <c r="B622" s="7" t="n">
        <v>45524</v>
      </c>
      <c r="C622" s="8" t="n">
        <v>6177</v>
      </c>
      <c r="D622" s="8" t="n">
        <v>0</v>
      </c>
      <c r="E622" s="8" t="n">
        <v>0</v>
      </c>
      <c r="F622" s="8" t="s">
        <v>2200</v>
      </c>
      <c r="G622" s="8" t="s">
        <v>2201</v>
      </c>
      <c r="H622" s="8" t="s">
        <v>2333</v>
      </c>
    </row>
    <row r="623" customFormat="false" ht="15" hidden="false" customHeight="false" outlineLevel="0" collapsed="false">
      <c r="A623" s="7" t="n">
        <v>45391</v>
      </c>
      <c r="B623" s="7" t="n">
        <v>45401</v>
      </c>
      <c r="C623" s="8" t="n">
        <v>5943</v>
      </c>
      <c r="D623" s="8" t="n">
        <v>3910</v>
      </c>
      <c r="E623" s="8" t="n">
        <v>22545</v>
      </c>
      <c r="F623" s="8" t="s">
        <v>2200</v>
      </c>
      <c r="G623" s="8" t="s">
        <v>2201</v>
      </c>
      <c r="H623" s="8" t="s">
        <v>2334</v>
      </c>
    </row>
    <row r="624" customFormat="false" ht="15" hidden="false" customHeight="false" outlineLevel="0" collapsed="false">
      <c r="A624" s="7" t="n">
        <v>45391</v>
      </c>
      <c r="B624" s="7" t="n">
        <v>45432</v>
      </c>
      <c r="C624" s="8" t="n">
        <v>5908</v>
      </c>
      <c r="D624" s="8" t="n">
        <v>3660</v>
      </c>
      <c r="E624" s="8" t="n">
        <v>13420</v>
      </c>
      <c r="F624" s="8" t="s">
        <v>2200</v>
      </c>
      <c r="G624" s="8" t="s">
        <v>2201</v>
      </c>
      <c r="H624" s="8" t="s">
        <v>2334</v>
      </c>
    </row>
    <row r="625" customFormat="false" ht="15" hidden="false" customHeight="false" outlineLevel="0" collapsed="false">
      <c r="A625" s="7" t="n">
        <v>45391</v>
      </c>
      <c r="B625" s="7" t="n">
        <v>45463</v>
      </c>
      <c r="C625" s="8" t="n">
        <v>5990</v>
      </c>
      <c r="D625" s="8" t="n">
        <v>0</v>
      </c>
      <c r="E625" s="8" t="n">
        <v>0</v>
      </c>
      <c r="F625" s="8" t="s">
        <v>2200</v>
      </c>
      <c r="G625" s="8" t="s">
        <v>2201</v>
      </c>
      <c r="H625" s="8" t="s">
        <v>2334</v>
      </c>
    </row>
    <row r="626" customFormat="false" ht="15" hidden="false" customHeight="false" outlineLevel="0" collapsed="false">
      <c r="A626" s="7" t="n">
        <v>45391</v>
      </c>
      <c r="B626" s="7" t="n">
        <v>45492</v>
      </c>
      <c r="C626" s="8" t="n">
        <v>6072</v>
      </c>
      <c r="D626" s="8" t="n">
        <v>0</v>
      </c>
      <c r="E626" s="8" t="n">
        <v>0</v>
      </c>
      <c r="F626" s="8" t="s">
        <v>2200</v>
      </c>
      <c r="G626" s="8" t="s">
        <v>2201</v>
      </c>
      <c r="H626" s="8" t="s">
        <v>2334</v>
      </c>
    </row>
    <row r="627" customFormat="false" ht="15" hidden="false" customHeight="false" outlineLevel="0" collapsed="false">
      <c r="A627" s="7" t="n">
        <v>45391</v>
      </c>
      <c r="B627" s="7" t="n">
        <v>45524</v>
      </c>
      <c r="C627" s="8" t="n">
        <v>6154</v>
      </c>
      <c r="D627" s="8" t="n">
        <v>0</v>
      </c>
      <c r="E627" s="8" t="n">
        <v>0</v>
      </c>
      <c r="F627" s="8" t="s">
        <v>2200</v>
      </c>
      <c r="G627" s="8" t="s">
        <v>2201</v>
      </c>
      <c r="H627" s="8" t="s">
        <v>2334</v>
      </c>
    </row>
    <row r="628" customFormat="false" ht="15" hidden="false" customHeight="false" outlineLevel="0" collapsed="false">
      <c r="A628" s="7" t="n">
        <v>45392</v>
      </c>
      <c r="B628" s="7" t="n">
        <v>45401</v>
      </c>
      <c r="C628" s="8" t="n">
        <v>5906</v>
      </c>
      <c r="D628" s="8" t="n">
        <v>6990</v>
      </c>
      <c r="E628" s="8" t="n">
        <v>20320</v>
      </c>
      <c r="F628" s="8" t="s">
        <v>2200</v>
      </c>
      <c r="G628" s="8" t="s">
        <v>2201</v>
      </c>
      <c r="H628" s="8" t="s">
        <v>2335</v>
      </c>
    </row>
    <row r="629" customFormat="false" ht="15" hidden="false" customHeight="false" outlineLevel="0" collapsed="false">
      <c r="A629" s="7" t="n">
        <v>45392</v>
      </c>
      <c r="B629" s="7" t="n">
        <v>45432</v>
      </c>
      <c r="C629" s="8" t="n">
        <v>5865</v>
      </c>
      <c r="D629" s="8" t="n">
        <v>6590</v>
      </c>
      <c r="E629" s="8" t="n">
        <v>15760</v>
      </c>
      <c r="F629" s="8" t="s">
        <v>2200</v>
      </c>
      <c r="G629" s="8" t="s">
        <v>2201</v>
      </c>
      <c r="H629" s="8" t="s">
        <v>2335</v>
      </c>
    </row>
    <row r="630" customFormat="false" ht="15" hidden="false" customHeight="false" outlineLevel="0" collapsed="false">
      <c r="A630" s="7" t="n">
        <v>45392</v>
      </c>
      <c r="B630" s="7" t="n">
        <v>45463</v>
      </c>
      <c r="C630" s="8" t="n">
        <v>5860</v>
      </c>
      <c r="D630" s="8" t="n">
        <v>5</v>
      </c>
      <c r="E630" s="8" t="n">
        <v>5</v>
      </c>
      <c r="F630" s="8" t="s">
        <v>2200</v>
      </c>
      <c r="G630" s="8" t="s">
        <v>2201</v>
      </c>
      <c r="H630" s="8" t="s">
        <v>2335</v>
      </c>
    </row>
    <row r="631" customFormat="false" ht="15" hidden="false" customHeight="false" outlineLevel="0" collapsed="false">
      <c r="A631" s="7" t="n">
        <v>45392</v>
      </c>
      <c r="B631" s="7" t="n">
        <v>45492</v>
      </c>
      <c r="C631" s="8" t="n">
        <v>6002</v>
      </c>
      <c r="D631" s="8" t="n">
        <v>0</v>
      </c>
      <c r="E631" s="8" t="n">
        <v>0</v>
      </c>
      <c r="F631" s="8" t="s">
        <v>2200</v>
      </c>
      <c r="G631" s="8" t="s">
        <v>2201</v>
      </c>
      <c r="H631" s="8" t="s">
        <v>2335</v>
      </c>
    </row>
    <row r="632" customFormat="false" ht="15" hidden="false" customHeight="false" outlineLevel="0" collapsed="false">
      <c r="A632" s="7" t="n">
        <v>45392</v>
      </c>
      <c r="B632" s="7" t="n">
        <v>45524</v>
      </c>
      <c r="C632" s="8" t="n">
        <v>6144</v>
      </c>
      <c r="D632" s="8" t="n">
        <v>0</v>
      </c>
      <c r="E632" s="8" t="n">
        <v>0</v>
      </c>
      <c r="F632" s="8" t="s">
        <v>2200</v>
      </c>
      <c r="G632" s="8" t="s">
        <v>2201</v>
      </c>
      <c r="H632" s="8" t="s">
        <v>2335</v>
      </c>
    </row>
    <row r="633" customFormat="false" ht="15" hidden="false" customHeight="false" outlineLevel="0" collapsed="false">
      <c r="A633" s="7" t="n">
        <v>45394</v>
      </c>
      <c r="B633" s="7" t="n">
        <v>45401</v>
      </c>
      <c r="C633" s="8" t="n">
        <v>5962</v>
      </c>
      <c r="D633" s="8" t="n">
        <v>10235</v>
      </c>
      <c r="E633" s="8" t="n">
        <v>17510</v>
      </c>
      <c r="F633" s="8" t="s">
        <v>2200</v>
      </c>
      <c r="G633" s="8" t="s">
        <v>2201</v>
      </c>
      <c r="H633" s="8" t="s">
        <v>2336</v>
      </c>
    </row>
    <row r="634" customFormat="false" ht="15" hidden="false" customHeight="false" outlineLevel="0" collapsed="false">
      <c r="A634" s="7" t="n">
        <v>45394</v>
      </c>
      <c r="B634" s="7" t="n">
        <v>45432</v>
      </c>
      <c r="C634" s="8" t="n">
        <v>5902</v>
      </c>
      <c r="D634" s="8" t="n">
        <v>10600</v>
      </c>
      <c r="E634" s="8" t="n">
        <v>17270</v>
      </c>
      <c r="F634" s="8" t="s">
        <v>2200</v>
      </c>
      <c r="G634" s="8" t="s">
        <v>2201</v>
      </c>
      <c r="H634" s="8" t="s">
        <v>2336</v>
      </c>
    </row>
    <row r="635" customFormat="false" ht="15" hidden="false" customHeight="false" outlineLevel="0" collapsed="false">
      <c r="A635" s="7" t="n">
        <v>45394</v>
      </c>
      <c r="B635" s="7" t="n">
        <v>45463</v>
      </c>
      <c r="C635" s="8" t="n">
        <v>5894</v>
      </c>
      <c r="D635" s="8" t="n">
        <v>480</v>
      </c>
      <c r="E635" s="8" t="n">
        <v>375</v>
      </c>
      <c r="F635" s="8" t="s">
        <v>2200</v>
      </c>
      <c r="G635" s="8" t="s">
        <v>2201</v>
      </c>
      <c r="H635" s="8" t="s">
        <v>2336</v>
      </c>
    </row>
    <row r="636" customFormat="false" ht="15" hidden="false" customHeight="false" outlineLevel="0" collapsed="false">
      <c r="A636" s="7" t="n">
        <v>45394</v>
      </c>
      <c r="B636" s="7" t="n">
        <v>45492</v>
      </c>
      <c r="C636" s="8" t="n">
        <v>5961</v>
      </c>
      <c r="D636" s="8" t="n">
        <v>0</v>
      </c>
      <c r="E636" s="8" t="n">
        <v>0</v>
      </c>
      <c r="F636" s="8" t="s">
        <v>2200</v>
      </c>
      <c r="G636" s="8" t="s">
        <v>2201</v>
      </c>
      <c r="H636" s="8" t="s">
        <v>2336</v>
      </c>
    </row>
    <row r="637" customFormat="false" ht="15" hidden="false" customHeight="false" outlineLevel="0" collapsed="false">
      <c r="A637" s="7" t="n">
        <v>45394</v>
      </c>
      <c r="B637" s="7" t="n">
        <v>45524</v>
      </c>
      <c r="C637" s="8" t="n">
        <v>6028</v>
      </c>
      <c r="D637" s="8" t="n">
        <v>0</v>
      </c>
      <c r="E637" s="8" t="n">
        <v>0</v>
      </c>
      <c r="F637" s="8" t="s">
        <v>2200</v>
      </c>
      <c r="G637" s="8" t="s">
        <v>2201</v>
      </c>
      <c r="H637" s="8" t="s">
        <v>2336</v>
      </c>
    </row>
    <row r="638" customFormat="false" ht="15" hidden="false" customHeight="false" outlineLevel="0" collapsed="false">
      <c r="A638" s="7" t="n">
        <v>45397</v>
      </c>
      <c r="B638" s="7" t="n">
        <v>45401</v>
      </c>
      <c r="C638" s="8" t="n">
        <v>5786</v>
      </c>
      <c r="D638" s="8" t="n">
        <v>11215</v>
      </c>
      <c r="E638" s="8" t="n">
        <v>8345</v>
      </c>
      <c r="F638" s="8" t="s">
        <v>2200</v>
      </c>
      <c r="G638" s="8" t="s">
        <v>2201</v>
      </c>
      <c r="H638" s="8" t="s">
        <v>2337</v>
      </c>
    </row>
    <row r="639" customFormat="false" ht="15" hidden="false" customHeight="false" outlineLevel="0" collapsed="false">
      <c r="A639" s="7" t="n">
        <v>45397</v>
      </c>
      <c r="B639" s="7" t="n">
        <v>45432</v>
      </c>
      <c r="C639" s="8" t="n">
        <v>5823</v>
      </c>
      <c r="D639" s="8" t="n">
        <v>14330</v>
      </c>
      <c r="E639" s="8" t="n">
        <v>20115</v>
      </c>
      <c r="F639" s="8" t="s">
        <v>2200</v>
      </c>
      <c r="G639" s="8" t="s">
        <v>2201</v>
      </c>
      <c r="H639" s="8" t="s">
        <v>2337</v>
      </c>
    </row>
    <row r="640" customFormat="false" ht="15" hidden="false" customHeight="false" outlineLevel="0" collapsed="false">
      <c r="A640" s="7" t="n">
        <v>45397</v>
      </c>
      <c r="B640" s="7" t="n">
        <v>45463</v>
      </c>
      <c r="C640" s="8" t="n">
        <v>5870</v>
      </c>
      <c r="D640" s="8" t="n">
        <v>700</v>
      </c>
      <c r="E640" s="8" t="n">
        <v>770</v>
      </c>
      <c r="F640" s="8" t="s">
        <v>2200</v>
      </c>
      <c r="G640" s="8" t="s">
        <v>2201</v>
      </c>
      <c r="H640" s="8" t="s">
        <v>2337</v>
      </c>
    </row>
    <row r="641" customFormat="false" ht="15" hidden="false" customHeight="false" outlineLevel="0" collapsed="false">
      <c r="A641" s="7" t="n">
        <v>45397</v>
      </c>
      <c r="B641" s="7" t="n">
        <v>45492</v>
      </c>
      <c r="C641" s="8" t="n">
        <v>5917</v>
      </c>
      <c r="D641" s="8" t="n">
        <v>0</v>
      </c>
      <c r="E641" s="8" t="n">
        <v>0</v>
      </c>
      <c r="F641" s="8" t="s">
        <v>2200</v>
      </c>
      <c r="G641" s="8" t="s">
        <v>2201</v>
      </c>
      <c r="H641" s="8" t="s">
        <v>2337</v>
      </c>
    </row>
    <row r="642" customFormat="false" ht="15" hidden="false" customHeight="false" outlineLevel="0" collapsed="false">
      <c r="A642" s="7" t="n">
        <v>45397</v>
      </c>
      <c r="B642" s="7" t="n">
        <v>45524</v>
      </c>
      <c r="C642" s="8" t="n">
        <v>5964</v>
      </c>
      <c r="D642" s="8" t="n">
        <v>0</v>
      </c>
      <c r="E642" s="8" t="n">
        <v>0</v>
      </c>
      <c r="F642" s="8" t="s">
        <v>2200</v>
      </c>
      <c r="G642" s="8" t="s">
        <v>2201</v>
      </c>
      <c r="H642" s="8" t="s">
        <v>2337</v>
      </c>
    </row>
    <row r="643" customFormat="false" ht="15" hidden="false" customHeight="false" outlineLevel="0" collapsed="false">
      <c r="A643" s="7" t="n">
        <v>45398</v>
      </c>
      <c r="B643" s="7" t="n">
        <v>45401</v>
      </c>
      <c r="C643" s="8" t="n">
        <v>5745</v>
      </c>
      <c r="D643" s="8" t="n">
        <v>4535</v>
      </c>
      <c r="E643" s="8" t="n">
        <v>6735</v>
      </c>
      <c r="F643" s="8" t="s">
        <v>2200</v>
      </c>
      <c r="G643" s="8" t="s">
        <v>2201</v>
      </c>
      <c r="H643" s="8" t="s">
        <v>2338</v>
      </c>
    </row>
    <row r="644" customFormat="false" ht="15" hidden="false" customHeight="false" outlineLevel="0" collapsed="false">
      <c r="A644" s="7" t="n">
        <v>45398</v>
      </c>
      <c r="B644" s="7" t="n">
        <v>45432</v>
      </c>
      <c r="C644" s="8" t="n">
        <v>5802</v>
      </c>
      <c r="D644" s="8" t="n">
        <v>7155</v>
      </c>
      <c r="E644" s="8" t="n">
        <v>20395</v>
      </c>
      <c r="F644" s="8" t="s">
        <v>2200</v>
      </c>
      <c r="G644" s="8" t="s">
        <v>2201</v>
      </c>
      <c r="H644" s="8" t="s">
        <v>2338</v>
      </c>
    </row>
    <row r="645" customFormat="false" ht="15" hidden="false" customHeight="false" outlineLevel="0" collapsed="false">
      <c r="A645" s="7" t="n">
        <v>45398</v>
      </c>
      <c r="B645" s="7" t="n">
        <v>45463</v>
      </c>
      <c r="C645" s="8" t="n">
        <v>5840</v>
      </c>
      <c r="D645" s="8" t="n">
        <v>530</v>
      </c>
      <c r="E645" s="8" t="n">
        <v>1095</v>
      </c>
      <c r="F645" s="8" t="s">
        <v>2200</v>
      </c>
      <c r="G645" s="8" t="s">
        <v>2201</v>
      </c>
      <c r="H645" s="8" t="s">
        <v>2338</v>
      </c>
    </row>
    <row r="646" customFormat="false" ht="15" hidden="false" customHeight="false" outlineLevel="0" collapsed="false">
      <c r="A646" s="7" t="n">
        <v>45398</v>
      </c>
      <c r="B646" s="7" t="n">
        <v>45492</v>
      </c>
      <c r="C646" s="8" t="n">
        <v>5878</v>
      </c>
      <c r="D646" s="8" t="n">
        <v>0</v>
      </c>
      <c r="E646" s="8" t="n">
        <v>0</v>
      </c>
      <c r="F646" s="8" t="s">
        <v>2200</v>
      </c>
      <c r="G646" s="8" t="s">
        <v>2201</v>
      </c>
      <c r="H646" s="8" t="s">
        <v>2338</v>
      </c>
    </row>
    <row r="647" customFormat="false" ht="15" hidden="false" customHeight="false" outlineLevel="0" collapsed="false">
      <c r="A647" s="7" t="n">
        <v>45398</v>
      </c>
      <c r="B647" s="7" t="n">
        <v>45524</v>
      </c>
      <c r="C647" s="8" t="n">
        <v>5916</v>
      </c>
      <c r="D647" s="8" t="n">
        <v>0</v>
      </c>
      <c r="E647" s="8" t="n">
        <v>0</v>
      </c>
      <c r="F647" s="8" t="s">
        <v>2200</v>
      </c>
      <c r="G647" s="8" t="s">
        <v>2201</v>
      </c>
      <c r="H647" s="8" t="s">
        <v>2338</v>
      </c>
    </row>
    <row r="648" customFormat="false" ht="15" hidden="false" customHeight="false" outlineLevel="0" collapsed="false">
      <c r="A648" s="7" t="n">
        <v>45400</v>
      </c>
      <c r="B648" s="7" t="n">
        <v>45401</v>
      </c>
      <c r="C648" s="8" t="n">
        <v>5776</v>
      </c>
      <c r="D648" s="8" t="n">
        <v>1885</v>
      </c>
      <c r="E648" s="8" t="n">
        <v>5080</v>
      </c>
      <c r="F648" s="8" t="s">
        <v>2200</v>
      </c>
      <c r="G648" s="8" t="s">
        <v>2201</v>
      </c>
      <c r="H648" s="8" t="s">
        <v>2339</v>
      </c>
    </row>
    <row r="649" customFormat="false" ht="15" hidden="false" customHeight="false" outlineLevel="0" collapsed="false">
      <c r="A649" s="7" t="n">
        <v>45400</v>
      </c>
      <c r="B649" s="7" t="n">
        <v>45432</v>
      </c>
      <c r="C649" s="8" t="n">
        <v>5806</v>
      </c>
      <c r="D649" s="8" t="n">
        <v>6465</v>
      </c>
      <c r="E649" s="8" t="n">
        <v>21320</v>
      </c>
      <c r="F649" s="8" t="s">
        <v>2200</v>
      </c>
      <c r="G649" s="8" t="s">
        <v>2201</v>
      </c>
      <c r="H649" s="8" t="s">
        <v>2339</v>
      </c>
    </row>
    <row r="650" customFormat="false" ht="15" hidden="false" customHeight="false" outlineLevel="0" collapsed="false">
      <c r="A650" s="7" t="n">
        <v>45400</v>
      </c>
      <c r="B650" s="7" t="n">
        <v>45463</v>
      </c>
      <c r="C650" s="8" t="n">
        <v>5851</v>
      </c>
      <c r="D650" s="8" t="n">
        <v>470</v>
      </c>
      <c r="E650" s="8" t="n">
        <v>1320</v>
      </c>
      <c r="F650" s="8" t="s">
        <v>2200</v>
      </c>
      <c r="G650" s="8" t="s">
        <v>2201</v>
      </c>
      <c r="H650" s="8" t="s">
        <v>2339</v>
      </c>
    </row>
    <row r="651" customFormat="false" ht="15" hidden="false" customHeight="false" outlineLevel="0" collapsed="false">
      <c r="A651" s="7" t="n">
        <v>45400</v>
      </c>
      <c r="B651" s="7" t="n">
        <v>45492</v>
      </c>
      <c r="C651" s="8" t="n">
        <v>5896</v>
      </c>
      <c r="D651" s="8" t="n">
        <v>0</v>
      </c>
      <c r="E651" s="8" t="n">
        <v>0</v>
      </c>
      <c r="F651" s="8" t="s">
        <v>2200</v>
      </c>
      <c r="G651" s="8" t="s">
        <v>2201</v>
      </c>
      <c r="H651" s="8" t="s">
        <v>2339</v>
      </c>
    </row>
    <row r="652" customFormat="false" ht="15" hidden="false" customHeight="false" outlineLevel="0" collapsed="false">
      <c r="A652" s="7" t="n">
        <v>45400</v>
      </c>
      <c r="B652" s="7" t="n">
        <v>45524</v>
      </c>
      <c r="C652" s="8" t="n">
        <v>5941</v>
      </c>
      <c r="D652" s="8" t="n">
        <v>0</v>
      </c>
      <c r="E652" s="8" t="n">
        <v>0</v>
      </c>
      <c r="F652" s="8" t="s">
        <v>2200</v>
      </c>
      <c r="G652" s="8" t="s">
        <v>2201</v>
      </c>
      <c r="H652" s="8" t="s">
        <v>2339</v>
      </c>
    </row>
    <row r="653" customFormat="false" ht="15" hidden="false" customHeight="false" outlineLevel="0" collapsed="false">
      <c r="A653" s="7" t="n">
        <v>45401</v>
      </c>
      <c r="B653" s="7" t="n">
        <v>45401</v>
      </c>
      <c r="C653" s="8" t="n">
        <v>5785</v>
      </c>
      <c r="D653" s="8" t="n">
        <v>700</v>
      </c>
      <c r="E653" s="8" t="n">
        <v>4445</v>
      </c>
      <c r="F653" s="8" t="s">
        <v>2200</v>
      </c>
      <c r="G653" s="8" t="s">
        <v>2201</v>
      </c>
      <c r="H653" s="8" t="s">
        <v>2340</v>
      </c>
    </row>
    <row r="654" customFormat="false" ht="15" hidden="false" customHeight="false" outlineLevel="0" collapsed="false">
      <c r="A654" s="7" t="n">
        <v>45401</v>
      </c>
      <c r="B654" s="7" t="n">
        <v>45432</v>
      </c>
      <c r="C654" s="8" t="n">
        <v>5830</v>
      </c>
      <c r="D654" s="8" t="n">
        <v>4470</v>
      </c>
      <c r="E654" s="8" t="n">
        <v>21305</v>
      </c>
      <c r="F654" s="8" t="s">
        <v>2200</v>
      </c>
      <c r="G654" s="8" t="s">
        <v>2201</v>
      </c>
      <c r="H654" s="8" t="s">
        <v>2340</v>
      </c>
    </row>
    <row r="655" customFormat="false" ht="15" hidden="false" customHeight="false" outlineLevel="0" collapsed="false">
      <c r="A655" s="7" t="n">
        <v>45401</v>
      </c>
      <c r="B655" s="7" t="n">
        <v>45463</v>
      </c>
      <c r="C655" s="8" t="n">
        <v>5892</v>
      </c>
      <c r="D655" s="8" t="n">
        <v>550</v>
      </c>
      <c r="E655" s="8" t="n">
        <v>1610</v>
      </c>
      <c r="F655" s="8" t="s">
        <v>2200</v>
      </c>
      <c r="G655" s="8" t="s">
        <v>2201</v>
      </c>
      <c r="H655" s="8" t="s">
        <v>2340</v>
      </c>
    </row>
    <row r="656" customFormat="false" ht="15" hidden="false" customHeight="false" outlineLevel="0" collapsed="false">
      <c r="A656" s="7" t="n">
        <v>45401</v>
      </c>
      <c r="B656" s="7" t="n">
        <v>45492</v>
      </c>
      <c r="C656" s="8" t="n">
        <v>5954</v>
      </c>
      <c r="D656" s="8" t="n">
        <v>0</v>
      </c>
      <c r="E656" s="8" t="n">
        <v>0</v>
      </c>
      <c r="F656" s="8" t="s">
        <v>2200</v>
      </c>
      <c r="G656" s="8" t="s">
        <v>2201</v>
      </c>
      <c r="H656" s="8" t="s">
        <v>2340</v>
      </c>
    </row>
    <row r="657" customFormat="false" ht="15" hidden="false" customHeight="false" outlineLevel="0" collapsed="false">
      <c r="A657" s="7" t="n">
        <v>45401</v>
      </c>
      <c r="B657" s="7" t="n">
        <v>45524</v>
      </c>
      <c r="C657" s="8" t="n">
        <v>6016</v>
      </c>
      <c r="D657" s="8" t="n">
        <v>0</v>
      </c>
      <c r="E657" s="8" t="n">
        <v>0</v>
      </c>
      <c r="F657" s="8" t="s">
        <v>2200</v>
      </c>
      <c r="G657" s="8" t="s">
        <v>2201</v>
      </c>
      <c r="H657" s="8" t="s">
        <v>2340</v>
      </c>
    </row>
    <row r="658" customFormat="false" ht="15" hidden="false" customHeight="false" outlineLevel="0" collapsed="false">
      <c r="A658" s="7" t="n">
        <v>45404</v>
      </c>
      <c r="B658" s="7" t="n">
        <v>45432</v>
      </c>
      <c r="C658" s="8" t="n">
        <v>5806</v>
      </c>
      <c r="D658" s="8" t="n">
        <v>4780</v>
      </c>
      <c r="E658" s="8" t="n">
        <v>22085</v>
      </c>
      <c r="F658" s="8" t="s">
        <v>2200</v>
      </c>
      <c r="G658" s="8" t="s">
        <v>2201</v>
      </c>
      <c r="H658" s="8" t="s">
        <v>2341</v>
      </c>
    </row>
    <row r="659" customFormat="false" ht="15" hidden="false" customHeight="false" outlineLevel="0" collapsed="false">
      <c r="A659" s="7" t="n">
        <v>45404</v>
      </c>
      <c r="B659" s="7" t="n">
        <v>45463</v>
      </c>
      <c r="C659" s="8" t="n">
        <v>5860</v>
      </c>
      <c r="D659" s="8" t="n">
        <v>755</v>
      </c>
      <c r="E659" s="8" t="n">
        <v>1925</v>
      </c>
      <c r="F659" s="8" t="s">
        <v>2200</v>
      </c>
      <c r="G659" s="8" t="s">
        <v>2201</v>
      </c>
      <c r="H659" s="8" t="s">
        <v>2341</v>
      </c>
    </row>
    <row r="660" customFormat="false" ht="15" hidden="false" customHeight="false" outlineLevel="0" collapsed="false">
      <c r="A660" s="7" t="n">
        <v>45404</v>
      </c>
      <c r="B660" s="7" t="n">
        <v>45492</v>
      </c>
      <c r="C660" s="8" t="n">
        <v>5914</v>
      </c>
      <c r="D660" s="8" t="n">
        <v>0</v>
      </c>
      <c r="E660" s="8" t="n">
        <v>0</v>
      </c>
      <c r="F660" s="8" t="s">
        <v>2200</v>
      </c>
      <c r="G660" s="8" t="s">
        <v>2201</v>
      </c>
      <c r="H660" s="8" t="s">
        <v>2341</v>
      </c>
    </row>
    <row r="661" customFormat="false" ht="15" hidden="false" customHeight="false" outlineLevel="0" collapsed="false">
      <c r="A661" s="7" t="n">
        <v>45404</v>
      </c>
      <c r="B661" s="7" t="n">
        <v>45524</v>
      </c>
      <c r="C661" s="8" t="n">
        <v>5968</v>
      </c>
      <c r="D661" s="8" t="n">
        <v>0</v>
      </c>
      <c r="E661" s="8" t="n">
        <v>0</v>
      </c>
      <c r="F661" s="8" t="s">
        <v>2200</v>
      </c>
      <c r="G661" s="8" t="s">
        <v>2201</v>
      </c>
      <c r="H661" s="8" t="s">
        <v>2341</v>
      </c>
    </row>
    <row r="662" customFormat="false" ht="15" hidden="false" customHeight="false" outlineLevel="0" collapsed="false">
      <c r="A662" s="7" t="n">
        <v>45405</v>
      </c>
      <c r="B662" s="7" t="n">
        <v>45432</v>
      </c>
      <c r="C662" s="8" t="n">
        <v>5810</v>
      </c>
      <c r="D662" s="8" t="n">
        <v>5970</v>
      </c>
      <c r="E662" s="8" t="n">
        <v>22465</v>
      </c>
      <c r="F662" s="8" t="s">
        <v>2200</v>
      </c>
      <c r="G662" s="8" t="s">
        <v>2201</v>
      </c>
      <c r="H662" s="8" t="s">
        <v>2342</v>
      </c>
    </row>
    <row r="663" customFormat="false" ht="15" hidden="false" customHeight="false" outlineLevel="0" collapsed="false">
      <c r="A663" s="7" t="n">
        <v>45405</v>
      </c>
      <c r="B663" s="7" t="n">
        <v>45463</v>
      </c>
      <c r="C663" s="8" t="n">
        <v>5869</v>
      </c>
      <c r="D663" s="8" t="n">
        <v>1030</v>
      </c>
      <c r="E663" s="8" t="n">
        <v>2690</v>
      </c>
      <c r="F663" s="8" t="s">
        <v>2200</v>
      </c>
      <c r="G663" s="8" t="s">
        <v>2201</v>
      </c>
      <c r="H663" s="8" t="s">
        <v>2342</v>
      </c>
    </row>
    <row r="664" customFormat="false" ht="15" hidden="false" customHeight="false" outlineLevel="0" collapsed="false">
      <c r="A664" s="7" t="n">
        <v>45405</v>
      </c>
      <c r="B664" s="7" t="n">
        <v>45492</v>
      </c>
      <c r="C664" s="8" t="n">
        <v>5928</v>
      </c>
      <c r="D664" s="8" t="n">
        <v>0</v>
      </c>
      <c r="E664" s="8" t="n">
        <v>0</v>
      </c>
      <c r="F664" s="8" t="s">
        <v>2200</v>
      </c>
      <c r="G664" s="8" t="s">
        <v>2201</v>
      </c>
      <c r="H664" s="8" t="s">
        <v>2342</v>
      </c>
    </row>
    <row r="665" customFormat="false" ht="15" hidden="false" customHeight="false" outlineLevel="0" collapsed="false">
      <c r="A665" s="7" t="n">
        <v>45405</v>
      </c>
      <c r="B665" s="7" t="n">
        <v>45524</v>
      </c>
      <c r="C665" s="8" t="n">
        <v>5987</v>
      </c>
      <c r="D665" s="8" t="n">
        <v>0</v>
      </c>
      <c r="E665" s="8" t="n">
        <v>0</v>
      </c>
      <c r="F665" s="8" t="s">
        <v>2200</v>
      </c>
      <c r="G665" s="8" t="s">
        <v>2201</v>
      </c>
      <c r="H665" s="8" t="s">
        <v>2342</v>
      </c>
    </row>
    <row r="666" customFormat="false" ht="15" hidden="false" customHeight="false" outlineLevel="0" collapsed="false">
      <c r="A666" s="7" t="n">
        <v>45406</v>
      </c>
      <c r="B666" s="7" t="n">
        <v>45432</v>
      </c>
      <c r="C666" s="8" t="n">
        <v>5780</v>
      </c>
      <c r="D666" s="8" t="n">
        <v>4115</v>
      </c>
      <c r="E666" s="8" t="n">
        <v>22795</v>
      </c>
      <c r="F666" s="8" t="s">
        <v>2200</v>
      </c>
      <c r="G666" s="8" t="s">
        <v>2201</v>
      </c>
      <c r="H666" s="8" t="s">
        <v>2343</v>
      </c>
    </row>
    <row r="667" customFormat="false" ht="15" hidden="false" customHeight="false" outlineLevel="0" collapsed="false">
      <c r="A667" s="7" t="n">
        <v>45406</v>
      </c>
      <c r="B667" s="7" t="n">
        <v>45463</v>
      </c>
      <c r="C667" s="8" t="n">
        <v>5830</v>
      </c>
      <c r="D667" s="8" t="n">
        <v>2315</v>
      </c>
      <c r="E667" s="8" t="n">
        <v>3815</v>
      </c>
      <c r="F667" s="8" t="s">
        <v>2200</v>
      </c>
      <c r="G667" s="8" t="s">
        <v>2201</v>
      </c>
      <c r="H667" s="8" t="s">
        <v>2343</v>
      </c>
    </row>
    <row r="668" customFormat="false" ht="15" hidden="false" customHeight="false" outlineLevel="0" collapsed="false">
      <c r="A668" s="7" t="n">
        <v>45406</v>
      </c>
      <c r="B668" s="7" t="n">
        <v>45492</v>
      </c>
      <c r="C668" s="8" t="n">
        <v>5880</v>
      </c>
      <c r="D668" s="8" t="n">
        <v>0</v>
      </c>
      <c r="E668" s="8" t="n">
        <v>0</v>
      </c>
      <c r="F668" s="8" t="s">
        <v>2200</v>
      </c>
      <c r="G668" s="8" t="s">
        <v>2201</v>
      </c>
      <c r="H668" s="8" t="s">
        <v>2343</v>
      </c>
    </row>
    <row r="669" customFormat="false" ht="15" hidden="false" customHeight="false" outlineLevel="0" collapsed="false">
      <c r="A669" s="7" t="n">
        <v>45406</v>
      </c>
      <c r="B669" s="7" t="n">
        <v>45524</v>
      </c>
      <c r="C669" s="8" t="n">
        <v>5930</v>
      </c>
      <c r="D669" s="8" t="n">
        <v>0</v>
      </c>
      <c r="E669" s="8" t="n">
        <v>0</v>
      </c>
      <c r="F669" s="8" t="s">
        <v>2200</v>
      </c>
      <c r="G669" s="8" t="s">
        <v>2201</v>
      </c>
      <c r="H669" s="8" t="s">
        <v>2343</v>
      </c>
    </row>
    <row r="670" customFormat="false" ht="15" hidden="false" customHeight="false" outlineLevel="0" collapsed="false">
      <c r="A670" s="7" t="n">
        <v>45407</v>
      </c>
      <c r="B670" s="7" t="n">
        <v>45432</v>
      </c>
      <c r="C670" s="8" t="n">
        <v>5787</v>
      </c>
      <c r="D670" s="8" t="n">
        <v>5810</v>
      </c>
      <c r="E670" s="8" t="n">
        <v>21505</v>
      </c>
      <c r="F670" s="8" t="s">
        <v>2200</v>
      </c>
      <c r="G670" s="8" t="s">
        <v>2201</v>
      </c>
      <c r="H670" s="8" t="s">
        <v>2344</v>
      </c>
    </row>
    <row r="671" customFormat="false" ht="15" hidden="false" customHeight="false" outlineLevel="0" collapsed="false">
      <c r="A671" s="7" t="n">
        <v>45407</v>
      </c>
      <c r="B671" s="7" t="n">
        <v>45463</v>
      </c>
      <c r="C671" s="8" t="n">
        <v>5842</v>
      </c>
      <c r="D671" s="8" t="n">
        <v>2655</v>
      </c>
      <c r="E671" s="8" t="n">
        <v>5110</v>
      </c>
      <c r="F671" s="8" t="s">
        <v>2200</v>
      </c>
      <c r="G671" s="8" t="s">
        <v>2201</v>
      </c>
      <c r="H671" s="8" t="s">
        <v>2344</v>
      </c>
    </row>
    <row r="672" customFormat="false" ht="15" hidden="false" customHeight="false" outlineLevel="0" collapsed="false">
      <c r="A672" s="7" t="n">
        <v>45407</v>
      </c>
      <c r="B672" s="7" t="n">
        <v>45492</v>
      </c>
      <c r="C672" s="8" t="n">
        <v>5897</v>
      </c>
      <c r="D672" s="8" t="n">
        <v>0</v>
      </c>
      <c r="E672" s="8" t="n">
        <v>0</v>
      </c>
      <c r="F672" s="8" t="s">
        <v>2200</v>
      </c>
      <c r="G672" s="8" t="s">
        <v>2201</v>
      </c>
      <c r="H672" s="8" t="s">
        <v>2344</v>
      </c>
    </row>
    <row r="673" customFormat="false" ht="15" hidden="false" customHeight="false" outlineLevel="0" collapsed="false">
      <c r="A673" s="7" t="n">
        <v>45407</v>
      </c>
      <c r="B673" s="7" t="n">
        <v>45524</v>
      </c>
      <c r="C673" s="8" t="n">
        <v>5952</v>
      </c>
      <c r="D673" s="8" t="n">
        <v>0</v>
      </c>
      <c r="E673" s="8" t="n">
        <v>0</v>
      </c>
      <c r="F673" s="8" t="s">
        <v>2200</v>
      </c>
      <c r="G673" s="8" t="s">
        <v>2201</v>
      </c>
      <c r="H673" s="8" t="s">
        <v>2344</v>
      </c>
    </row>
    <row r="674" customFormat="false" ht="15" hidden="false" customHeight="false" outlineLevel="0" collapsed="false">
      <c r="A674" s="7" t="n">
        <v>45408</v>
      </c>
      <c r="B674" s="7" t="n">
        <v>45432</v>
      </c>
      <c r="C674" s="8" t="n">
        <v>5754</v>
      </c>
      <c r="D674" s="8" t="n">
        <v>4095</v>
      </c>
      <c r="E674" s="8" t="n">
        <v>20705</v>
      </c>
      <c r="F674" s="8" t="s">
        <v>2200</v>
      </c>
      <c r="G674" s="8" t="s">
        <v>2201</v>
      </c>
      <c r="H674" s="8" t="s">
        <v>2345</v>
      </c>
    </row>
    <row r="675" customFormat="false" ht="15" hidden="false" customHeight="false" outlineLevel="0" collapsed="false">
      <c r="A675" s="7" t="n">
        <v>45408</v>
      </c>
      <c r="B675" s="7" t="n">
        <v>45463</v>
      </c>
      <c r="C675" s="8" t="n">
        <v>5816</v>
      </c>
      <c r="D675" s="8" t="n">
        <v>1780</v>
      </c>
      <c r="E675" s="8" t="n">
        <v>6030</v>
      </c>
      <c r="F675" s="8" t="s">
        <v>2200</v>
      </c>
      <c r="G675" s="8" t="s">
        <v>2201</v>
      </c>
      <c r="H675" s="8" t="s">
        <v>2345</v>
      </c>
    </row>
    <row r="676" customFormat="false" ht="15" hidden="false" customHeight="false" outlineLevel="0" collapsed="false">
      <c r="A676" s="7" t="n">
        <v>45408</v>
      </c>
      <c r="B676" s="7" t="n">
        <v>45492</v>
      </c>
      <c r="C676" s="8" t="n">
        <v>5878</v>
      </c>
      <c r="D676" s="8" t="n">
        <v>0</v>
      </c>
      <c r="E676" s="8" t="n">
        <v>0</v>
      </c>
      <c r="F676" s="8" t="s">
        <v>2200</v>
      </c>
      <c r="G676" s="8" t="s">
        <v>2201</v>
      </c>
      <c r="H676" s="8" t="s">
        <v>2345</v>
      </c>
    </row>
    <row r="677" customFormat="false" ht="15" hidden="false" customHeight="false" outlineLevel="0" collapsed="false">
      <c r="A677" s="7" t="n">
        <v>45408</v>
      </c>
      <c r="B677" s="7" t="n">
        <v>45524</v>
      </c>
      <c r="C677" s="8" t="n">
        <v>5940</v>
      </c>
      <c r="D677" s="8" t="n">
        <v>0</v>
      </c>
      <c r="E677" s="8" t="n">
        <v>0</v>
      </c>
      <c r="F677" s="8" t="s">
        <v>2200</v>
      </c>
      <c r="G677" s="8" t="s">
        <v>2201</v>
      </c>
      <c r="H677" s="8" t="s">
        <v>2345</v>
      </c>
    </row>
    <row r="678" customFormat="false" ht="15" hidden="false" customHeight="false" outlineLevel="0" collapsed="false">
      <c r="A678" s="7" t="n">
        <v>45411</v>
      </c>
      <c r="B678" s="7" t="n">
        <v>45432</v>
      </c>
      <c r="C678" s="8" t="n">
        <v>5707</v>
      </c>
      <c r="D678" s="8" t="n">
        <v>6290</v>
      </c>
      <c r="E678" s="8" t="n">
        <v>18670</v>
      </c>
      <c r="F678" s="8" t="s">
        <v>2200</v>
      </c>
      <c r="G678" s="8" t="s">
        <v>2201</v>
      </c>
      <c r="H678" s="8" t="s">
        <v>2346</v>
      </c>
    </row>
    <row r="679" customFormat="false" ht="15" hidden="false" customHeight="false" outlineLevel="0" collapsed="false">
      <c r="A679" s="7" t="n">
        <v>45411</v>
      </c>
      <c r="B679" s="7" t="n">
        <v>45463</v>
      </c>
      <c r="C679" s="8" t="n">
        <v>5768</v>
      </c>
      <c r="D679" s="8" t="n">
        <v>3070</v>
      </c>
      <c r="E679" s="8" t="n">
        <v>7935</v>
      </c>
      <c r="F679" s="8" t="s">
        <v>2200</v>
      </c>
      <c r="G679" s="8" t="s">
        <v>2201</v>
      </c>
      <c r="H679" s="8" t="s">
        <v>2346</v>
      </c>
    </row>
    <row r="680" customFormat="false" ht="15" hidden="false" customHeight="false" outlineLevel="0" collapsed="false">
      <c r="A680" s="7" t="n">
        <v>45411</v>
      </c>
      <c r="B680" s="7" t="n">
        <v>45492</v>
      </c>
      <c r="C680" s="8" t="n">
        <v>5829</v>
      </c>
      <c r="D680" s="8" t="n">
        <v>0</v>
      </c>
      <c r="E680" s="8" t="n">
        <v>0</v>
      </c>
      <c r="F680" s="8" t="s">
        <v>2200</v>
      </c>
      <c r="G680" s="8" t="s">
        <v>2201</v>
      </c>
      <c r="H680" s="8" t="s">
        <v>2346</v>
      </c>
    </row>
    <row r="681" customFormat="false" ht="15" hidden="false" customHeight="false" outlineLevel="0" collapsed="false">
      <c r="A681" s="7" t="n">
        <v>45411</v>
      </c>
      <c r="B681" s="7" t="n">
        <v>45524</v>
      </c>
      <c r="C681" s="8" t="n">
        <v>5890</v>
      </c>
      <c r="D681" s="8" t="n">
        <v>0</v>
      </c>
      <c r="E681" s="8" t="n">
        <v>0</v>
      </c>
      <c r="F681" s="8" t="s">
        <v>2200</v>
      </c>
      <c r="G681" s="8" t="s">
        <v>2201</v>
      </c>
      <c r="H681" s="8" t="s">
        <v>2346</v>
      </c>
    </row>
    <row r="682" customFormat="false" ht="15" hidden="false" customHeight="false" outlineLevel="0" collapsed="false">
      <c r="A682" s="7" t="n">
        <v>45412</v>
      </c>
      <c r="B682" s="7" t="n">
        <v>45432</v>
      </c>
      <c r="C682" s="8" t="n">
        <v>5650</v>
      </c>
      <c r="D682" s="8" t="n">
        <v>6180</v>
      </c>
      <c r="E682" s="8" t="n">
        <v>16330</v>
      </c>
      <c r="F682" s="8" t="s">
        <v>2200</v>
      </c>
      <c r="G682" s="8" t="s">
        <v>2201</v>
      </c>
      <c r="H682" s="8" t="s">
        <v>2347</v>
      </c>
    </row>
    <row r="683" customFormat="false" ht="15" hidden="false" customHeight="false" outlineLevel="0" collapsed="false">
      <c r="A683" s="7" t="n">
        <v>45412</v>
      </c>
      <c r="B683" s="7" t="n">
        <v>45463</v>
      </c>
      <c r="C683" s="8" t="n">
        <v>5722</v>
      </c>
      <c r="D683" s="8" t="n">
        <v>4450</v>
      </c>
      <c r="E683" s="8" t="n">
        <v>10275</v>
      </c>
      <c r="F683" s="8" t="s">
        <v>2200</v>
      </c>
      <c r="G683" s="8" t="s">
        <v>2201</v>
      </c>
      <c r="H683" s="8" t="s">
        <v>2347</v>
      </c>
    </row>
    <row r="684" customFormat="false" ht="15" hidden="false" customHeight="false" outlineLevel="0" collapsed="false">
      <c r="A684" s="7" t="n">
        <v>45412</v>
      </c>
      <c r="B684" s="7" t="n">
        <v>45492</v>
      </c>
      <c r="C684" s="8" t="n">
        <v>5794</v>
      </c>
      <c r="D684" s="8" t="n">
        <v>0</v>
      </c>
      <c r="E684" s="8" t="n">
        <v>0</v>
      </c>
      <c r="F684" s="8" t="s">
        <v>2200</v>
      </c>
      <c r="G684" s="8" t="s">
        <v>2201</v>
      </c>
      <c r="H684" s="8" t="s">
        <v>2347</v>
      </c>
    </row>
    <row r="685" customFormat="false" ht="15" hidden="false" customHeight="false" outlineLevel="0" collapsed="false">
      <c r="A685" s="7" t="n">
        <v>45412</v>
      </c>
      <c r="B685" s="7" t="n">
        <v>45524</v>
      </c>
      <c r="C685" s="8" t="n">
        <v>5866</v>
      </c>
      <c r="D685" s="8" t="n">
        <v>0</v>
      </c>
      <c r="E685" s="8" t="n">
        <v>0</v>
      </c>
      <c r="F685" s="8" t="s">
        <v>2200</v>
      </c>
      <c r="G685" s="8" t="s">
        <v>2201</v>
      </c>
      <c r="H685" s="8" t="s">
        <v>2347</v>
      </c>
    </row>
    <row r="686" customFormat="false" ht="15" hidden="false" customHeight="false" outlineLevel="0" collapsed="false">
      <c r="A686" s="7" t="n">
        <v>45414</v>
      </c>
      <c r="B686" s="7" t="n">
        <v>45432</v>
      </c>
      <c r="C686" s="8" t="n">
        <v>5657</v>
      </c>
      <c r="D686" s="8" t="n">
        <v>8495</v>
      </c>
      <c r="E686" s="8" t="n">
        <v>15765</v>
      </c>
      <c r="F686" s="8" t="s">
        <v>2200</v>
      </c>
      <c r="G686" s="8" t="s">
        <v>2201</v>
      </c>
      <c r="H686" s="8" t="s">
        <v>2348</v>
      </c>
    </row>
    <row r="687" customFormat="false" ht="15" hidden="false" customHeight="false" outlineLevel="0" collapsed="false">
      <c r="A687" s="7" t="n">
        <v>45414</v>
      </c>
      <c r="B687" s="7" t="n">
        <v>45463</v>
      </c>
      <c r="C687" s="8" t="n">
        <v>5750</v>
      </c>
      <c r="D687" s="8" t="n">
        <v>4760</v>
      </c>
      <c r="E687" s="8" t="n">
        <v>12805</v>
      </c>
      <c r="F687" s="8" t="s">
        <v>2200</v>
      </c>
      <c r="G687" s="8" t="s">
        <v>2201</v>
      </c>
      <c r="H687" s="8" t="s">
        <v>2348</v>
      </c>
    </row>
    <row r="688" customFormat="false" ht="15" hidden="false" customHeight="false" outlineLevel="0" collapsed="false">
      <c r="A688" s="7" t="n">
        <v>45414</v>
      </c>
      <c r="B688" s="7" t="n">
        <v>45492</v>
      </c>
      <c r="C688" s="8" t="n">
        <v>5800</v>
      </c>
      <c r="D688" s="8" t="n">
        <v>5</v>
      </c>
      <c r="E688" s="8" t="n">
        <v>5</v>
      </c>
      <c r="F688" s="8" t="s">
        <v>2200</v>
      </c>
      <c r="G688" s="8" t="s">
        <v>2201</v>
      </c>
      <c r="H688" s="8" t="s">
        <v>2348</v>
      </c>
    </row>
    <row r="689" customFormat="false" ht="15" hidden="false" customHeight="false" outlineLevel="0" collapsed="false">
      <c r="A689" s="7" t="n">
        <v>45414</v>
      </c>
      <c r="B689" s="7" t="n">
        <v>45524</v>
      </c>
      <c r="C689" s="8" t="n">
        <v>5850</v>
      </c>
      <c r="D689" s="8" t="n">
        <v>0</v>
      </c>
      <c r="E689" s="8" t="n">
        <v>0</v>
      </c>
      <c r="F689" s="8" t="s">
        <v>2200</v>
      </c>
      <c r="G689" s="8" t="s">
        <v>2201</v>
      </c>
      <c r="H689" s="8" t="s">
        <v>2348</v>
      </c>
    </row>
    <row r="690" customFormat="false" ht="15" hidden="false" customHeight="false" outlineLevel="0" collapsed="false">
      <c r="A690" s="7" t="n">
        <v>45414</v>
      </c>
      <c r="B690" s="7" t="n">
        <v>45555</v>
      </c>
      <c r="C690" s="8" t="n">
        <v>5900</v>
      </c>
      <c r="D690" s="8" t="n">
        <v>0</v>
      </c>
      <c r="E690" s="8" t="n">
        <v>0</v>
      </c>
      <c r="F690" s="8" t="s">
        <v>2200</v>
      </c>
      <c r="G690" s="8" t="s">
        <v>2201</v>
      </c>
      <c r="H690" s="8" t="s">
        <v>2348</v>
      </c>
    </row>
    <row r="691" customFormat="false" ht="15" hidden="false" customHeight="false" outlineLevel="0" collapsed="false">
      <c r="A691" s="7" t="n">
        <v>45415</v>
      </c>
      <c r="B691" s="7" t="n">
        <v>45432</v>
      </c>
      <c r="C691" s="8" t="n">
        <v>5641</v>
      </c>
      <c r="D691" s="8" t="n">
        <v>4635</v>
      </c>
      <c r="E691" s="8" t="n">
        <v>13380</v>
      </c>
      <c r="F691" s="8" t="s">
        <v>2200</v>
      </c>
      <c r="G691" s="8" t="s">
        <v>2201</v>
      </c>
      <c r="H691" s="8" t="s">
        <v>2349</v>
      </c>
    </row>
    <row r="692" customFormat="false" ht="15" hidden="false" customHeight="false" outlineLevel="0" collapsed="false">
      <c r="A692" s="7" t="n">
        <v>45415</v>
      </c>
      <c r="B692" s="7" t="n">
        <v>45463</v>
      </c>
      <c r="C692" s="8" t="n">
        <v>5737</v>
      </c>
      <c r="D692" s="8" t="n">
        <v>4990</v>
      </c>
      <c r="E692" s="8" t="n">
        <v>15675</v>
      </c>
      <c r="F692" s="8" t="s">
        <v>2200</v>
      </c>
      <c r="G692" s="8" t="s">
        <v>2201</v>
      </c>
      <c r="H692" s="8" t="s">
        <v>2349</v>
      </c>
    </row>
    <row r="693" customFormat="false" ht="15" hidden="false" customHeight="false" outlineLevel="0" collapsed="false">
      <c r="A693" s="7" t="n">
        <v>45415</v>
      </c>
      <c r="B693" s="7" t="n">
        <v>45492</v>
      </c>
      <c r="C693" s="8" t="n">
        <v>5833</v>
      </c>
      <c r="D693" s="8" t="n">
        <v>0</v>
      </c>
      <c r="E693" s="8" t="n">
        <v>5</v>
      </c>
      <c r="F693" s="8" t="s">
        <v>2200</v>
      </c>
      <c r="G693" s="8" t="s">
        <v>2201</v>
      </c>
      <c r="H693" s="8" t="s">
        <v>2349</v>
      </c>
    </row>
    <row r="694" customFormat="false" ht="15" hidden="false" customHeight="false" outlineLevel="0" collapsed="false">
      <c r="A694" s="7" t="n">
        <v>45415</v>
      </c>
      <c r="B694" s="7" t="n">
        <v>45524</v>
      </c>
      <c r="C694" s="8" t="n">
        <v>5929</v>
      </c>
      <c r="D694" s="8" t="n">
        <v>0</v>
      </c>
      <c r="E694" s="8" t="n">
        <v>0</v>
      </c>
      <c r="F694" s="8" t="s">
        <v>2200</v>
      </c>
      <c r="G694" s="8" t="s">
        <v>2201</v>
      </c>
      <c r="H694" s="8" t="s">
        <v>2349</v>
      </c>
    </row>
    <row r="695" customFormat="false" ht="15" hidden="false" customHeight="false" outlineLevel="0" collapsed="false">
      <c r="A695" s="7" t="n">
        <v>45415</v>
      </c>
      <c r="B695" s="7" t="n">
        <v>45555</v>
      </c>
      <c r="C695" s="8" t="n">
        <v>6025</v>
      </c>
      <c r="D695" s="8" t="n">
        <v>0</v>
      </c>
      <c r="E695" s="8" t="n">
        <v>0</v>
      </c>
      <c r="F695" s="8" t="s">
        <v>2200</v>
      </c>
      <c r="G695" s="8" t="s">
        <v>2201</v>
      </c>
      <c r="H695" s="8" t="s">
        <v>2349</v>
      </c>
    </row>
    <row r="696" customFormat="false" ht="15" hidden="false" customHeight="false" outlineLevel="0" collapsed="false">
      <c r="A696" s="7" t="n">
        <v>45418</v>
      </c>
      <c r="B696" s="7" t="n">
        <v>45432</v>
      </c>
      <c r="C696" s="8" t="n">
        <v>5590</v>
      </c>
      <c r="D696" s="8" t="n">
        <v>5650</v>
      </c>
      <c r="E696" s="8" t="n">
        <v>12120</v>
      </c>
      <c r="F696" s="8" t="s">
        <v>2200</v>
      </c>
      <c r="G696" s="8" t="s">
        <v>2201</v>
      </c>
      <c r="H696" s="8" t="s">
        <v>2350</v>
      </c>
    </row>
    <row r="697" customFormat="false" ht="15" hidden="false" customHeight="false" outlineLevel="0" collapsed="false">
      <c r="A697" s="7" t="n">
        <v>45418</v>
      </c>
      <c r="B697" s="7" t="n">
        <v>45463</v>
      </c>
      <c r="C697" s="8" t="n">
        <v>5674</v>
      </c>
      <c r="D697" s="8" t="n">
        <v>6380</v>
      </c>
      <c r="E697" s="8" t="n">
        <v>19350</v>
      </c>
      <c r="F697" s="8" t="s">
        <v>2200</v>
      </c>
      <c r="G697" s="8" t="s">
        <v>2201</v>
      </c>
      <c r="H697" s="8" t="s">
        <v>2350</v>
      </c>
    </row>
    <row r="698" customFormat="false" ht="15" hidden="false" customHeight="false" outlineLevel="0" collapsed="false">
      <c r="A698" s="7" t="n">
        <v>45418</v>
      </c>
      <c r="B698" s="7" t="n">
        <v>45492</v>
      </c>
      <c r="C698" s="8" t="n">
        <v>5758</v>
      </c>
      <c r="D698" s="8" t="n">
        <v>0</v>
      </c>
      <c r="E698" s="8" t="n">
        <v>5</v>
      </c>
      <c r="F698" s="8" t="s">
        <v>2200</v>
      </c>
      <c r="G698" s="8" t="s">
        <v>2201</v>
      </c>
      <c r="H698" s="8" t="s">
        <v>2350</v>
      </c>
    </row>
    <row r="699" customFormat="false" ht="15" hidden="false" customHeight="false" outlineLevel="0" collapsed="false">
      <c r="A699" s="7" t="n">
        <v>45418</v>
      </c>
      <c r="B699" s="7" t="n">
        <v>45524</v>
      </c>
      <c r="C699" s="8" t="n">
        <v>5842</v>
      </c>
      <c r="D699" s="8" t="n">
        <v>0</v>
      </c>
      <c r="E699" s="8" t="n">
        <v>0</v>
      </c>
      <c r="F699" s="8" t="s">
        <v>2200</v>
      </c>
      <c r="G699" s="8" t="s">
        <v>2201</v>
      </c>
      <c r="H699" s="8" t="s">
        <v>2350</v>
      </c>
    </row>
    <row r="700" customFormat="false" ht="15" hidden="false" customHeight="false" outlineLevel="0" collapsed="false">
      <c r="A700" s="7" t="n">
        <v>45418</v>
      </c>
      <c r="B700" s="7" t="n">
        <v>45555</v>
      </c>
      <c r="C700" s="8" t="n">
        <v>5926</v>
      </c>
      <c r="D700" s="8" t="n">
        <v>0</v>
      </c>
      <c r="E700" s="8" t="n">
        <v>0</v>
      </c>
      <c r="F700" s="8" t="s">
        <v>2200</v>
      </c>
      <c r="G700" s="8" t="s">
        <v>2201</v>
      </c>
      <c r="H700" s="8" t="s">
        <v>2350</v>
      </c>
    </row>
    <row r="701" customFormat="false" ht="15" hidden="false" customHeight="false" outlineLevel="0" collapsed="false">
      <c r="A701" s="7" t="n">
        <v>45419</v>
      </c>
      <c r="B701" s="7" t="n">
        <v>45432</v>
      </c>
      <c r="C701" s="8" t="n">
        <v>5536</v>
      </c>
      <c r="D701" s="8" t="n">
        <v>2500</v>
      </c>
      <c r="E701" s="8" t="n">
        <v>11220</v>
      </c>
      <c r="F701" s="8" t="s">
        <v>2200</v>
      </c>
      <c r="G701" s="8" t="s">
        <v>2201</v>
      </c>
      <c r="H701" s="8" t="s">
        <v>2351</v>
      </c>
    </row>
    <row r="702" customFormat="false" ht="15" hidden="false" customHeight="false" outlineLevel="0" collapsed="false">
      <c r="A702" s="7" t="n">
        <v>45419</v>
      </c>
      <c r="B702" s="7" t="n">
        <v>45463</v>
      </c>
      <c r="C702" s="8" t="n">
        <v>5622</v>
      </c>
      <c r="D702" s="8" t="n">
        <v>2620</v>
      </c>
      <c r="E702" s="8" t="n">
        <v>20325</v>
      </c>
      <c r="F702" s="8" t="s">
        <v>2200</v>
      </c>
      <c r="G702" s="8" t="s">
        <v>2201</v>
      </c>
      <c r="H702" s="8" t="s">
        <v>2351</v>
      </c>
    </row>
    <row r="703" customFormat="false" ht="15" hidden="false" customHeight="false" outlineLevel="0" collapsed="false">
      <c r="A703" s="7" t="n">
        <v>45419</v>
      </c>
      <c r="B703" s="7" t="n">
        <v>45492</v>
      </c>
      <c r="C703" s="8" t="n">
        <v>5708</v>
      </c>
      <c r="D703" s="8" t="n">
        <v>0</v>
      </c>
      <c r="E703" s="8" t="n">
        <v>5</v>
      </c>
      <c r="F703" s="8" t="s">
        <v>2200</v>
      </c>
      <c r="G703" s="8" t="s">
        <v>2201</v>
      </c>
      <c r="H703" s="8" t="s">
        <v>2351</v>
      </c>
    </row>
    <row r="704" customFormat="false" ht="15" hidden="false" customHeight="false" outlineLevel="0" collapsed="false">
      <c r="A704" s="7" t="n">
        <v>45419</v>
      </c>
      <c r="B704" s="7" t="n">
        <v>45524</v>
      </c>
      <c r="C704" s="8" t="n">
        <v>5794</v>
      </c>
      <c r="D704" s="8" t="n">
        <v>0</v>
      </c>
      <c r="E704" s="8" t="n">
        <v>0</v>
      </c>
      <c r="F704" s="8" t="s">
        <v>2200</v>
      </c>
      <c r="G704" s="8" t="s">
        <v>2201</v>
      </c>
      <c r="H704" s="8" t="s">
        <v>2351</v>
      </c>
    </row>
    <row r="705" customFormat="false" ht="15" hidden="false" customHeight="false" outlineLevel="0" collapsed="false">
      <c r="A705" s="7" t="n">
        <v>45419</v>
      </c>
      <c r="B705" s="7" t="n">
        <v>45555</v>
      </c>
      <c r="C705" s="8" t="n">
        <v>5880</v>
      </c>
      <c r="D705" s="8" t="n">
        <v>0</v>
      </c>
      <c r="E705" s="8" t="n">
        <v>0</v>
      </c>
      <c r="F705" s="8" t="s">
        <v>2200</v>
      </c>
      <c r="G705" s="8" t="s">
        <v>2201</v>
      </c>
      <c r="H705" s="8" t="s">
        <v>2351</v>
      </c>
    </row>
    <row r="706" customFormat="false" ht="15" hidden="false" customHeight="false" outlineLevel="0" collapsed="false">
      <c r="A706" s="7" t="n">
        <v>45420</v>
      </c>
      <c r="B706" s="7" t="n">
        <v>45432</v>
      </c>
      <c r="C706" s="8" t="n">
        <v>5576</v>
      </c>
      <c r="D706" s="8" t="n">
        <v>4710</v>
      </c>
      <c r="E706" s="8" t="n">
        <v>8855</v>
      </c>
      <c r="F706" s="8" t="s">
        <v>2200</v>
      </c>
      <c r="G706" s="8" t="s">
        <v>2201</v>
      </c>
      <c r="H706" s="8" t="s">
        <v>2352</v>
      </c>
    </row>
    <row r="707" customFormat="false" ht="15" hidden="false" customHeight="false" outlineLevel="0" collapsed="false">
      <c r="A707" s="7" t="n">
        <v>45420</v>
      </c>
      <c r="B707" s="7" t="n">
        <v>45463</v>
      </c>
      <c r="C707" s="8" t="n">
        <v>5666</v>
      </c>
      <c r="D707" s="8" t="n">
        <v>5840</v>
      </c>
      <c r="E707" s="8" t="n">
        <v>22665</v>
      </c>
      <c r="F707" s="8" t="s">
        <v>2200</v>
      </c>
      <c r="G707" s="8" t="s">
        <v>2201</v>
      </c>
      <c r="H707" s="8" t="s">
        <v>2352</v>
      </c>
    </row>
    <row r="708" customFormat="false" ht="15" hidden="false" customHeight="false" outlineLevel="0" collapsed="false">
      <c r="A708" s="7" t="n">
        <v>45420</v>
      </c>
      <c r="B708" s="7" t="n">
        <v>45492</v>
      </c>
      <c r="C708" s="8" t="n">
        <v>5756</v>
      </c>
      <c r="D708" s="8" t="n">
        <v>0</v>
      </c>
      <c r="E708" s="8" t="n">
        <v>5</v>
      </c>
      <c r="F708" s="8" t="s">
        <v>2200</v>
      </c>
      <c r="G708" s="8" t="s">
        <v>2201</v>
      </c>
      <c r="H708" s="8" t="s">
        <v>2352</v>
      </c>
    </row>
    <row r="709" customFormat="false" ht="15" hidden="false" customHeight="false" outlineLevel="0" collapsed="false">
      <c r="A709" s="7" t="n">
        <v>45420</v>
      </c>
      <c r="B709" s="7" t="n">
        <v>45524</v>
      </c>
      <c r="C709" s="8" t="n">
        <v>5846</v>
      </c>
      <c r="D709" s="8" t="n">
        <v>0</v>
      </c>
      <c r="E709" s="8" t="n">
        <v>0</v>
      </c>
      <c r="F709" s="8" t="s">
        <v>2200</v>
      </c>
      <c r="G709" s="8" t="s">
        <v>2201</v>
      </c>
      <c r="H709" s="8" t="s">
        <v>2352</v>
      </c>
    </row>
    <row r="710" customFormat="false" ht="15" hidden="false" customHeight="false" outlineLevel="0" collapsed="false">
      <c r="A710" s="7" t="n">
        <v>45420</v>
      </c>
      <c r="B710" s="7" t="n">
        <v>45555</v>
      </c>
      <c r="C710" s="8" t="n">
        <v>5936</v>
      </c>
      <c r="D710" s="8" t="n">
        <v>0</v>
      </c>
      <c r="E710" s="8" t="n">
        <v>0</v>
      </c>
      <c r="F710" s="8" t="s">
        <v>2200</v>
      </c>
      <c r="G710" s="8" t="s">
        <v>2201</v>
      </c>
      <c r="H710" s="8" t="s">
        <v>2352</v>
      </c>
    </row>
    <row r="711" customFormat="false" ht="15" hidden="false" customHeight="false" outlineLevel="0" collapsed="false">
      <c r="A711" s="7" t="n">
        <v>45421</v>
      </c>
      <c r="B711" s="7" t="n">
        <v>45432</v>
      </c>
      <c r="C711" s="8" t="n">
        <v>5563</v>
      </c>
      <c r="D711" s="8" t="n">
        <v>4600</v>
      </c>
      <c r="E711" s="8" t="n">
        <v>6775</v>
      </c>
      <c r="F711" s="8" t="s">
        <v>2200</v>
      </c>
      <c r="G711" s="8" t="s">
        <v>2201</v>
      </c>
      <c r="H711" s="8" t="s">
        <v>2353</v>
      </c>
    </row>
    <row r="712" customFormat="false" ht="15" hidden="false" customHeight="false" outlineLevel="0" collapsed="false">
      <c r="A712" s="7" t="n">
        <v>45421</v>
      </c>
      <c r="B712" s="7" t="n">
        <v>45463</v>
      </c>
      <c r="C712" s="8" t="n">
        <v>5652</v>
      </c>
      <c r="D712" s="8" t="n">
        <v>5960</v>
      </c>
      <c r="E712" s="8" t="n">
        <v>24840</v>
      </c>
      <c r="F712" s="8" t="s">
        <v>2200</v>
      </c>
      <c r="G712" s="8" t="s">
        <v>2201</v>
      </c>
      <c r="H712" s="8" t="s">
        <v>2353</v>
      </c>
    </row>
    <row r="713" customFormat="false" ht="15" hidden="false" customHeight="false" outlineLevel="0" collapsed="false">
      <c r="A713" s="7" t="n">
        <v>45421</v>
      </c>
      <c r="B713" s="7" t="n">
        <v>45492</v>
      </c>
      <c r="C713" s="8" t="n">
        <v>5741</v>
      </c>
      <c r="D713" s="8" t="n">
        <v>0</v>
      </c>
      <c r="E713" s="8" t="n">
        <v>5</v>
      </c>
      <c r="F713" s="8" t="s">
        <v>2200</v>
      </c>
      <c r="G713" s="8" t="s">
        <v>2201</v>
      </c>
      <c r="H713" s="8" t="s">
        <v>2353</v>
      </c>
    </row>
    <row r="714" customFormat="false" ht="15" hidden="false" customHeight="false" outlineLevel="0" collapsed="false">
      <c r="A714" s="7" t="n">
        <v>45421</v>
      </c>
      <c r="B714" s="7" t="n">
        <v>45524</v>
      </c>
      <c r="C714" s="8" t="n">
        <v>5830</v>
      </c>
      <c r="D714" s="8" t="n">
        <v>0</v>
      </c>
      <c r="E714" s="8" t="n">
        <v>0</v>
      </c>
      <c r="F714" s="8" t="s">
        <v>2200</v>
      </c>
      <c r="G714" s="8" t="s">
        <v>2201</v>
      </c>
      <c r="H714" s="8" t="s">
        <v>2353</v>
      </c>
    </row>
    <row r="715" customFormat="false" ht="15" hidden="false" customHeight="false" outlineLevel="0" collapsed="false">
      <c r="A715" s="7" t="n">
        <v>45421</v>
      </c>
      <c r="B715" s="7" t="n">
        <v>45555</v>
      </c>
      <c r="C715" s="8" t="n">
        <v>5919</v>
      </c>
      <c r="D715" s="8" t="n">
        <v>0</v>
      </c>
      <c r="E715" s="8" t="n">
        <v>0</v>
      </c>
      <c r="F715" s="8" t="s">
        <v>2200</v>
      </c>
      <c r="G715" s="8" t="s">
        <v>2201</v>
      </c>
      <c r="H715" s="8" t="s">
        <v>2353</v>
      </c>
    </row>
    <row r="716" customFormat="false" ht="15" hidden="false" customHeight="false" outlineLevel="0" collapsed="false">
      <c r="A716" s="7" t="n">
        <v>45422</v>
      </c>
      <c r="B716" s="7" t="n">
        <v>45432</v>
      </c>
      <c r="C716" s="8" t="n">
        <v>5539</v>
      </c>
      <c r="D716" s="8" t="n">
        <v>5580</v>
      </c>
      <c r="E716" s="8" t="n">
        <v>2895</v>
      </c>
      <c r="F716" s="8" t="s">
        <v>2200</v>
      </c>
      <c r="G716" s="8" t="s">
        <v>2201</v>
      </c>
      <c r="H716" s="8" t="s">
        <v>2354</v>
      </c>
    </row>
    <row r="717" customFormat="false" ht="15" hidden="false" customHeight="false" outlineLevel="0" collapsed="false">
      <c r="A717" s="7" t="n">
        <v>45422</v>
      </c>
      <c r="B717" s="7" t="n">
        <v>45463</v>
      </c>
      <c r="C717" s="8" t="n">
        <v>5634</v>
      </c>
      <c r="D717" s="8" t="n">
        <v>7465</v>
      </c>
      <c r="E717" s="8" t="n">
        <v>27215</v>
      </c>
      <c r="F717" s="8" t="s">
        <v>2200</v>
      </c>
      <c r="G717" s="8" t="s">
        <v>2201</v>
      </c>
      <c r="H717" s="8" t="s">
        <v>2354</v>
      </c>
    </row>
    <row r="718" customFormat="false" ht="15" hidden="false" customHeight="false" outlineLevel="0" collapsed="false">
      <c r="A718" s="7" t="n">
        <v>45422</v>
      </c>
      <c r="B718" s="7" t="n">
        <v>45492</v>
      </c>
      <c r="C718" s="8" t="n">
        <v>5729</v>
      </c>
      <c r="D718" s="8" t="n">
        <v>0</v>
      </c>
      <c r="E718" s="8" t="n">
        <v>5</v>
      </c>
      <c r="F718" s="8" t="s">
        <v>2200</v>
      </c>
      <c r="G718" s="8" t="s">
        <v>2201</v>
      </c>
      <c r="H718" s="8" t="s">
        <v>2354</v>
      </c>
    </row>
    <row r="719" customFormat="false" ht="15" hidden="false" customHeight="false" outlineLevel="0" collapsed="false">
      <c r="A719" s="7" t="n">
        <v>45422</v>
      </c>
      <c r="B719" s="7" t="n">
        <v>45524</v>
      </c>
      <c r="C719" s="8" t="n">
        <v>5824</v>
      </c>
      <c r="D719" s="8" t="n">
        <v>0</v>
      </c>
      <c r="E719" s="8" t="n">
        <v>0</v>
      </c>
      <c r="F719" s="8" t="s">
        <v>2200</v>
      </c>
      <c r="G719" s="8" t="s">
        <v>2201</v>
      </c>
      <c r="H719" s="8" t="s">
        <v>2354</v>
      </c>
    </row>
    <row r="720" customFormat="false" ht="15" hidden="false" customHeight="false" outlineLevel="0" collapsed="false">
      <c r="A720" s="7" t="n">
        <v>45422</v>
      </c>
      <c r="B720" s="7" t="n">
        <v>45555</v>
      </c>
      <c r="C720" s="8" t="n">
        <v>5919</v>
      </c>
      <c r="D720" s="8" t="n">
        <v>0</v>
      </c>
      <c r="E720" s="8" t="n">
        <v>0</v>
      </c>
      <c r="F720" s="8" t="s">
        <v>2200</v>
      </c>
      <c r="G720" s="8" t="s">
        <v>2201</v>
      </c>
      <c r="H720" s="8" t="s">
        <v>2354</v>
      </c>
    </row>
    <row r="721" customFormat="false" ht="15" hidden="false" customHeight="false" outlineLevel="0" collapsed="false">
      <c r="A721" s="7" t="n">
        <v>45425</v>
      </c>
      <c r="B721" s="7" t="n">
        <v>45432</v>
      </c>
      <c r="C721" s="8" t="n">
        <v>5627</v>
      </c>
      <c r="D721" s="8" t="n">
        <v>3025</v>
      </c>
      <c r="E721" s="8" t="n">
        <v>785</v>
      </c>
      <c r="F721" s="8" t="s">
        <v>2200</v>
      </c>
      <c r="G721" s="8" t="s">
        <v>2201</v>
      </c>
      <c r="H721" s="8" t="s">
        <v>2355</v>
      </c>
    </row>
    <row r="722" customFormat="false" ht="15" hidden="false" customHeight="false" outlineLevel="0" collapsed="false">
      <c r="A722" s="7" t="n">
        <v>45425</v>
      </c>
      <c r="B722" s="7" t="n">
        <v>45463</v>
      </c>
      <c r="C722" s="8" t="n">
        <v>5728</v>
      </c>
      <c r="D722" s="8" t="n">
        <v>6955</v>
      </c>
      <c r="E722" s="8" t="n">
        <v>27490</v>
      </c>
      <c r="F722" s="8" t="s">
        <v>2200</v>
      </c>
      <c r="G722" s="8" t="s">
        <v>2201</v>
      </c>
      <c r="H722" s="8" t="s">
        <v>2355</v>
      </c>
    </row>
    <row r="723" customFormat="false" ht="15" hidden="false" customHeight="false" outlineLevel="0" collapsed="false">
      <c r="A723" s="7" t="n">
        <v>45425</v>
      </c>
      <c r="B723" s="7" t="n">
        <v>45492</v>
      </c>
      <c r="C723" s="8" t="n">
        <v>5829</v>
      </c>
      <c r="D723" s="8" t="n">
        <v>160</v>
      </c>
      <c r="E723" s="8" t="n">
        <v>160</v>
      </c>
      <c r="F723" s="8" t="s">
        <v>2200</v>
      </c>
      <c r="G723" s="8" t="s">
        <v>2201</v>
      </c>
      <c r="H723" s="8" t="s">
        <v>2355</v>
      </c>
    </row>
    <row r="724" customFormat="false" ht="15" hidden="false" customHeight="false" outlineLevel="0" collapsed="false">
      <c r="A724" s="7" t="n">
        <v>45425</v>
      </c>
      <c r="B724" s="7" t="n">
        <v>45524</v>
      </c>
      <c r="C724" s="8" t="n">
        <v>5930</v>
      </c>
      <c r="D724" s="8" t="n">
        <v>0</v>
      </c>
      <c r="E724" s="8" t="n">
        <v>0</v>
      </c>
      <c r="F724" s="8" t="s">
        <v>2200</v>
      </c>
      <c r="G724" s="8" t="s">
        <v>2201</v>
      </c>
      <c r="H724" s="8" t="s">
        <v>2355</v>
      </c>
    </row>
    <row r="725" customFormat="false" ht="15" hidden="false" customHeight="false" outlineLevel="0" collapsed="false">
      <c r="A725" s="7" t="n">
        <v>45425</v>
      </c>
      <c r="B725" s="7" t="n">
        <v>45555</v>
      </c>
      <c r="C725" s="8" t="n">
        <v>6031</v>
      </c>
      <c r="D725" s="8" t="n">
        <v>0</v>
      </c>
      <c r="E725" s="8" t="n">
        <v>0</v>
      </c>
      <c r="F725" s="8" t="s">
        <v>2200</v>
      </c>
      <c r="G725" s="8" t="s">
        <v>2201</v>
      </c>
      <c r="H725" s="8" t="s">
        <v>2355</v>
      </c>
    </row>
    <row r="726" customFormat="false" ht="15" hidden="false" customHeight="false" outlineLevel="0" collapsed="false">
      <c r="A726" s="7" t="n">
        <v>45426</v>
      </c>
      <c r="B726" s="7" t="n">
        <v>45432</v>
      </c>
      <c r="C726" s="8" t="n">
        <v>5676</v>
      </c>
      <c r="D726" s="8" t="n">
        <v>200</v>
      </c>
      <c r="E726" s="8" t="n">
        <v>115</v>
      </c>
      <c r="F726" s="8" t="s">
        <v>2200</v>
      </c>
      <c r="G726" s="8" t="s">
        <v>2201</v>
      </c>
      <c r="H726" s="8" t="s">
        <v>2356</v>
      </c>
    </row>
    <row r="727" customFormat="false" ht="15" hidden="false" customHeight="false" outlineLevel="0" collapsed="false">
      <c r="A727" s="7" t="n">
        <v>45426</v>
      </c>
      <c r="B727" s="7" t="n">
        <v>45463</v>
      </c>
      <c r="C727" s="8" t="n">
        <v>5731</v>
      </c>
      <c r="D727" s="8" t="n">
        <v>8370</v>
      </c>
      <c r="E727" s="8" t="n">
        <v>28435</v>
      </c>
      <c r="F727" s="8" t="s">
        <v>2200</v>
      </c>
      <c r="G727" s="8" t="s">
        <v>2201</v>
      </c>
      <c r="H727" s="8" t="s">
        <v>2356</v>
      </c>
    </row>
    <row r="728" customFormat="false" ht="15" hidden="false" customHeight="false" outlineLevel="0" collapsed="false">
      <c r="A728" s="7" t="n">
        <v>45426</v>
      </c>
      <c r="B728" s="7" t="n">
        <v>45492</v>
      </c>
      <c r="C728" s="8" t="n">
        <v>5815</v>
      </c>
      <c r="D728" s="8" t="n">
        <v>1780</v>
      </c>
      <c r="E728" s="8" t="n">
        <v>1525</v>
      </c>
      <c r="F728" s="8" t="s">
        <v>2200</v>
      </c>
      <c r="G728" s="8" t="s">
        <v>2201</v>
      </c>
      <c r="H728" s="8" t="s">
        <v>2356</v>
      </c>
    </row>
    <row r="729" customFormat="false" ht="15" hidden="false" customHeight="false" outlineLevel="0" collapsed="false">
      <c r="A729" s="7" t="n">
        <v>45426</v>
      </c>
      <c r="B729" s="7" t="n">
        <v>45524</v>
      </c>
      <c r="C729" s="8" t="n">
        <v>5899</v>
      </c>
      <c r="D729" s="8" t="n">
        <v>0</v>
      </c>
      <c r="E729" s="8" t="n">
        <v>0</v>
      </c>
      <c r="F729" s="8" t="s">
        <v>2200</v>
      </c>
      <c r="G729" s="8" t="s">
        <v>2201</v>
      </c>
      <c r="H729" s="8" t="s">
        <v>2356</v>
      </c>
    </row>
    <row r="730" customFormat="false" ht="15" hidden="false" customHeight="false" outlineLevel="0" collapsed="false">
      <c r="A730" s="7" t="n">
        <v>45426</v>
      </c>
      <c r="B730" s="7" t="n">
        <v>45555</v>
      </c>
      <c r="C730" s="8" t="n">
        <v>5983</v>
      </c>
      <c r="D730" s="8" t="n">
        <v>0</v>
      </c>
      <c r="E730" s="8" t="n">
        <v>0</v>
      </c>
      <c r="F730" s="8" t="s">
        <v>2200</v>
      </c>
      <c r="G730" s="8" t="s">
        <v>2201</v>
      </c>
      <c r="H730" s="8" t="s">
        <v>2356</v>
      </c>
    </row>
    <row r="731" customFormat="false" ht="15" hidden="false" customHeight="false" outlineLevel="0" collapsed="false">
      <c r="A731" s="7" t="n">
        <v>45427</v>
      </c>
      <c r="B731" s="7" t="n">
        <v>45432</v>
      </c>
      <c r="C731" s="8" t="n">
        <v>5644</v>
      </c>
      <c r="D731" s="8" t="n">
        <v>20</v>
      </c>
      <c r="E731" s="8" t="n">
        <v>65</v>
      </c>
      <c r="F731" s="8" t="s">
        <v>2200</v>
      </c>
      <c r="G731" s="8" t="s">
        <v>2201</v>
      </c>
      <c r="H731" s="8" t="s">
        <v>2357</v>
      </c>
    </row>
    <row r="732" customFormat="false" ht="15" hidden="false" customHeight="false" outlineLevel="0" collapsed="false">
      <c r="A732" s="7" t="n">
        <v>45427</v>
      </c>
      <c r="B732" s="7" t="n">
        <v>45463</v>
      </c>
      <c r="C732" s="8" t="n">
        <v>5689</v>
      </c>
      <c r="D732" s="8" t="n">
        <v>6090</v>
      </c>
      <c r="E732" s="8" t="n">
        <v>28065</v>
      </c>
      <c r="F732" s="8" t="s">
        <v>2200</v>
      </c>
      <c r="G732" s="8" t="s">
        <v>2201</v>
      </c>
      <c r="H732" s="8" t="s">
        <v>2357</v>
      </c>
    </row>
    <row r="733" customFormat="false" ht="15" hidden="false" customHeight="false" outlineLevel="0" collapsed="false">
      <c r="A733" s="7" t="n">
        <v>45427</v>
      </c>
      <c r="B733" s="7" t="n">
        <v>45492</v>
      </c>
      <c r="C733" s="8" t="n">
        <v>5736</v>
      </c>
      <c r="D733" s="8" t="n">
        <v>3040</v>
      </c>
      <c r="E733" s="8" t="n">
        <v>4145</v>
      </c>
      <c r="F733" s="8" t="s">
        <v>2200</v>
      </c>
      <c r="G733" s="8" t="s">
        <v>2201</v>
      </c>
      <c r="H733" s="8" t="s">
        <v>2357</v>
      </c>
    </row>
    <row r="734" customFormat="false" ht="15" hidden="false" customHeight="false" outlineLevel="0" collapsed="false">
      <c r="A734" s="7" t="n">
        <v>45427</v>
      </c>
      <c r="B734" s="7" t="n">
        <v>45524</v>
      </c>
      <c r="C734" s="8" t="n">
        <v>5783</v>
      </c>
      <c r="D734" s="8" t="n">
        <v>0</v>
      </c>
      <c r="E734" s="8" t="n">
        <v>0</v>
      </c>
      <c r="F734" s="8" t="s">
        <v>2200</v>
      </c>
      <c r="G734" s="8" t="s">
        <v>2201</v>
      </c>
      <c r="H734" s="8" t="s">
        <v>2357</v>
      </c>
    </row>
    <row r="735" customFormat="false" ht="15" hidden="false" customHeight="false" outlineLevel="0" collapsed="false">
      <c r="A735" s="7" t="n">
        <v>45427</v>
      </c>
      <c r="B735" s="7" t="n">
        <v>45555</v>
      </c>
      <c r="C735" s="8" t="n">
        <v>5830</v>
      </c>
      <c r="D735" s="8" t="n">
        <v>0</v>
      </c>
      <c r="E735" s="8" t="n">
        <v>0</v>
      </c>
      <c r="F735" s="8" t="s">
        <v>2200</v>
      </c>
      <c r="G735" s="8" t="s">
        <v>2201</v>
      </c>
      <c r="H735" s="8" t="s">
        <v>2357</v>
      </c>
    </row>
    <row r="736" customFormat="false" ht="15" hidden="false" customHeight="false" outlineLevel="0" collapsed="false">
      <c r="A736" s="7" t="n">
        <v>45428</v>
      </c>
      <c r="B736" s="7" t="n">
        <v>45432</v>
      </c>
      <c r="C736" s="8" t="n">
        <v>5718</v>
      </c>
      <c r="D736" s="8" t="n">
        <v>0</v>
      </c>
      <c r="E736" s="8" t="n">
        <v>5</v>
      </c>
      <c r="F736" s="8" t="s">
        <v>2200</v>
      </c>
      <c r="G736" s="8" t="s">
        <v>2201</v>
      </c>
      <c r="H736" s="8" t="s">
        <v>2358</v>
      </c>
    </row>
    <row r="737" customFormat="false" ht="15" hidden="false" customHeight="false" outlineLevel="0" collapsed="false">
      <c r="A737" s="7" t="n">
        <v>45428</v>
      </c>
      <c r="B737" s="7" t="n">
        <v>45463</v>
      </c>
      <c r="C737" s="8" t="n">
        <v>5734</v>
      </c>
      <c r="D737" s="8" t="n">
        <v>4870</v>
      </c>
      <c r="E737" s="8" t="n">
        <v>27335</v>
      </c>
      <c r="F737" s="8" t="s">
        <v>2200</v>
      </c>
      <c r="G737" s="8" t="s">
        <v>2201</v>
      </c>
      <c r="H737" s="8" t="s">
        <v>2358</v>
      </c>
    </row>
    <row r="738" customFormat="false" ht="15" hidden="false" customHeight="false" outlineLevel="0" collapsed="false">
      <c r="A738" s="7" t="n">
        <v>45428</v>
      </c>
      <c r="B738" s="7" t="n">
        <v>45492</v>
      </c>
      <c r="C738" s="8" t="n">
        <v>5803</v>
      </c>
      <c r="D738" s="8" t="n">
        <v>2455</v>
      </c>
      <c r="E738" s="8" t="n">
        <v>6060</v>
      </c>
      <c r="F738" s="8" t="s">
        <v>2200</v>
      </c>
      <c r="G738" s="8" t="s">
        <v>2201</v>
      </c>
      <c r="H738" s="8" t="s">
        <v>2358</v>
      </c>
    </row>
    <row r="739" customFormat="false" ht="15" hidden="false" customHeight="false" outlineLevel="0" collapsed="false">
      <c r="A739" s="7" t="n">
        <v>45428</v>
      </c>
      <c r="B739" s="7" t="n">
        <v>45524</v>
      </c>
      <c r="C739" s="8" t="n">
        <v>5872</v>
      </c>
      <c r="D739" s="8" t="n">
        <v>0</v>
      </c>
      <c r="E739" s="8" t="n">
        <v>0</v>
      </c>
      <c r="F739" s="8" t="s">
        <v>2200</v>
      </c>
      <c r="G739" s="8" t="s">
        <v>2201</v>
      </c>
      <c r="H739" s="8" t="s">
        <v>2358</v>
      </c>
    </row>
    <row r="740" customFormat="false" ht="15" hidden="false" customHeight="false" outlineLevel="0" collapsed="false">
      <c r="A740" s="7" t="n">
        <v>45428</v>
      </c>
      <c r="B740" s="7" t="n">
        <v>45555</v>
      </c>
      <c r="C740" s="8" t="n">
        <v>5941</v>
      </c>
      <c r="D740" s="8" t="n">
        <v>0</v>
      </c>
      <c r="E740" s="8" t="n">
        <v>0</v>
      </c>
      <c r="F740" s="8" t="s">
        <v>2200</v>
      </c>
      <c r="G740" s="8" t="s">
        <v>2201</v>
      </c>
      <c r="H740" s="8" t="s">
        <v>2358</v>
      </c>
    </row>
    <row r="741" customFormat="false" ht="15" hidden="false" customHeight="false" outlineLevel="0" collapsed="false">
      <c r="A741" s="7" t="n">
        <v>45429</v>
      </c>
      <c r="B741" s="7" t="n">
        <v>45432</v>
      </c>
      <c r="C741" s="8" t="n">
        <v>5745</v>
      </c>
      <c r="D741" s="8" t="n">
        <v>0</v>
      </c>
      <c r="E741" s="8" t="n">
        <v>5</v>
      </c>
      <c r="F741" s="8" t="s">
        <v>2200</v>
      </c>
      <c r="G741" s="8" t="s">
        <v>2201</v>
      </c>
      <c r="H741" s="8" t="s">
        <v>2359</v>
      </c>
    </row>
    <row r="742" customFormat="false" ht="15" hidden="false" customHeight="false" outlineLevel="0" collapsed="false">
      <c r="A742" s="7" t="n">
        <v>45429</v>
      </c>
      <c r="B742" s="7" t="n">
        <v>45463</v>
      </c>
      <c r="C742" s="8" t="n">
        <v>5719</v>
      </c>
      <c r="D742" s="8" t="n">
        <v>7040</v>
      </c>
      <c r="E742" s="8" t="n">
        <v>23835</v>
      </c>
      <c r="F742" s="8" t="s">
        <v>2200</v>
      </c>
      <c r="G742" s="8" t="s">
        <v>2201</v>
      </c>
      <c r="H742" s="8" t="s">
        <v>2359</v>
      </c>
    </row>
    <row r="743" customFormat="false" ht="15" hidden="false" customHeight="false" outlineLevel="0" collapsed="false">
      <c r="A743" s="7" t="n">
        <v>45429</v>
      </c>
      <c r="B743" s="7" t="n">
        <v>45492</v>
      </c>
      <c r="C743" s="8" t="n">
        <v>5797</v>
      </c>
      <c r="D743" s="8" t="n">
        <v>4190</v>
      </c>
      <c r="E743" s="8" t="n">
        <v>8005</v>
      </c>
      <c r="F743" s="8" t="s">
        <v>2200</v>
      </c>
      <c r="G743" s="8" t="s">
        <v>2201</v>
      </c>
      <c r="H743" s="8" t="s">
        <v>2359</v>
      </c>
    </row>
    <row r="744" customFormat="false" ht="15" hidden="false" customHeight="false" outlineLevel="0" collapsed="false">
      <c r="A744" s="7" t="n">
        <v>45429</v>
      </c>
      <c r="B744" s="7" t="n">
        <v>45524</v>
      </c>
      <c r="C744" s="8" t="n">
        <v>5875</v>
      </c>
      <c r="D744" s="8" t="n">
        <v>0</v>
      </c>
      <c r="E744" s="8" t="n">
        <v>0</v>
      </c>
      <c r="F744" s="8" t="s">
        <v>2200</v>
      </c>
      <c r="G744" s="8" t="s">
        <v>2201</v>
      </c>
      <c r="H744" s="8" t="s">
        <v>2359</v>
      </c>
    </row>
    <row r="745" customFormat="false" ht="15" hidden="false" customHeight="false" outlineLevel="0" collapsed="false">
      <c r="A745" s="7" t="n">
        <v>45429</v>
      </c>
      <c r="B745" s="7" t="n">
        <v>45555</v>
      </c>
      <c r="C745" s="8" t="n">
        <v>5953</v>
      </c>
      <c r="D745" s="8" t="n">
        <v>0</v>
      </c>
      <c r="E745" s="8" t="n">
        <v>0</v>
      </c>
      <c r="F745" s="8" t="s">
        <v>2200</v>
      </c>
      <c r="G745" s="8" t="s">
        <v>2201</v>
      </c>
      <c r="H745" s="8" t="s">
        <v>2359</v>
      </c>
    </row>
    <row r="746" customFormat="false" ht="15" hidden="false" customHeight="false" outlineLevel="0" collapsed="false">
      <c r="A746" s="7" t="n">
        <v>45433</v>
      </c>
      <c r="B746" s="7" t="n">
        <v>45463</v>
      </c>
      <c r="C746" s="8" t="n">
        <v>5701</v>
      </c>
      <c r="D746" s="8" t="n">
        <v>3110</v>
      </c>
      <c r="E746" s="8" t="n">
        <v>23635</v>
      </c>
      <c r="F746" s="8" t="s">
        <v>2200</v>
      </c>
      <c r="G746" s="8" t="s">
        <v>2201</v>
      </c>
      <c r="H746" s="8" t="s">
        <v>2360</v>
      </c>
    </row>
    <row r="747" customFormat="false" ht="15" hidden="false" customHeight="false" outlineLevel="0" collapsed="false">
      <c r="A747" s="7" t="n">
        <v>45433</v>
      </c>
      <c r="B747" s="7" t="n">
        <v>45492</v>
      </c>
      <c r="C747" s="8" t="n">
        <v>5773</v>
      </c>
      <c r="D747" s="8" t="n">
        <v>1300</v>
      </c>
      <c r="E747" s="8" t="n">
        <v>8735</v>
      </c>
      <c r="F747" s="8" t="s">
        <v>2200</v>
      </c>
      <c r="G747" s="8" t="s">
        <v>2201</v>
      </c>
      <c r="H747" s="8" t="s">
        <v>2360</v>
      </c>
    </row>
    <row r="748" customFormat="false" ht="15" hidden="false" customHeight="false" outlineLevel="0" collapsed="false">
      <c r="A748" s="7" t="n">
        <v>45433</v>
      </c>
      <c r="B748" s="7" t="n">
        <v>45524</v>
      </c>
      <c r="C748" s="8" t="n">
        <v>5845</v>
      </c>
      <c r="D748" s="8" t="n">
        <v>0</v>
      </c>
      <c r="E748" s="8" t="n">
        <v>0</v>
      </c>
      <c r="F748" s="8" t="s">
        <v>2200</v>
      </c>
      <c r="G748" s="8" t="s">
        <v>2201</v>
      </c>
      <c r="H748" s="8" t="s">
        <v>2360</v>
      </c>
    </row>
    <row r="749" customFormat="false" ht="15" hidden="false" customHeight="false" outlineLevel="0" collapsed="false">
      <c r="A749" s="7" t="n">
        <v>45433</v>
      </c>
      <c r="B749" s="7" t="n">
        <v>45555</v>
      </c>
      <c r="C749" s="8" t="n">
        <v>5917</v>
      </c>
      <c r="D749" s="8" t="n">
        <v>0</v>
      </c>
      <c r="E749" s="8" t="n">
        <v>0</v>
      </c>
      <c r="F749" s="8" t="s">
        <v>2200</v>
      </c>
      <c r="G749" s="8" t="s">
        <v>2201</v>
      </c>
      <c r="H749" s="8" t="s">
        <v>2360</v>
      </c>
    </row>
    <row r="750" customFormat="false" ht="15" hidden="false" customHeight="false" outlineLevel="0" collapsed="false">
      <c r="A750" s="7" t="n">
        <v>45434</v>
      </c>
      <c r="B750" s="7" t="n">
        <v>45463</v>
      </c>
      <c r="C750" s="8" t="n">
        <v>5729</v>
      </c>
      <c r="D750" s="8" t="n">
        <v>6050</v>
      </c>
      <c r="E750" s="8" t="n">
        <v>22310</v>
      </c>
      <c r="F750" s="8" t="s">
        <v>2200</v>
      </c>
      <c r="G750" s="8" t="s">
        <v>2201</v>
      </c>
      <c r="H750" s="8" t="s">
        <v>2361</v>
      </c>
    </row>
    <row r="751" customFormat="false" ht="15" hidden="false" customHeight="false" outlineLevel="0" collapsed="false">
      <c r="A751" s="7" t="n">
        <v>45434</v>
      </c>
      <c r="B751" s="7" t="n">
        <v>45492</v>
      </c>
      <c r="C751" s="8" t="n">
        <v>5793</v>
      </c>
      <c r="D751" s="8" t="n">
        <v>3315</v>
      </c>
      <c r="E751" s="8" t="n">
        <v>9720</v>
      </c>
      <c r="F751" s="8" t="s">
        <v>2200</v>
      </c>
      <c r="G751" s="8" t="s">
        <v>2201</v>
      </c>
      <c r="H751" s="8" t="s">
        <v>2361</v>
      </c>
    </row>
    <row r="752" customFormat="false" ht="15" hidden="false" customHeight="false" outlineLevel="0" collapsed="false">
      <c r="A752" s="7" t="n">
        <v>45434</v>
      </c>
      <c r="B752" s="7" t="n">
        <v>45524</v>
      </c>
      <c r="C752" s="8" t="n">
        <v>5857</v>
      </c>
      <c r="D752" s="8" t="n">
        <v>0</v>
      </c>
      <c r="E752" s="8" t="n">
        <v>0</v>
      </c>
      <c r="F752" s="8" t="s">
        <v>2200</v>
      </c>
      <c r="G752" s="8" t="s">
        <v>2201</v>
      </c>
      <c r="H752" s="8" t="s">
        <v>2361</v>
      </c>
    </row>
    <row r="753" customFormat="false" ht="15" hidden="false" customHeight="false" outlineLevel="0" collapsed="false">
      <c r="A753" s="7" t="n">
        <v>45434</v>
      </c>
      <c r="B753" s="7" t="n">
        <v>45555</v>
      </c>
      <c r="C753" s="8" t="n">
        <v>5921</v>
      </c>
      <c r="D753" s="8" t="n">
        <v>0</v>
      </c>
      <c r="E753" s="8" t="n">
        <v>0</v>
      </c>
      <c r="F753" s="8" t="s">
        <v>2200</v>
      </c>
      <c r="G753" s="8" t="s">
        <v>2201</v>
      </c>
      <c r="H753" s="8" t="s">
        <v>2361</v>
      </c>
    </row>
    <row r="754" customFormat="false" ht="15" hidden="false" customHeight="false" outlineLevel="0" collapsed="false">
      <c r="A754" s="7" t="n">
        <v>45435</v>
      </c>
      <c r="B754" s="7" t="n">
        <v>45463</v>
      </c>
      <c r="C754" s="8" t="n">
        <v>5712</v>
      </c>
      <c r="D754" s="8" t="n">
        <v>2250</v>
      </c>
      <c r="E754" s="8" t="n">
        <v>22225</v>
      </c>
      <c r="F754" s="8" t="s">
        <v>2200</v>
      </c>
      <c r="G754" s="8" t="s">
        <v>2201</v>
      </c>
      <c r="H754" s="8" t="s">
        <v>2362</v>
      </c>
    </row>
    <row r="755" customFormat="false" ht="15" hidden="false" customHeight="false" outlineLevel="0" collapsed="false">
      <c r="A755" s="7" t="n">
        <v>45435</v>
      </c>
      <c r="B755" s="7" t="n">
        <v>45492</v>
      </c>
      <c r="C755" s="8" t="n">
        <v>5784</v>
      </c>
      <c r="D755" s="8" t="n">
        <v>1505</v>
      </c>
      <c r="E755" s="8" t="n">
        <v>10400</v>
      </c>
      <c r="F755" s="8" t="s">
        <v>2200</v>
      </c>
      <c r="G755" s="8" t="s">
        <v>2201</v>
      </c>
      <c r="H755" s="8" t="s">
        <v>2362</v>
      </c>
    </row>
    <row r="756" customFormat="false" ht="15" hidden="false" customHeight="false" outlineLevel="0" collapsed="false">
      <c r="A756" s="7" t="n">
        <v>45435</v>
      </c>
      <c r="B756" s="7" t="n">
        <v>45524</v>
      </c>
      <c r="C756" s="8" t="n">
        <v>5856</v>
      </c>
      <c r="D756" s="8" t="n">
        <v>0</v>
      </c>
      <c r="E756" s="8" t="n">
        <v>0</v>
      </c>
      <c r="F756" s="8" t="s">
        <v>2200</v>
      </c>
      <c r="G756" s="8" t="s">
        <v>2201</v>
      </c>
      <c r="H756" s="8" t="s">
        <v>2362</v>
      </c>
    </row>
    <row r="757" customFormat="false" ht="15" hidden="false" customHeight="false" outlineLevel="0" collapsed="false">
      <c r="A757" s="7" t="n">
        <v>45435</v>
      </c>
      <c r="B757" s="7" t="n">
        <v>45555</v>
      </c>
      <c r="C757" s="8" t="n">
        <v>5928</v>
      </c>
      <c r="D757" s="8" t="n">
        <v>0</v>
      </c>
      <c r="E757" s="8" t="n">
        <v>0</v>
      </c>
      <c r="F757" s="8" t="s">
        <v>2200</v>
      </c>
      <c r="G757" s="8" t="s">
        <v>2201</v>
      </c>
      <c r="H757" s="8" t="s">
        <v>2362</v>
      </c>
    </row>
    <row r="758" customFormat="false" ht="15" hidden="false" customHeight="false" outlineLevel="0" collapsed="false">
      <c r="A758" s="7" t="n">
        <v>45436</v>
      </c>
      <c r="B758" s="7" t="n">
        <v>45463</v>
      </c>
      <c r="C758" s="8" t="n">
        <v>5691</v>
      </c>
      <c r="D758" s="8" t="n">
        <v>3600</v>
      </c>
      <c r="E758" s="8" t="n">
        <v>22210</v>
      </c>
      <c r="F758" s="8" t="s">
        <v>2200</v>
      </c>
      <c r="G758" s="8" t="s">
        <v>2201</v>
      </c>
      <c r="H758" s="8" t="s">
        <v>2363</v>
      </c>
    </row>
    <row r="759" customFormat="false" ht="15" hidden="false" customHeight="false" outlineLevel="0" collapsed="false">
      <c r="A759" s="7" t="n">
        <v>45436</v>
      </c>
      <c r="B759" s="7" t="n">
        <v>45492</v>
      </c>
      <c r="C759" s="8" t="n">
        <v>5765</v>
      </c>
      <c r="D759" s="8" t="n">
        <v>1570</v>
      </c>
      <c r="E759" s="8" t="n">
        <v>10995</v>
      </c>
      <c r="F759" s="8" t="s">
        <v>2200</v>
      </c>
      <c r="G759" s="8" t="s">
        <v>2201</v>
      </c>
      <c r="H759" s="8" t="s">
        <v>2363</v>
      </c>
    </row>
    <row r="760" customFormat="false" ht="15" hidden="false" customHeight="false" outlineLevel="0" collapsed="false">
      <c r="A760" s="7" t="n">
        <v>45436</v>
      </c>
      <c r="B760" s="7" t="n">
        <v>45524</v>
      </c>
      <c r="C760" s="8" t="n">
        <v>5839</v>
      </c>
      <c r="D760" s="8" t="n">
        <v>0</v>
      </c>
      <c r="E760" s="8" t="n">
        <v>0</v>
      </c>
      <c r="F760" s="8" t="s">
        <v>2200</v>
      </c>
      <c r="G760" s="8" t="s">
        <v>2201</v>
      </c>
      <c r="H760" s="8" t="s">
        <v>2363</v>
      </c>
    </row>
    <row r="761" customFormat="false" ht="15" hidden="false" customHeight="false" outlineLevel="0" collapsed="false">
      <c r="A761" s="7" t="n">
        <v>45436</v>
      </c>
      <c r="B761" s="7" t="n">
        <v>45555</v>
      </c>
      <c r="C761" s="8" t="n">
        <v>5913</v>
      </c>
      <c r="D761" s="8" t="n">
        <v>0</v>
      </c>
      <c r="E761" s="8" t="n">
        <v>0</v>
      </c>
      <c r="F761" s="8" t="s">
        <v>2200</v>
      </c>
      <c r="G761" s="8" t="s">
        <v>2201</v>
      </c>
      <c r="H761" s="8" t="s">
        <v>2363</v>
      </c>
    </row>
    <row r="762" customFormat="false" ht="15" hidden="false" customHeight="false" outlineLevel="0" collapsed="false">
      <c r="A762" s="7" t="n">
        <v>45439</v>
      </c>
      <c r="B762" s="7" t="n">
        <v>45463</v>
      </c>
      <c r="C762" s="8" t="n">
        <v>5685</v>
      </c>
      <c r="D762" s="8" t="n">
        <v>2685</v>
      </c>
      <c r="E762" s="8" t="n">
        <v>22650</v>
      </c>
      <c r="F762" s="8" t="s">
        <v>2200</v>
      </c>
      <c r="G762" s="8" t="s">
        <v>2201</v>
      </c>
      <c r="H762" s="8" t="s">
        <v>2364</v>
      </c>
    </row>
    <row r="763" customFormat="false" ht="15" hidden="false" customHeight="false" outlineLevel="0" collapsed="false">
      <c r="A763" s="7" t="n">
        <v>45439</v>
      </c>
      <c r="B763" s="7" t="n">
        <v>45492</v>
      </c>
      <c r="C763" s="8" t="n">
        <v>5761</v>
      </c>
      <c r="D763" s="8" t="n">
        <v>860</v>
      </c>
      <c r="E763" s="8" t="n">
        <v>11455</v>
      </c>
      <c r="F763" s="8" t="s">
        <v>2200</v>
      </c>
      <c r="G763" s="8" t="s">
        <v>2201</v>
      </c>
      <c r="H763" s="8" t="s">
        <v>2364</v>
      </c>
    </row>
    <row r="764" customFormat="false" ht="15" hidden="false" customHeight="false" outlineLevel="0" collapsed="false">
      <c r="A764" s="7" t="n">
        <v>45439</v>
      </c>
      <c r="B764" s="7" t="n">
        <v>45524</v>
      </c>
      <c r="C764" s="8" t="n">
        <v>5837</v>
      </c>
      <c r="D764" s="8" t="n">
        <v>0</v>
      </c>
      <c r="E764" s="8" t="n">
        <v>0</v>
      </c>
      <c r="F764" s="8" t="s">
        <v>2200</v>
      </c>
      <c r="G764" s="8" t="s">
        <v>2201</v>
      </c>
      <c r="H764" s="8" t="s">
        <v>2364</v>
      </c>
    </row>
    <row r="765" customFormat="false" ht="15" hidden="false" customHeight="false" outlineLevel="0" collapsed="false">
      <c r="A765" s="7" t="n">
        <v>45439</v>
      </c>
      <c r="B765" s="7" t="n">
        <v>45555</v>
      </c>
      <c r="C765" s="8" t="n">
        <v>5913</v>
      </c>
      <c r="D765" s="8" t="n">
        <v>0</v>
      </c>
      <c r="E765" s="8" t="n">
        <v>0</v>
      </c>
      <c r="F765" s="8" t="s">
        <v>2200</v>
      </c>
      <c r="G765" s="8" t="s">
        <v>2201</v>
      </c>
      <c r="H765" s="8" t="s">
        <v>2364</v>
      </c>
    </row>
    <row r="766" customFormat="false" ht="15" hidden="false" customHeight="false" outlineLevel="0" collapsed="false">
      <c r="A766" s="7" t="n">
        <v>45440</v>
      </c>
      <c r="B766" s="7" t="n">
        <v>45463</v>
      </c>
      <c r="C766" s="8" t="n">
        <v>5700</v>
      </c>
      <c r="D766" s="8" t="n">
        <v>4160</v>
      </c>
      <c r="E766" s="8" t="n">
        <v>21445</v>
      </c>
      <c r="F766" s="8" t="s">
        <v>2200</v>
      </c>
      <c r="G766" s="8" t="s">
        <v>2201</v>
      </c>
      <c r="H766" s="8" t="s">
        <v>2365</v>
      </c>
    </row>
    <row r="767" customFormat="false" ht="15" hidden="false" customHeight="false" outlineLevel="0" collapsed="false">
      <c r="A767" s="7" t="n">
        <v>45440</v>
      </c>
      <c r="B767" s="7" t="n">
        <v>45492</v>
      </c>
      <c r="C767" s="8" t="n">
        <v>5773</v>
      </c>
      <c r="D767" s="8" t="n">
        <v>2685</v>
      </c>
      <c r="E767" s="8" t="n">
        <v>12225</v>
      </c>
      <c r="F767" s="8" t="s">
        <v>2200</v>
      </c>
      <c r="G767" s="8" t="s">
        <v>2201</v>
      </c>
      <c r="H767" s="8" t="s">
        <v>2365</v>
      </c>
    </row>
    <row r="768" customFormat="false" ht="15" hidden="false" customHeight="false" outlineLevel="0" collapsed="false">
      <c r="A768" s="7" t="n">
        <v>45440</v>
      </c>
      <c r="B768" s="7" t="n">
        <v>45524</v>
      </c>
      <c r="C768" s="8" t="n">
        <v>5846</v>
      </c>
      <c r="D768" s="8" t="n">
        <v>0</v>
      </c>
      <c r="E768" s="8" t="n">
        <v>0</v>
      </c>
      <c r="F768" s="8" t="s">
        <v>2200</v>
      </c>
      <c r="G768" s="8" t="s">
        <v>2201</v>
      </c>
      <c r="H768" s="8" t="s">
        <v>2365</v>
      </c>
    </row>
    <row r="769" customFormat="false" ht="15" hidden="false" customHeight="false" outlineLevel="0" collapsed="false">
      <c r="A769" s="7" t="n">
        <v>45440</v>
      </c>
      <c r="B769" s="7" t="n">
        <v>45555</v>
      </c>
      <c r="C769" s="8" t="n">
        <v>5919</v>
      </c>
      <c r="D769" s="8" t="n">
        <v>0</v>
      </c>
      <c r="E769" s="8" t="n">
        <v>0</v>
      </c>
      <c r="F769" s="8" t="s">
        <v>2200</v>
      </c>
      <c r="G769" s="8" t="s">
        <v>2201</v>
      </c>
      <c r="H769" s="8" t="s">
        <v>2365</v>
      </c>
    </row>
    <row r="770" customFormat="false" ht="15" hidden="false" customHeight="false" outlineLevel="0" collapsed="false">
      <c r="A770" s="7" t="n">
        <v>45441</v>
      </c>
      <c r="B770" s="7" t="n">
        <v>45463</v>
      </c>
      <c r="C770" s="8" t="n">
        <v>5745</v>
      </c>
      <c r="D770" s="8" t="n">
        <v>6540</v>
      </c>
      <c r="E770" s="8" t="n">
        <v>20665</v>
      </c>
      <c r="F770" s="8" t="s">
        <v>2200</v>
      </c>
      <c r="G770" s="8" t="s">
        <v>2201</v>
      </c>
      <c r="H770" s="8" t="s">
        <v>2366</v>
      </c>
    </row>
    <row r="771" customFormat="false" ht="15" hidden="false" customHeight="false" outlineLevel="0" collapsed="false">
      <c r="A771" s="7" t="n">
        <v>45441</v>
      </c>
      <c r="B771" s="7" t="n">
        <v>45492</v>
      </c>
      <c r="C771" s="8" t="n">
        <v>5820</v>
      </c>
      <c r="D771" s="8" t="n">
        <v>4180</v>
      </c>
      <c r="E771" s="8" t="n">
        <v>13360</v>
      </c>
      <c r="F771" s="8" t="s">
        <v>2200</v>
      </c>
      <c r="G771" s="8" t="s">
        <v>2201</v>
      </c>
      <c r="H771" s="8" t="s">
        <v>2366</v>
      </c>
    </row>
    <row r="772" customFormat="false" ht="15" hidden="false" customHeight="false" outlineLevel="0" collapsed="false">
      <c r="A772" s="7" t="n">
        <v>45441</v>
      </c>
      <c r="B772" s="7" t="n">
        <v>45524</v>
      </c>
      <c r="C772" s="8" t="n">
        <v>5895</v>
      </c>
      <c r="D772" s="8" t="n">
        <v>0</v>
      </c>
      <c r="E772" s="8" t="n">
        <v>0</v>
      </c>
      <c r="F772" s="8" t="s">
        <v>2200</v>
      </c>
      <c r="G772" s="8" t="s">
        <v>2201</v>
      </c>
      <c r="H772" s="8" t="s">
        <v>2366</v>
      </c>
    </row>
    <row r="773" customFormat="false" ht="15" hidden="false" customHeight="false" outlineLevel="0" collapsed="false">
      <c r="A773" s="7" t="n">
        <v>45441</v>
      </c>
      <c r="B773" s="7" t="n">
        <v>45555</v>
      </c>
      <c r="C773" s="8" t="n">
        <v>5970</v>
      </c>
      <c r="D773" s="8" t="n">
        <v>0</v>
      </c>
      <c r="E773" s="8" t="n">
        <v>0</v>
      </c>
      <c r="F773" s="8" t="s">
        <v>2200</v>
      </c>
      <c r="G773" s="8" t="s">
        <v>2201</v>
      </c>
      <c r="H773" s="8" t="s">
        <v>2366</v>
      </c>
    </row>
    <row r="774" customFormat="false" ht="15" hidden="false" customHeight="false" outlineLevel="0" collapsed="false">
      <c r="A774" s="7" t="n">
        <v>45442</v>
      </c>
      <c r="B774" s="7" t="n">
        <v>45463</v>
      </c>
      <c r="C774" s="8" t="n">
        <v>5715</v>
      </c>
      <c r="D774" s="8" t="n">
        <v>6880</v>
      </c>
      <c r="E774" s="8" t="n">
        <v>19345</v>
      </c>
      <c r="F774" s="8" t="s">
        <v>2200</v>
      </c>
      <c r="G774" s="8" t="s">
        <v>2201</v>
      </c>
      <c r="H774" s="8" t="s">
        <v>2367</v>
      </c>
    </row>
    <row r="775" customFormat="false" ht="15" hidden="false" customHeight="false" outlineLevel="0" collapsed="false">
      <c r="A775" s="7" t="n">
        <v>45442</v>
      </c>
      <c r="B775" s="7" t="n">
        <v>45492</v>
      </c>
      <c r="C775" s="8" t="n">
        <v>5794</v>
      </c>
      <c r="D775" s="8" t="n">
        <v>5450</v>
      </c>
      <c r="E775" s="8" t="n">
        <v>14160</v>
      </c>
      <c r="F775" s="8" t="s">
        <v>2200</v>
      </c>
      <c r="G775" s="8" t="s">
        <v>2201</v>
      </c>
      <c r="H775" s="8" t="s">
        <v>2367</v>
      </c>
    </row>
    <row r="776" customFormat="false" ht="15" hidden="false" customHeight="false" outlineLevel="0" collapsed="false">
      <c r="A776" s="7" t="n">
        <v>45442</v>
      </c>
      <c r="B776" s="7" t="n">
        <v>45524</v>
      </c>
      <c r="C776" s="8" t="n">
        <v>5873</v>
      </c>
      <c r="D776" s="8" t="n">
        <v>0</v>
      </c>
      <c r="E776" s="8" t="n">
        <v>0</v>
      </c>
      <c r="F776" s="8" t="s">
        <v>2200</v>
      </c>
      <c r="G776" s="8" t="s">
        <v>2201</v>
      </c>
      <c r="H776" s="8" t="s">
        <v>2367</v>
      </c>
    </row>
    <row r="777" customFormat="false" ht="15" hidden="false" customHeight="false" outlineLevel="0" collapsed="false">
      <c r="A777" s="7" t="n">
        <v>45442</v>
      </c>
      <c r="B777" s="7" t="n">
        <v>45555</v>
      </c>
      <c r="C777" s="8" t="n">
        <v>5952</v>
      </c>
      <c r="D777" s="8" t="n">
        <v>0</v>
      </c>
      <c r="E777" s="8" t="n">
        <v>0</v>
      </c>
      <c r="F777" s="8" t="s">
        <v>2200</v>
      </c>
      <c r="G777" s="8" t="s">
        <v>2201</v>
      </c>
      <c r="H777" s="8" t="s">
        <v>2367</v>
      </c>
    </row>
    <row r="778" customFormat="false" ht="15" hidden="false" customHeight="false" outlineLevel="0" collapsed="false">
      <c r="A778" s="7" t="n">
        <v>45443</v>
      </c>
      <c r="B778" s="7" t="n">
        <v>45463</v>
      </c>
      <c r="C778" s="8" t="n">
        <v>5702</v>
      </c>
      <c r="D778" s="8" t="n">
        <v>8015</v>
      </c>
      <c r="E778" s="8" t="n">
        <v>18230</v>
      </c>
      <c r="F778" s="8" t="s">
        <v>2200</v>
      </c>
      <c r="G778" s="8" t="s">
        <v>2201</v>
      </c>
      <c r="H778" s="8" t="s">
        <v>2368</v>
      </c>
    </row>
    <row r="779" customFormat="false" ht="15" hidden="false" customHeight="false" outlineLevel="0" collapsed="false">
      <c r="A779" s="7" t="n">
        <v>45443</v>
      </c>
      <c r="B779" s="7" t="n">
        <v>45492</v>
      </c>
      <c r="C779" s="8" t="n">
        <v>5784</v>
      </c>
      <c r="D779" s="8" t="n">
        <v>7490</v>
      </c>
      <c r="E779" s="8" t="n">
        <v>16105</v>
      </c>
      <c r="F779" s="8" t="s">
        <v>2200</v>
      </c>
      <c r="G779" s="8" t="s">
        <v>2201</v>
      </c>
      <c r="H779" s="8" t="s">
        <v>2368</v>
      </c>
    </row>
    <row r="780" customFormat="false" ht="15" hidden="false" customHeight="false" outlineLevel="0" collapsed="false">
      <c r="A780" s="7" t="n">
        <v>45443</v>
      </c>
      <c r="B780" s="7" t="n">
        <v>45524</v>
      </c>
      <c r="C780" s="8" t="n">
        <v>5866</v>
      </c>
      <c r="D780" s="8" t="n">
        <v>0</v>
      </c>
      <c r="E780" s="8" t="n">
        <v>0</v>
      </c>
      <c r="F780" s="8" t="s">
        <v>2200</v>
      </c>
      <c r="G780" s="8" t="s">
        <v>2201</v>
      </c>
      <c r="H780" s="8" t="s">
        <v>2368</v>
      </c>
    </row>
    <row r="781" customFormat="false" ht="15" hidden="false" customHeight="false" outlineLevel="0" collapsed="false">
      <c r="A781" s="7" t="n">
        <v>45443</v>
      </c>
      <c r="B781" s="7" t="n">
        <v>45555</v>
      </c>
      <c r="C781" s="8" t="n">
        <v>5948</v>
      </c>
      <c r="D781" s="8" t="n">
        <v>0</v>
      </c>
      <c r="E781" s="8" t="n">
        <v>0</v>
      </c>
      <c r="F781" s="8" t="s">
        <v>2200</v>
      </c>
      <c r="G781" s="8" t="s">
        <v>2201</v>
      </c>
      <c r="H781" s="8" t="s">
        <v>2368</v>
      </c>
    </row>
    <row r="782" customFormat="false" ht="15" hidden="false" customHeight="false" outlineLevel="0" collapsed="false">
      <c r="A782" s="7" t="n">
        <v>45446</v>
      </c>
      <c r="B782" s="7" t="n">
        <v>45463</v>
      </c>
      <c r="C782" s="8" t="n">
        <v>5741</v>
      </c>
      <c r="D782" s="8" t="n">
        <v>3610</v>
      </c>
      <c r="E782" s="8" t="n">
        <v>17485</v>
      </c>
      <c r="F782" s="8" t="s">
        <v>2200</v>
      </c>
      <c r="G782" s="8" t="s">
        <v>2201</v>
      </c>
      <c r="H782" s="8" t="s">
        <v>2369</v>
      </c>
    </row>
    <row r="783" customFormat="false" ht="15" hidden="false" customHeight="false" outlineLevel="0" collapsed="false">
      <c r="A783" s="7" t="n">
        <v>45446</v>
      </c>
      <c r="B783" s="7" t="n">
        <v>45492</v>
      </c>
      <c r="C783" s="8" t="n">
        <v>5805</v>
      </c>
      <c r="D783" s="8" t="n">
        <v>3340</v>
      </c>
      <c r="E783" s="8" t="n">
        <v>17395</v>
      </c>
      <c r="F783" s="8" t="s">
        <v>2200</v>
      </c>
      <c r="G783" s="8" t="s">
        <v>2201</v>
      </c>
      <c r="H783" s="8" t="s">
        <v>2369</v>
      </c>
    </row>
    <row r="784" customFormat="false" ht="15" hidden="false" customHeight="false" outlineLevel="0" collapsed="false">
      <c r="A784" s="7" t="n">
        <v>45446</v>
      </c>
      <c r="B784" s="7" t="n">
        <v>45524</v>
      </c>
      <c r="C784" s="8" t="n">
        <v>5869</v>
      </c>
      <c r="D784" s="8" t="n">
        <v>0</v>
      </c>
      <c r="E784" s="8" t="n">
        <v>0</v>
      </c>
      <c r="F784" s="8" t="s">
        <v>2200</v>
      </c>
      <c r="G784" s="8" t="s">
        <v>2201</v>
      </c>
      <c r="H784" s="8" t="s">
        <v>2369</v>
      </c>
    </row>
    <row r="785" customFormat="false" ht="15" hidden="false" customHeight="false" outlineLevel="0" collapsed="false">
      <c r="A785" s="7" t="n">
        <v>45446</v>
      </c>
      <c r="B785" s="7" t="n">
        <v>45555</v>
      </c>
      <c r="C785" s="8" t="n">
        <v>5933</v>
      </c>
      <c r="D785" s="8" t="n">
        <v>0</v>
      </c>
      <c r="E785" s="8" t="n">
        <v>0</v>
      </c>
      <c r="F785" s="8" t="s">
        <v>2200</v>
      </c>
      <c r="G785" s="8" t="s">
        <v>2201</v>
      </c>
      <c r="H785" s="8" t="s">
        <v>2369</v>
      </c>
    </row>
    <row r="786" customFormat="false" ht="15" hidden="false" customHeight="false" outlineLevel="0" collapsed="false">
      <c r="A786" s="7" t="n">
        <v>45446</v>
      </c>
      <c r="B786" s="7" t="n">
        <v>45583</v>
      </c>
      <c r="C786" s="8" t="n">
        <v>5997</v>
      </c>
      <c r="D786" s="8" t="n">
        <v>0</v>
      </c>
      <c r="E786" s="8" t="n">
        <v>0</v>
      </c>
      <c r="F786" s="8" t="s">
        <v>2200</v>
      </c>
      <c r="G786" s="8" t="s">
        <v>2201</v>
      </c>
      <c r="H786" s="8" t="s">
        <v>2369</v>
      </c>
    </row>
    <row r="787" customFormat="false" ht="15" hidden="false" customHeight="false" outlineLevel="0" collapsed="false">
      <c r="A787" s="7" t="n">
        <v>45447</v>
      </c>
      <c r="B787" s="7" t="n">
        <v>45463</v>
      </c>
      <c r="C787" s="8" t="n">
        <v>5719</v>
      </c>
      <c r="D787" s="8" t="n">
        <v>2995</v>
      </c>
      <c r="E787" s="8" t="n">
        <v>16785</v>
      </c>
      <c r="F787" s="8" t="s">
        <v>2200</v>
      </c>
      <c r="G787" s="8" t="s">
        <v>2201</v>
      </c>
      <c r="H787" s="8" t="s">
        <v>2370</v>
      </c>
    </row>
    <row r="788" customFormat="false" ht="15" hidden="false" customHeight="false" outlineLevel="0" collapsed="false">
      <c r="A788" s="7" t="n">
        <v>45447</v>
      </c>
      <c r="B788" s="7" t="n">
        <v>45492</v>
      </c>
      <c r="C788" s="8" t="n">
        <v>5779</v>
      </c>
      <c r="D788" s="8" t="n">
        <v>2335</v>
      </c>
      <c r="E788" s="8" t="n">
        <v>18175</v>
      </c>
      <c r="F788" s="8" t="s">
        <v>2200</v>
      </c>
      <c r="G788" s="8" t="s">
        <v>2201</v>
      </c>
      <c r="H788" s="8" t="s">
        <v>2370</v>
      </c>
    </row>
    <row r="789" customFormat="false" ht="15" hidden="false" customHeight="false" outlineLevel="0" collapsed="false">
      <c r="A789" s="7" t="n">
        <v>45447</v>
      </c>
      <c r="B789" s="7" t="n">
        <v>45524</v>
      </c>
      <c r="C789" s="8" t="n">
        <v>5839</v>
      </c>
      <c r="D789" s="8" t="n">
        <v>0</v>
      </c>
      <c r="E789" s="8" t="n">
        <v>0</v>
      </c>
      <c r="F789" s="8" t="s">
        <v>2200</v>
      </c>
      <c r="G789" s="8" t="s">
        <v>2201</v>
      </c>
      <c r="H789" s="8" t="s">
        <v>2370</v>
      </c>
    </row>
    <row r="790" customFormat="false" ht="15" hidden="false" customHeight="false" outlineLevel="0" collapsed="false">
      <c r="A790" s="7" t="n">
        <v>45447</v>
      </c>
      <c r="B790" s="7" t="n">
        <v>45555</v>
      </c>
      <c r="C790" s="8" t="n">
        <v>5899</v>
      </c>
      <c r="D790" s="8" t="n">
        <v>0</v>
      </c>
      <c r="E790" s="8" t="n">
        <v>0</v>
      </c>
      <c r="F790" s="8" t="s">
        <v>2200</v>
      </c>
      <c r="G790" s="8" t="s">
        <v>2201</v>
      </c>
      <c r="H790" s="8" t="s">
        <v>2370</v>
      </c>
    </row>
    <row r="791" customFormat="false" ht="15" hidden="false" customHeight="false" outlineLevel="0" collapsed="false">
      <c r="A791" s="7" t="n">
        <v>45447</v>
      </c>
      <c r="B791" s="7" t="n">
        <v>45583</v>
      </c>
      <c r="C791" s="8" t="n">
        <v>5959</v>
      </c>
      <c r="D791" s="8" t="n">
        <v>0</v>
      </c>
      <c r="E791" s="8" t="n">
        <v>0</v>
      </c>
      <c r="F791" s="8" t="s">
        <v>2200</v>
      </c>
      <c r="G791" s="8" t="s">
        <v>2201</v>
      </c>
      <c r="H791" s="8" t="s">
        <v>2370</v>
      </c>
    </row>
    <row r="792" customFormat="false" ht="15" hidden="false" customHeight="false" outlineLevel="0" collapsed="false">
      <c r="A792" s="7" t="n">
        <v>45448</v>
      </c>
      <c r="B792" s="7" t="n">
        <v>45463</v>
      </c>
      <c r="C792" s="8" t="n">
        <v>5700</v>
      </c>
      <c r="D792" s="8" t="n">
        <v>2685</v>
      </c>
      <c r="E792" s="8" t="n">
        <v>16320</v>
      </c>
      <c r="F792" s="8" t="s">
        <v>2200</v>
      </c>
      <c r="G792" s="8" t="s">
        <v>2201</v>
      </c>
      <c r="H792" s="8" t="s">
        <v>2371</v>
      </c>
    </row>
    <row r="793" customFormat="false" ht="15" hidden="false" customHeight="false" outlineLevel="0" collapsed="false">
      <c r="A793" s="7" t="n">
        <v>45448</v>
      </c>
      <c r="B793" s="7" t="n">
        <v>45492</v>
      </c>
      <c r="C793" s="8" t="n">
        <v>5775</v>
      </c>
      <c r="D793" s="8" t="n">
        <v>2715</v>
      </c>
      <c r="E793" s="8" t="n">
        <v>19070</v>
      </c>
      <c r="F793" s="8" t="s">
        <v>2200</v>
      </c>
      <c r="G793" s="8" t="s">
        <v>2201</v>
      </c>
      <c r="H793" s="8" t="s">
        <v>2371</v>
      </c>
    </row>
    <row r="794" customFormat="false" ht="15" hidden="false" customHeight="false" outlineLevel="0" collapsed="false">
      <c r="A794" s="7" t="n">
        <v>45448</v>
      </c>
      <c r="B794" s="7" t="n">
        <v>45524</v>
      </c>
      <c r="C794" s="8" t="n">
        <v>5800</v>
      </c>
      <c r="D794" s="8" t="n">
        <v>5</v>
      </c>
      <c r="E794" s="8" t="n">
        <v>5</v>
      </c>
      <c r="F794" s="8" t="s">
        <v>2200</v>
      </c>
      <c r="G794" s="8" t="s">
        <v>2201</v>
      </c>
      <c r="H794" s="8" t="s">
        <v>2371</v>
      </c>
    </row>
    <row r="795" customFormat="false" ht="15" hidden="false" customHeight="false" outlineLevel="0" collapsed="false">
      <c r="A795" s="7" t="n">
        <v>45448</v>
      </c>
      <c r="B795" s="7" t="n">
        <v>45555</v>
      </c>
      <c r="C795" s="8" t="n">
        <v>5825</v>
      </c>
      <c r="D795" s="8" t="n">
        <v>0</v>
      </c>
      <c r="E795" s="8" t="n">
        <v>0</v>
      </c>
      <c r="F795" s="8" t="s">
        <v>2200</v>
      </c>
      <c r="G795" s="8" t="s">
        <v>2201</v>
      </c>
      <c r="H795" s="8" t="s">
        <v>2371</v>
      </c>
    </row>
    <row r="796" customFormat="false" ht="15" hidden="false" customHeight="false" outlineLevel="0" collapsed="false">
      <c r="A796" s="7" t="n">
        <v>45448</v>
      </c>
      <c r="B796" s="7" t="n">
        <v>45583</v>
      </c>
      <c r="C796" s="8" t="n">
        <v>5850</v>
      </c>
      <c r="D796" s="8" t="n">
        <v>0</v>
      </c>
      <c r="E796" s="8" t="n">
        <v>0</v>
      </c>
      <c r="F796" s="8" t="s">
        <v>2200</v>
      </c>
      <c r="G796" s="8" t="s">
        <v>2201</v>
      </c>
      <c r="H796" s="8" t="s">
        <v>2371</v>
      </c>
    </row>
    <row r="797" customFormat="false" ht="15" hidden="false" customHeight="false" outlineLevel="0" collapsed="false">
      <c r="A797" s="7" t="n">
        <v>45449</v>
      </c>
      <c r="B797" s="7" t="n">
        <v>45463</v>
      </c>
      <c r="C797" s="8" t="n">
        <v>5712</v>
      </c>
      <c r="D797" s="8" t="n">
        <v>3025</v>
      </c>
      <c r="E797" s="8" t="n">
        <v>15055</v>
      </c>
      <c r="F797" s="8" t="s">
        <v>2200</v>
      </c>
      <c r="G797" s="8" t="s">
        <v>2201</v>
      </c>
      <c r="H797" s="8" t="s">
        <v>2372</v>
      </c>
    </row>
    <row r="798" customFormat="false" ht="15" hidden="false" customHeight="false" outlineLevel="0" collapsed="false">
      <c r="A798" s="7" t="n">
        <v>45449</v>
      </c>
      <c r="B798" s="7" t="n">
        <v>45492</v>
      </c>
      <c r="C798" s="8" t="n">
        <v>5781</v>
      </c>
      <c r="D798" s="8" t="n">
        <v>3290</v>
      </c>
      <c r="E798" s="8" t="n">
        <v>20890</v>
      </c>
      <c r="F798" s="8" t="s">
        <v>2200</v>
      </c>
      <c r="G798" s="8" t="s">
        <v>2201</v>
      </c>
      <c r="H798" s="8" t="s">
        <v>2372</v>
      </c>
    </row>
    <row r="799" customFormat="false" ht="15" hidden="false" customHeight="false" outlineLevel="0" collapsed="false">
      <c r="A799" s="7" t="n">
        <v>45449</v>
      </c>
      <c r="B799" s="7" t="n">
        <v>45524</v>
      </c>
      <c r="C799" s="8" t="n">
        <v>5839</v>
      </c>
      <c r="D799" s="8" t="n">
        <v>15</v>
      </c>
      <c r="E799" s="8" t="n">
        <v>10</v>
      </c>
      <c r="F799" s="8" t="s">
        <v>2200</v>
      </c>
      <c r="G799" s="8" t="s">
        <v>2201</v>
      </c>
      <c r="H799" s="8" t="s">
        <v>2372</v>
      </c>
    </row>
    <row r="800" customFormat="false" ht="15" hidden="false" customHeight="false" outlineLevel="0" collapsed="false">
      <c r="A800" s="7" t="n">
        <v>45449</v>
      </c>
      <c r="B800" s="7" t="n">
        <v>45555</v>
      </c>
      <c r="C800" s="8" t="n">
        <v>5897</v>
      </c>
      <c r="D800" s="8" t="n">
        <v>0</v>
      </c>
      <c r="E800" s="8" t="n">
        <v>0</v>
      </c>
      <c r="F800" s="8" t="s">
        <v>2200</v>
      </c>
      <c r="G800" s="8" t="s">
        <v>2201</v>
      </c>
      <c r="H800" s="8" t="s">
        <v>2372</v>
      </c>
    </row>
    <row r="801" customFormat="false" ht="15" hidden="false" customHeight="false" outlineLevel="0" collapsed="false">
      <c r="A801" s="7" t="n">
        <v>45449</v>
      </c>
      <c r="B801" s="7" t="n">
        <v>45583</v>
      </c>
      <c r="C801" s="8" t="n">
        <v>5955</v>
      </c>
      <c r="D801" s="8" t="n">
        <v>0</v>
      </c>
      <c r="E801" s="8" t="n">
        <v>0</v>
      </c>
      <c r="F801" s="8" t="s">
        <v>2200</v>
      </c>
      <c r="G801" s="8" t="s">
        <v>2201</v>
      </c>
      <c r="H801" s="8" t="s">
        <v>2372</v>
      </c>
    </row>
    <row r="802" customFormat="false" ht="15" hidden="false" customHeight="false" outlineLevel="0" collapsed="false">
      <c r="A802" s="7" t="n">
        <v>45450</v>
      </c>
      <c r="B802" s="7" t="n">
        <v>45463</v>
      </c>
      <c r="C802" s="8" t="n">
        <v>5714</v>
      </c>
      <c r="D802" s="8" t="n">
        <v>2440</v>
      </c>
      <c r="E802" s="8" t="n">
        <v>14135</v>
      </c>
      <c r="F802" s="8" t="s">
        <v>2200</v>
      </c>
      <c r="G802" s="8" t="s">
        <v>2201</v>
      </c>
      <c r="H802" s="8" t="s">
        <v>2373</v>
      </c>
    </row>
    <row r="803" customFormat="false" ht="15" hidden="false" customHeight="false" outlineLevel="0" collapsed="false">
      <c r="A803" s="7" t="n">
        <v>45450</v>
      </c>
      <c r="B803" s="7" t="n">
        <v>45492</v>
      </c>
      <c r="C803" s="8" t="n">
        <v>5787</v>
      </c>
      <c r="D803" s="8" t="n">
        <v>3070</v>
      </c>
      <c r="E803" s="8" t="n">
        <v>22000</v>
      </c>
      <c r="F803" s="8" t="s">
        <v>2200</v>
      </c>
      <c r="G803" s="8" t="s">
        <v>2201</v>
      </c>
      <c r="H803" s="8" t="s">
        <v>2373</v>
      </c>
    </row>
    <row r="804" customFormat="false" ht="15" hidden="false" customHeight="false" outlineLevel="0" collapsed="false">
      <c r="A804" s="7" t="n">
        <v>45450</v>
      </c>
      <c r="B804" s="7" t="n">
        <v>45524</v>
      </c>
      <c r="C804" s="8" t="n">
        <v>5860</v>
      </c>
      <c r="D804" s="8" t="n">
        <v>0</v>
      </c>
      <c r="E804" s="8" t="n">
        <v>10</v>
      </c>
      <c r="F804" s="8" t="s">
        <v>2200</v>
      </c>
      <c r="G804" s="8" t="s">
        <v>2201</v>
      </c>
      <c r="H804" s="8" t="s">
        <v>2373</v>
      </c>
    </row>
    <row r="805" customFormat="false" ht="15" hidden="false" customHeight="false" outlineLevel="0" collapsed="false">
      <c r="A805" s="7" t="n">
        <v>45450</v>
      </c>
      <c r="B805" s="7" t="n">
        <v>45555</v>
      </c>
      <c r="C805" s="8" t="n">
        <v>5933</v>
      </c>
      <c r="D805" s="8" t="n">
        <v>0</v>
      </c>
      <c r="E805" s="8" t="n">
        <v>0</v>
      </c>
      <c r="F805" s="8" t="s">
        <v>2200</v>
      </c>
      <c r="G805" s="8" t="s">
        <v>2201</v>
      </c>
      <c r="H805" s="8" t="s">
        <v>2373</v>
      </c>
    </row>
    <row r="806" customFormat="false" ht="15" hidden="false" customHeight="false" outlineLevel="0" collapsed="false">
      <c r="A806" s="7" t="n">
        <v>45450</v>
      </c>
      <c r="B806" s="7" t="n">
        <v>45583</v>
      </c>
      <c r="C806" s="8" t="n">
        <v>6006</v>
      </c>
      <c r="D806" s="8" t="n">
        <v>0</v>
      </c>
      <c r="E806" s="8" t="n">
        <v>0</v>
      </c>
      <c r="F806" s="8" t="s">
        <v>2200</v>
      </c>
      <c r="G806" s="8" t="s">
        <v>2201</v>
      </c>
      <c r="H806" s="8" t="s">
        <v>2373</v>
      </c>
    </row>
    <row r="807" customFormat="false" ht="15" hidden="false" customHeight="false" outlineLevel="0" collapsed="false">
      <c r="A807" s="7" t="n">
        <v>45453</v>
      </c>
      <c r="B807" s="7" t="n">
        <v>45463</v>
      </c>
      <c r="C807" s="8" t="n">
        <v>5692</v>
      </c>
      <c r="D807" s="8" t="n">
        <v>5215</v>
      </c>
      <c r="E807" s="8" t="n">
        <v>10420</v>
      </c>
      <c r="F807" s="8" t="s">
        <v>2200</v>
      </c>
      <c r="G807" s="8" t="s">
        <v>2201</v>
      </c>
      <c r="H807" s="8" t="s">
        <v>2374</v>
      </c>
    </row>
    <row r="808" customFormat="false" ht="15" hidden="false" customHeight="false" outlineLevel="0" collapsed="false">
      <c r="A808" s="7" t="n">
        <v>45453</v>
      </c>
      <c r="B808" s="7" t="n">
        <v>45492</v>
      </c>
      <c r="C808" s="8" t="n">
        <v>5768</v>
      </c>
      <c r="D808" s="8" t="n">
        <v>6900</v>
      </c>
      <c r="E808" s="8" t="n">
        <v>25455</v>
      </c>
      <c r="F808" s="8" t="s">
        <v>2200</v>
      </c>
      <c r="G808" s="8" t="s">
        <v>2201</v>
      </c>
      <c r="H808" s="8" t="s">
        <v>2374</v>
      </c>
    </row>
    <row r="809" customFormat="false" ht="15" hidden="false" customHeight="false" outlineLevel="0" collapsed="false">
      <c r="A809" s="7" t="n">
        <v>45453</v>
      </c>
      <c r="B809" s="7" t="n">
        <v>45524</v>
      </c>
      <c r="C809" s="8" t="n">
        <v>5831</v>
      </c>
      <c r="D809" s="8" t="n">
        <v>45</v>
      </c>
      <c r="E809" s="8" t="n">
        <v>55</v>
      </c>
      <c r="F809" s="8" t="s">
        <v>2200</v>
      </c>
      <c r="G809" s="8" t="s">
        <v>2201</v>
      </c>
      <c r="H809" s="8" t="s">
        <v>2374</v>
      </c>
    </row>
    <row r="810" customFormat="false" ht="15" hidden="false" customHeight="false" outlineLevel="0" collapsed="false">
      <c r="A810" s="7" t="n">
        <v>45453</v>
      </c>
      <c r="B810" s="7" t="n">
        <v>45555</v>
      </c>
      <c r="C810" s="8" t="n">
        <v>5894</v>
      </c>
      <c r="D810" s="8" t="n">
        <v>0</v>
      </c>
      <c r="E810" s="8" t="n">
        <v>0</v>
      </c>
      <c r="F810" s="8" t="s">
        <v>2200</v>
      </c>
      <c r="G810" s="8" t="s">
        <v>2201</v>
      </c>
      <c r="H810" s="8" t="s">
        <v>2374</v>
      </c>
    </row>
    <row r="811" customFormat="false" ht="15" hidden="false" customHeight="false" outlineLevel="0" collapsed="false">
      <c r="A811" s="7" t="n">
        <v>45453</v>
      </c>
      <c r="B811" s="7" t="n">
        <v>45583</v>
      </c>
      <c r="C811" s="8" t="n">
        <v>5957</v>
      </c>
      <c r="D811" s="8" t="n">
        <v>0</v>
      </c>
      <c r="E811" s="8" t="n">
        <v>0</v>
      </c>
      <c r="F811" s="8" t="s">
        <v>2200</v>
      </c>
      <c r="G811" s="8" t="s">
        <v>2201</v>
      </c>
      <c r="H811" s="8" t="s">
        <v>2374</v>
      </c>
    </row>
    <row r="812" customFormat="false" ht="15" hidden="false" customHeight="false" outlineLevel="0" collapsed="false">
      <c r="A812" s="7" t="n">
        <v>45454</v>
      </c>
      <c r="B812" s="7" t="n">
        <v>45463</v>
      </c>
      <c r="C812" s="8" t="n">
        <v>5695</v>
      </c>
      <c r="D812" s="8" t="n">
        <v>3715</v>
      </c>
      <c r="E812" s="8" t="n">
        <v>8340</v>
      </c>
      <c r="F812" s="8" t="s">
        <v>2200</v>
      </c>
      <c r="G812" s="8" t="s">
        <v>2201</v>
      </c>
      <c r="H812" s="8" t="s">
        <v>2375</v>
      </c>
    </row>
    <row r="813" customFormat="false" ht="15" hidden="false" customHeight="false" outlineLevel="0" collapsed="false">
      <c r="A813" s="7" t="n">
        <v>45454</v>
      </c>
      <c r="B813" s="7" t="n">
        <v>45492</v>
      </c>
      <c r="C813" s="8" t="n">
        <v>5757</v>
      </c>
      <c r="D813" s="8" t="n">
        <v>4830</v>
      </c>
      <c r="E813" s="8" t="n">
        <v>28200</v>
      </c>
      <c r="F813" s="8" t="s">
        <v>2200</v>
      </c>
      <c r="G813" s="8" t="s">
        <v>2201</v>
      </c>
      <c r="H813" s="8" t="s">
        <v>2375</v>
      </c>
    </row>
    <row r="814" customFormat="false" ht="15" hidden="false" customHeight="false" outlineLevel="0" collapsed="false">
      <c r="A814" s="7" t="n">
        <v>45454</v>
      </c>
      <c r="B814" s="7" t="n">
        <v>45524</v>
      </c>
      <c r="C814" s="8" t="n">
        <v>5819</v>
      </c>
      <c r="D814" s="8" t="n">
        <v>0</v>
      </c>
      <c r="E814" s="8" t="n">
        <v>55</v>
      </c>
      <c r="F814" s="8" t="s">
        <v>2200</v>
      </c>
      <c r="G814" s="8" t="s">
        <v>2201</v>
      </c>
      <c r="H814" s="8" t="s">
        <v>2375</v>
      </c>
    </row>
    <row r="815" customFormat="false" ht="15" hidden="false" customHeight="false" outlineLevel="0" collapsed="false">
      <c r="A815" s="7" t="n">
        <v>45454</v>
      </c>
      <c r="B815" s="7" t="n">
        <v>45555</v>
      </c>
      <c r="C815" s="8" t="n">
        <v>5881</v>
      </c>
      <c r="D815" s="8" t="n">
        <v>0</v>
      </c>
      <c r="E815" s="8" t="n">
        <v>0</v>
      </c>
      <c r="F815" s="8" t="s">
        <v>2200</v>
      </c>
      <c r="G815" s="8" t="s">
        <v>2201</v>
      </c>
      <c r="H815" s="8" t="s">
        <v>2375</v>
      </c>
    </row>
    <row r="816" customFormat="false" ht="15" hidden="false" customHeight="false" outlineLevel="0" collapsed="false">
      <c r="A816" s="7" t="n">
        <v>45454</v>
      </c>
      <c r="B816" s="7" t="n">
        <v>45583</v>
      </c>
      <c r="C816" s="8" t="n">
        <v>5943</v>
      </c>
      <c r="D816" s="8" t="n">
        <v>0</v>
      </c>
      <c r="E816" s="8" t="n">
        <v>0</v>
      </c>
      <c r="F816" s="8" t="s">
        <v>2200</v>
      </c>
      <c r="G816" s="8" t="s">
        <v>2201</v>
      </c>
      <c r="H816" s="8" t="s">
        <v>2375</v>
      </c>
    </row>
    <row r="817" customFormat="false" ht="15" hidden="false" customHeight="false" outlineLevel="0" collapsed="false">
      <c r="A817" s="7" t="n">
        <v>45455</v>
      </c>
      <c r="B817" s="7" t="n">
        <v>45463</v>
      </c>
      <c r="C817" s="8" t="n">
        <v>5700</v>
      </c>
      <c r="D817" s="8" t="n">
        <v>2040</v>
      </c>
      <c r="E817" s="8" t="n">
        <v>7275</v>
      </c>
      <c r="F817" s="8" t="s">
        <v>2200</v>
      </c>
      <c r="G817" s="8" t="s">
        <v>2201</v>
      </c>
      <c r="H817" s="8" t="s">
        <v>2376</v>
      </c>
    </row>
    <row r="818" customFormat="false" ht="15" hidden="false" customHeight="false" outlineLevel="0" collapsed="false">
      <c r="A818" s="7" t="n">
        <v>45455</v>
      </c>
      <c r="B818" s="7" t="n">
        <v>45492</v>
      </c>
      <c r="C818" s="8" t="n">
        <v>5759</v>
      </c>
      <c r="D818" s="8" t="n">
        <v>6275</v>
      </c>
      <c r="E818" s="8" t="n">
        <v>30060</v>
      </c>
      <c r="F818" s="8" t="s">
        <v>2200</v>
      </c>
      <c r="G818" s="8" t="s">
        <v>2201</v>
      </c>
      <c r="H818" s="8" t="s">
        <v>2376</v>
      </c>
    </row>
    <row r="819" customFormat="false" ht="15" hidden="false" customHeight="false" outlineLevel="0" collapsed="false">
      <c r="A819" s="7" t="n">
        <v>45455</v>
      </c>
      <c r="B819" s="7" t="n">
        <v>45524</v>
      </c>
      <c r="C819" s="8" t="n">
        <v>5810</v>
      </c>
      <c r="D819" s="8" t="n">
        <v>5</v>
      </c>
      <c r="E819" s="8" t="n">
        <v>60</v>
      </c>
      <c r="F819" s="8" t="s">
        <v>2200</v>
      </c>
      <c r="G819" s="8" t="s">
        <v>2201</v>
      </c>
      <c r="H819" s="8" t="s">
        <v>2376</v>
      </c>
    </row>
    <row r="820" customFormat="false" ht="15" hidden="false" customHeight="false" outlineLevel="0" collapsed="false">
      <c r="A820" s="7" t="n">
        <v>45455</v>
      </c>
      <c r="B820" s="7" t="n">
        <v>45555</v>
      </c>
      <c r="C820" s="8" t="n">
        <v>5861</v>
      </c>
      <c r="D820" s="8" t="n">
        <v>0</v>
      </c>
      <c r="E820" s="8" t="n">
        <v>0</v>
      </c>
      <c r="F820" s="8" t="s">
        <v>2200</v>
      </c>
      <c r="G820" s="8" t="s">
        <v>2201</v>
      </c>
      <c r="H820" s="8" t="s">
        <v>2376</v>
      </c>
    </row>
    <row r="821" customFormat="false" ht="15" hidden="false" customHeight="false" outlineLevel="0" collapsed="false">
      <c r="A821" s="7" t="n">
        <v>45455</v>
      </c>
      <c r="B821" s="7" t="n">
        <v>45583</v>
      </c>
      <c r="C821" s="8" t="n">
        <v>5912</v>
      </c>
      <c r="D821" s="8" t="n">
        <v>0</v>
      </c>
      <c r="E821" s="8" t="n">
        <v>0</v>
      </c>
      <c r="F821" s="8" t="s">
        <v>2200</v>
      </c>
      <c r="G821" s="8" t="s">
        <v>2201</v>
      </c>
      <c r="H821" s="8" t="s">
        <v>2376</v>
      </c>
    </row>
    <row r="822" customFormat="false" ht="15" hidden="false" customHeight="false" outlineLevel="0" collapsed="false">
      <c r="A822" s="7" t="n">
        <v>45456</v>
      </c>
      <c r="B822" s="7" t="n">
        <v>45463</v>
      </c>
      <c r="C822" s="8" t="n">
        <v>5719</v>
      </c>
      <c r="D822" s="8" t="n">
        <v>6050</v>
      </c>
      <c r="E822" s="8" t="n">
        <v>5440</v>
      </c>
      <c r="F822" s="8" t="s">
        <v>2200</v>
      </c>
      <c r="G822" s="8" t="s">
        <v>2201</v>
      </c>
      <c r="H822" s="8" t="s">
        <v>2377</v>
      </c>
    </row>
    <row r="823" customFormat="false" ht="15" hidden="false" customHeight="false" outlineLevel="0" collapsed="false">
      <c r="A823" s="7" t="n">
        <v>45456</v>
      </c>
      <c r="B823" s="7" t="n">
        <v>45492</v>
      </c>
      <c r="C823" s="8" t="n">
        <v>5778</v>
      </c>
      <c r="D823" s="8" t="n">
        <v>6855</v>
      </c>
      <c r="E823" s="8" t="n">
        <v>32610</v>
      </c>
      <c r="F823" s="8" t="s">
        <v>2200</v>
      </c>
      <c r="G823" s="8" t="s">
        <v>2201</v>
      </c>
      <c r="H823" s="8" t="s">
        <v>2377</v>
      </c>
    </row>
    <row r="824" customFormat="false" ht="15" hidden="false" customHeight="false" outlineLevel="0" collapsed="false">
      <c r="A824" s="7" t="n">
        <v>45456</v>
      </c>
      <c r="B824" s="7" t="n">
        <v>45524</v>
      </c>
      <c r="C824" s="8" t="n">
        <v>5837</v>
      </c>
      <c r="D824" s="8" t="n">
        <v>0</v>
      </c>
      <c r="E824" s="8" t="n">
        <v>60</v>
      </c>
      <c r="F824" s="8" t="s">
        <v>2200</v>
      </c>
      <c r="G824" s="8" t="s">
        <v>2201</v>
      </c>
      <c r="H824" s="8" t="s">
        <v>2377</v>
      </c>
    </row>
    <row r="825" customFormat="false" ht="15" hidden="false" customHeight="false" outlineLevel="0" collapsed="false">
      <c r="A825" s="7" t="n">
        <v>45456</v>
      </c>
      <c r="B825" s="7" t="n">
        <v>45555</v>
      </c>
      <c r="C825" s="8" t="n">
        <v>5896</v>
      </c>
      <c r="D825" s="8" t="n">
        <v>0</v>
      </c>
      <c r="E825" s="8" t="n">
        <v>0</v>
      </c>
      <c r="F825" s="8" t="s">
        <v>2200</v>
      </c>
      <c r="G825" s="8" t="s">
        <v>2201</v>
      </c>
      <c r="H825" s="8" t="s">
        <v>2377</v>
      </c>
    </row>
    <row r="826" customFormat="false" ht="15" hidden="false" customHeight="false" outlineLevel="0" collapsed="false">
      <c r="A826" s="7" t="n">
        <v>45456</v>
      </c>
      <c r="B826" s="7" t="n">
        <v>45583</v>
      </c>
      <c r="C826" s="8" t="n">
        <v>5955</v>
      </c>
      <c r="D826" s="8" t="n">
        <v>0</v>
      </c>
      <c r="E826" s="8" t="n">
        <v>0</v>
      </c>
      <c r="F826" s="8" t="s">
        <v>2200</v>
      </c>
      <c r="G826" s="8" t="s">
        <v>2201</v>
      </c>
      <c r="H826" s="8" t="s">
        <v>2377</v>
      </c>
    </row>
    <row r="827" customFormat="false" ht="15" hidden="false" customHeight="false" outlineLevel="0" collapsed="false">
      <c r="A827" s="7" t="n">
        <v>45457</v>
      </c>
      <c r="B827" s="7" t="n">
        <v>45463</v>
      </c>
      <c r="C827" s="8" t="n">
        <v>5699</v>
      </c>
      <c r="D827" s="8" t="n">
        <v>925</v>
      </c>
      <c r="E827" s="8" t="n">
        <v>3065</v>
      </c>
      <c r="F827" s="8" t="s">
        <v>2200</v>
      </c>
      <c r="G827" s="8" t="s">
        <v>2201</v>
      </c>
      <c r="H827" s="8" t="s">
        <v>2378</v>
      </c>
    </row>
    <row r="828" customFormat="false" ht="15" hidden="false" customHeight="false" outlineLevel="0" collapsed="false">
      <c r="A828" s="7" t="n">
        <v>45457</v>
      </c>
      <c r="B828" s="7" t="n">
        <v>45492</v>
      </c>
      <c r="C828" s="8" t="n">
        <v>5811</v>
      </c>
      <c r="D828" s="8" t="n">
        <v>6380</v>
      </c>
      <c r="E828" s="8" t="n">
        <v>33320</v>
      </c>
      <c r="F828" s="8" t="s">
        <v>2200</v>
      </c>
      <c r="G828" s="8" t="s">
        <v>2201</v>
      </c>
      <c r="H828" s="8" t="s">
        <v>2378</v>
      </c>
    </row>
    <row r="829" customFormat="false" ht="15" hidden="false" customHeight="false" outlineLevel="0" collapsed="false">
      <c r="A829" s="7" t="n">
        <v>45457</v>
      </c>
      <c r="B829" s="7" t="n">
        <v>45524</v>
      </c>
      <c r="C829" s="8" t="n">
        <v>5923</v>
      </c>
      <c r="D829" s="8" t="n">
        <v>30</v>
      </c>
      <c r="E829" s="8" t="n">
        <v>65</v>
      </c>
      <c r="F829" s="8" t="s">
        <v>2200</v>
      </c>
      <c r="G829" s="8" t="s">
        <v>2201</v>
      </c>
      <c r="H829" s="8" t="s">
        <v>2378</v>
      </c>
    </row>
    <row r="830" customFormat="false" ht="15" hidden="false" customHeight="false" outlineLevel="0" collapsed="false">
      <c r="A830" s="7" t="n">
        <v>45457</v>
      </c>
      <c r="B830" s="7" t="n">
        <v>45555</v>
      </c>
      <c r="C830" s="8" t="n">
        <v>6035</v>
      </c>
      <c r="D830" s="8" t="n">
        <v>0</v>
      </c>
      <c r="E830" s="8" t="n">
        <v>0</v>
      </c>
      <c r="F830" s="8" t="s">
        <v>2200</v>
      </c>
      <c r="G830" s="8" t="s">
        <v>2201</v>
      </c>
      <c r="H830" s="8" t="s">
        <v>2378</v>
      </c>
    </row>
    <row r="831" customFormat="false" ht="15" hidden="false" customHeight="false" outlineLevel="0" collapsed="false">
      <c r="A831" s="7" t="n">
        <v>45457</v>
      </c>
      <c r="B831" s="7" t="n">
        <v>45583</v>
      </c>
      <c r="C831" s="8" t="n">
        <v>6147</v>
      </c>
      <c r="D831" s="8" t="n">
        <v>0</v>
      </c>
      <c r="E831" s="8" t="n">
        <v>0</v>
      </c>
      <c r="F831" s="8" t="s">
        <v>2200</v>
      </c>
      <c r="G831" s="8" t="s">
        <v>2201</v>
      </c>
      <c r="H831" s="8" t="s">
        <v>2378</v>
      </c>
    </row>
    <row r="832" customFormat="false" ht="15" hidden="false" customHeight="false" outlineLevel="0" collapsed="false">
      <c r="A832" s="7" t="n">
        <v>45461</v>
      </c>
      <c r="B832" s="7" t="n">
        <v>45463</v>
      </c>
      <c r="C832" s="8" t="n">
        <v>5721</v>
      </c>
      <c r="D832" s="8" t="n">
        <v>145</v>
      </c>
      <c r="E832" s="8" t="n">
        <v>1345</v>
      </c>
      <c r="F832" s="8" t="s">
        <v>2200</v>
      </c>
      <c r="G832" s="8" t="s">
        <v>2201</v>
      </c>
      <c r="H832" s="8" t="s">
        <v>2379</v>
      </c>
    </row>
    <row r="833" customFormat="false" ht="15" hidden="false" customHeight="false" outlineLevel="0" collapsed="false">
      <c r="A833" s="7" t="n">
        <v>45461</v>
      </c>
      <c r="B833" s="7" t="n">
        <v>45492</v>
      </c>
      <c r="C833" s="8" t="n">
        <v>5765</v>
      </c>
      <c r="D833" s="8" t="n">
        <v>3570</v>
      </c>
      <c r="E833" s="8" t="n">
        <v>33815</v>
      </c>
      <c r="F833" s="8" t="s">
        <v>2200</v>
      </c>
      <c r="G833" s="8" t="s">
        <v>2201</v>
      </c>
      <c r="H833" s="8" t="s">
        <v>2379</v>
      </c>
    </row>
    <row r="834" customFormat="false" ht="15" hidden="false" customHeight="false" outlineLevel="0" collapsed="false">
      <c r="A834" s="7" t="n">
        <v>45461</v>
      </c>
      <c r="B834" s="7" t="n">
        <v>45524</v>
      </c>
      <c r="C834" s="8" t="n">
        <v>5831</v>
      </c>
      <c r="D834" s="8" t="n">
        <v>255</v>
      </c>
      <c r="E834" s="8" t="n">
        <v>240</v>
      </c>
      <c r="F834" s="8" t="s">
        <v>2200</v>
      </c>
      <c r="G834" s="8" t="s">
        <v>2201</v>
      </c>
      <c r="H834" s="8" t="s">
        <v>2379</v>
      </c>
    </row>
    <row r="835" customFormat="false" ht="15" hidden="false" customHeight="false" outlineLevel="0" collapsed="false">
      <c r="A835" s="7" t="n">
        <v>45461</v>
      </c>
      <c r="B835" s="7" t="n">
        <v>45555</v>
      </c>
      <c r="C835" s="8" t="n">
        <v>5897</v>
      </c>
      <c r="D835" s="8" t="n">
        <v>0</v>
      </c>
      <c r="E835" s="8" t="n">
        <v>0</v>
      </c>
      <c r="F835" s="8" t="s">
        <v>2200</v>
      </c>
      <c r="G835" s="8" t="s">
        <v>2201</v>
      </c>
      <c r="H835" s="8" t="s">
        <v>2379</v>
      </c>
    </row>
    <row r="836" customFormat="false" ht="15" hidden="false" customHeight="false" outlineLevel="0" collapsed="false">
      <c r="A836" s="7" t="n">
        <v>45461</v>
      </c>
      <c r="B836" s="7" t="n">
        <v>45583</v>
      </c>
      <c r="C836" s="8" t="n">
        <v>5963</v>
      </c>
      <c r="D836" s="8" t="n">
        <v>0</v>
      </c>
      <c r="E836" s="8" t="n">
        <v>0</v>
      </c>
      <c r="F836" s="8" t="s">
        <v>2200</v>
      </c>
      <c r="G836" s="8" t="s">
        <v>2201</v>
      </c>
      <c r="H836" s="8" t="s">
        <v>2379</v>
      </c>
    </row>
    <row r="837" customFormat="false" ht="15" hidden="false" customHeight="false" outlineLevel="0" collapsed="false">
      <c r="A837" s="7" t="n">
        <v>45462</v>
      </c>
      <c r="B837" s="7" t="n">
        <v>45463</v>
      </c>
      <c r="C837" s="8" t="n">
        <v>5612</v>
      </c>
      <c r="D837" s="8" t="n">
        <v>25</v>
      </c>
      <c r="E837" s="8" t="n">
        <v>70</v>
      </c>
      <c r="F837" s="8" t="s">
        <v>2200</v>
      </c>
      <c r="G837" s="8" t="s">
        <v>2201</v>
      </c>
      <c r="H837" s="8" t="s">
        <v>2380</v>
      </c>
    </row>
    <row r="838" customFormat="false" ht="15" hidden="false" customHeight="false" outlineLevel="0" collapsed="false">
      <c r="A838" s="7" t="n">
        <v>45462</v>
      </c>
      <c r="B838" s="7" t="n">
        <v>45492</v>
      </c>
      <c r="C838" s="8" t="n">
        <v>5763</v>
      </c>
      <c r="D838" s="8" t="n">
        <v>3395</v>
      </c>
      <c r="E838" s="8" t="n">
        <v>34085</v>
      </c>
      <c r="F838" s="8" t="s">
        <v>2200</v>
      </c>
      <c r="G838" s="8" t="s">
        <v>2201</v>
      </c>
      <c r="H838" s="8" t="s">
        <v>2380</v>
      </c>
    </row>
    <row r="839" customFormat="false" ht="15" hidden="false" customHeight="false" outlineLevel="0" collapsed="false">
      <c r="A839" s="7" t="n">
        <v>45462</v>
      </c>
      <c r="B839" s="7" t="n">
        <v>45524</v>
      </c>
      <c r="C839" s="8" t="n">
        <v>5799</v>
      </c>
      <c r="D839" s="8" t="n">
        <v>140</v>
      </c>
      <c r="E839" s="8" t="n">
        <v>295</v>
      </c>
      <c r="F839" s="8" t="s">
        <v>2200</v>
      </c>
      <c r="G839" s="8" t="s">
        <v>2201</v>
      </c>
      <c r="H839" s="8" t="s">
        <v>2380</v>
      </c>
    </row>
    <row r="840" customFormat="false" ht="15" hidden="false" customHeight="false" outlineLevel="0" collapsed="false">
      <c r="A840" s="7" t="n">
        <v>45462</v>
      </c>
      <c r="B840" s="7" t="n">
        <v>45555</v>
      </c>
      <c r="C840" s="8" t="n">
        <v>5835</v>
      </c>
      <c r="D840" s="8" t="n">
        <v>0</v>
      </c>
      <c r="E840" s="8" t="n">
        <v>0</v>
      </c>
      <c r="F840" s="8" t="s">
        <v>2200</v>
      </c>
      <c r="G840" s="8" t="s">
        <v>2201</v>
      </c>
      <c r="H840" s="8" t="s">
        <v>2380</v>
      </c>
    </row>
    <row r="841" customFormat="false" ht="15" hidden="false" customHeight="false" outlineLevel="0" collapsed="false">
      <c r="A841" s="7" t="n">
        <v>45462</v>
      </c>
      <c r="B841" s="7" t="n">
        <v>45583</v>
      </c>
      <c r="C841" s="8" t="n">
        <v>5871</v>
      </c>
      <c r="D841" s="8" t="n">
        <v>0</v>
      </c>
      <c r="E841" s="8" t="n">
        <v>0</v>
      </c>
      <c r="F841" s="8" t="s">
        <v>2200</v>
      </c>
      <c r="G841" s="8" t="s">
        <v>2201</v>
      </c>
      <c r="H841" s="8" t="s">
        <v>2380</v>
      </c>
    </row>
    <row r="842" customFormat="false" ht="15" hidden="false" customHeight="false" outlineLevel="0" collapsed="false">
      <c r="A842" s="7" t="n">
        <v>45463</v>
      </c>
      <c r="B842" s="7" t="n">
        <v>45463</v>
      </c>
      <c r="C842" s="8" t="n">
        <v>5727</v>
      </c>
      <c r="D842" s="8" t="n">
        <v>80</v>
      </c>
      <c r="E842" s="8" t="n">
        <v>55</v>
      </c>
      <c r="F842" s="8" t="s">
        <v>2200</v>
      </c>
      <c r="G842" s="8" t="s">
        <v>2201</v>
      </c>
      <c r="H842" s="8" t="s">
        <v>2381</v>
      </c>
    </row>
    <row r="843" customFormat="false" ht="15" hidden="false" customHeight="false" outlineLevel="0" collapsed="false">
      <c r="A843" s="7" t="n">
        <v>45463</v>
      </c>
      <c r="B843" s="7" t="n">
        <v>45492</v>
      </c>
      <c r="C843" s="8" t="n">
        <v>5775</v>
      </c>
      <c r="D843" s="8" t="n">
        <v>3370</v>
      </c>
      <c r="E843" s="8" t="n">
        <v>33110</v>
      </c>
      <c r="F843" s="8" t="s">
        <v>2200</v>
      </c>
      <c r="G843" s="8" t="s">
        <v>2201</v>
      </c>
      <c r="H843" s="8" t="s">
        <v>2381</v>
      </c>
    </row>
    <row r="844" customFormat="false" ht="15" hidden="false" customHeight="false" outlineLevel="0" collapsed="false">
      <c r="A844" s="7" t="n">
        <v>45463</v>
      </c>
      <c r="B844" s="7" t="n">
        <v>45524</v>
      </c>
      <c r="C844" s="8" t="n">
        <v>5828</v>
      </c>
      <c r="D844" s="8" t="n">
        <v>1615</v>
      </c>
      <c r="E844" s="8" t="n">
        <v>1850</v>
      </c>
      <c r="F844" s="8" t="s">
        <v>2200</v>
      </c>
      <c r="G844" s="8" t="s">
        <v>2201</v>
      </c>
      <c r="H844" s="8" t="s">
        <v>2381</v>
      </c>
    </row>
    <row r="845" customFormat="false" ht="15" hidden="false" customHeight="false" outlineLevel="0" collapsed="false">
      <c r="A845" s="7" t="n">
        <v>45463</v>
      </c>
      <c r="B845" s="7" t="n">
        <v>45555</v>
      </c>
      <c r="C845" s="8" t="n">
        <v>5881</v>
      </c>
      <c r="D845" s="8" t="n">
        <v>0</v>
      </c>
      <c r="E845" s="8" t="n">
        <v>0</v>
      </c>
      <c r="F845" s="8" t="s">
        <v>2200</v>
      </c>
      <c r="G845" s="8" t="s">
        <v>2201</v>
      </c>
      <c r="H845" s="8" t="s">
        <v>2381</v>
      </c>
    </row>
    <row r="846" customFormat="false" ht="15" hidden="false" customHeight="false" outlineLevel="0" collapsed="false">
      <c r="A846" s="7" t="n">
        <v>45463</v>
      </c>
      <c r="B846" s="7" t="n">
        <v>45583</v>
      </c>
      <c r="C846" s="8" t="n">
        <v>5934</v>
      </c>
      <c r="D846" s="8" t="n">
        <v>0</v>
      </c>
      <c r="E846" s="8" t="n">
        <v>0</v>
      </c>
      <c r="F846" s="8" t="s">
        <v>2200</v>
      </c>
      <c r="G846" s="8" t="s">
        <v>2201</v>
      </c>
      <c r="H846" s="8" t="s">
        <v>2381</v>
      </c>
    </row>
    <row r="847" customFormat="false" ht="15" hidden="false" customHeight="false" outlineLevel="0" collapsed="false">
      <c r="A847" s="7" t="n">
        <v>45464</v>
      </c>
      <c r="B847" s="7" t="n">
        <v>45492</v>
      </c>
      <c r="C847" s="8" t="n">
        <v>5770</v>
      </c>
      <c r="D847" s="8" t="n">
        <v>4405</v>
      </c>
      <c r="E847" s="8" t="n">
        <v>31785</v>
      </c>
      <c r="F847" s="8" t="s">
        <v>2200</v>
      </c>
      <c r="G847" s="8" t="s">
        <v>2201</v>
      </c>
      <c r="H847" s="8" t="s">
        <v>2382</v>
      </c>
    </row>
    <row r="848" customFormat="false" ht="15" hidden="false" customHeight="false" outlineLevel="0" collapsed="false">
      <c r="A848" s="7" t="n">
        <v>45464</v>
      </c>
      <c r="B848" s="7" t="n">
        <v>45524</v>
      </c>
      <c r="C848" s="8" t="n">
        <v>5828</v>
      </c>
      <c r="D848" s="8" t="n">
        <v>1385</v>
      </c>
      <c r="E848" s="8" t="n">
        <v>3145</v>
      </c>
      <c r="F848" s="8" t="s">
        <v>2200</v>
      </c>
      <c r="G848" s="8" t="s">
        <v>2201</v>
      </c>
      <c r="H848" s="8" t="s">
        <v>2382</v>
      </c>
    </row>
    <row r="849" customFormat="false" ht="15" hidden="false" customHeight="false" outlineLevel="0" collapsed="false">
      <c r="A849" s="7" t="n">
        <v>45464</v>
      </c>
      <c r="B849" s="7" t="n">
        <v>45555</v>
      </c>
      <c r="C849" s="8" t="n">
        <v>5886</v>
      </c>
      <c r="D849" s="8" t="n">
        <v>0</v>
      </c>
      <c r="E849" s="8" t="n">
        <v>0</v>
      </c>
      <c r="F849" s="8" t="s">
        <v>2200</v>
      </c>
      <c r="G849" s="8" t="s">
        <v>2201</v>
      </c>
      <c r="H849" s="8" t="s">
        <v>2382</v>
      </c>
    </row>
    <row r="850" customFormat="false" ht="15" hidden="false" customHeight="false" outlineLevel="0" collapsed="false">
      <c r="A850" s="7" t="n">
        <v>45464</v>
      </c>
      <c r="B850" s="7" t="n">
        <v>45583</v>
      </c>
      <c r="C850" s="8" t="n">
        <v>5944</v>
      </c>
      <c r="D850" s="8" t="n">
        <v>0</v>
      </c>
      <c r="E850" s="8" t="n">
        <v>0</v>
      </c>
      <c r="F850" s="8" t="s">
        <v>2200</v>
      </c>
      <c r="G850" s="8" t="s">
        <v>2201</v>
      </c>
      <c r="H850" s="8" t="s">
        <v>2382</v>
      </c>
    </row>
    <row r="851" customFormat="false" ht="15" hidden="false" customHeight="false" outlineLevel="0" collapsed="false">
      <c r="A851" s="7" t="n">
        <v>45467</v>
      </c>
      <c r="B851" s="7" t="n">
        <v>45492</v>
      </c>
      <c r="C851" s="8" t="n">
        <v>5774</v>
      </c>
      <c r="D851" s="8" t="n">
        <v>3090</v>
      </c>
      <c r="E851" s="8" t="n">
        <v>31360</v>
      </c>
      <c r="F851" s="8" t="s">
        <v>2200</v>
      </c>
      <c r="G851" s="8" t="s">
        <v>2201</v>
      </c>
      <c r="H851" s="8" t="s">
        <v>2383</v>
      </c>
    </row>
    <row r="852" customFormat="false" ht="15" hidden="false" customHeight="false" outlineLevel="0" collapsed="false">
      <c r="A852" s="7" t="n">
        <v>45467</v>
      </c>
      <c r="B852" s="7" t="n">
        <v>45524</v>
      </c>
      <c r="C852" s="8" t="n">
        <v>5836</v>
      </c>
      <c r="D852" s="8" t="n">
        <v>1450</v>
      </c>
      <c r="E852" s="8" t="n">
        <v>4140</v>
      </c>
      <c r="F852" s="8" t="s">
        <v>2200</v>
      </c>
      <c r="G852" s="8" t="s">
        <v>2201</v>
      </c>
      <c r="H852" s="8" t="s">
        <v>2383</v>
      </c>
    </row>
    <row r="853" customFormat="false" ht="15" hidden="false" customHeight="false" outlineLevel="0" collapsed="false">
      <c r="A853" s="7" t="n">
        <v>45467</v>
      </c>
      <c r="B853" s="7" t="n">
        <v>45555</v>
      </c>
      <c r="C853" s="8" t="n">
        <v>5898</v>
      </c>
      <c r="D853" s="8" t="n">
        <v>0</v>
      </c>
      <c r="E853" s="8" t="n">
        <v>0</v>
      </c>
      <c r="F853" s="8" t="s">
        <v>2200</v>
      </c>
      <c r="G853" s="8" t="s">
        <v>2201</v>
      </c>
      <c r="H853" s="8" t="s">
        <v>2383</v>
      </c>
    </row>
    <row r="854" customFormat="false" ht="15" hidden="false" customHeight="false" outlineLevel="0" collapsed="false">
      <c r="A854" s="7" t="n">
        <v>45467</v>
      </c>
      <c r="B854" s="7" t="n">
        <v>45583</v>
      </c>
      <c r="C854" s="8" t="n">
        <v>5960</v>
      </c>
      <c r="D854" s="8" t="n">
        <v>0</v>
      </c>
      <c r="E854" s="8" t="n">
        <v>0</v>
      </c>
      <c r="F854" s="8" t="s">
        <v>2200</v>
      </c>
      <c r="G854" s="8" t="s">
        <v>2201</v>
      </c>
      <c r="H854" s="8" t="s">
        <v>2383</v>
      </c>
    </row>
    <row r="855" customFormat="false" ht="15" hidden="false" customHeight="false" outlineLevel="0" collapsed="false">
      <c r="A855" s="7" t="n">
        <v>45468</v>
      </c>
      <c r="B855" s="7" t="n">
        <v>45492</v>
      </c>
      <c r="C855" s="8" t="n">
        <v>5755</v>
      </c>
      <c r="D855" s="8" t="n">
        <v>4055</v>
      </c>
      <c r="E855" s="8" t="n">
        <v>29640</v>
      </c>
      <c r="F855" s="8" t="s">
        <v>2200</v>
      </c>
      <c r="G855" s="8" t="s">
        <v>2201</v>
      </c>
      <c r="H855" s="8" t="s">
        <v>2384</v>
      </c>
    </row>
    <row r="856" customFormat="false" ht="15" hidden="false" customHeight="false" outlineLevel="0" collapsed="false">
      <c r="A856" s="7" t="n">
        <v>45468</v>
      </c>
      <c r="B856" s="7" t="n">
        <v>45524</v>
      </c>
      <c r="C856" s="8" t="n">
        <v>5805</v>
      </c>
      <c r="D856" s="8" t="n">
        <v>2560</v>
      </c>
      <c r="E856" s="8" t="n">
        <v>6205</v>
      </c>
      <c r="F856" s="8" t="s">
        <v>2200</v>
      </c>
      <c r="G856" s="8" t="s">
        <v>2201</v>
      </c>
      <c r="H856" s="8" t="s">
        <v>2384</v>
      </c>
    </row>
    <row r="857" customFormat="false" ht="15" hidden="false" customHeight="false" outlineLevel="0" collapsed="false">
      <c r="A857" s="7" t="n">
        <v>45468</v>
      </c>
      <c r="B857" s="7" t="n">
        <v>45555</v>
      </c>
      <c r="C857" s="8" t="n">
        <v>5855</v>
      </c>
      <c r="D857" s="8" t="n">
        <v>0</v>
      </c>
      <c r="E857" s="8" t="n">
        <v>0</v>
      </c>
      <c r="F857" s="8" t="s">
        <v>2200</v>
      </c>
      <c r="G857" s="8" t="s">
        <v>2201</v>
      </c>
      <c r="H857" s="8" t="s">
        <v>2384</v>
      </c>
    </row>
    <row r="858" customFormat="false" ht="15" hidden="false" customHeight="false" outlineLevel="0" collapsed="false">
      <c r="A858" s="7" t="n">
        <v>45468</v>
      </c>
      <c r="B858" s="7" t="n">
        <v>45583</v>
      </c>
      <c r="C858" s="8" t="n">
        <v>5905</v>
      </c>
      <c r="D858" s="8" t="n">
        <v>0</v>
      </c>
      <c r="E858" s="8" t="n">
        <v>0</v>
      </c>
      <c r="F858" s="8" t="s">
        <v>2200</v>
      </c>
      <c r="G858" s="8" t="s">
        <v>2201</v>
      </c>
      <c r="H858" s="8" t="s">
        <v>2384</v>
      </c>
    </row>
    <row r="859" customFormat="false" ht="15" hidden="false" customHeight="false" outlineLevel="0" collapsed="false">
      <c r="A859" s="7" t="n">
        <v>45469</v>
      </c>
      <c r="B859" s="7" t="n">
        <v>45492</v>
      </c>
      <c r="C859" s="8" t="n">
        <v>5761</v>
      </c>
      <c r="D859" s="8" t="n">
        <v>3740</v>
      </c>
      <c r="E859" s="8" t="n">
        <v>28295</v>
      </c>
      <c r="F859" s="8" t="s">
        <v>2200</v>
      </c>
      <c r="G859" s="8" t="s">
        <v>2201</v>
      </c>
      <c r="H859" s="8" t="s">
        <v>2385</v>
      </c>
    </row>
    <row r="860" customFormat="false" ht="15" hidden="false" customHeight="false" outlineLevel="0" collapsed="false">
      <c r="A860" s="7" t="n">
        <v>45469</v>
      </c>
      <c r="B860" s="7" t="n">
        <v>45524</v>
      </c>
      <c r="C860" s="8" t="n">
        <v>5825</v>
      </c>
      <c r="D860" s="8" t="n">
        <v>2440</v>
      </c>
      <c r="E860" s="8" t="n">
        <v>7685</v>
      </c>
      <c r="F860" s="8" t="s">
        <v>2200</v>
      </c>
      <c r="G860" s="8" t="s">
        <v>2201</v>
      </c>
      <c r="H860" s="8" t="s">
        <v>2385</v>
      </c>
    </row>
    <row r="861" customFormat="false" ht="15" hidden="false" customHeight="false" outlineLevel="0" collapsed="false">
      <c r="A861" s="7" t="n">
        <v>45469</v>
      </c>
      <c r="B861" s="7" t="n">
        <v>45555</v>
      </c>
      <c r="C861" s="8" t="n">
        <v>5889</v>
      </c>
      <c r="D861" s="8" t="n">
        <v>0</v>
      </c>
      <c r="E861" s="8" t="n">
        <v>0</v>
      </c>
      <c r="F861" s="8" t="s">
        <v>2200</v>
      </c>
      <c r="G861" s="8" t="s">
        <v>2201</v>
      </c>
      <c r="H861" s="8" t="s">
        <v>2385</v>
      </c>
    </row>
    <row r="862" customFormat="false" ht="15" hidden="false" customHeight="false" outlineLevel="0" collapsed="false">
      <c r="A862" s="7" t="n">
        <v>45469</v>
      </c>
      <c r="B862" s="7" t="n">
        <v>45583</v>
      </c>
      <c r="C862" s="8" t="n">
        <v>5953</v>
      </c>
      <c r="D862" s="8" t="n">
        <v>0</v>
      </c>
      <c r="E862" s="8" t="n">
        <v>0</v>
      </c>
      <c r="F862" s="8" t="s">
        <v>2200</v>
      </c>
      <c r="G862" s="8" t="s">
        <v>2201</v>
      </c>
      <c r="H862" s="8" t="s">
        <v>2385</v>
      </c>
    </row>
    <row r="863" customFormat="false" ht="15" hidden="false" customHeight="false" outlineLevel="0" collapsed="false">
      <c r="A863" s="7" t="n">
        <v>45470</v>
      </c>
      <c r="B863" s="7" t="n">
        <v>45492</v>
      </c>
      <c r="C863" s="8" t="n">
        <v>5759</v>
      </c>
      <c r="D863" s="8" t="n">
        <v>3890</v>
      </c>
      <c r="E863" s="8" t="n">
        <v>27755</v>
      </c>
      <c r="F863" s="8" t="s">
        <v>2200</v>
      </c>
      <c r="G863" s="8" t="s">
        <v>2201</v>
      </c>
      <c r="H863" s="8" t="s">
        <v>2386</v>
      </c>
    </row>
    <row r="864" customFormat="false" ht="15" hidden="false" customHeight="false" outlineLevel="0" collapsed="false">
      <c r="A864" s="7" t="n">
        <v>45470</v>
      </c>
      <c r="B864" s="7" t="n">
        <v>45524</v>
      </c>
      <c r="C864" s="8" t="n">
        <v>5816</v>
      </c>
      <c r="D864" s="8" t="n">
        <v>2250</v>
      </c>
      <c r="E864" s="8" t="n">
        <v>9145</v>
      </c>
      <c r="F864" s="8" t="s">
        <v>2200</v>
      </c>
      <c r="G864" s="8" t="s">
        <v>2201</v>
      </c>
      <c r="H864" s="8" t="s">
        <v>2386</v>
      </c>
    </row>
    <row r="865" customFormat="false" ht="15" hidden="false" customHeight="false" outlineLevel="0" collapsed="false">
      <c r="A865" s="7" t="n">
        <v>45470</v>
      </c>
      <c r="B865" s="7" t="n">
        <v>45555</v>
      </c>
      <c r="C865" s="8" t="n">
        <v>5873</v>
      </c>
      <c r="D865" s="8" t="n">
        <v>0</v>
      </c>
      <c r="E865" s="8" t="n">
        <v>0</v>
      </c>
      <c r="F865" s="8" t="s">
        <v>2200</v>
      </c>
      <c r="G865" s="8" t="s">
        <v>2201</v>
      </c>
      <c r="H865" s="8" t="s">
        <v>2386</v>
      </c>
    </row>
    <row r="866" customFormat="false" ht="15" hidden="false" customHeight="false" outlineLevel="0" collapsed="false">
      <c r="A866" s="7" t="n">
        <v>45470</v>
      </c>
      <c r="B866" s="7" t="n">
        <v>45583</v>
      </c>
      <c r="C866" s="8" t="n">
        <v>5930</v>
      </c>
      <c r="D866" s="8" t="n">
        <v>0</v>
      </c>
      <c r="E866" s="8" t="n">
        <v>0</v>
      </c>
      <c r="F866" s="8" t="s">
        <v>2200</v>
      </c>
      <c r="G866" s="8" t="s">
        <v>2201</v>
      </c>
      <c r="H866" s="8" t="s">
        <v>2386</v>
      </c>
    </row>
    <row r="867" customFormat="false" ht="15" hidden="false" customHeight="false" outlineLevel="0" collapsed="false">
      <c r="A867" s="7" t="n">
        <v>45471</v>
      </c>
      <c r="B867" s="7" t="n">
        <v>45492</v>
      </c>
      <c r="C867" s="8" t="n">
        <v>5754</v>
      </c>
      <c r="D867" s="8" t="n">
        <v>2980</v>
      </c>
      <c r="E867" s="8" t="n">
        <v>26210</v>
      </c>
      <c r="F867" s="8" t="s">
        <v>2200</v>
      </c>
      <c r="G867" s="8" t="s">
        <v>2201</v>
      </c>
      <c r="H867" s="8" t="s">
        <v>2387</v>
      </c>
    </row>
    <row r="868" customFormat="false" ht="15" hidden="false" customHeight="false" outlineLevel="0" collapsed="false">
      <c r="A868" s="7" t="n">
        <v>45471</v>
      </c>
      <c r="B868" s="7" t="n">
        <v>45524</v>
      </c>
      <c r="C868" s="8" t="n">
        <v>5821</v>
      </c>
      <c r="D868" s="8" t="n">
        <v>2055</v>
      </c>
      <c r="E868" s="8" t="n">
        <v>9945</v>
      </c>
      <c r="F868" s="8" t="s">
        <v>2200</v>
      </c>
      <c r="G868" s="8" t="s">
        <v>2201</v>
      </c>
      <c r="H868" s="8" t="s">
        <v>2387</v>
      </c>
    </row>
    <row r="869" customFormat="false" ht="15" hidden="false" customHeight="false" outlineLevel="0" collapsed="false">
      <c r="A869" s="7" t="n">
        <v>45471</v>
      </c>
      <c r="B869" s="7" t="n">
        <v>45555</v>
      </c>
      <c r="C869" s="8" t="n">
        <v>5888</v>
      </c>
      <c r="D869" s="8" t="n">
        <v>0</v>
      </c>
      <c r="E869" s="8" t="n">
        <v>0</v>
      </c>
      <c r="F869" s="8" t="s">
        <v>2200</v>
      </c>
      <c r="G869" s="8" t="s">
        <v>2201</v>
      </c>
      <c r="H869" s="8" t="s">
        <v>2387</v>
      </c>
    </row>
    <row r="870" customFormat="false" ht="15" hidden="false" customHeight="false" outlineLevel="0" collapsed="false">
      <c r="A870" s="7" t="n">
        <v>45471</v>
      </c>
      <c r="B870" s="7" t="n">
        <v>45583</v>
      </c>
      <c r="C870" s="8" t="n">
        <v>5955</v>
      </c>
      <c r="D870" s="8" t="n">
        <v>0</v>
      </c>
      <c r="E870" s="8" t="n">
        <v>0</v>
      </c>
      <c r="F870" s="8" t="s">
        <v>2200</v>
      </c>
      <c r="G870" s="8" t="s">
        <v>2201</v>
      </c>
      <c r="H870" s="8" t="s">
        <v>2387</v>
      </c>
    </row>
    <row r="871" customFormat="false" ht="15" hidden="false" customHeight="false" outlineLevel="0" collapsed="false">
      <c r="A871" s="7" t="n">
        <v>45474</v>
      </c>
      <c r="B871" s="7" t="n">
        <v>45492</v>
      </c>
      <c r="C871" s="8" t="n">
        <v>5779</v>
      </c>
      <c r="D871" s="8" t="n">
        <v>5130</v>
      </c>
      <c r="E871" s="8" t="n">
        <v>23155</v>
      </c>
      <c r="F871" s="8" t="s">
        <v>2200</v>
      </c>
      <c r="G871" s="8" t="s">
        <v>2201</v>
      </c>
      <c r="H871" s="8" t="s">
        <v>2388</v>
      </c>
    </row>
    <row r="872" customFormat="false" ht="15" hidden="false" customHeight="false" outlineLevel="0" collapsed="false">
      <c r="A872" s="7" t="n">
        <v>45474</v>
      </c>
      <c r="B872" s="7" t="n">
        <v>45524</v>
      </c>
      <c r="C872" s="8" t="n">
        <v>5845</v>
      </c>
      <c r="D872" s="8" t="n">
        <v>3450</v>
      </c>
      <c r="E872" s="8" t="n">
        <v>12760</v>
      </c>
      <c r="F872" s="8" t="s">
        <v>2200</v>
      </c>
      <c r="G872" s="8" t="s">
        <v>2201</v>
      </c>
      <c r="H872" s="8" t="s">
        <v>2388</v>
      </c>
    </row>
    <row r="873" customFormat="false" ht="15" hidden="false" customHeight="false" outlineLevel="0" collapsed="false">
      <c r="A873" s="7" t="n">
        <v>45474</v>
      </c>
      <c r="B873" s="7" t="n">
        <v>45555</v>
      </c>
      <c r="C873" s="8" t="n">
        <v>5911</v>
      </c>
      <c r="D873" s="8" t="n">
        <v>0</v>
      </c>
      <c r="E873" s="8" t="n">
        <v>0</v>
      </c>
      <c r="F873" s="8" t="s">
        <v>2200</v>
      </c>
      <c r="G873" s="8" t="s">
        <v>2201</v>
      </c>
      <c r="H873" s="8" t="s">
        <v>2388</v>
      </c>
    </row>
    <row r="874" customFormat="false" ht="15" hidden="false" customHeight="false" outlineLevel="0" collapsed="false">
      <c r="A874" s="7" t="n">
        <v>45474</v>
      </c>
      <c r="B874" s="7" t="n">
        <v>45583</v>
      </c>
      <c r="C874" s="8" t="n">
        <v>5977</v>
      </c>
      <c r="D874" s="8" t="n">
        <v>0</v>
      </c>
      <c r="E874" s="8" t="n">
        <v>0</v>
      </c>
      <c r="F874" s="8" t="s">
        <v>2200</v>
      </c>
      <c r="G874" s="8" t="s">
        <v>2201</v>
      </c>
      <c r="H874" s="8" t="s">
        <v>2388</v>
      </c>
    </row>
    <row r="875" customFormat="false" ht="15" hidden="false" customHeight="false" outlineLevel="0" collapsed="false">
      <c r="A875" s="7" t="n">
        <v>45474</v>
      </c>
      <c r="B875" s="7" t="n">
        <v>45616</v>
      </c>
      <c r="C875" s="8" t="n">
        <v>6043</v>
      </c>
      <c r="D875" s="8" t="n">
        <v>0</v>
      </c>
      <c r="E875" s="8" t="n">
        <v>0</v>
      </c>
      <c r="F875" s="8" t="s">
        <v>2200</v>
      </c>
      <c r="G875" s="8" t="s">
        <v>2201</v>
      </c>
      <c r="H875" s="8" t="s">
        <v>2388</v>
      </c>
    </row>
    <row r="876" customFormat="false" ht="15" hidden="false" customHeight="false" outlineLevel="0" collapsed="false">
      <c r="A876" s="7" t="n">
        <v>45475</v>
      </c>
      <c r="B876" s="7" t="n">
        <v>45492</v>
      </c>
      <c r="C876" s="8" t="n">
        <v>5837</v>
      </c>
      <c r="D876" s="8" t="n">
        <v>9520</v>
      </c>
      <c r="E876" s="8" t="n">
        <v>21245</v>
      </c>
      <c r="F876" s="8" t="s">
        <v>2200</v>
      </c>
      <c r="G876" s="8" t="s">
        <v>2201</v>
      </c>
      <c r="H876" s="8" t="s">
        <v>2389</v>
      </c>
    </row>
    <row r="877" customFormat="false" ht="15" hidden="false" customHeight="false" outlineLevel="0" collapsed="false">
      <c r="A877" s="7" t="n">
        <v>45475</v>
      </c>
      <c r="B877" s="7" t="n">
        <v>45524</v>
      </c>
      <c r="C877" s="8" t="n">
        <v>5908</v>
      </c>
      <c r="D877" s="8" t="n">
        <v>6640</v>
      </c>
      <c r="E877" s="8" t="n">
        <v>15785</v>
      </c>
      <c r="F877" s="8" t="s">
        <v>2200</v>
      </c>
      <c r="G877" s="8" t="s">
        <v>2201</v>
      </c>
      <c r="H877" s="8" t="s">
        <v>2389</v>
      </c>
    </row>
    <row r="878" customFormat="false" ht="15" hidden="false" customHeight="false" outlineLevel="0" collapsed="false">
      <c r="A878" s="7" t="n">
        <v>45475</v>
      </c>
      <c r="B878" s="7" t="n">
        <v>45555</v>
      </c>
      <c r="C878" s="8" t="n">
        <v>5979</v>
      </c>
      <c r="D878" s="8" t="n">
        <v>0</v>
      </c>
      <c r="E878" s="8" t="n">
        <v>0</v>
      </c>
      <c r="F878" s="8" t="s">
        <v>2200</v>
      </c>
      <c r="G878" s="8" t="s">
        <v>2201</v>
      </c>
      <c r="H878" s="8" t="s">
        <v>2389</v>
      </c>
    </row>
    <row r="879" customFormat="false" ht="15" hidden="false" customHeight="false" outlineLevel="0" collapsed="false">
      <c r="A879" s="7" t="n">
        <v>45475</v>
      </c>
      <c r="B879" s="7" t="n">
        <v>45583</v>
      </c>
      <c r="C879" s="8" t="n">
        <v>6050</v>
      </c>
      <c r="D879" s="8" t="n">
        <v>0</v>
      </c>
      <c r="E879" s="8" t="n">
        <v>0</v>
      </c>
      <c r="F879" s="8" t="s">
        <v>2200</v>
      </c>
      <c r="G879" s="8" t="s">
        <v>2201</v>
      </c>
      <c r="H879" s="8" t="s">
        <v>2389</v>
      </c>
    </row>
    <row r="880" customFormat="false" ht="15" hidden="false" customHeight="false" outlineLevel="0" collapsed="false">
      <c r="A880" s="7" t="n">
        <v>45475</v>
      </c>
      <c r="B880" s="7" t="n">
        <v>45616</v>
      </c>
      <c r="C880" s="8" t="n">
        <v>6121</v>
      </c>
      <c r="D880" s="8" t="n">
        <v>0</v>
      </c>
      <c r="E880" s="8" t="n">
        <v>0</v>
      </c>
      <c r="F880" s="8" t="s">
        <v>2200</v>
      </c>
      <c r="G880" s="8" t="s">
        <v>2201</v>
      </c>
      <c r="H880" s="8" t="s">
        <v>2389</v>
      </c>
    </row>
    <row r="881" customFormat="false" ht="15" hidden="false" customHeight="false" outlineLevel="0" collapsed="false">
      <c r="A881" s="7" t="n">
        <v>45476</v>
      </c>
      <c r="B881" s="7" t="n">
        <v>45492</v>
      </c>
      <c r="C881" s="8" t="n">
        <v>5835</v>
      </c>
      <c r="D881" s="8" t="n">
        <v>5835</v>
      </c>
      <c r="E881" s="8" t="n">
        <v>19405</v>
      </c>
      <c r="F881" s="8" t="s">
        <v>2200</v>
      </c>
      <c r="G881" s="8" t="s">
        <v>2201</v>
      </c>
      <c r="H881" s="8" t="s">
        <v>2390</v>
      </c>
    </row>
    <row r="882" customFormat="false" ht="15" hidden="false" customHeight="false" outlineLevel="0" collapsed="false">
      <c r="A882" s="7" t="n">
        <v>45476</v>
      </c>
      <c r="B882" s="7" t="n">
        <v>45524</v>
      </c>
      <c r="C882" s="8" t="n">
        <v>5905</v>
      </c>
      <c r="D882" s="8" t="n">
        <v>5055</v>
      </c>
      <c r="E882" s="8" t="n">
        <v>18605</v>
      </c>
      <c r="F882" s="8" t="s">
        <v>2200</v>
      </c>
      <c r="G882" s="8" t="s">
        <v>2201</v>
      </c>
      <c r="H882" s="8" t="s">
        <v>2390</v>
      </c>
    </row>
    <row r="883" customFormat="false" ht="15" hidden="false" customHeight="false" outlineLevel="0" collapsed="false">
      <c r="A883" s="7" t="n">
        <v>45476</v>
      </c>
      <c r="B883" s="7" t="n">
        <v>45555</v>
      </c>
      <c r="C883" s="8" t="n">
        <v>5975</v>
      </c>
      <c r="D883" s="8" t="n">
        <v>0</v>
      </c>
      <c r="E883" s="8" t="n">
        <v>0</v>
      </c>
      <c r="F883" s="8" t="s">
        <v>2200</v>
      </c>
      <c r="G883" s="8" t="s">
        <v>2201</v>
      </c>
      <c r="H883" s="8" t="s">
        <v>2390</v>
      </c>
    </row>
    <row r="884" customFormat="false" ht="15" hidden="false" customHeight="false" outlineLevel="0" collapsed="false">
      <c r="A884" s="7" t="n">
        <v>45476</v>
      </c>
      <c r="B884" s="7" t="n">
        <v>45583</v>
      </c>
      <c r="C884" s="8" t="n">
        <v>6045</v>
      </c>
      <c r="D884" s="8" t="n">
        <v>0</v>
      </c>
      <c r="E884" s="8" t="n">
        <v>0</v>
      </c>
      <c r="F884" s="8" t="s">
        <v>2200</v>
      </c>
      <c r="G884" s="8" t="s">
        <v>2201</v>
      </c>
      <c r="H884" s="8" t="s">
        <v>2390</v>
      </c>
    </row>
    <row r="885" customFormat="false" ht="15" hidden="false" customHeight="false" outlineLevel="0" collapsed="false">
      <c r="A885" s="7" t="n">
        <v>45476</v>
      </c>
      <c r="B885" s="7" t="n">
        <v>45616</v>
      </c>
      <c r="C885" s="8" t="n">
        <v>6115</v>
      </c>
      <c r="D885" s="8" t="n">
        <v>0</v>
      </c>
      <c r="E885" s="8" t="n">
        <v>0</v>
      </c>
      <c r="F885" s="8" t="s">
        <v>2200</v>
      </c>
      <c r="G885" s="8" t="s">
        <v>2201</v>
      </c>
      <c r="H885" s="8" t="s">
        <v>2390</v>
      </c>
    </row>
    <row r="886" customFormat="false" ht="15" hidden="false" customHeight="false" outlineLevel="0" collapsed="false">
      <c r="A886" s="7" t="n">
        <v>45477</v>
      </c>
      <c r="B886" s="7" t="n">
        <v>45492</v>
      </c>
      <c r="C886" s="8" t="n">
        <v>5841</v>
      </c>
      <c r="D886" s="8" t="n">
        <v>2485</v>
      </c>
      <c r="E886" s="8" t="n">
        <v>17945</v>
      </c>
      <c r="F886" s="8" t="s">
        <v>2200</v>
      </c>
      <c r="G886" s="8" t="s">
        <v>2201</v>
      </c>
      <c r="H886" s="8" t="s">
        <v>2391</v>
      </c>
    </row>
    <row r="887" customFormat="false" ht="15" hidden="false" customHeight="false" outlineLevel="0" collapsed="false">
      <c r="A887" s="7" t="n">
        <v>45477</v>
      </c>
      <c r="B887" s="7" t="n">
        <v>45524</v>
      </c>
      <c r="C887" s="8" t="n">
        <v>5911</v>
      </c>
      <c r="D887" s="8" t="n">
        <v>2270</v>
      </c>
      <c r="E887" s="8" t="n">
        <v>20205</v>
      </c>
      <c r="F887" s="8" t="s">
        <v>2200</v>
      </c>
      <c r="G887" s="8" t="s">
        <v>2201</v>
      </c>
      <c r="H887" s="8" t="s">
        <v>2391</v>
      </c>
    </row>
    <row r="888" customFormat="false" ht="15" hidden="false" customHeight="false" outlineLevel="0" collapsed="false">
      <c r="A888" s="7" t="n">
        <v>45477</v>
      </c>
      <c r="B888" s="7" t="n">
        <v>45555</v>
      </c>
      <c r="C888" s="8" t="n">
        <v>5981</v>
      </c>
      <c r="D888" s="8" t="n">
        <v>0</v>
      </c>
      <c r="E888" s="8" t="n">
        <v>0</v>
      </c>
      <c r="F888" s="8" t="s">
        <v>2200</v>
      </c>
      <c r="G888" s="8" t="s">
        <v>2201</v>
      </c>
      <c r="H888" s="8" t="s">
        <v>2391</v>
      </c>
    </row>
    <row r="889" customFormat="false" ht="15" hidden="false" customHeight="false" outlineLevel="0" collapsed="false">
      <c r="A889" s="7" t="n">
        <v>45477</v>
      </c>
      <c r="B889" s="7" t="n">
        <v>45583</v>
      </c>
      <c r="C889" s="8" t="n">
        <v>6051</v>
      </c>
      <c r="D889" s="8" t="n">
        <v>0</v>
      </c>
      <c r="E889" s="8" t="n">
        <v>0</v>
      </c>
      <c r="F889" s="8" t="s">
        <v>2200</v>
      </c>
      <c r="G889" s="8" t="s">
        <v>2201</v>
      </c>
      <c r="H889" s="8" t="s">
        <v>2391</v>
      </c>
    </row>
    <row r="890" customFormat="false" ht="15" hidden="false" customHeight="false" outlineLevel="0" collapsed="false">
      <c r="A890" s="7" t="n">
        <v>45477</v>
      </c>
      <c r="B890" s="7" t="n">
        <v>45616</v>
      </c>
      <c r="C890" s="8" t="n">
        <v>6121</v>
      </c>
      <c r="D890" s="8" t="n">
        <v>0</v>
      </c>
      <c r="E890" s="8" t="n">
        <v>0</v>
      </c>
      <c r="F890" s="8" t="s">
        <v>2200</v>
      </c>
      <c r="G890" s="8" t="s">
        <v>2201</v>
      </c>
      <c r="H890" s="8" t="s">
        <v>2391</v>
      </c>
    </row>
    <row r="891" customFormat="false" ht="15" hidden="false" customHeight="false" outlineLevel="0" collapsed="false">
      <c r="A891" s="7" t="n">
        <v>45478</v>
      </c>
      <c r="B891" s="7" t="n">
        <v>45492</v>
      </c>
      <c r="C891" s="8" t="n">
        <v>5896</v>
      </c>
      <c r="D891" s="8" t="n">
        <v>8880</v>
      </c>
      <c r="E891" s="8" t="n">
        <v>15325</v>
      </c>
      <c r="F891" s="8" t="s">
        <v>2200</v>
      </c>
      <c r="G891" s="8" t="s">
        <v>2201</v>
      </c>
      <c r="H891" s="8" t="s">
        <v>2392</v>
      </c>
    </row>
    <row r="892" customFormat="false" ht="15" hidden="false" customHeight="false" outlineLevel="0" collapsed="false">
      <c r="A892" s="7" t="n">
        <v>45478</v>
      </c>
      <c r="B892" s="7" t="n">
        <v>45524</v>
      </c>
      <c r="C892" s="8" t="n">
        <v>5976</v>
      </c>
      <c r="D892" s="8" t="n">
        <v>10205</v>
      </c>
      <c r="E892" s="8" t="n">
        <v>25140</v>
      </c>
      <c r="F892" s="8" t="s">
        <v>2200</v>
      </c>
      <c r="G892" s="8" t="s">
        <v>2201</v>
      </c>
      <c r="H892" s="8" t="s">
        <v>2392</v>
      </c>
    </row>
    <row r="893" customFormat="false" ht="15" hidden="false" customHeight="false" outlineLevel="0" collapsed="false">
      <c r="A893" s="7" t="n">
        <v>45478</v>
      </c>
      <c r="B893" s="7" t="n">
        <v>45555</v>
      </c>
      <c r="C893" s="8" t="n">
        <v>6056</v>
      </c>
      <c r="D893" s="8" t="n">
        <v>0</v>
      </c>
      <c r="E893" s="8" t="n">
        <v>0</v>
      </c>
      <c r="F893" s="8" t="s">
        <v>2200</v>
      </c>
      <c r="G893" s="8" t="s">
        <v>2201</v>
      </c>
      <c r="H893" s="8" t="s">
        <v>2392</v>
      </c>
    </row>
    <row r="894" customFormat="false" ht="15" hidden="false" customHeight="false" outlineLevel="0" collapsed="false">
      <c r="A894" s="7" t="n">
        <v>45478</v>
      </c>
      <c r="B894" s="7" t="n">
        <v>45583</v>
      </c>
      <c r="C894" s="8" t="n">
        <v>6136</v>
      </c>
      <c r="D894" s="8" t="n">
        <v>0</v>
      </c>
      <c r="E894" s="8" t="n">
        <v>0</v>
      </c>
      <c r="F894" s="8" t="s">
        <v>2200</v>
      </c>
      <c r="G894" s="8" t="s">
        <v>2201</v>
      </c>
      <c r="H894" s="8" t="s">
        <v>2392</v>
      </c>
    </row>
    <row r="895" customFormat="false" ht="15" hidden="false" customHeight="false" outlineLevel="0" collapsed="false">
      <c r="A895" s="7" t="n">
        <v>45478</v>
      </c>
      <c r="B895" s="7" t="n">
        <v>45616</v>
      </c>
      <c r="C895" s="8" t="n">
        <v>6216</v>
      </c>
      <c r="D895" s="8" t="n">
        <v>0</v>
      </c>
      <c r="E895" s="8" t="n">
        <v>0</v>
      </c>
      <c r="F895" s="8" t="s">
        <v>2200</v>
      </c>
      <c r="G895" s="8" t="s">
        <v>2201</v>
      </c>
      <c r="H895" s="8" t="s">
        <v>2392</v>
      </c>
    </row>
    <row r="896" customFormat="false" ht="15" hidden="false" customHeight="false" outlineLevel="0" collapsed="false">
      <c r="A896" s="7" t="n">
        <v>45481</v>
      </c>
      <c r="B896" s="7" t="n">
        <v>45492</v>
      </c>
      <c r="C896" s="8" t="n">
        <v>6005</v>
      </c>
      <c r="D896" s="8" t="n">
        <v>10470</v>
      </c>
      <c r="E896" s="8" t="n">
        <v>13555</v>
      </c>
      <c r="F896" s="8" t="s">
        <v>2200</v>
      </c>
      <c r="G896" s="8" t="s">
        <v>2201</v>
      </c>
      <c r="H896" s="8" t="s">
        <v>2393</v>
      </c>
    </row>
    <row r="897" customFormat="false" ht="15" hidden="false" customHeight="false" outlineLevel="0" collapsed="false">
      <c r="A897" s="7" t="n">
        <v>45481</v>
      </c>
      <c r="B897" s="7" t="n">
        <v>45524</v>
      </c>
      <c r="C897" s="8" t="n">
        <v>6077</v>
      </c>
      <c r="D897" s="8" t="n">
        <v>15145</v>
      </c>
      <c r="E897" s="8" t="n">
        <v>30555</v>
      </c>
      <c r="F897" s="8" t="s">
        <v>2200</v>
      </c>
      <c r="G897" s="8" t="s">
        <v>2201</v>
      </c>
      <c r="H897" s="8" t="s">
        <v>2393</v>
      </c>
    </row>
    <row r="898" customFormat="false" ht="15" hidden="false" customHeight="false" outlineLevel="0" collapsed="false">
      <c r="A898" s="7" t="n">
        <v>45481</v>
      </c>
      <c r="B898" s="7" t="n">
        <v>45555</v>
      </c>
      <c r="C898" s="8" t="n">
        <v>6108</v>
      </c>
      <c r="D898" s="8" t="n">
        <v>15</v>
      </c>
      <c r="E898" s="8" t="n">
        <v>15</v>
      </c>
      <c r="F898" s="8" t="s">
        <v>2200</v>
      </c>
      <c r="G898" s="8" t="s">
        <v>2201</v>
      </c>
      <c r="H898" s="8" t="s">
        <v>2393</v>
      </c>
    </row>
    <row r="899" customFormat="false" ht="15" hidden="false" customHeight="false" outlineLevel="0" collapsed="false">
      <c r="A899" s="7" t="n">
        <v>45481</v>
      </c>
      <c r="B899" s="7" t="n">
        <v>45583</v>
      </c>
      <c r="C899" s="8" t="n">
        <v>6139</v>
      </c>
      <c r="D899" s="8" t="n">
        <v>0</v>
      </c>
      <c r="E899" s="8" t="n">
        <v>0</v>
      </c>
      <c r="F899" s="8" t="s">
        <v>2200</v>
      </c>
      <c r="G899" s="8" t="s">
        <v>2201</v>
      </c>
      <c r="H899" s="8" t="s">
        <v>2393</v>
      </c>
    </row>
    <row r="900" customFormat="false" ht="15" hidden="false" customHeight="false" outlineLevel="0" collapsed="false">
      <c r="A900" s="7" t="n">
        <v>45481</v>
      </c>
      <c r="B900" s="7" t="n">
        <v>45616</v>
      </c>
      <c r="C900" s="8" t="n">
        <v>6170</v>
      </c>
      <c r="D900" s="8" t="n">
        <v>0</v>
      </c>
      <c r="E900" s="8" t="n">
        <v>0</v>
      </c>
      <c r="F900" s="8" t="s">
        <v>2200</v>
      </c>
      <c r="G900" s="8" t="s">
        <v>2201</v>
      </c>
      <c r="H900" s="8" t="s">
        <v>2393</v>
      </c>
    </row>
    <row r="901" customFormat="false" ht="15" hidden="false" customHeight="false" outlineLevel="0" collapsed="false">
      <c r="A901" s="7" t="n">
        <v>45482</v>
      </c>
      <c r="B901" s="7" t="n">
        <v>45492</v>
      </c>
      <c r="C901" s="8" t="n">
        <v>6025</v>
      </c>
      <c r="D901" s="8" t="n">
        <v>2400</v>
      </c>
      <c r="E901" s="8" t="n">
        <v>12895</v>
      </c>
      <c r="F901" s="8" t="s">
        <v>2200</v>
      </c>
      <c r="G901" s="8" t="s">
        <v>2201</v>
      </c>
      <c r="H901" s="8" t="s">
        <v>2394</v>
      </c>
    </row>
    <row r="902" customFormat="false" ht="15" hidden="false" customHeight="false" outlineLevel="0" collapsed="false">
      <c r="A902" s="7" t="n">
        <v>45482</v>
      </c>
      <c r="B902" s="7" t="n">
        <v>45524</v>
      </c>
      <c r="C902" s="8" t="n">
        <v>6083</v>
      </c>
      <c r="D902" s="8" t="n">
        <v>6235</v>
      </c>
      <c r="E902" s="8" t="n">
        <v>31840</v>
      </c>
      <c r="F902" s="8" t="s">
        <v>2200</v>
      </c>
      <c r="G902" s="8" t="s">
        <v>2201</v>
      </c>
      <c r="H902" s="8" t="s">
        <v>2394</v>
      </c>
    </row>
    <row r="903" customFormat="false" ht="15" hidden="false" customHeight="false" outlineLevel="0" collapsed="false">
      <c r="A903" s="7" t="n">
        <v>45482</v>
      </c>
      <c r="B903" s="7" t="n">
        <v>45555</v>
      </c>
      <c r="C903" s="8" t="n">
        <v>6150</v>
      </c>
      <c r="D903" s="8" t="n">
        <v>5</v>
      </c>
      <c r="E903" s="8" t="n">
        <v>10</v>
      </c>
      <c r="F903" s="8" t="s">
        <v>2200</v>
      </c>
      <c r="G903" s="8" t="s">
        <v>2201</v>
      </c>
      <c r="H903" s="8" t="s">
        <v>2394</v>
      </c>
    </row>
    <row r="904" customFormat="false" ht="15" hidden="false" customHeight="false" outlineLevel="0" collapsed="false">
      <c r="A904" s="7" t="n">
        <v>45482</v>
      </c>
      <c r="B904" s="7" t="n">
        <v>45583</v>
      </c>
      <c r="C904" s="8" t="n">
        <v>6217</v>
      </c>
      <c r="D904" s="8" t="n">
        <v>0</v>
      </c>
      <c r="E904" s="8" t="n">
        <v>0</v>
      </c>
      <c r="F904" s="8" t="s">
        <v>2200</v>
      </c>
      <c r="G904" s="8" t="s">
        <v>2201</v>
      </c>
      <c r="H904" s="8" t="s">
        <v>2394</v>
      </c>
    </row>
    <row r="905" customFormat="false" ht="15" hidden="false" customHeight="false" outlineLevel="0" collapsed="false">
      <c r="A905" s="7" t="n">
        <v>45482</v>
      </c>
      <c r="B905" s="7" t="n">
        <v>45616</v>
      </c>
      <c r="C905" s="8" t="n">
        <v>6284</v>
      </c>
      <c r="D905" s="8" t="n">
        <v>0</v>
      </c>
      <c r="E905" s="8" t="n">
        <v>0</v>
      </c>
      <c r="F905" s="8" t="s">
        <v>2200</v>
      </c>
      <c r="G905" s="8" t="s">
        <v>2201</v>
      </c>
      <c r="H905" s="8" t="s">
        <v>2394</v>
      </c>
    </row>
    <row r="906" customFormat="false" ht="15" hidden="false" customHeight="false" outlineLevel="0" collapsed="false">
      <c r="A906" s="7" t="n">
        <v>45483</v>
      </c>
      <c r="B906" s="7" t="n">
        <v>45492</v>
      </c>
      <c r="C906" s="8" t="n">
        <v>6085</v>
      </c>
      <c r="D906" s="8" t="n">
        <v>3455</v>
      </c>
      <c r="E906" s="8" t="n">
        <v>11735</v>
      </c>
      <c r="F906" s="8" t="s">
        <v>2200</v>
      </c>
      <c r="G906" s="8" t="s">
        <v>2201</v>
      </c>
      <c r="H906" s="8" t="s">
        <v>2395</v>
      </c>
    </row>
    <row r="907" customFormat="false" ht="15" hidden="false" customHeight="false" outlineLevel="0" collapsed="false">
      <c r="A907" s="7" t="n">
        <v>45483</v>
      </c>
      <c r="B907" s="7" t="n">
        <v>45524</v>
      </c>
      <c r="C907" s="8" t="n">
        <v>6158</v>
      </c>
      <c r="D907" s="8" t="n">
        <v>12615</v>
      </c>
      <c r="E907" s="8" t="n">
        <v>33785</v>
      </c>
      <c r="F907" s="8" t="s">
        <v>2200</v>
      </c>
      <c r="G907" s="8" t="s">
        <v>2201</v>
      </c>
      <c r="H907" s="8" t="s">
        <v>2395</v>
      </c>
    </row>
    <row r="908" customFormat="false" ht="15" hidden="false" customHeight="false" outlineLevel="0" collapsed="false">
      <c r="A908" s="7" t="n">
        <v>45483</v>
      </c>
      <c r="B908" s="7" t="n">
        <v>45555</v>
      </c>
      <c r="C908" s="8" t="n">
        <v>6178</v>
      </c>
      <c r="D908" s="8" t="n">
        <v>220</v>
      </c>
      <c r="E908" s="8" t="n">
        <v>210</v>
      </c>
      <c r="F908" s="8" t="s">
        <v>2200</v>
      </c>
      <c r="G908" s="8" t="s">
        <v>2201</v>
      </c>
      <c r="H908" s="8" t="s">
        <v>2395</v>
      </c>
    </row>
    <row r="909" customFormat="false" ht="15" hidden="false" customHeight="false" outlineLevel="0" collapsed="false">
      <c r="A909" s="7" t="n">
        <v>45483</v>
      </c>
      <c r="B909" s="7" t="n">
        <v>45583</v>
      </c>
      <c r="C909" s="8" t="n">
        <v>6198</v>
      </c>
      <c r="D909" s="8" t="n">
        <v>0</v>
      </c>
      <c r="E909" s="8" t="n">
        <v>0</v>
      </c>
      <c r="F909" s="8" t="s">
        <v>2200</v>
      </c>
      <c r="G909" s="8" t="s">
        <v>2201</v>
      </c>
      <c r="H909" s="8" t="s">
        <v>2395</v>
      </c>
    </row>
    <row r="910" customFormat="false" ht="15" hidden="false" customHeight="false" outlineLevel="0" collapsed="false">
      <c r="A910" s="7" t="n">
        <v>45483</v>
      </c>
      <c r="B910" s="7" t="n">
        <v>45616</v>
      </c>
      <c r="C910" s="8" t="n">
        <v>6218</v>
      </c>
      <c r="D910" s="8" t="n">
        <v>0</v>
      </c>
      <c r="E910" s="8" t="n">
        <v>0</v>
      </c>
      <c r="F910" s="8" t="s">
        <v>2200</v>
      </c>
      <c r="G910" s="8" t="s">
        <v>2201</v>
      </c>
      <c r="H910" s="8" t="s">
        <v>2395</v>
      </c>
    </row>
    <row r="911" customFormat="false" ht="15" hidden="false" customHeight="false" outlineLevel="0" collapsed="false">
      <c r="A911" s="7" t="n">
        <v>45484</v>
      </c>
      <c r="B911" s="7" t="n">
        <v>45492</v>
      </c>
      <c r="C911" s="8" t="n">
        <v>6105</v>
      </c>
      <c r="D911" s="8" t="n">
        <v>2650</v>
      </c>
      <c r="E911" s="8" t="n">
        <v>10110</v>
      </c>
      <c r="F911" s="8" t="s">
        <v>2200</v>
      </c>
      <c r="G911" s="8" t="s">
        <v>2201</v>
      </c>
      <c r="H911" s="8" t="s">
        <v>2396</v>
      </c>
    </row>
    <row r="912" customFormat="false" ht="15" hidden="false" customHeight="false" outlineLevel="0" collapsed="false">
      <c r="A912" s="7" t="n">
        <v>45484</v>
      </c>
      <c r="B912" s="7" t="n">
        <v>45524</v>
      </c>
      <c r="C912" s="8" t="n">
        <v>6164</v>
      </c>
      <c r="D912" s="8" t="n">
        <v>7570</v>
      </c>
      <c r="E912" s="8" t="n">
        <v>35875</v>
      </c>
      <c r="F912" s="8" t="s">
        <v>2200</v>
      </c>
      <c r="G912" s="8" t="s">
        <v>2201</v>
      </c>
      <c r="H912" s="8" t="s">
        <v>2396</v>
      </c>
    </row>
    <row r="913" customFormat="false" ht="15" hidden="false" customHeight="false" outlineLevel="0" collapsed="false">
      <c r="A913" s="7" t="n">
        <v>45484</v>
      </c>
      <c r="B913" s="7" t="n">
        <v>45555</v>
      </c>
      <c r="C913" s="8" t="n">
        <v>6223</v>
      </c>
      <c r="D913" s="8" t="n">
        <v>0</v>
      </c>
      <c r="E913" s="8" t="n">
        <v>210</v>
      </c>
      <c r="F913" s="8" t="s">
        <v>2200</v>
      </c>
      <c r="G913" s="8" t="s">
        <v>2201</v>
      </c>
      <c r="H913" s="8" t="s">
        <v>2396</v>
      </c>
    </row>
    <row r="914" customFormat="false" ht="15" hidden="false" customHeight="false" outlineLevel="0" collapsed="false">
      <c r="A914" s="7" t="n">
        <v>45484</v>
      </c>
      <c r="B914" s="7" t="n">
        <v>45583</v>
      </c>
      <c r="C914" s="8" t="n">
        <v>6282</v>
      </c>
      <c r="D914" s="8" t="n">
        <v>0</v>
      </c>
      <c r="E914" s="8" t="n">
        <v>0</v>
      </c>
      <c r="F914" s="8" t="s">
        <v>2200</v>
      </c>
      <c r="G914" s="8" t="s">
        <v>2201</v>
      </c>
      <c r="H914" s="8" t="s">
        <v>2396</v>
      </c>
    </row>
    <row r="915" customFormat="false" ht="15" hidden="false" customHeight="false" outlineLevel="0" collapsed="false">
      <c r="A915" s="7" t="n">
        <v>45484</v>
      </c>
      <c r="B915" s="7" t="n">
        <v>45616</v>
      </c>
      <c r="C915" s="8" t="n">
        <v>6341</v>
      </c>
      <c r="D915" s="8" t="n">
        <v>0</v>
      </c>
      <c r="E915" s="8" t="n">
        <v>0</v>
      </c>
      <c r="F915" s="8" t="s">
        <v>2200</v>
      </c>
      <c r="G915" s="8" t="s">
        <v>2201</v>
      </c>
      <c r="H915" s="8" t="s">
        <v>2396</v>
      </c>
    </row>
    <row r="916" customFormat="false" ht="15" hidden="false" customHeight="false" outlineLevel="0" collapsed="false">
      <c r="A916" s="7" t="n">
        <v>45485</v>
      </c>
      <c r="B916" s="7" t="n">
        <v>45492</v>
      </c>
      <c r="C916" s="8" t="n">
        <v>6156</v>
      </c>
      <c r="D916" s="8" t="n">
        <v>4165</v>
      </c>
      <c r="E916" s="8" t="n">
        <v>8015</v>
      </c>
      <c r="F916" s="8" t="s">
        <v>2200</v>
      </c>
      <c r="G916" s="8" t="s">
        <v>2201</v>
      </c>
      <c r="H916" s="8" t="s">
        <v>2397</v>
      </c>
    </row>
    <row r="917" customFormat="false" ht="15" hidden="false" customHeight="false" outlineLevel="0" collapsed="false">
      <c r="A917" s="7" t="n">
        <v>45485</v>
      </c>
      <c r="B917" s="7" t="n">
        <v>45524</v>
      </c>
      <c r="C917" s="8" t="n">
        <v>6215</v>
      </c>
      <c r="D917" s="8" t="n">
        <v>10980</v>
      </c>
      <c r="E917" s="8" t="n">
        <v>39200</v>
      </c>
      <c r="F917" s="8" t="s">
        <v>2200</v>
      </c>
      <c r="G917" s="8" t="s">
        <v>2201</v>
      </c>
      <c r="H917" s="8" t="s">
        <v>2397</v>
      </c>
    </row>
    <row r="918" customFormat="false" ht="15" hidden="false" customHeight="false" outlineLevel="0" collapsed="false">
      <c r="A918" s="7" t="n">
        <v>45485</v>
      </c>
      <c r="B918" s="7" t="n">
        <v>45555</v>
      </c>
      <c r="C918" s="8" t="n">
        <v>6245</v>
      </c>
      <c r="D918" s="8" t="n">
        <v>50</v>
      </c>
      <c r="E918" s="8" t="n">
        <v>220</v>
      </c>
      <c r="F918" s="8" t="s">
        <v>2200</v>
      </c>
      <c r="G918" s="8" t="s">
        <v>2201</v>
      </c>
      <c r="H918" s="8" t="s">
        <v>2397</v>
      </c>
    </row>
    <row r="919" customFormat="false" ht="15" hidden="false" customHeight="false" outlineLevel="0" collapsed="false">
      <c r="A919" s="7" t="n">
        <v>45485</v>
      </c>
      <c r="B919" s="7" t="n">
        <v>45583</v>
      </c>
      <c r="C919" s="8" t="n">
        <v>6275</v>
      </c>
      <c r="D919" s="8" t="n">
        <v>0</v>
      </c>
      <c r="E919" s="8" t="n">
        <v>0</v>
      </c>
      <c r="F919" s="8" t="s">
        <v>2200</v>
      </c>
      <c r="G919" s="8" t="s">
        <v>2201</v>
      </c>
      <c r="H919" s="8" t="s">
        <v>2397</v>
      </c>
    </row>
    <row r="920" customFormat="false" ht="15" hidden="false" customHeight="false" outlineLevel="0" collapsed="false">
      <c r="A920" s="7" t="n">
        <v>45485</v>
      </c>
      <c r="B920" s="7" t="n">
        <v>45616</v>
      </c>
      <c r="C920" s="8" t="n">
        <v>6305</v>
      </c>
      <c r="D920" s="8" t="n">
        <v>0</v>
      </c>
      <c r="E920" s="8" t="n">
        <v>0</v>
      </c>
      <c r="F920" s="8" t="s">
        <v>2200</v>
      </c>
      <c r="G920" s="8" t="s">
        <v>2201</v>
      </c>
      <c r="H920" s="8" t="s">
        <v>2397</v>
      </c>
    </row>
    <row r="921" customFormat="false" ht="15" hidden="false" customHeight="false" outlineLevel="0" collapsed="false">
      <c r="A921" s="7" t="n">
        <v>45488</v>
      </c>
      <c r="B921" s="7" t="n">
        <v>45492</v>
      </c>
      <c r="C921" s="8" t="n">
        <v>6124</v>
      </c>
      <c r="D921" s="8" t="n">
        <v>2365</v>
      </c>
      <c r="E921" s="8" t="n">
        <v>6890</v>
      </c>
      <c r="F921" s="8" t="s">
        <v>2200</v>
      </c>
      <c r="G921" s="8" t="s">
        <v>2201</v>
      </c>
      <c r="H921" s="8" t="s">
        <v>2398</v>
      </c>
    </row>
    <row r="922" customFormat="false" ht="15" hidden="false" customHeight="false" outlineLevel="0" collapsed="false">
      <c r="A922" s="7" t="n">
        <v>45488</v>
      </c>
      <c r="B922" s="7" t="n">
        <v>45524</v>
      </c>
      <c r="C922" s="8" t="n">
        <v>6201</v>
      </c>
      <c r="D922" s="8" t="n">
        <v>8580</v>
      </c>
      <c r="E922" s="8" t="n">
        <v>41270</v>
      </c>
      <c r="F922" s="8" t="s">
        <v>2200</v>
      </c>
      <c r="G922" s="8" t="s">
        <v>2201</v>
      </c>
      <c r="H922" s="8" t="s">
        <v>2398</v>
      </c>
    </row>
    <row r="923" customFormat="false" ht="15" hidden="false" customHeight="false" outlineLevel="0" collapsed="false">
      <c r="A923" s="7" t="n">
        <v>45488</v>
      </c>
      <c r="B923" s="7" t="n">
        <v>45555</v>
      </c>
      <c r="C923" s="8" t="n">
        <v>6239</v>
      </c>
      <c r="D923" s="8" t="n">
        <v>95</v>
      </c>
      <c r="E923" s="8" t="n">
        <v>290</v>
      </c>
      <c r="F923" s="8" t="s">
        <v>2200</v>
      </c>
      <c r="G923" s="8" t="s">
        <v>2201</v>
      </c>
      <c r="H923" s="8" t="s">
        <v>2398</v>
      </c>
    </row>
    <row r="924" customFormat="false" ht="15" hidden="false" customHeight="false" outlineLevel="0" collapsed="false">
      <c r="A924" s="7" t="n">
        <v>45488</v>
      </c>
      <c r="B924" s="7" t="n">
        <v>45583</v>
      </c>
      <c r="C924" s="8" t="n">
        <v>6277</v>
      </c>
      <c r="D924" s="8" t="n">
        <v>0</v>
      </c>
      <c r="E924" s="8" t="n">
        <v>0</v>
      </c>
      <c r="F924" s="8" t="s">
        <v>2200</v>
      </c>
      <c r="G924" s="8" t="s">
        <v>2201</v>
      </c>
      <c r="H924" s="8" t="s">
        <v>2398</v>
      </c>
    </row>
    <row r="925" customFormat="false" ht="15" hidden="false" customHeight="false" outlineLevel="0" collapsed="false">
      <c r="A925" s="7" t="n">
        <v>45488</v>
      </c>
      <c r="B925" s="7" t="n">
        <v>45616</v>
      </c>
      <c r="C925" s="8" t="n">
        <v>6315</v>
      </c>
      <c r="D925" s="8" t="n">
        <v>0</v>
      </c>
      <c r="E925" s="8" t="n">
        <v>0</v>
      </c>
      <c r="F925" s="8" t="s">
        <v>2200</v>
      </c>
      <c r="G925" s="8" t="s">
        <v>2201</v>
      </c>
      <c r="H925" s="8" t="s">
        <v>2398</v>
      </c>
    </row>
    <row r="926" customFormat="false" ht="15" hidden="false" customHeight="false" outlineLevel="0" collapsed="false">
      <c r="A926" s="7" t="n">
        <v>45489</v>
      </c>
      <c r="B926" s="7" t="n">
        <v>45492</v>
      </c>
      <c r="C926" s="8" t="n">
        <v>6043</v>
      </c>
      <c r="D926" s="8" t="n">
        <v>2785</v>
      </c>
      <c r="E926" s="8" t="n">
        <v>5100</v>
      </c>
      <c r="F926" s="8" t="s">
        <v>2200</v>
      </c>
      <c r="G926" s="8" t="s">
        <v>2201</v>
      </c>
      <c r="H926" s="8" t="s">
        <v>2399</v>
      </c>
    </row>
    <row r="927" customFormat="false" ht="15" hidden="false" customHeight="false" outlineLevel="0" collapsed="false">
      <c r="A927" s="7" t="n">
        <v>45489</v>
      </c>
      <c r="B927" s="7" t="n">
        <v>45524</v>
      </c>
      <c r="C927" s="8" t="n">
        <v>6123</v>
      </c>
      <c r="D927" s="8" t="n">
        <v>7330</v>
      </c>
      <c r="E927" s="8" t="n">
        <v>41825</v>
      </c>
      <c r="F927" s="8" t="s">
        <v>2200</v>
      </c>
      <c r="G927" s="8" t="s">
        <v>2201</v>
      </c>
      <c r="H927" s="8" t="s">
        <v>2399</v>
      </c>
    </row>
    <row r="928" customFormat="false" ht="15" hidden="false" customHeight="false" outlineLevel="0" collapsed="false">
      <c r="A928" s="7" t="n">
        <v>45489</v>
      </c>
      <c r="B928" s="7" t="n">
        <v>45555</v>
      </c>
      <c r="C928" s="8" t="n">
        <v>6195</v>
      </c>
      <c r="D928" s="8" t="n">
        <v>320</v>
      </c>
      <c r="E928" s="8" t="n">
        <v>560</v>
      </c>
      <c r="F928" s="8" t="s">
        <v>2200</v>
      </c>
      <c r="G928" s="8" t="s">
        <v>2201</v>
      </c>
      <c r="H928" s="8" t="s">
        <v>2399</v>
      </c>
    </row>
    <row r="929" customFormat="false" ht="15" hidden="false" customHeight="false" outlineLevel="0" collapsed="false">
      <c r="A929" s="7" t="n">
        <v>45489</v>
      </c>
      <c r="B929" s="7" t="n">
        <v>45583</v>
      </c>
      <c r="C929" s="8" t="n">
        <v>6267</v>
      </c>
      <c r="D929" s="8" t="n">
        <v>0</v>
      </c>
      <c r="E929" s="8" t="n">
        <v>0</v>
      </c>
      <c r="F929" s="8" t="s">
        <v>2200</v>
      </c>
      <c r="G929" s="8" t="s">
        <v>2201</v>
      </c>
      <c r="H929" s="8" t="s">
        <v>2399</v>
      </c>
    </row>
    <row r="930" customFormat="false" ht="15" hidden="false" customHeight="false" outlineLevel="0" collapsed="false">
      <c r="A930" s="7" t="n">
        <v>45489</v>
      </c>
      <c r="B930" s="7" t="n">
        <v>45616</v>
      </c>
      <c r="C930" s="8" t="n">
        <v>6339</v>
      </c>
      <c r="D930" s="8" t="n">
        <v>0</v>
      </c>
      <c r="E930" s="8" t="n">
        <v>0</v>
      </c>
      <c r="F930" s="8" t="s">
        <v>2200</v>
      </c>
      <c r="G930" s="8" t="s">
        <v>2201</v>
      </c>
      <c r="H930" s="8" t="s">
        <v>2399</v>
      </c>
    </row>
    <row r="931" customFormat="false" ht="15" hidden="false" customHeight="false" outlineLevel="0" collapsed="false">
      <c r="A931" s="7" t="n">
        <v>45491</v>
      </c>
      <c r="B931" s="7" t="n">
        <v>45492</v>
      </c>
      <c r="C931" s="8" t="n">
        <v>6060</v>
      </c>
      <c r="D931" s="8" t="n">
        <v>95</v>
      </c>
      <c r="E931" s="8" t="n">
        <v>2165</v>
      </c>
      <c r="F931" s="8" t="s">
        <v>2200</v>
      </c>
      <c r="G931" s="8" t="s">
        <v>2201</v>
      </c>
      <c r="H931" s="8" t="s">
        <v>2400</v>
      </c>
    </row>
    <row r="932" customFormat="false" ht="15" hidden="false" customHeight="false" outlineLevel="0" collapsed="false">
      <c r="A932" s="7" t="n">
        <v>45491</v>
      </c>
      <c r="B932" s="7" t="n">
        <v>45524</v>
      </c>
      <c r="C932" s="8" t="n">
        <v>6133</v>
      </c>
      <c r="D932" s="8" t="n">
        <v>4340</v>
      </c>
      <c r="E932" s="8" t="n">
        <v>41245</v>
      </c>
      <c r="F932" s="8" t="s">
        <v>2200</v>
      </c>
      <c r="G932" s="8" t="s">
        <v>2201</v>
      </c>
      <c r="H932" s="8" t="s">
        <v>2400</v>
      </c>
    </row>
    <row r="933" customFormat="false" ht="15" hidden="false" customHeight="false" outlineLevel="0" collapsed="false">
      <c r="A933" s="7" t="n">
        <v>45491</v>
      </c>
      <c r="B933" s="7" t="n">
        <v>45555</v>
      </c>
      <c r="C933" s="8" t="n">
        <v>6201</v>
      </c>
      <c r="D933" s="8" t="n">
        <v>1225</v>
      </c>
      <c r="E933" s="8" t="n">
        <v>1725</v>
      </c>
      <c r="F933" s="8" t="s">
        <v>2200</v>
      </c>
      <c r="G933" s="8" t="s">
        <v>2201</v>
      </c>
      <c r="H933" s="8" t="s">
        <v>2400</v>
      </c>
    </row>
    <row r="934" customFormat="false" ht="15" hidden="false" customHeight="false" outlineLevel="0" collapsed="false">
      <c r="A934" s="7" t="n">
        <v>45491</v>
      </c>
      <c r="B934" s="7" t="n">
        <v>45583</v>
      </c>
      <c r="C934" s="8" t="n">
        <v>6269</v>
      </c>
      <c r="D934" s="8" t="n">
        <v>0</v>
      </c>
      <c r="E934" s="8" t="n">
        <v>0</v>
      </c>
      <c r="F934" s="8" t="s">
        <v>2200</v>
      </c>
      <c r="G934" s="8" t="s">
        <v>2201</v>
      </c>
      <c r="H934" s="8" t="s">
        <v>2400</v>
      </c>
    </row>
    <row r="935" customFormat="false" ht="15" hidden="false" customHeight="false" outlineLevel="0" collapsed="false">
      <c r="A935" s="7" t="n">
        <v>45491</v>
      </c>
      <c r="B935" s="7" t="n">
        <v>45616</v>
      </c>
      <c r="C935" s="8" t="n">
        <v>6337</v>
      </c>
      <c r="D935" s="8" t="n">
        <v>0</v>
      </c>
      <c r="E935" s="8" t="n">
        <v>0</v>
      </c>
      <c r="F935" s="8" t="s">
        <v>2200</v>
      </c>
      <c r="G935" s="8" t="s">
        <v>2201</v>
      </c>
      <c r="H935" s="8" t="s">
        <v>2400</v>
      </c>
    </row>
    <row r="936" customFormat="false" ht="15" hidden="false" customHeight="false" outlineLevel="0" collapsed="false">
      <c r="A936" s="7" t="n">
        <v>45492</v>
      </c>
      <c r="B936" s="7" t="n">
        <v>45492</v>
      </c>
      <c r="C936" s="8" t="n">
        <v>6031</v>
      </c>
      <c r="D936" s="8" t="n">
        <v>60</v>
      </c>
      <c r="E936" s="8" t="n">
        <v>1240</v>
      </c>
      <c r="F936" s="8" t="s">
        <v>2200</v>
      </c>
      <c r="G936" s="8" t="s">
        <v>2201</v>
      </c>
      <c r="H936" s="8" t="s">
        <v>2401</v>
      </c>
    </row>
    <row r="937" customFormat="false" ht="15" hidden="false" customHeight="false" outlineLevel="0" collapsed="false">
      <c r="A937" s="7" t="n">
        <v>45492</v>
      </c>
      <c r="B937" s="7" t="n">
        <v>45524</v>
      </c>
      <c r="C937" s="8" t="n">
        <v>6085</v>
      </c>
      <c r="D937" s="8" t="n">
        <v>4105</v>
      </c>
      <c r="E937" s="8" t="n">
        <v>40195</v>
      </c>
      <c r="F937" s="8" t="s">
        <v>2200</v>
      </c>
      <c r="G937" s="8" t="s">
        <v>2201</v>
      </c>
      <c r="H937" s="8" t="s">
        <v>2401</v>
      </c>
    </row>
    <row r="938" customFormat="false" ht="15" hidden="false" customHeight="false" outlineLevel="0" collapsed="false">
      <c r="A938" s="7" t="n">
        <v>45492</v>
      </c>
      <c r="B938" s="7" t="n">
        <v>45555</v>
      </c>
      <c r="C938" s="8" t="n">
        <v>6149</v>
      </c>
      <c r="D938" s="8" t="n">
        <v>360</v>
      </c>
      <c r="E938" s="8" t="n">
        <v>1865</v>
      </c>
      <c r="F938" s="8" t="s">
        <v>2200</v>
      </c>
      <c r="G938" s="8" t="s">
        <v>2201</v>
      </c>
      <c r="H938" s="8" t="s">
        <v>2401</v>
      </c>
    </row>
    <row r="939" customFormat="false" ht="15" hidden="false" customHeight="false" outlineLevel="0" collapsed="false">
      <c r="A939" s="7" t="n">
        <v>45492</v>
      </c>
      <c r="B939" s="7" t="n">
        <v>45583</v>
      </c>
      <c r="C939" s="8" t="n">
        <v>6213</v>
      </c>
      <c r="D939" s="8" t="n">
        <v>0</v>
      </c>
      <c r="E939" s="8" t="n">
        <v>0</v>
      </c>
      <c r="F939" s="8" t="s">
        <v>2200</v>
      </c>
      <c r="G939" s="8" t="s">
        <v>2201</v>
      </c>
      <c r="H939" s="8" t="s">
        <v>2401</v>
      </c>
    </row>
    <row r="940" customFormat="false" ht="15" hidden="false" customHeight="false" outlineLevel="0" collapsed="false">
      <c r="A940" s="7" t="n">
        <v>45492</v>
      </c>
      <c r="B940" s="7" t="n">
        <v>45616</v>
      </c>
      <c r="C940" s="8" t="n">
        <v>6277</v>
      </c>
      <c r="D940" s="8" t="n">
        <v>0</v>
      </c>
      <c r="E940" s="8" t="n">
        <v>0</v>
      </c>
      <c r="F940" s="8" t="s">
        <v>2200</v>
      </c>
      <c r="G940" s="8" t="s">
        <v>2201</v>
      </c>
      <c r="H940" s="8" t="s">
        <v>2401</v>
      </c>
    </row>
    <row r="941" customFormat="false" ht="15" hidden="false" customHeight="false" outlineLevel="0" collapsed="false">
      <c r="A941" s="7" t="n">
        <v>45495</v>
      </c>
      <c r="B941" s="7" t="n">
        <v>45524</v>
      </c>
      <c r="C941" s="8" t="n">
        <v>6134</v>
      </c>
      <c r="D941" s="8" t="n">
        <v>8075</v>
      </c>
      <c r="E941" s="8" t="n">
        <v>38725</v>
      </c>
      <c r="F941" s="8" t="s">
        <v>2200</v>
      </c>
      <c r="G941" s="8" t="s">
        <v>2201</v>
      </c>
      <c r="H941" s="8" t="s">
        <v>2402</v>
      </c>
    </row>
    <row r="942" customFormat="false" ht="15" hidden="false" customHeight="false" outlineLevel="0" collapsed="false">
      <c r="A942" s="7" t="n">
        <v>45495</v>
      </c>
      <c r="B942" s="7" t="n">
        <v>45555</v>
      </c>
      <c r="C942" s="8" t="n">
        <v>6189</v>
      </c>
      <c r="D942" s="8" t="n">
        <v>2470</v>
      </c>
      <c r="E942" s="8" t="n">
        <v>3410</v>
      </c>
      <c r="F942" s="8" t="s">
        <v>2200</v>
      </c>
      <c r="G942" s="8" t="s">
        <v>2201</v>
      </c>
      <c r="H942" s="8" t="s">
        <v>2402</v>
      </c>
    </row>
    <row r="943" customFormat="false" ht="15" hidden="false" customHeight="false" outlineLevel="0" collapsed="false">
      <c r="A943" s="7" t="n">
        <v>45495</v>
      </c>
      <c r="B943" s="7" t="n">
        <v>45583</v>
      </c>
      <c r="C943" s="8" t="n">
        <v>6244</v>
      </c>
      <c r="D943" s="8" t="n">
        <v>0</v>
      </c>
      <c r="E943" s="8" t="n">
        <v>0</v>
      </c>
      <c r="F943" s="8" t="s">
        <v>2200</v>
      </c>
      <c r="G943" s="8" t="s">
        <v>2201</v>
      </c>
      <c r="H943" s="8" t="s">
        <v>2402</v>
      </c>
    </row>
    <row r="944" customFormat="false" ht="15" hidden="false" customHeight="false" outlineLevel="0" collapsed="false">
      <c r="A944" s="7" t="n">
        <v>45495</v>
      </c>
      <c r="B944" s="7" t="n">
        <v>45616</v>
      </c>
      <c r="C944" s="8" t="n">
        <v>6299</v>
      </c>
      <c r="D944" s="8" t="n">
        <v>0</v>
      </c>
      <c r="E944" s="8" t="n">
        <v>0</v>
      </c>
      <c r="F944" s="8" t="s">
        <v>2200</v>
      </c>
      <c r="G944" s="8" t="s">
        <v>2201</v>
      </c>
      <c r="H944" s="8" t="s">
        <v>2402</v>
      </c>
    </row>
    <row r="945" customFormat="false" ht="15" hidden="false" customHeight="false" outlineLevel="0" collapsed="false">
      <c r="A945" s="7" t="n">
        <v>45496</v>
      </c>
      <c r="B945" s="7" t="n">
        <v>45524</v>
      </c>
      <c r="C945" s="8" t="n">
        <v>6112</v>
      </c>
      <c r="D945" s="8" t="n">
        <v>5625</v>
      </c>
      <c r="E945" s="8" t="n">
        <v>36700</v>
      </c>
      <c r="F945" s="8" t="s">
        <v>2200</v>
      </c>
      <c r="G945" s="8" t="s">
        <v>2201</v>
      </c>
      <c r="H945" s="8" t="s">
        <v>2403</v>
      </c>
    </row>
    <row r="946" customFormat="false" ht="15" hidden="false" customHeight="false" outlineLevel="0" collapsed="false">
      <c r="A946" s="7" t="n">
        <v>45496</v>
      </c>
      <c r="B946" s="7" t="n">
        <v>45555</v>
      </c>
      <c r="C946" s="8" t="n">
        <v>6178</v>
      </c>
      <c r="D946" s="8" t="n">
        <v>2720</v>
      </c>
      <c r="E946" s="8" t="n">
        <v>5765</v>
      </c>
      <c r="F946" s="8" t="s">
        <v>2200</v>
      </c>
      <c r="G946" s="8" t="s">
        <v>2201</v>
      </c>
      <c r="H946" s="8" t="s">
        <v>2403</v>
      </c>
    </row>
    <row r="947" customFormat="false" ht="15" hidden="false" customHeight="false" outlineLevel="0" collapsed="false">
      <c r="A947" s="7" t="n">
        <v>45496</v>
      </c>
      <c r="B947" s="7" t="n">
        <v>45583</v>
      </c>
      <c r="C947" s="8" t="n">
        <v>6244</v>
      </c>
      <c r="D947" s="8" t="n">
        <v>0</v>
      </c>
      <c r="E947" s="8" t="n">
        <v>0</v>
      </c>
      <c r="F947" s="8" t="s">
        <v>2200</v>
      </c>
      <c r="G947" s="8" t="s">
        <v>2201</v>
      </c>
      <c r="H947" s="8" t="s">
        <v>2403</v>
      </c>
    </row>
    <row r="948" customFormat="false" ht="15" hidden="false" customHeight="false" outlineLevel="0" collapsed="false">
      <c r="A948" s="7" t="n">
        <v>45496</v>
      </c>
      <c r="B948" s="7" t="n">
        <v>45616</v>
      </c>
      <c r="C948" s="8" t="n">
        <v>6310</v>
      </c>
      <c r="D948" s="8" t="n">
        <v>0</v>
      </c>
      <c r="E948" s="8" t="n">
        <v>0</v>
      </c>
      <c r="F948" s="8" t="s">
        <v>2200</v>
      </c>
      <c r="G948" s="8" t="s">
        <v>2201</v>
      </c>
      <c r="H948" s="8" t="s">
        <v>2403</v>
      </c>
    </row>
    <row r="949" customFormat="false" ht="15" hidden="false" customHeight="false" outlineLevel="0" collapsed="false">
      <c r="A949" s="7" t="n">
        <v>45497</v>
      </c>
      <c r="B949" s="7" t="n">
        <v>45524</v>
      </c>
      <c r="C949" s="8" t="n">
        <v>6198</v>
      </c>
      <c r="D949" s="8" t="n">
        <v>9245</v>
      </c>
      <c r="E949" s="8" t="n">
        <v>36230</v>
      </c>
      <c r="F949" s="8" t="s">
        <v>2200</v>
      </c>
      <c r="G949" s="8" t="s">
        <v>2201</v>
      </c>
      <c r="H949" s="8" t="s">
        <v>2404</v>
      </c>
    </row>
    <row r="950" customFormat="false" ht="15" hidden="false" customHeight="false" outlineLevel="0" collapsed="false">
      <c r="A950" s="7" t="n">
        <v>45497</v>
      </c>
      <c r="B950" s="7" t="n">
        <v>45555</v>
      </c>
      <c r="C950" s="8" t="n">
        <v>6263</v>
      </c>
      <c r="D950" s="8" t="n">
        <v>2625</v>
      </c>
      <c r="E950" s="8" t="n">
        <v>7220</v>
      </c>
      <c r="F950" s="8" t="s">
        <v>2200</v>
      </c>
      <c r="G950" s="8" t="s">
        <v>2201</v>
      </c>
      <c r="H950" s="8" t="s">
        <v>2404</v>
      </c>
    </row>
    <row r="951" customFormat="false" ht="15" hidden="false" customHeight="false" outlineLevel="0" collapsed="false">
      <c r="A951" s="7" t="n">
        <v>45497</v>
      </c>
      <c r="B951" s="7" t="n">
        <v>45583</v>
      </c>
      <c r="C951" s="8" t="n">
        <v>6328</v>
      </c>
      <c r="D951" s="8" t="n">
        <v>0</v>
      </c>
      <c r="E951" s="8" t="n">
        <v>0</v>
      </c>
      <c r="F951" s="8" t="s">
        <v>2200</v>
      </c>
      <c r="G951" s="8" t="s">
        <v>2201</v>
      </c>
      <c r="H951" s="8" t="s">
        <v>2404</v>
      </c>
    </row>
    <row r="952" customFormat="false" ht="15" hidden="false" customHeight="false" outlineLevel="0" collapsed="false">
      <c r="A952" s="7" t="n">
        <v>45497</v>
      </c>
      <c r="B952" s="7" t="n">
        <v>45616</v>
      </c>
      <c r="C952" s="8" t="n">
        <v>6393</v>
      </c>
      <c r="D952" s="8" t="n">
        <v>0</v>
      </c>
      <c r="E952" s="8" t="n">
        <v>0</v>
      </c>
      <c r="F952" s="8" t="s">
        <v>2200</v>
      </c>
      <c r="G952" s="8" t="s">
        <v>2201</v>
      </c>
      <c r="H952" s="8" t="s">
        <v>2404</v>
      </c>
    </row>
    <row r="953" customFormat="false" ht="15" hidden="false" customHeight="false" outlineLevel="0" collapsed="false">
      <c r="A953" s="7" t="n">
        <v>45498</v>
      </c>
      <c r="B953" s="7" t="n">
        <v>45524</v>
      </c>
      <c r="C953" s="8" t="n">
        <v>6197</v>
      </c>
      <c r="D953" s="8" t="n">
        <v>5090</v>
      </c>
      <c r="E953" s="8" t="n">
        <v>36035</v>
      </c>
      <c r="F953" s="8" t="s">
        <v>2200</v>
      </c>
      <c r="G953" s="8" t="s">
        <v>2201</v>
      </c>
      <c r="H953" s="8" t="s">
        <v>2405</v>
      </c>
    </row>
    <row r="954" customFormat="false" ht="15" hidden="false" customHeight="false" outlineLevel="0" collapsed="false">
      <c r="A954" s="7" t="n">
        <v>45498</v>
      </c>
      <c r="B954" s="7" t="n">
        <v>45555</v>
      </c>
      <c r="C954" s="8" t="n">
        <v>6258</v>
      </c>
      <c r="D954" s="8" t="n">
        <v>1495</v>
      </c>
      <c r="E954" s="8" t="n">
        <v>7800</v>
      </c>
      <c r="F954" s="8" t="s">
        <v>2200</v>
      </c>
      <c r="G954" s="8" t="s">
        <v>2201</v>
      </c>
      <c r="H954" s="8" t="s">
        <v>2405</v>
      </c>
    </row>
    <row r="955" customFormat="false" ht="15" hidden="false" customHeight="false" outlineLevel="0" collapsed="false">
      <c r="A955" s="7" t="n">
        <v>45498</v>
      </c>
      <c r="B955" s="7" t="n">
        <v>45583</v>
      </c>
      <c r="C955" s="8" t="n">
        <v>6319</v>
      </c>
      <c r="D955" s="8" t="n">
        <v>0</v>
      </c>
      <c r="E955" s="8" t="n">
        <v>0</v>
      </c>
      <c r="F955" s="8" t="s">
        <v>2200</v>
      </c>
      <c r="G955" s="8" t="s">
        <v>2201</v>
      </c>
      <c r="H955" s="8" t="s">
        <v>2405</v>
      </c>
    </row>
    <row r="956" customFormat="false" ht="15" hidden="false" customHeight="false" outlineLevel="0" collapsed="false">
      <c r="A956" s="7" t="n">
        <v>45498</v>
      </c>
      <c r="B956" s="7" t="n">
        <v>45616</v>
      </c>
      <c r="C956" s="8" t="n">
        <v>6380</v>
      </c>
      <c r="D956" s="8" t="n">
        <v>0</v>
      </c>
      <c r="E956" s="8" t="n">
        <v>0</v>
      </c>
      <c r="F956" s="8" t="s">
        <v>2200</v>
      </c>
      <c r="G956" s="8" t="s">
        <v>2201</v>
      </c>
      <c r="H956" s="8" t="s">
        <v>2405</v>
      </c>
    </row>
    <row r="957" customFormat="false" ht="15" hidden="false" customHeight="false" outlineLevel="0" collapsed="false">
      <c r="A957" s="7" t="n">
        <v>45499</v>
      </c>
      <c r="B957" s="7" t="n">
        <v>45524</v>
      </c>
      <c r="C957" s="8" t="n">
        <v>6161</v>
      </c>
      <c r="D957" s="8" t="n">
        <v>6970</v>
      </c>
      <c r="E957" s="8" t="n">
        <v>34120</v>
      </c>
      <c r="F957" s="8" t="s">
        <v>2200</v>
      </c>
      <c r="G957" s="8" t="s">
        <v>2201</v>
      </c>
      <c r="H957" s="8" t="s">
        <v>2406</v>
      </c>
    </row>
    <row r="958" customFormat="false" ht="15" hidden="false" customHeight="false" outlineLevel="0" collapsed="false">
      <c r="A958" s="7" t="n">
        <v>45499</v>
      </c>
      <c r="B958" s="7" t="n">
        <v>45555</v>
      </c>
      <c r="C958" s="8" t="n">
        <v>6216</v>
      </c>
      <c r="D958" s="8" t="n">
        <v>3285</v>
      </c>
      <c r="E958" s="8" t="n">
        <v>9450</v>
      </c>
      <c r="F958" s="8" t="s">
        <v>2200</v>
      </c>
      <c r="G958" s="8" t="s">
        <v>2201</v>
      </c>
      <c r="H958" s="8" t="s">
        <v>2406</v>
      </c>
    </row>
    <row r="959" customFormat="false" ht="15" hidden="false" customHeight="false" outlineLevel="0" collapsed="false">
      <c r="A959" s="7" t="n">
        <v>45499</v>
      </c>
      <c r="B959" s="7" t="n">
        <v>45583</v>
      </c>
      <c r="C959" s="8" t="n">
        <v>6271</v>
      </c>
      <c r="D959" s="8" t="n">
        <v>0</v>
      </c>
      <c r="E959" s="8" t="n">
        <v>0</v>
      </c>
      <c r="F959" s="8" t="s">
        <v>2200</v>
      </c>
      <c r="G959" s="8" t="s">
        <v>2201</v>
      </c>
      <c r="H959" s="8" t="s">
        <v>2406</v>
      </c>
    </row>
    <row r="960" customFormat="false" ht="15" hidden="false" customHeight="false" outlineLevel="0" collapsed="false">
      <c r="A960" s="7" t="n">
        <v>45499</v>
      </c>
      <c r="B960" s="7" t="n">
        <v>45616</v>
      </c>
      <c r="C960" s="8" t="n">
        <v>6326</v>
      </c>
      <c r="D960" s="8" t="n">
        <v>0</v>
      </c>
      <c r="E960" s="8" t="n">
        <v>0</v>
      </c>
      <c r="F960" s="8" t="s">
        <v>2200</v>
      </c>
      <c r="G960" s="8" t="s">
        <v>2201</v>
      </c>
      <c r="H960" s="8" t="s">
        <v>2406</v>
      </c>
    </row>
    <row r="961" customFormat="false" ht="15" hidden="false" customHeight="false" outlineLevel="0" collapsed="false">
      <c r="A961" s="7" t="n">
        <v>45502</v>
      </c>
      <c r="B961" s="7" t="n">
        <v>45524</v>
      </c>
      <c r="C961" s="8" t="n">
        <v>6162</v>
      </c>
      <c r="D961" s="8" t="n">
        <v>6775</v>
      </c>
      <c r="E961" s="8" t="n">
        <v>32560</v>
      </c>
      <c r="F961" s="8" t="s">
        <v>2200</v>
      </c>
      <c r="G961" s="8" t="s">
        <v>2201</v>
      </c>
      <c r="H961" s="8" t="s">
        <v>2407</v>
      </c>
    </row>
    <row r="962" customFormat="false" ht="15" hidden="false" customHeight="false" outlineLevel="0" collapsed="false">
      <c r="A962" s="7" t="n">
        <v>45502</v>
      </c>
      <c r="B962" s="7" t="n">
        <v>45555</v>
      </c>
      <c r="C962" s="8" t="n">
        <v>6224</v>
      </c>
      <c r="D962" s="8" t="n">
        <v>3205</v>
      </c>
      <c r="E962" s="8" t="n">
        <v>11215</v>
      </c>
      <c r="F962" s="8" t="s">
        <v>2200</v>
      </c>
      <c r="G962" s="8" t="s">
        <v>2201</v>
      </c>
      <c r="H962" s="8" t="s">
        <v>2407</v>
      </c>
    </row>
    <row r="963" customFormat="false" ht="15" hidden="false" customHeight="false" outlineLevel="0" collapsed="false">
      <c r="A963" s="7" t="n">
        <v>45502</v>
      </c>
      <c r="B963" s="7" t="n">
        <v>45583</v>
      </c>
      <c r="C963" s="8" t="n">
        <v>6286</v>
      </c>
      <c r="D963" s="8" t="n">
        <v>0</v>
      </c>
      <c r="E963" s="8" t="n">
        <v>0</v>
      </c>
      <c r="F963" s="8" t="s">
        <v>2200</v>
      </c>
      <c r="G963" s="8" t="s">
        <v>2201</v>
      </c>
      <c r="H963" s="8" t="s">
        <v>2407</v>
      </c>
    </row>
    <row r="964" customFormat="false" ht="15" hidden="false" customHeight="false" outlineLevel="0" collapsed="false">
      <c r="A964" s="7" t="n">
        <v>45502</v>
      </c>
      <c r="B964" s="7" t="n">
        <v>45616</v>
      </c>
      <c r="C964" s="8" t="n">
        <v>6348</v>
      </c>
      <c r="D964" s="8" t="n">
        <v>0</v>
      </c>
      <c r="E964" s="8" t="n">
        <v>0</v>
      </c>
      <c r="F964" s="8" t="s">
        <v>2200</v>
      </c>
      <c r="G964" s="8" t="s">
        <v>2201</v>
      </c>
      <c r="H964" s="8" t="s">
        <v>2407</v>
      </c>
    </row>
    <row r="965" customFormat="false" ht="15" hidden="false" customHeight="false" outlineLevel="0" collapsed="false">
      <c r="A965" s="7" t="n">
        <v>45503</v>
      </c>
      <c r="B965" s="7" t="n">
        <v>45524</v>
      </c>
      <c r="C965" s="8" t="n">
        <v>6156</v>
      </c>
      <c r="D965" s="8" t="n">
        <v>5820</v>
      </c>
      <c r="E965" s="8" t="n">
        <v>30335</v>
      </c>
      <c r="F965" s="8" t="s">
        <v>2200</v>
      </c>
      <c r="G965" s="8" t="s">
        <v>2201</v>
      </c>
      <c r="H965" s="8" t="s">
        <v>2408</v>
      </c>
    </row>
    <row r="966" customFormat="false" ht="15" hidden="false" customHeight="false" outlineLevel="0" collapsed="false">
      <c r="A966" s="7" t="n">
        <v>45503</v>
      </c>
      <c r="B966" s="7" t="n">
        <v>45555</v>
      </c>
      <c r="C966" s="8" t="n">
        <v>6215</v>
      </c>
      <c r="D966" s="8" t="n">
        <v>4005</v>
      </c>
      <c r="E966" s="8" t="n">
        <v>13850</v>
      </c>
      <c r="F966" s="8" t="s">
        <v>2200</v>
      </c>
      <c r="G966" s="8" t="s">
        <v>2201</v>
      </c>
      <c r="H966" s="8" t="s">
        <v>2408</v>
      </c>
    </row>
    <row r="967" customFormat="false" ht="15" hidden="false" customHeight="false" outlineLevel="0" collapsed="false">
      <c r="A967" s="7" t="n">
        <v>45503</v>
      </c>
      <c r="B967" s="7" t="n">
        <v>45583</v>
      </c>
      <c r="C967" s="8" t="n">
        <v>6274</v>
      </c>
      <c r="D967" s="8" t="n">
        <v>0</v>
      </c>
      <c r="E967" s="8" t="n">
        <v>0</v>
      </c>
      <c r="F967" s="8" t="s">
        <v>2200</v>
      </c>
      <c r="G967" s="8" t="s">
        <v>2201</v>
      </c>
      <c r="H967" s="8" t="s">
        <v>2408</v>
      </c>
    </row>
    <row r="968" customFormat="false" ht="15" hidden="false" customHeight="false" outlineLevel="0" collapsed="false">
      <c r="A968" s="7" t="n">
        <v>45503</v>
      </c>
      <c r="B968" s="7" t="n">
        <v>45616</v>
      </c>
      <c r="C968" s="8" t="n">
        <v>6333</v>
      </c>
      <c r="D968" s="8" t="n">
        <v>0</v>
      </c>
      <c r="E968" s="8" t="n">
        <v>0</v>
      </c>
      <c r="F968" s="8" t="s">
        <v>2200</v>
      </c>
      <c r="G968" s="8" t="s">
        <v>2201</v>
      </c>
      <c r="H968" s="8" t="s">
        <v>2408</v>
      </c>
    </row>
    <row r="969" customFormat="false" ht="15" hidden="false" customHeight="false" outlineLevel="0" collapsed="false">
      <c r="A969" s="7" t="n">
        <v>45504</v>
      </c>
      <c r="B969" s="7" t="n">
        <v>45524</v>
      </c>
      <c r="C969" s="8" t="n">
        <v>6167</v>
      </c>
      <c r="D969" s="8" t="n">
        <v>6010</v>
      </c>
      <c r="E969" s="8" t="n">
        <v>27950</v>
      </c>
      <c r="F969" s="8" t="s">
        <v>2200</v>
      </c>
      <c r="G969" s="8" t="s">
        <v>2201</v>
      </c>
      <c r="H969" s="8" t="s">
        <v>2409</v>
      </c>
    </row>
    <row r="970" customFormat="false" ht="15" hidden="false" customHeight="false" outlineLevel="0" collapsed="false">
      <c r="A970" s="7" t="n">
        <v>45504</v>
      </c>
      <c r="B970" s="7" t="n">
        <v>45555</v>
      </c>
      <c r="C970" s="8" t="n">
        <v>6237</v>
      </c>
      <c r="D970" s="8" t="n">
        <v>5110</v>
      </c>
      <c r="E970" s="8" t="n">
        <v>16850</v>
      </c>
      <c r="F970" s="8" t="s">
        <v>2200</v>
      </c>
      <c r="G970" s="8" t="s">
        <v>2201</v>
      </c>
      <c r="H970" s="8" t="s">
        <v>2409</v>
      </c>
    </row>
    <row r="971" customFormat="false" ht="15" hidden="false" customHeight="false" outlineLevel="0" collapsed="false">
      <c r="A971" s="7" t="n">
        <v>45504</v>
      </c>
      <c r="B971" s="7" t="n">
        <v>45583</v>
      </c>
      <c r="C971" s="8" t="n">
        <v>6307</v>
      </c>
      <c r="D971" s="8" t="n">
        <v>0</v>
      </c>
      <c r="E971" s="8" t="n">
        <v>0</v>
      </c>
      <c r="F971" s="8" t="s">
        <v>2200</v>
      </c>
      <c r="G971" s="8" t="s">
        <v>2201</v>
      </c>
      <c r="H971" s="8" t="s">
        <v>2409</v>
      </c>
    </row>
    <row r="972" customFormat="false" ht="15" hidden="false" customHeight="false" outlineLevel="0" collapsed="false">
      <c r="A972" s="7" t="n">
        <v>45504</v>
      </c>
      <c r="B972" s="7" t="n">
        <v>45616</v>
      </c>
      <c r="C972" s="8" t="n">
        <v>6377</v>
      </c>
      <c r="D972" s="8" t="n">
        <v>0</v>
      </c>
      <c r="E972" s="8" t="n">
        <v>0</v>
      </c>
      <c r="F972" s="8" t="s">
        <v>2200</v>
      </c>
      <c r="G972" s="8" t="s">
        <v>2201</v>
      </c>
      <c r="H972" s="8" t="s">
        <v>2409</v>
      </c>
    </row>
    <row r="973" customFormat="false" ht="15" hidden="false" customHeight="false" outlineLevel="0" collapsed="false">
      <c r="A973" s="7" t="n">
        <v>45505</v>
      </c>
      <c r="B973" s="7" t="n">
        <v>45524</v>
      </c>
      <c r="C973" s="8" t="n">
        <v>6194</v>
      </c>
      <c r="D973" s="8" t="n">
        <v>9060</v>
      </c>
      <c r="E973" s="8" t="n">
        <v>27530</v>
      </c>
      <c r="F973" s="8" t="s">
        <v>2200</v>
      </c>
      <c r="G973" s="8" t="s">
        <v>2201</v>
      </c>
      <c r="H973" s="8" t="s">
        <v>2410</v>
      </c>
    </row>
    <row r="974" customFormat="false" ht="15" hidden="false" customHeight="false" outlineLevel="0" collapsed="false">
      <c r="A974" s="7" t="n">
        <v>45505</v>
      </c>
      <c r="B974" s="7" t="n">
        <v>45555</v>
      </c>
      <c r="C974" s="8" t="n">
        <v>6266</v>
      </c>
      <c r="D974" s="8" t="n">
        <v>5335</v>
      </c>
      <c r="E974" s="8" t="n">
        <v>18425</v>
      </c>
      <c r="F974" s="8" t="s">
        <v>2200</v>
      </c>
      <c r="G974" s="8" t="s">
        <v>2201</v>
      </c>
      <c r="H974" s="8" t="s">
        <v>2410</v>
      </c>
    </row>
    <row r="975" customFormat="false" ht="15" hidden="false" customHeight="false" outlineLevel="0" collapsed="false">
      <c r="A975" s="7" t="n">
        <v>45505</v>
      </c>
      <c r="B975" s="7" t="n">
        <v>45583</v>
      </c>
      <c r="C975" s="8" t="n">
        <v>6338</v>
      </c>
      <c r="D975" s="8" t="n">
        <v>105</v>
      </c>
      <c r="E975" s="8" t="n">
        <v>105</v>
      </c>
      <c r="F975" s="8" t="s">
        <v>2200</v>
      </c>
      <c r="G975" s="8" t="s">
        <v>2201</v>
      </c>
      <c r="H975" s="8" t="s">
        <v>2410</v>
      </c>
    </row>
    <row r="976" customFormat="false" ht="15" hidden="false" customHeight="false" outlineLevel="0" collapsed="false">
      <c r="A976" s="7" t="n">
        <v>45505</v>
      </c>
      <c r="B976" s="7" t="n">
        <v>45616</v>
      </c>
      <c r="C976" s="8" t="n">
        <v>6410</v>
      </c>
      <c r="D976" s="8" t="n">
        <v>0</v>
      </c>
      <c r="E976" s="8" t="n">
        <v>0</v>
      </c>
      <c r="F976" s="8" t="s">
        <v>2200</v>
      </c>
      <c r="G976" s="8" t="s">
        <v>2201</v>
      </c>
      <c r="H976" s="8" t="s">
        <v>2410</v>
      </c>
    </row>
    <row r="977" customFormat="false" ht="15" hidden="false" customHeight="false" outlineLevel="0" collapsed="false">
      <c r="A977" s="7" t="n">
        <v>45505</v>
      </c>
      <c r="B977" s="7" t="n">
        <v>45646</v>
      </c>
      <c r="C977" s="8" t="n">
        <v>6482</v>
      </c>
      <c r="D977" s="8" t="n">
        <v>0</v>
      </c>
      <c r="E977" s="8" t="n">
        <v>0</v>
      </c>
      <c r="F977" s="8" t="s">
        <v>2200</v>
      </c>
      <c r="G977" s="8" t="s">
        <v>2201</v>
      </c>
      <c r="H977" s="8" t="s">
        <v>2410</v>
      </c>
    </row>
    <row r="978" customFormat="false" ht="15" hidden="false" customHeight="false" outlineLevel="0" collapsed="false">
      <c r="A978" s="7" t="n">
        <v>45506</v>
      </c>
      <c r="B978" s="7" t="n">
        <v>45524</v>
      </c>
      <c r="C978" s="8" t="n">
        <v>6193</v>
      </c>
      <c r="D978" s="8" t="n">
        <v>10615</v>
      </c>
      <c r="E978" s="8" t="n">
        <v>22955</v>
      </c>
      <c r="F978" s="8" t="s">
        <v>2200</v>
      </c>
      <c r="G978" s="8" t="s">
        <v>2201</v>
      </c>
      <c r="H978" s="8" t="s">
        <v>2411</v>
      </c>
    </row>
    <row r="979" customFormat="false" ht="15" hidden="false" customHeight="false" outlineLevel="0" collapsed="false">
      <c r="A979" s="7" t="n">
        <v>45506</v>
      </c>
      <c r="B979" s="7" t="n">
        <v>45555</v>
      </c>
      <c r="C979" s="8" t="n">
        <v>6262</v>
      </c>
      <c r="D979" s="8" t="n">
        <v>11160</v>
      </c>
      <c r="E979" s="8" t="n">
        <v>24380</v>
      </c>
      <c r="F979" s="8" t="s">
        <v>2200</v>
      </c>
      <c r="G979" s="8" t="s">
        <v>2201</v>
      </c>
      <c r="H979" s="8" t="s">
        <v>2411</v>
      </c>
    </row>
    <row r="980" customFormat="false" ht="15" hidden="false" customHeight="false" outlineLevel="0" collapsed="false">
      <c r="A980" s="7" t="n">
        <v>45506</v>
      </c>
      <c r="B980" s="7" t="n">
        <v>45583</v>
      </c>
      <c r="C980" s="8" t="n">
        <v>6331</v>
      </c>
      <c r="D980" s="8" t="n">
        <v>0</v>
      </c>
      <c r="E980" s="8" t="n">
        <v>105</v>
      </c>
      <c r="F980" s="8" t="s">
        <v>2200</v>
      </c>
      <c r="G980" s="8" t="s">
        <v>2201</v>
      </c>
      <c r="H980" s="8" t="s">
        <v>2411</v>
      </c>
    </row>
    <row r="981" customFormat="false" ht="15" hidden="false" customHeight="false" outlineLevel="0" collapsed="false">
      <c r="A981" s="7" t="n">
        <v>45506</v>
      </c>
      <c r="B981" s="7" t="n">
        <v>45616</v>
      </c>
      <c r="C981" s="8" t="n">
        <v>6400</v>
      </c>
      <c r="D981" s="8" t="n">
        <v>0</v>
      </c>
      <c r="E981" s="8" t="n">
        <v>0</v>
      </c>
      <c r="F981" s="8" t="s">
        <v>2200</v>
      </c>
      <c r="G981" s="8" t="s">
        <v>2201</v>
      </c>
      <c r="H981" s="8" t="s">
        <v>2411</v>
      </c>
    </row>
    <row r="982" customFormat="false" ht="15" hidden="false" customHeight="false" outlineLevel="0" collapsed="false">
      <c r="A982" s="7" t="n">
        <v>45506</v>
      </c>
      <c r="B982" s="7" t="n">
        <v>45646</v>
      </c>
      <c r="C982" s="8" t="n">
        <v>6469</v>
      </c>
      <c r="D982" s="8" t="n">
        <v>0</v>
      </c>
      <c r="E982" s="8" t="n">
        <v>0</v>
      </c>
      <c r="F982" s="8" t="s">
        <v>2200</v>
      </c>
      <c r="G982" s="8" t="s">
        <v>2201</v>
      </c>
      <c r="H982" s="8" t="s">
        <v>2411</v>
      </c>
    </row>
    <row r="983" customFormat="false" ht="15" hidden="false" customHeight="false" outlineLevel="0" collapsed="false">
      <c r="A983" s="7" t="n">
        <v>45509</v>
      </c>
      <c r="B983" s="7" t="n">
        <v>45524</v>
      </c>
      <c r="C983" s="8" t="n">
        <v>6193</v>
      </c>
      <c r="D983" s="8" t="n">
        <v>8270</v>
      </c>
      <c r="E983" s="8" t="n">
        <v>20445</v>
      </c>
      <c r="F983" s="8" t="s">
        <v>2200</v>
      </c>
      <c r="G983" s="8" t="s">
        <v>2201</v>
      </c>
      <c r="H983" s="8" t="s">
        <v>2412</v>
      </c>
    </row>
    <row r="984" customFormat="false" ht="15" hidden="false" customHeight="false" outlineLevel="0" collapsed="false">
      <c r="A984" s="7" t="n">
        <v>45509</v>
      </c>
      <c r="B984" s="7" t="n">
        <v>45555</v>
      </c>
      <c r="C984" s="8" t="n">
        <v>6260</v>
      </c>
      <c r="D984" s="8" t="n">
        <v>12000</v>
      </c>
      <c r="E984" s="8" t="n">
        <v>28005</v>
      </c>
      <c r="F984" s="8" t="s">
        <v>2200</v>
      </c>
      <c r="G984" s="8" t="s">
        <v>2201</v>
      </c>
      <c r="H984" s="8" t="s">
        <v>2412</v>
      </c>
    </row>
    <row r="985" customFormat="false" ht="15" hidden="false" customHeight="false" outlineLevel="0" collapsed="false">
      <c r="A985" s="7" t="n">
        <v>45509</v>
      </c>
      <c r="B985" s="7" t="n">
        <v>45583</v>
      </c>
      <c r="C985" s="8" t="n">
        <v>6327</v>
      </c>
      <c r="D985" s="8" t="n">
        <v>45</v>
      </c>
      <c r="E985" s="8" t="n">
        <v>150</v>
      </c>
      <c r="F985" s="8" t="s">
        <v>2200</v>
      </c>
      <c r="G985" s="8" t="s">
        <v>2201</v>
      </c>
      <c r="H985" s="8" t="s">
        <v>2412</v>
      </c>
    </row>
    <row r="986" customFormat="false" ht="15" hidden="false" customHeight="false" outlineLevel="0" collapsed="false">
      <c r="A986" s="7" t="n">
        <v>45509</v>
      </c>
      <c r="B986" s="7" t="n">
        <v>45616</v>
      </c>
      <c r="C986" s="8" t="n">
        <v>6394</v>
      </c>
      <c r="D986" s="8" t="n">
        <v>0</v>
      </c>
      <c r="E986" s="8" t="n">
        <v>0</v>
      </c>
      <c r="F986" s="8" t="s">
        <v>2200</v>
      </c>
      <c r="G986" s="8" t="s">
        <v>2201</v>
      </c>
      <c r="H986" s="8" t="s">
        <v>2412</v>
      </c>
    </row>
    <row r="987" customFormat="false" ht="15" hidden="false" customHeight="false" outlineLevel="0" collapsed="false">
      <c r="A987" s="7" t="n">
        <v>45509</v>
      </c>
      <c r="B987" s="7" t="n">
        <v>45646</v>
      </c>
      <c r="C987" s="8" t="n">
        <v>6461</v>
      </c>
      <c r="D987" s="8" t="n">
        <v>0</v>
      </c>
      <c r="E987" s="8" t="n">
        <v>0</v>
      </c>
      <c r="F987" s="8" t="s">
        <v>2200</v>
      </c>
      <c r="G987" s="8" t="s">
        <v>2201</v>
      </c>
      <c r="H987" s="8" t="s">
        <v>2412</v>
      </c>
    </row>
    <row r="988" customFormat="false" ht="15" hidden="false" customHeight="false" outlineLevel="0" collapsed="false">
      <c r="A988" s="7" t="n">
        <v>45510</v>
      </c>
      <c r="B988" s="7" t="n">
        <v>45524</v>
      </c>
      <c r="C988" s="8" t="n">
        <v>6163</v>
      </c>
      <c r="D988" s="8" t="n">
        <v>3050</v>
      </c>
      <c r="E988" s="8" t="n">
        <v>18895</v>
      </c>
      <c r="F988" s="8" t="s">
        <v>2200</v>
      </c>
      <c r="G988" s="8" t="s">
        <v>2201</v>
      </c>
      <c r="H988" s="8" t="s">
        <v>2413</v>
      </c>
    </row>
    <row r="989" customFormat="false" ht="15" hidden="false" customHeight="false" outlineLevel="0" collapsed="false">
      <c r="A989" s="7" t="n">
        <v>45510</v>
      </c>
      <c r="B989" s="7" t="n">
        <v>45555</v>
      </c>
      <c r="C989" s="8" t="n">
        <v>6226</v>
      </c>
      <c r="D989" s="8" t="n">
        <v>4370</v>
      </c>
      <c r="E989" s="8" t="n">
        <v>29065</v>
      </c>
      <c r="F989" s="8" t="s">
        <v>2200</v>
      </c>
      <c r="G989" s="8" t="s">
        <v>2201</v>
      </c>
      <c r="H989" s="8" t="s">
        <v>2413</v>
      </c>
    </row>
    <row r="990" customFormat="false" ht="15" hidden="false" customHeight="false" outlineLevel="0" collapsed="false">
      <c r="A990" s="7" t="n">
        <v>45510</v>
      </c>
      <c r="B990" s="7" t="n">
        <v>45583</v>
      </c>
      <c r="C990" s="8" t="n">
        <v>6320</v>
      </c>
      <c r="D990" s="8" t="n">
        <v>45</v>
      </c>
      <c r="E990" s="8" t="n">
        <v>185</v>
      </c>
      <c r="F990" s="8" t="s">
        <v>2200</v>
      </c>
      <c r="G990" s="8" t="s">
        <v>2201</v>
      </c>
      <c r="H990" s="8" t="s">
        <v>2413</v>
      </c>
    </row>
    <row r="991" customFormat="false" ht="15" hidden="false" customHeight="false" outlineLevel="0" collapsed="false">
      <c r="A991" s="7" t="n">
        <v>45510</v>
      </c>
      <c r="B991" s="7" t="n">
        <v>45616</v>
      </c>
      <c r="C991" s="8" t="n">
        <v>6414</v>
      </c>
      <c r="D991" s="8" t="n">
        <v>0</v>
      </c>
      <c r="E991" s="8" t="n">
        <v>0</v>
      </c>
      <c r="F991" s="8" t="s">
        <v>2200</v>
      </c>
      <c r="G991" s="8" t="s">
        <v>2201</v>
      </c>
      <c r="H991" s="8" t="s">
        <v>2413</v>
      </c>
    </row>
    <row r="992" customFormat="false" ht="15" hidden="false" customHeight="false" outlineLevel="0" collapsed="false">
      <c r="A992" s="7" t="n">
        <v>45510</v>
      </c>
      <c r="B992" s="7" t="n">
        <v>45646</v>
      </c>
      <c r="C992" s="8" t="n">
        <v>6508</v>
      </c>
      <c r="D992" s="8" t="n">
        <v>0</v>
      </c>
      <c r="E992" s="8" t="n">
        <v>0</v>
      </c>
      <c r="F992" s="8" t="s">
        <v>2200</v>
      </c>
      <c r="G992" s="8" t="s">
        <v>2201</v>
      </c>
      <c r="H992" s="8" t="s">
        <v>2413</v>
      </c>
    </row>
    <row r="993" customFormat="false" ht="15" hidden="false" customHeight="false" outlineLevel="0" collapsed="false">
      <c r="A993" s="7" t="n">
        <v>45511</v>
      </c>
      <c r="B993" s="7" t="n">
        <v>45524</v>
      </c>
      <c r="C993" s="8" t="n">
        <v>6187</v>
      </c>
      <c r="D993" s="8" t="n">
        <v>2965</v>
      </c>
      <c r="E993" s="8" t="n">
        <v>17180</v>
      </c>
      <c r="F993" s="8" t="s">
        <v>2200</v>
      </c>
      <c r="G993" s="8" t="s">
        <v>2201</v>
      </c>
      <c r="H993" s="8" t="s">
        <v>2414</v>
      </c>
    </row>
    <row r="994" customFormat="false" ht="15" hidden="false" customHeight="false" outlineLevel="0" collapsed="false">
      <c r="A994" s="7" t="n">
        <v>45511</v>
      </c>
      <c r="B994" s="7" t="n">
        <v>45555</v>
      </c>
      <c r="C994" s="8" t="n">
        <v>6253</v>
      </c>
      <c r="D994" s="8" t="n">
        <v>4520</v>
      </c>
      <c r="E994" s="8" t="n">
        <v>30575</v>
      </c>
      <c r="F994" s="8" t="s">
        <v>2200</v>
      </c>
      <c r="G994" s="8" t="s">
        <v>2201</v>
      </c>
      <c r="H994" s="8" t="s">
        <v>2414</v>
      </c>
    </row>
    <row r="995" customFormat="false" ht="15" hidden="false" customHeight="false" outlineLevel="0" collapsed="false">
      <c r="A995" s="7" t="n">
        <v>45511</v>
      </c>
      <c r="B995" s="7" t="n">
        <v>45583</v>
      </c>
      <c r="C995" s="8" t="n">
        <v>6319</v>
      </c>
      <c r="D995" s="8" t="n">
        <v>0</v>
      </c>
      <c r="E995" s="8" t="n">
        <v>185</v>
      </c>
      <c r="F995" s="8" t="s">
        <v>2200</v>
      </c>
      <c r="G995" s="8" t="s">
        <v>2201</v>
      </c>
      <c r="H995" s="8" t="s">
        <v>2414</v>
      </c>
    </row>
    <row r="996" customFormat="false" ht="15" hidden="false" customHeight="false" outlineLevel="0" collapsed="false">
      <c r="A996" s="7" t="n">
        <v>45511</v>
      </c>
      <c r="B996" s="7" t="n">
        <v>45616</v>
      </c>
      <c r="C996" s="8" t="n">
        <v>6385</v>
      </c>
      <c r="D996" s="8" t="n">
        <v>0</v>
      </c>
      <c r="E996" s="8" t="n">
        <v>0</v>
      </c>
      <c r="F996" s="8" t="s">
        <v>2200</v>
      </c>
      <c r="G996" s="8" t="s">
        <v>2201</v>
      </c>
      <c r="H996" s="8" t="s">
        <v>2414</v>
      </c>
    </row>
    <row r="997" customFormat="false" ht="15" hidden="false" customHeight="false" outlineLevel="0" collapsed="false">
      <c r="A997" s="7" t="n">
        <v>45511</v>
      </c>
      <c r="B997" s="7" t="n">
        <v>45646</v>
      </c>
      <c r="C997" s="8" t="n">
        <v>6451</v>
      </c>
      <c r="D997" s="8" t="n">
        <v>0</v>
      </c>
      <c r="E997" s="8" t="n">
        <v>0</v>
      </c>
      <c r="F997" s="8" t="s">
        <v>2200</v>
      </c>
      <c r="G997" s="8" t="s">
        <v>2201</v>
      </c>
      <c r="H997" s="8" t="s">
        <v>2414</v>
      </c>
    </row>
    <row r="998" customFormat="false" ht="15" hidden="false" customHeight="false" outlineLevel="0" collapsed="false">
      <c r="A998" s="7" t="n">
        <v>45512</v>
      </c>
      <c r="B998" s="7" t="n">
        <v>45524</v>
      </c>
      <c r="C998" s="8" t="n">
        <v>6187</v>
      </c>
      <c r="D998" s="8" t="n">
        <v>4520</v>
      </c>
      <c r="E998" s="8" t="n">
        <v>15055</v>
      </c>
      <c r="F998" s="8" t="s">
        <v>2200</v>
      </c>
      <c r="G998" s="8" t="s">
        <v>2201</v>
      </c>
      <c r="H998" s="8" t="s">
        <v>2415</v>
      </c>
    </row>
    <row r="999" customFormat="false" ht="15" hidden="false" customHeight="false" outlineLevel="0" collapsed="false">
      <c r="A999" s="7" t="n">
        <v>45512</v>
      </c>
      <c r="B999" s="7" t="n">
        <v>45555</v>
      </c>
      <c r="C999" s="8" t="n">
        <v>6253</v>
      </c>
      <c r="D999" s="8" t="n">
        <v>6820</v>
      </c>
      <c r="E999" s="8" t="n">
        <v>33270</v>
      </c>
      <c r="F999" s="8" t="s">
        <v>2200</v>
      </c>
      <c r="G999" s="8" t="s">
        <v>2201</v>
      </c>
      <c r="H999" s="8" t="s">
        <v>2415</v>
      </c>
    </row>
    <row r="1000" customFormat="false" ht="15" hidden="false" customHeight="false" outlineLevel="0" collapsed="false">
      <c r="A1000" s="7" t="n">
        <v>45512</v>
      </c>
      <c r="B1000" s="7" t="n">
        <v>45583</v>
      </c>
      <c r="C1000" s="8" t="n">
        <v>6319</v>
      </c>
      <c r="D1000" s="8" t="n">
        <v>20</v>
      </c>
      <c r="E1000" s="8" t="n">
        <v>205</v>
      </c>
      <c r="F1000" s="8" t="s">
        <v>2200</v>
      </c>
      <c r="G1000" s="8" t="s">
        <v>2201</v>
      </c>
      <c r="H1000" s="8" t="s">
        <v>2415</v>
      </c>
    </row>
    <row r="1001" customFormat="false" ht="15" hidden="false" customHeight="false" outlineLevel="0" collapsed="false">
      <c r="A1001" s="7" t="n">
        <v>45512</v>
      </c>
      <c r="B1001" s="7" t="n">
        <v>45616</v>
      </c>
      <c r="C1001" s="8" t="n">
        <v>6385</v>
      </c>
      <c r="D1001" s="8" t="n">
        <v>0</v>
      </c>
      <c r="E1001" s="8" t="n">
        <v>0</v>
      </c>
      <c r="F1001" s="8" t="s">
        <v>2200</v>
      </c>
      <c r="G1001" s="8" t="s">
        <v>2201</v>
      </c>
      <c r="H1001" s="8" t="s">
        <v>2415</v>
      </c>
    </row>
    <row r="1002" customFormat="false" ht="15" hidden="false" customHeight="false" outlineLevel="0" collapsed="false">
      <c r="A1002" s="7" t="n">
        <v>45512</v>
      </c>
      <c r="B1002" s="7" t="n">
        <v>45646</v>
      </c>
      <c r="C1002" s="8" t="n">
        <v>6451</v>
      </c>
      <c r="D1002" s="8" t="n">
        <v>0</v>
      </c>
      <c r="E1002" s="8" t="n">
        <v>0</v>
      </c>
      <c r="F1002" s="8" t="s">
        <v>2200</v>
      </c>
      <c r="G1002" s="8" t="s">
        <v>2201</v>
      </c>
      <c r="H1002" s="8" t="s">
        <v>2415</v>
      </c>
    </row>
    <row r="1003" customFormat="false" ht="15" hidden="false" customHeight="false" outlineLevel="0" collapsed="false">
      <c r="A1003" s="7" t="n">
        <v>45513</v>
      </c>
      <c r="B1003" s="7" t="n">
        <v>45524</v>
      </c>
      <c r="C1003" s="8" t="n">
        <v>6187</v>
      </c>
      <c r="D1003" s="8" t="n">
        <v>7885</v>
      </c>
      <c r="E1003" s="8" t="n">
        <v>10370</v>
      </c>
      <c r="F1003" s="8" t="s">
        <v>2200</v>
      </c>
      <c r="G1003" s="8" t="s">
        <v>2201</v>
      </c>
      <c r="H1003" s="8" t="s">
        <v>2416</v>
      </c>
    </row>
    <row r="1004" customFormat="false" ht="15" hidden="false" customHeight="false" outlineLevel="0" collapsed="false">
      <c r="A1004" s="7" t="n">
        <v>45513</v>
      </c>
      <c r="B1004" s="7" t="n">
        <v>45555</v>
      </c>
      <c r="C1004" s="8" t="n">
        <v>6255</v>
      </c>
      <c r="D1004" s="8" t="n">
        <v>9125</v>
      </c>
      <c r="E1004" s="8" t="n">
        <v>37805</v>
      </c>
      <c r="F1004" s="8" t="s">
        <v>2200</v>
      </c>
      <c r="G1004" s="8" t="s">
        <v>2201</v>
      </c>
      <c r="H1004" s="8" t="s">
        <v>2416</v>
      </c>
    </row>
    <row r="1005" customFormat="false" ht="15" hidden="false" customHeight="false" outlineLevel="0" collapsed="false">
      <c r="A1005" s="7" t="n">
        <v>45513</v>
      </c>
      <c r="B1005" s="7" t="n">
        <v>45583</v>
      </c>
      <c r="C1005" s="8" t="n">
        <v>6323</v>
      </c>
      <c r="D1005" s="8" t="n">
        <v>105</v>
      </c>
      <c r="E1005" s="8" t="n">
        <v>310</v>
      </c>
      <c r="F1005" s="8" t="s">
        <v>2200</v>
      </c>
      <c r="G1005" s="8" t="s">
        <v>2201</v>
      </c>
      <c r="H1005" s="8" t="s">
        <v>2416</v>
      </c>
    </row>
    <row r="1006" customFormat="false" ht="15" hidden="false" customHeight="false" outlineLevel="0" collapsed="false">
      <c r="A1006" s="7" t="n">
        <v>45513</v>
      </c>
      <c r="B1006" s="7" t="n">
        <v>45616</v>
      </c>
      <c r="C1006" s="8" t="n">
        <v>6391</v>
      </c>
      <c r="D1006" s="8" t="n">
        <v>0</v>
      </c>
      <c r="E1006" s="8" t="n">
        <v>0</v>
      </c>
      <c r="F1006" s="8" t="s">
        <v>2200</v>
      </c>
      <c r="G1006" s="8" t="s">
        <v>2201</v>
      </c>
      <c r="H1006" s="8" t="s">
        <v>2416</v>
      </c>
    </row>
    <row r="1007" customFormat="false" ht="15" hidden="false" customHeight="false" outlineLevel="0" collapsed="false">
      <c r="A1007" s="7" t="n">
        <v>45513</v>
      </c>
      <c r="B1007" s="7" t="n">
        <v>45646</v>
      </c>
      <c r="C1007" s="8" t="n">
        <v>6459</v>
      </c>
      <c r="D1007" s="8" t="n">
        <v>0</v>
      </c>
      <c r="E1007" s="8" t="n">
        <v>0</v>
      </c>
      <c r="F1007" s="8" t="s">
        <v>2200</v>
      </c>
      <c r="G1007" s="8" t="s">
        <v>2201</v>
      </c>
      <c r="H1007" s="8" t="s">
        <v>2416</v>
      </c>
    </row>
    <row r="1008" customFormat="false" ht="15" hidden="false" customHeight="false" outlineLevel="0" collapsed="false">
      <c r="A1008" s="7" t="n">
        <v>45516</v>
      </c>
      <c r="B1008" s="7" t="n">
        <v>45524</v>
      </c>
      <c r="C1008" s="8" t="n">
        <v>6225</v>
      </c>
      <c r="D1008" s="8" t="n">
        <v>3550</v>
      </c>
      <c r="E1008" s="8" t="n">
        <v>9400</v>
      </c>
      <c r="F1008" s="8" t="s">
        <v>2200</v>
      </c>
      <c r="G1008" s="8" t="s">
        <v>2201</v>
      </c>
      <c r="H1008" s="8" t="s">
        <v>2417</v>
      </c>
    </row>
    <row r="1009" customFormat="false" ht="15" hidden="false" customHeight="false" outlineLevel="0" collapsed="false">
      <c r="A1009" s="7" t="n">
        <v>45516</v>
      </c>
      <c r="B1009" s="7" t="n">
        <v>45555</v>
      </c>
      <c r="C1009" s="8" t="n">
        <v>6295</v>
      </c>
      <c r="D1009" s="8" t="n">
        <v>6830</v>
      </c>
      <c r="E1009" s="8" t="n">
        <v>40470</v>
      </c>
      <c r="F1009" s="8" t="s">
        <v>2200</v>
      </c>
      <c r="G1009" s="8" t="s">
        <v>2201</v>
      </c>
      <c r="H1009" s="8" t="s">
        <v>2417</v>
      </c>
    </row>
    <row r="1010" customFormat="false" ht="15" hidden="false" customHeight="false" outlineLevel="0" collapsed="false">
      <c r="A1010" s="7" t="n">
        <v>45516</v>
      </c>
      <c r="B1010" s="7" t="n">
        <v>45583</v>
      </c>
      <c r="C1010" s="8" t="n">
        <v>6365</v>
      </c>
      <c r="D1010" s="8" t="n">
        <v>0</v>
      </c>
      <c r="E1010" s="8" t="n">
        <v>310</v>
      </c>
      <c r="F1010" s="8" t="s">
        <v>2200</v>
      </c>
      <c r="G1010" s="8" t="s">
        <v>2201</v>
      </c>
      <c r="H1010" s="8" t="s">
        <v>2417</v>
      </c>
    </row>
    <row r="1011" customFormat="false" ht="15" hidden="false" customHeight="false" outlineLevel="0" collapsed="false">
      <c r="A1011" s="7" t="n">
        <v>45516</v>
      </c>
      <c r="B1011" s="7" t="n">
        <v>45616</v>
      </c>
      <c r="C1011" s="8" t="n">
        <v>6435</v>
      </c>
      <c r="D1011" s="8" t="n">
        <v>0</v>
      </c>
      <c r="E1011" s="8" t="n">
        <v>0</v>
      </c>
      <c r="F1011" s="8" t="s">
        <v>2200</v>
      </c>
      <c r="G1011" s="8" t="s">
        <v>2201</v>
      </c>
      <c r="H1011" s="8" t="s">
        <v>2417</v>
      </c>
    </row>
    <row r="1012" customFormat="false" ht="15" hidden="false" customHeight="false" outlineLevel="0" collapsed="false">
      <c r="A1012" s="7" t="n">
        <v>45516</v>
      </c>
      <c r="B1012" s="7" t="n">
        <v>45646</v>
      </c>
      <c r="C1012" s="8" t="n">
        <v>6505</v>
      </c>
      <c r="D1012" s="8" t="n">
        <v>0</v>
      </c>
      <c r="E1012" s="8" t="n">
        <v>0</v>
      </c>
      <c r="F1012" s="8" t="s">
        <v>2200</v>
      </c>
      <c r="G1012" s="8" t="s">
        <v>2201</v>
      </c>
      <c r="H1012" s="8" t="s">
        <v>2417</v>
      </c>
    </row>
    <row r="1013" customFormat="false" ht="15" hidden="false" customHeight="false" outlineLevel="0" collapsed="false">
      <c r="A1013" s="7" t="n">
        <v>45517</v>
      </c>
      <c r="B1013" s="7" t="n">
        <v>45524</v>
      </c>
      <c r="C1013" s="8" t="n">
        <v>6173</v>
      </c>
      <c r="D1013" s="8" t="n">
        <v>3755</v>
      </c>
      <c r="E1013" s="8" t="n">
        <v>7930</v>
      </c>
      <c r="F1013" s="8" t="s">
        <v>2200</v>
      </c>
      <c r="G1013" s="8" t="s">
        <v>2201</v>
      </c>
      <c r="H1013" s="8" t="s">
        <v>2418</v>
      </c>
    </row>
    <row r="1014" customFormat="false" ht="15" hidden="false" customHeight="false" outlineLevel="0" collapsed="false">
      <c r="A1014" s="7" t="n">
        <v>45517</v>
      </c>
      <c r="B1014" s="7" t="n">
        <v>45555</v>
      </c>
      <c r="C1014" s="8" t="n">
        <v>6243</v>
      </c>
      <c r="D1014" s="8" t="n">
        <v>10485</v>
      </c>
      <c r="E1014" s="8" t="n">
        <v>40860</v>
      </c>
      <c r="F1014" s="8" t="s">
        <v>2200</v>
      </c>
      <c r="G1014" s="8" t="s">
        <v>2201</v>
      </c>
      <c r="H1014" s="8" t="s">
        <v>2418</v>
      </c>
    </row>
    <row r="1015" customFormat="false" ht="15" hidden="false" customHeight="false" outlineLevel="0" collapsed="false">
      <c r="A1015" s="7" t="n">
        <v>45517</v>
      </c>
      <c r="B1015" s="7" t="n">
        <v>45583</v>
      </c>
      <c r="C1015" s="8" t="n">
        <v>6305</v>
      </c>
      <c r="D1015" s="8" t="n">
        <v>205</v>
      </c>
      <c r="E1015" s="8" t="n">
        <v>445</v>
      </c>
      <c r="F1015" s="8" t="s">
        <v>2200</v>
      </c>
      <c r="G1015" s="8" t="s">
        <v>2201</v>
      </c>
      <c r="H1015" s="8" t="s">
        <v>2418</v>
      </c>
    </row>
    <row r="1016" customFormat="false" ht="15" hidden="false" customHeight="false" outlineLevel="0" collapsed="false">
      <c r="A1016" s="7" t="n">
        <v>45517</v>
      </c>
      <c r="B1016" s="7" t="n">
        <v>45616</v>
      </c>
      <c r="C1016" s="8" t="n">
        <v>6367</v>
      </c>
      <c r="D1016" s="8" t="n">
        <v>0</v>
      </c>
      <c r="E1016" s="8" t="n">
        <v>0</v>
      </c>
      <c r="F1016" s="8" t="s">
        <v>2200</v>
      </c>
      <c r="G1016" s="8" t="s">
        <v>2201</v>
      </c>
      <c r="H1016" s="8" t="s">
        <v>2418</v>
      </c>
    </row>
    <row r="1017" customFormat="false" ht="15" hidden="false" customHeight="false" outlineLevel="0" collapsed="false">
      <c r="A1017" s="7" t="n">
        <v>45517</v>
      </c>
      <c r="B1017" s="7" t="n">
        <v>45646</v>
      </c>
      <c r="C1017" s="8" t="n">
        <v>6429</v>
      </c>
      <c r="D1017" s="8" t="n">
        <v>0</v>
      </c>
      <c r="E1017" s="8" t="n">
        <v>0</v>
      </c>
      <c r="F1017" s="8" t="s">
        <v>2200</v>
      </c>
      <c r="G1017" s="8" t="s">
        <v>2201</v>
      </c>
      <c r="H1017" s="8" t="s">
        <v>2418</v>
      </c>
    </row>
    <row r="1018" customFormat="false" ht="15" hidden="false" customHeight="false" outlineLevel="0" collapsed="false">
      <c r="A1018" s="7" t="n">
        <v>45518</v>
      </c>
      <c r="B1018" s="7" t="n">
        <v>45524</v>
      </c>
      <c r="C1018" s="8" t="n">
        <v>6174</v>
      </c>
      <c r="D1018" s="8" t="n">
        <v>2870</v>
      </c>
      <c r="E1018" s="8" t="n">
        <v>6585</v>
      </c>
      <c r="F1018" s="8" t="s">
        <v>2200</v>
      </c>
      <c r="G1018" s="8" t="s">
        <v>2201</v>
      </c>
      <c r="H1018" s="8" t="s">
        <v>2419</v>
      </c>
    </row>
    <row r="1019" customFormat="false" ht="15" hidden="false" customHeight="false" outlineLevel="0" collapsed="false">
      <c r="A1019" s="7" t="n">
        <v>45518</v>
      </c>
      <c r="B1019" s="7" t="n">
        <v>45555</v>
      </c>
      <c r="C1019" s="8" t="n">
        <v>6241</v>
      </c>
      <c r="D1019" s="8" t="n">
        <v>4155</v>
      </c>
      <c r="E1019" s="8" t="n">
        <v>42200</v>
      </c>
      <c r="F1019" s="8" t="s">
        <v>2200</v>
      </c>
      <c r="G1019" s="8" t="s">
        <v>2201</v>
      </c>
      <c r="H1019" s="8" t="s">
        <v>2419</v>
      </c>
    </row>
    <row r="1020" customFormat="false" ht="15" hidden="false" customHeight="false" outlineLevel="0" collapsed="false">
      <c r="A1020" s="7" t="n">
        <v>45518</v>
      </c>
      <c r="B1020" s="7" t="n">
        <v>45583</v>
      </c>
      <c r="C1020" s="8" t="n">
        <v>6308</v>
      </c>
      <c r="D1020" s="8" t="n">
        <v>25</v>
      </c>
      <c r="E1020" s="8" t="n">
        <v>470</v>
      </c>
      <c r="F1020" s="8" t="s">
        <v>2200</v>
      </c>
      <c r="G1020" s="8" t="s">
        <v>2201</v>
      </c>
      <c r="H1020" s="8" t="s">
        <v>2419</v>
      </c>
    </row>
    <row r="1021" customFormat="false" ht="15" hidden="false" customHeight="false" outlineLevel="0" collapsed="false">
      <c r="A1021" s="7" t="n">
        <v>45518</v>
      </c>
      <c r="B1021" s="7" t="n">
        <v>45616</v>
      </c>
      <c r="C1021" s="8" t="n">
        <v>6375</v>
      </c>
      <c r="D1021" s="8" t="n">
        <v>0</v>
      </c>
      <c r="E1021" s="8" t="n">
        <v>0</v>
      </c>
      <c r="F1021" s="8" t="s">
        <v>2200</v>
      </c>
      <c r="G1021" s="8" t="s">
        <v>2201</v>
      </c>
      <c r="H1021" s="8" t="s">
        <v>2419</v>
      </c>
    </row>
    <row r="1022" customFormat="false" ht="15" hidden="false" customHeight="false" outlineLevel="0" collapsed="false">
      <c r="A1022" s="7" t="n">
        <v>45518</v>
      </c>
      <c r="B1022" s="7" t="n">
        <v>45646</v>
      </c>
      <c r="C1022" s="8" t="n">
        <v>6442</v>
      </c>
      <c r="D1022" s="8" t="n">
        <v>0</v>
      </c>
      <c r="E1022" s="8" t="n">
        <v>0</v>
      </c>
      <c r="F1022" s="8" t="s">
        <v>2200</v>
      </c>
      <c r="G1022" s="8" t="s">
        <v>2201</v>
      </c>
      <c r="H1022" s="8" t="s">
        <v>2419</v>
      </c>
    </row>
    <row r="1023" customFormat="false" ht="15" hidden="false" customHeight="false" outlineLevel="0" collapsed="false">
      <c r="A1023" s="7" t="n">
        <v>45520</v>
      </c>
      <c r="B1023" s="7" t="n">
        <v>45524</v>
      </c>
      <c r="C1023" s="8" t="n">
        <v>6161</v>
      </c>
      <c r="D1023" s="8" t="n">
        <v>5575</v>
      </c>
      <c r="E1023" s="8" t="n">
        <v>3265</v>
      </c>
      <c r="F1023" s="8" t="s">
        <v>2200</v>
      </c>
      <c r="G1023" s="8" t="s">
        <v>2201</v>
      </c>
      <c r="H1023" s="8" t="s">
        <v>2420</v>
      </c>
    </row>
    <row r="1024" customFormat="false" ht="15" hidden="false" customHeight="false" outlineLevel="0" collapsed="false">
      <c r="A1024" s="7" t="n">
        <v>45520</v>
      </c>
      <c r="B1024" s="7" t="n">
        <v>45555</v>
      </c>
      <c r="C1024" s="8" t="n">
        <v>6229</v>
      </c>
      <c r="D1024" s="8" t="n">
        <v>7335</v>
      </c>
      <c r="E1024" s="8" t="n">
        <v>44625</v>
      </c>
      <c r="F1024" s="8" t="s">
        <v>2200</v>
      </c>
      <c r="G1024" s="8" t="s">
        <v>2201</v>
      </c>
      <c r="H1024" s="8" t="s">
        <v>2420</v>
      </c>
    </row>
    <row r="1025" customFormat="false" ht="15" hidden="false" customHeight="false" outlineLevel="0" collapsed="false">
      <c r="A1025" s="7" t="n">
        <v>45520</v>
      </c>
      <c r="B1025" s="7" t="n">
        <v>45583</v>
      </c>
      <c r="C1025" s="8" t="n">
        <v>6297</v>
      </c>
      <c r="D1025" s="8" t="n">
        <v>115</v>
      </c>
      <c r="E1025" s="8" t="n">
        <v>585</v>
      </c>
      <c r="F1025" s="8" t="s">
        <v>2200</v>
      </c>
      <c r="G1025" s="8" t="s">
        <v>2201</v>
      </c>
      <c r="H1025" s="8" t="s">
        <v>2420</v>
      </c>
    </row>
    <row r="1026" customFormat="false" ht="15" hidden="false" customHeight="false" outlineLevel="0" collapsed="false">
      <c r="A1026" s="7" t="n">
        <v>45520</v>
      </c>
      <c r="B1026" s="7" t="n">
        <v>45616</v>
      </c>
      <c r="C1026" s="8" t="n">
        <v>6365</v>
      </c>
      <c r="D1026" s="8" t="n">
        <v>0</v>
      </c>
      <c r="E1026" s="8" t="n">
        <v>0</v>
      </c>
      <c r="F1026" s="8" t="s">
        <v>2200</v>
      </c>
      <c r="G1026" s="8" t="s">
        <v>2201</v>
      </c>
      <c r="H1026" s="8" t="s">
        <v>2420</v>
      </c>
    </row>
    <row r="1027" customFormat="false" ht="15" hidden="false" customHeight="false" outlineLevel="0" collapsed="false">
      <c r="A1027" s="7" t="n">
        <v>45520</v>
      </c>
      <c r="B1027" s="7" t="n">
        <v>45646</v>
      </c>
      <c r="C1027" s="8" t="n">
        <v>6433</v>
      </c>
      <c r="D1027" s="8" t="n">
        <v>0</v>
      </c>
      <c r="E1027" s="8" t="n">
        <v>0</v>
      </c>
      <c r="F1027" s="8" t="s">
        <v>2200</v>
      </c>
      <c r="G1027" s="8" t="s">
        <v>2201</v>
      </c>
      <c r="H1027" s="8" t="s">
        <v>2420</v>
      </c>
    </row>
    <row r="1028" customFormat="false" ht="15" hidden="false" customHeight="false" outlineLevel="0" collapsed="false">
      <c r="A1028" s="7" t="n">
        <v>45523</v>
      </c>
      <c r="B1028" s="7" t="n">
        <v>45524</v>
      </c>
      <c r="C1028" s="8" t="n">
        <v>6161</v>
      </c>
      <c r="D1028" s="8" t="n">
        <v>85</v>
      </c>
      <c r="E1028" s="8" t="n">
        <v>1915</v>
      </c>
      <c r="F1028" s="8" t="s">
        <v>2200</v>
      </c>
      <c r="G1028" s="8" t="s">
        <v>2201</v>
      </c>
      <c r="H1028" s="8" t="s">
        <v>2421</v>
      </c>
    </row>
    <row r="1029" customFormat="false" ht="15" hidden="false" customHeight="false" outlineLevel="0" collapsed="false">
      <c r="A1029" s="7" t="n">
        <v>45523</v>
      </c>
      <c r="B1029" s="7" t="n">
        <v>45555</v>
      </c>
      <c r="C1029" s="8" t="n">
        <v>6215</v>
      </c>
      <c r="D1029" s="8" t="n">
        <v>1915</v>
      </c>
      <c r="E1029" s="8" t="n">
        <v>43865</v>
      </c>
      <c r="F1029" s="8" t="s">
        <v>2200</v>
      </c>
      <c r="G1029" s="8" t="s">
        <v>2201</v>
      </c>
      <c r="H1029" s="8" t="s">
        <v>2421</v>
      </c>
    </row>
    <row r="1030" customFormat="false" ht="15" hidden="false" customHeight="false" outlineLevel="0" collapsed="false">
      <c r="A1030" s="7" t="n">
        <v>45523</v>
      </c>
      <c r="B1030" s="7" t="n">
        <v>45583</v>
      </c>
      <c r="C1030" s="8" t="n">
        <v>6290</v>
      </c>
      <c r="D1030" s="8" t="n">
        <v>710</v>
      </c>
      <c r="E1030" s="8" t="n">
        <v>1290</v>
      </c>
      <c r="F1030" s="8" t="s">
        <v>2200</v>
      </c>
      <c r="G1030" s="8" t="s">
        <v>2201</v>
      </c>
      <c r="H1030" s="8" t="s">
        <v>2421</v>
      </c>
    </row>
    <row r="1031" customFormat="false" ht="15" hidden="false" customHeight="false" outlineLevel="0" collapsed="false">
      <c r="A1031" s="7" t="n">
        <v>45523</v>
      </c>
      <c r="B1031" s="7" t="n">
        <v>45616</v>
      </c>
      <c r="C1031" s="8" t="n">
        <v>6365</v>
      </c>
      <c r="D1031" s="8" t="n">
        <v>0</v>
      </c>
      <c r="E1031" s="8" t="n">
        <v>0</v>
      </c>
      <c r="F1031" s="8" t="s">
        <v>2200</v>
      </c>
      <c r="G1031" s="8" t="s">
        <v>2201</v>
      </c>
      <c r="H1031" s="8" t="s">
        <v>2421</v>
      </c>
    </row>
    <row r="1032" customFormat="false" ht="15" hidden="false" customHeight="false" outlineLevel="0" collapsed="false">
      <c r="A1032" s="7" t="n">
        <v>45523</v>
      </c>
      <c r="B1032" s="7" t="n">
        <v>45646</v>
      </c>
      <c r="C1032" s="8" t="n">
        <v>6440</v>
      </c>
      <c r="D1032" s="8" t="n">
        <v>0</v>
      </c>
      <c r="E1032" s="8" t="n">
        <v>0</v>
      </c>
      <c r="F1032" s="8" t="s">
        <v>2200</v>
      </c>
      <c r="G1032" s="8" t="s">
        <v>2201</v>
      </c>
      <c r="H1032" s="8" t="s">
        <v>2421</v>
      </c>
    </row>
    <row r="1033" customFormat="false" ht="15" hidden="false" customHeight="false" outlineLevel="0" collapsed="false">
      <c r="A1033" s="7" t="n">
        <v>45524</v>
      </c>
      <c r="B1033" s="7" t="n">
        <v>45524</v>
      </c>
      <c r="C1033" s="8" t="n">
        <v>6146</v>
      </c>
      <c r="D1033" s="8" t="n">
        <v>135</v>
      </c>
      <c r="E1033" s="8" t="n">
        <v>1830</v>
      </c>
      <c r="F1033" s="8" t="s">
        <v>2200</v>
      </c>
      <c r="G1033" s="8" t="s">
        <v>2201</v>
      </c>
      <c r="H1033" s="8" t="s">
        <v>2422</v>
      </c>
    </row>
    <row r="1034" customFormat="false" ht="15" hidden="false" customHeight="false" outlineLevel="0" collapsed="false">
      <c r="A1034" s="7" t="n">
        <v>45524</v>
      </c>
      <c r="B1034" s="7" t="n">
        <v>45555</v>
      </c>
      <c r="C1034" s="8" t="n">
        <v>6226</v>
      </c>
      <c r="D1034" s="8" t="n">
        <v>5555</v>
      </c>
      <c r="E1034" s="8" t="n">
        <v>42325</v>
      </c>
      <c r="F1034" s="8" t="s">
        <v>2200</v>
      </c>
      <c r="G1034" s="8" t="s">
        <v>2201</v>
      </c>
      <c r="H1034" s="8" t="s">
        <v>2422</v>
      </c>
    </row>
    <row r="1035" customFormat="false" ht="15" hidden="false" customHeight="false" outlineLevel="0" collapsed="false">
      <c r="A1035" s="7" t="n">
        <v>45524</v>
      </c>
      <c r="B1035" s="7" t="n">
        <v>45583</v>
      </c>
      <c r="C1035" s="8" t="n">
        <v>6287</v>
      </c>
      <c r="D1035" s="8" t="n">
        <v>1035</v>
      </c>
      <c r="E1035" s="8" t="n">
        <v>2205</v>
      </c>
      <c r="F1035" s="8" t="s">
        <v>2200</v>
      </c>
      <c r="G1035" s="8" t="s">
        <v>2201</v>
      </c>
      <c r="H1035" s="8" t="s">
        <v>2422</v>
      </c>
    </row>
    <row r="1036" customFormat="false" ht="15" hidden="false" customHeight="false" outlineLevel="0" collapsed="false">
      <c r="A1036" s="7" t="n">
        <v>45524</v>
      </c>
      <c r="B1036" s="7" t="n">
        <v>45616</v>
      </c>
      <c r="C1036" s="8" t="n">
        <v>6348</v>
      </c>
      <c r="D1036" s="8" t="n">
        <v>0</v>
      </c>
      <c r="E1036" s="8" t="n">
        <v>0</v>
      </c>
      <c r="F1036" s="8" t="s">
        <v>2200</v>
      </c>
      <c r="G1036" s="8" t="s">
        <v>2201</v>
      </c>
      <c r="H1036" s="8" t="s">
        <v>2422</v>
      </c>
    </row>
    <row r="1037" customFormat="false" ht="15" hidden="false" customHeight="false" outlineLevel="0" collapsed="false">
      <c r="A1037" s="7" t="n">
        <v>45524</v>
      </c>
      <c r="B1037" s="7" t="n">
        <v>45646</v>
      </c>
      <c r="C1037" s="8" t="n">
        <v>6409</v>
      </c>
      <c r="D1037" s="8" t="n">
        <v>0</v>
      </c>
      <c r="E1037" s="8" t="n">
        <v>0</v>
      </c>
      <c r="F1037" s="8" t="s">
        <v>2200</v>
      </c>
      <c r="G1037" s="8" t="s">
        <v>2201</v>
      </c>
      <c r="H1037" s="8" t="s">
        <v>2422</v>
      </c>
    </row>
    <row r="1038" customFormat="false" ht="15" hidden="false" customHeight="false" outlineLevel="0" collapsed="false">
      <c r="A1038" s="7" t="n">
        <v>45525</v>
      </c>
      <c r="B1038" s="7" t="n">
        <v>45555</v>
      </c>
      <c r="C1038" s="8" t="n">
        <v>6222</v>
      </c>
      <c r="D1038" s="8" t="n">
        <v>6790</v>
      </c>
      <c r="E1038" s="8" t="n">
        <v>37930</v>
      </c>
      <c r="F1038" s="8" t="s">
        <v>2200</v>
      </c>
      <c r="G1038" s="8" t="s">
        <v>2201</v>
      </c>
      <c r="H1038" s="8" t="s">
        <v>2423</v>
      </c>
    </row>
    <row r="1039" customFormat="false" ht="15" hidden="false" customHeight="false" outlineLevel="0" collapsed="false">
      <c r="A1039" s="7" t="n">
        <v>45525</v>
      </c>
      <c r="B1039" s="7" t="n">
        <v>45583</v>
      </c>
      <c r="C1039" s="8" t="n">
        <v>6299</v>
      </c>
      <c r="D1039" s="8" t="n">
        <v>5075</v>
      </c>
      <c r="E1039" s="8" t="n">
        <v>6665</v>
      </c>
      <c r="F1039" s="8" t="s">
        <v>2200</v>
      </c>
      <c r="G1039" s="8" t="s">
        <v>2201</v>
      </c>
      <c r="H1039" s="8" t="s">
        <v>2423</v>
      </c>
    </row>
    <row r="1040" customFormat="false" ht="15" hidden="false" customHeight="false" outlineLevel="0" collapsed="false">
      <c r="A1040" s="7" t="n">
        <v>45525</v>
      </c>
      <c r="B1040" s="7" t="n">
        <v>45616</v>
      </c>
      <c r="C1040" s="8" t="n">
        <v>6376</v>
      </c>
      <c r="D1040" s="8" t="n">
        <v>0</v>
      </c>
      <c r="E1040" s="8" t="n">
        <v>0</v>
      </c>
      <c r="F1040" s="8" t="s">
        <v>2200</v>
      </c>
      <c r="G1040" s="8" t="s">
        <v>2201</v>
      </c>
      <c r="H1040" s="8" t="s">
        <v>2423</v>
      </c>
    </row>
    <row r="1041" customFormat="false" ht="15" hidden="false" customHeight="false" outlineLevel="0" collapsed="false">
      <c r="A1041" s="7" t="n">
        <v>45525</v>
      </c>
      <c r="B1041" s="7" t="n">
        <v>45646</v>
      </c>
      <c r="C1041" s="8" t="n">
        <v>6453</v>
      </c>
      <c r="D1041" s="8" t="n">
        <v>0</v>
      </c>
      <c r="E1041" s="8" t="n">
        <v>0</v>
      </c>
      <c r="F1041" s="8" t="s">
        <v>2200</v>
      </c>
      <c r="G1041" s="8" t="s">
        <v>2201</v>
      </c>
      <c r="H1041" s="8" t="s">
        <v>2423</v>
      </c>
    </row>
    <row r="1042" customFormat="false" ht="15" hidden="false" customHeight="false" outlineLevel="0" collapsed="false">
      <c r="A1042" s="7" t="n">
        <v>45526</v>
      </c>
      <c r="B1042" s="7" t="n">
        <v>45555</v>
      </c>
      <c r="C1042" s="8" t="n">
        <v>6217</v>
      </c>
      <c r="D1042" s="8" t="n">
        <v>4330</v>
      </c>
      <c r="E1042" s="8" t="n">
        <v>36670</v>
      </c>
      <c r="F1042" s="8" t="s">
        <v>2200</v>
      </c>
      <c r="G1042" s="8" t="s">
        <v>2201</v>
      </c>
      <c r="H1042" s="8" t="s">
        <v>2424</v>
      </c>
    </row>
    <row r="1043" customFormat="false" ht="15" hidden="false" customHeight="false" outlineLevel="0" collapsed="false">
      <c r="A1043" s="7" t="n">
        <v>45526</v>
      </c>
      <c r="B1043" s="7" t="n">
        <v>45583</v>
      </c>
      <c r="C1043" s="8" t="n">
        <v>6305</v>
      </c>
      <c r="D1043" s="8" t="n">
        <v>1885</v>
      </c>
      <c r="E1043" s="8" t="n">
        <v>7885</v>
      </c>
      <c r="F1043" s="8" t="s">
        <v>2200</v>
      </c>
      <c r="G1043" s="8" t="s">
        <v>2201</v>
      </c>
      <c r="H1043" s="8" t="s">
        <v>2424</v>
      </c>
    </row>
    <row r="1044" customFormat="false" ht="15" hidden="false" customHeight="false" outlineLevel="0" collapsed="false">
      <c r="A1044" s="7" t="n">
        <v>45526</v>
      </c>
      <c r="B1044" s="7" t="n">
        <v>45616</v>
      </c>
      <c r="C1044" s="8" t="n">
        <v>6393</v>
      </c>
      <c r="D1044" s="8" t="n">
        <v>0</v>
      </c>
      <c r="E1044" s="8" t="n">
        <v>0</v>
      </c>
      <c r="F1044" s="8" t="s">
        <v>2200</v>
      </c>
      <c r="G1044" s="8" t="s">
        <v>2201</v>
      </c>
      <c r="H1044" s="8" t="s">
        <v>2424</v>
      </c>
    </row>
    <row r="1045" customFormat="false" ht="15" hidden="false" customHeight="false" outlineLevel="0" collapsed="false">
      <c r="A1045" s="7" t="n">
        <v>45526</v>
      </c>
      <c r="B1045" s="7" t="n">
        <v>45646</v>
      </c>
      <c r="C1045" s="8" t="n">
        <v>6481</v>
      </c>
      <c r="D1045" s="8" t="n">
        <v>0</v>
      </c>
      <c r="E1045" s="8" t="n">
        <v>0</v>
      </c>
      <c r="F1045" s="8" t="s">
        <v>2200</v>
      </c>
      <c r="G1045" s="8" t="s">
        <v>2201</v>
      </c>
      <c r="H1045" s="8" t="s">
        <v>2424</v>
      </c>
    </row>
    <row r="1046" customFormat="false" ht="15" hidden="false" customHeight="false" outlineLevel="0" collapsed="false">
      <c r="A1046" s="7" t="n">
        <v>45527</v>
      </c>
      <c r="B1046" s="7" t="n">
        <v>45555</v>
      </c>
      <c r="C1046" s="8" t="n">
        <v>6156</v>
      </c>
      <c r="D1046" s="8" t="n">
        <v>9320</v>
      </c>
      <c r="E1046" s="8" t="n">
        <v>33270</v>
      </c>
      <c r="F1046" s="8" t="s">
        <v>2200</v>
      </c>
      <c r="G1046" s="8" t="s">
        <v>2201</v>
      </c>
      <c r="H1046" s="8" t="s">
        <v>2425</v>
      </c>
    </row>
    <row r="1047" customFormat="false" ht="15" hidden="false" customHeight="false" outlineLevel="0" collapsed="false">
      <c r="A1047" s="7" t="n">
        <v>45527</v>
      </c>
      <c r="B1047" s="7" t="n">
        <v>45583</v>
      </c>
      <c r="C1047" s="8" t="n">
        <v>6230</v>
      </c>
      <c r="D1047" s="8" t="n">
        <v>3540</v>
      </c>
      <c r="E1047" s="8" t="n">
        <v>9595</v>
      </c>
      <c r="F1047" s="8" t="s">
        <v>2200</v>
      </c>
      <c r="G1047" s="8" t="s">
        <v>2201</v>
      </c>
      <c r="H1047" s="8" t="s">
        <v>2425</v>
      </c>
    </row>
    <row r="1048" customFormat="false" ht="15" hidden="false" customHeight="false" outlineLevel="0" collapsed="false">
      <c r="A1048" s="7" t="n">
        <v>45527</v>
      </c>
      <c r="B1048" s="7" t="n">
        <v>45616</v>
      </c>
      <c r="C1048" s="8" t="n">
        <v>6304</v>
      </c>
      <c r="D1048" s="8" t="n">
        <v>0</v>
      </c>
      <c r="E1048" s="8" t="n">
        <v>0</v>
      </c>
      <c r="F1048" s="8" t="s">
        <v>2200</v>
      </c>
      <c r="G1048" s="8" t="s">
        <v>2201</v>
      </c>
      <c r="H1048" s="8" t="s">
        <v>2425</v>
      </c>
    </row>
    <row r="1049" customFormat="false" ht="15" hidden="false" customHeight="false" outlineLevel="0" collapsed="false">
      <c r="A1049" s="7" t="n">
        <v>45527</v>
      </c>
      <c r="B1049" s="7" t="n">
        <v>45646</v>
      </c>
      <c r="C1049" s="8" t="n">
        <v>6378</v>
      </c>
      <c r="D1049" s="8" t="n">
        <v>0</v>
      </c>
      <c r="E1049" s="8" t="n">
        <v>0</v>
      </c>
      <c r="F1049" s="8" t="s">
        <v>2200</v>
      </c>
      <c r="G1049" s="8" t="s">
        <v>2201</v>
      </c>
      <c r="H1049" s="8" t="s">
        <v>2425</v>
      </c>
    </row>
    <row r="1050" customFormat="false" ht="15" hidden="false" customHeight="false" outlineLevel="0" collapsed="false">
      <c r="A1050" s="7" t="n">
        <v>45530</v>
      </c>
      <c r="B1050" s="7" t="n">
        <v>45555</v>
      </c>
      <c r="C1050" s="8" t="n">
        <v>6100</v>
      </c>
      <c r="D1050" s="8" t="n">
        <v>8810</v>
      </c>
      <c r="E1050" s="8" t="n">
        <v>32595</v>
      </c>
      <c r="F1050" s="8" t="s">
        <v>2200</v>
      </c>
      <c r="G1050" s="8" t="s">
        <v>2201</v>
      </c>
      <c r="H1050" s="8" t="s">
        <v>2426</v>
      </c>
    </row>
    <row r="1051" customFormat="false" ht="15" hidden="false" customHeight="false" outlineLevel="0" collapsed="false">
      <c r="A1051" s="7" t="n">
        <v>45530</v>
      </c>
      <c r="B1051" s="7" t="n">
        <v>45583</v>
      </c>
      <c r="C1051" s="8" t="n">
        <v>6184</v>
      </c>
      <c r="D1051" s="8" t="n">
        <v>3560</v>
      </c>
      <c r="E1051" s="8" t="n">
        <v>10875</v>
      </c>
      <c r="F1051" s="8" t="s">
        <v>2200</v>
      </c>
      <c r="G1051" s="8" t="s">
        <v>2201</v>
      </c>
      <c r="H1051" s="8" t="s">
        <v>2426</v>
      </c>
    </row>
    <row r="1052" customFormat="false" ht="15" hidden="false" customHeight="false" outlineLevel="0" collapsed="false">
      <c r="A1052" s="7" t="n">
        <v>45530</v>
      </c>
      <c r="B1052" s="7" t="n">
        <v>45616</v>
      </c>
      <c r="C1052" s="8" t="n">
        <v>6268</v>
      </c>
      <c r="D1052" s="8" t="n">
        <v>0</v>
      </c>
      <c r="E1052" s="8" t="n">
        <v>0</v>
      </c>
      <c r="F1052" s="8" t="s">
        <v>2200</v>
      </c>
      <c r="G1052" s="8" t="s">
        <v>2201</v>
      </c>
      <c r="H1052" s="8" t="s">
        <v>2426</v>
      </c>
    </row>
    <row r="1053" customFormat="false" ht="15" hidden="false" customHeight="false" outlineLevel="0" collapsed="false">
      <c r="A1053" s="7" t="n">
        <v>45530</v>
      </c>
      <c r="B1053" s="7" t="n">
        <v>45646</v>
      </c>
      <c r="C1053" s="8" t="n">
        <v>6352</v>
      </c>
      <c r="D1053" s="8" t="n">
        <v>0</v>
      </c>
      <c r="E1053" s="8" t="n">
        <v>0</v>
      </c>
      <c r="F1053" s="8" t="s">
        <v>2200</v>
      </c>
      <c r="G1053" s="8" t="s">
        <v>2201</v>
      </c>
      <c r="H1053" s="8" t="s">
        <v>2426</v>
      </c>
    </row>
    <row r="1054" customFormat="false" ht="15" hidden="false" customHeight="false" outlineLevel="0" collapsed="false">
      <c r="A1054" s="7" t="n">
        <v>45531</v>
      </c>
      <c r="B1054" s="7" t="n">
        <v>45555</v>
      </c>
      <c r="C1054" s="8" t="n">
        <v>6070</v>
      </c>
      <c r="D1054" s="8" t="n">
        <v>6900</v>
      </c>
      <c r="E1054" s="8" t="n">
        <v>29825</v>
      </c>
      <c r="F1054" s="8" t="s">
        <v>2200</v>
      </c>
      <c r="G1054" s="8" t="s">
        <v>2201</v>
      </c>
      <c r="H1054" s="8" t="s">
        <v>2427</v>
      </c>
    </row>
    <row r="1055" customFormat="false" ht="15" hidden="false" customHeight="false" outlineLevel="0" collapsed="false">
      <c r="A1055" s="7" t="n">
        <v>45531</v>
      </c>
      <c r="B1055" s="7" t="n">
        <v>45583</v>
      </c>
      <c r="C1055" s="8" t="n">
        <v>6147</v>
      </c>
      <c r="D1055" s="8" t="n">
        <v>3985</v>
      </c>
      <c r="E1055" s="8" t="n">
        <v>12495</v>
      </c>
      <c r="F1055" s="8" t="s">
        <v>2200</v>
      </c>
      <c r="G1055" s="8" t="s">
        <v>2201</v>
      </c>
      <c r="H1055" s="8" t="s">
        <v>2427</v>
      </c>
    </row>
    <row r="1056" customFormat="false" ht="15" hidden="false" customHeight="false" outlineLevel="0" collapsed="false">
      <c r="A1056" s="7" t="n">
        <v>45531</v>
      </c>
      <c r="B1056" s="7" t="n">
        <v>45616</v>
      </c>
      <c r="C1056" s="8" t="n">
        <v>6224</v>
      </c>
      <c r="D1056" s="8" t="n">
        <v>0</v>
      </c>
      <c r="E1056" s="8" t="n">
        <v>0</v>
      </c>
      <c r="F1056" s="8" t="s">
        <v>2200</v>
      </c>
      <c r="G1056" s="8" t="s">
        <v>2201</v>
      </c>
      <c r="H1056" s="8" t="s">
        <v>2427</v>
      </c>
    </row>
    <row r="1057" customFormat="false" ht="15" hidden="false" customHeight="false" outlineLevel="0" collapsed="false">
      <c r="A1057" s="7" t="n">
        <v>45531</v>
      </c>
      <c r="B1057" s="7" t="n">
        <v>45646</v>
      </c>
      <c r="C1057" s="8" t="n">
        <v>6301</v>
      </c>
      <c r="D1057" s="8" t="n">
        <v>0</v>
      </c>
      <c r="E1057" s="8" t="n">
        <v>0</v>
      </c>
      <c r="F1057" s="8" t="s">
        <v>2200</v>
      </c>
      <c r="G1057" s="8" t="s">
        <v>2201</v>
      </c>
      <c r="H1057" s="8" t="s">
        <v>2427</v>
      </c>
    </row>
    <row r="1058" customFormat="false" ht="15" hidden="false" customHeight="false" outlineLevel="0" collapsed="false">
      <c r="A1058" s="7" t="n">
        <v>45532</v>
      </c>
      <c r="B1058" s="7" t="n">
        <v>45555</v>
      </c>
      <c r="C1058" s="8" t="n">
        <v>6086</v>
      </c>
      <c r="D1058" s="8" t="n">
        <v>5565</v>
      </c>
      <c r="E1058" s="8" t="n">
        <v>28475</v>
      </c>
      <c r="F1058" s="8" t="s">
        <v>2200</v>
      </c>
      <c r="G1058" s="8" t="s">
        <v>2201</v>
      </c>
      <c r="H1058" s="8" t="s">
        <v>2428</v>
      </c>
    </row>
    <row r="1059" customFormat="false" ht="15" hidden="false" customHeight="false" outlineLevel="0" collapsed="false">
      <c r="A1059" s="7" t="n">
        <v>45532</v>
      </c>
      <c r="B1059" s="7" t="n">
        <v>45583</v>
      </c>
      <c r="C1059" s="8" t="n">
        <v>6150</v>
      </c>
      <c r="D1059" s="8" t="n">
        <v>2915</v>
      </c>
      <c r="E1059" s="8" t="n">
        <v>13935</v>
      </c>
      <c r="F1059" s="8" t="s">
        <v>2200</v>
      </c>
      <c r="G1059" s="8" t="s">
        <v>2201</v>
      </c>
      <c r="H1059" s="8" t="s">
        <v>2428</v>
      </c>
    </row>
    <row r="1060" customFormat="false" ht="15" hidden="false" customHeight="false" outlineLevel="0" collapsed="false">
      <c r="A1060" s="7" t="n">
        <v>45532</v>
      </c>
      <c r="B1060" s="7" t="n">
        <v>45616</v>
      </c>
      <c r="C1060" s="8" t="n">
        <v>6214</v>
      </c>
      <c r="D1060" s="8" t="n">
        <v>0</v>
      </c>
      <c r="E1060" s="8" t="n">
        <v>0</v>
      </c>
      <c r="F1060" s="8" t="s">
        <v>2200</v>
      </c>
      <c r="G1060" s="8" t="s">
        <v>2201</v>
      </c>
      <c r="H1060" s="8" t="s">
        <v>2428</v>
      </c>
    </row>
    <row r="1061" customFormat="false" ht="15" hidden="false" customHeight="false" outlineLevel="0" collapsed="false">
      <c r="A1061" s="7" t="n">
        <v>45532</v>
      </c>
      <c r="B1061" s="7" t="n">
        <v>45646</v>
      </c>
      <c r="C1061" s="8" t="n">
        <v>6278</v>
      </c>
      <c r="D1061" s="8" t="n">
        <v>0</v>
      </c>
      <c r="E1061" s="8" t="n">
        <v>0</v>
      </c>
      <c r="F1061" s="8" t="s">
        <v>2200</v>
      </c>
      <c r="G1061" s="8" t="s">
        <v>2201</v>
      </c>
      <c r="H1061" s="8" t="s">
        <v>2428</v>
      </c>
    </row>
    <row r="1062" customFormat="false" ht="15" hidden="false" customHeight="false" outlineLevel="0" collapsed="false">
      <c r="A1062" s="7" t="n">
        <v>45533</v>
      </c>
      <c r="B1062" s="7" t="n">
        <v>45555</v>
      </c>
      <c r="C1062" s="8" t="n">
        <v>6118</v>
      </c>
      <c r="D1062" s="8" t="n">
        <v>4440</v>
      </c>
      <c r="E1062" s="8" t="n">
        <v>27800</v>
      </c>
      <c r="F1062" s="8" t="s">
        <v>2200</v>
      </c>
      <c r="G1062" s="8" t="s">
        <v>2201</v>
      </c>
      <c r="H1062" s="8" t="s">
        <v>2429</v>
      </c>
    </row>
    <row r="1063" customFormat="false" ht="15" hidden="false" customHeight="false" outlineLevel="0" collapsed="false">
      <c r="A1063" s="7" t="n">
        <v>45533</v>
      </c>
      <c r="B1063" s="7" t="n">
        <v>45583</v>
      </c>
      <c r="C1063" s="8" t="n">
        <v>6195</v>
      </c>
      <c r="D1063" s="8" t="n">
        <v>3555</v>
      </c>
      <c r="E1063" s="8" t="n">
        <v>15725</v>
      </c>
      <c r="F1063" s="8" t="s">
        <v>2200</v>
      </c>
      <c r="G1063" s="8" t="s">
        <v>2201</v>
      </c>
      <c r="H1063" s="8" t="s">
        <v>2429</v>
      </c>
    </row>
    <row r="1064" customFormat="false" ht="15" hidden="false" customHeight="false" outlineLevel="0" collapsed="false">
      <c r="A1064" s="7" t="n">
        <v>45533</v>
      </c>
      <c r="B1064" s="7" t="n">
        <v>45616</v>
      </c>
      <c r="C1064" s="8" t="n">
        <v>6272</v>
      </c>
      <c r="D1064" s="8" t="n">
        <v>0</v>
      </c>
      <c r="E1064" s="8" t="n">
        <v>0</v>
      </c>
      <c r="F1064" s="8" t="s">
        <v>2200</v>
      </c>
      <c r="G1064" s="8" t="s">
        <v>2201</v>
      </c>
      <c r="H1064" s="8" t="s">
        <v>2429</v>
      </c>
    </row>
    <row r="1065" customFormat="false" ht="15" hidden="false" customHeight="false" outlineLevel="0" collapsed="false">
      <c r="A1065" s="7" t="n">
        <v>45533</v>
      </c>
      <c r="B1065" s="7" t="n">
        <v>45646</v>
      </c>
      <c r="C1065" s="8" t="n">
        <v>6349</v>
      </c>
      <c r="D1065" s="8" t="n">
        <v>0</v>
      </c>
      <c r="E1065" s="8" t="n">
        <v>0</v>
      </c>
      <c r="F1065" s="8" t="s">
        <v>2200</v>
      </c>
      <c r="G1065" s="8" t="s">
        <v>2201</v>
      </c>
      <c r="H1065" s="8" t="s">
        <v>2429</v>
      </c>
    </row>
    <row r="1066" customFormat="false" ht="15" hidden="false" customHeight="false" outlineLevel="0" collapsed="false">
      <c r="A1066" s="7" t="n">
        <v>45534</v>
      </c>
      <c r="B1066" s="7" t="n">
        <v>45555</v>
      </c>
      <c r="C1066" s="8" t="n">
        <v>6157</v>
      </c>
      <c r="D1066" s="8" t="n">
        <v>8065</v>
      </c>
      <c r="E1066" s="8" t="n">
        <v>24595</v>
      </c>
      <c r="F1066" s="8" t="s">
        <v>2200</v>
      </c>
      <c r="G1066" s="8" t="s">
        <v>2201</v>
      </c>
      <c r="H1066" s="8" t="s">
        <v>2430</v>
      </c>
    </row>
    <row r="1067" customFormat="false" ht="15" hidden="false" customHeight="false" outlineLevel="0" collapsed="false">
      <c r="A1067" s="7" t="n">
        <v>45534</v>
      </c>
      <c r="B1067" s="7" t="n">
        <v>45583</v>
      </c>
      <c r="C1067" s="8" t="n">
        <v>6229</v>
      </c>
      <c r="D1067" s="8" t="n">
        <v>7115</v>
      </c>
      <c r="E1067" s="8" t="n">
        <v>19465</v>
      </c>
      <c r="F1067" s="8" t="s">
        <v>2200</v>
      </c>
      <c r="G1067" s="8" t="s">
        <v>2201</v>
      </c>
      <c r="H1067" s="8" t="s">
        <v>2430</v>
      </c>
    </row>
    <row r="1068" customFormat="false" ht="15" hidden="false" customHeight="false" outlineLevel="0" collapsed="false">
      <c r="A1068" s="7" t="n">
        <v>45534</v>
      </c>
      <c r="B1068" s="7" t="n">
        <v>45616</v>
      </c>
      <c r="C1068" s="8" t="n">
        <v>6301</v>
      </c>
      <c r="D1068" s="8" t="n">
        <v>0</v>
      </c>
      <c r="E1068" s="8" t="n">
        <v>0</v>
      </c>
      <c r="F1068" s="8" t="s">
        <v>2200</v>
      </c>
      <c r="G1068" s="8" t="s">
        <v>2201</v>
      </c>
      <c r="H1068" s="8" t="s">
        <v>2430</v>
      </c>
    </row>
    <row r="1069" customFormat="false" ht="15" hidden="false" customHeight="false" outlineLevel="0" collapsed="false">
      <c r="A1069" s="7" t="n">
        <v>45534</v>
      </c>
      <c r="B1069" s="7" t="n">
        <v>45646</v>
      </c>
      <c r="C1069" s="8" t="n">
        <v>6373</v>
      </c>
      <c r="D1069" s="8" t="n">
        <v>0</v>
      </c>
      <c r="E1069" s="8" t="n">
        <v>0</v>
      </c>
      <c r="F1069" s="8" t="s">
        <v>2200</v>
      </c>
      <c r="G1069" s="8" t="s">
        <v>2201</v>
      </c>
      <c r="H1069" s="8" t="s">
        <v>2430</v>
      </c>
    </row>
    <row r="1070" customFormat="false" ht="15" hidden="false" customHeight="false" outlineLevel="0" collapsed="false">
      <c r="A1070" s="7" t="n">
        <v>45537</v>
      </c>
      <c r="B1070" s="7" t="n">
        <v>45555</v>
      </c>
      <c r="C1070" s="8" t="n">
        <v>6117</v>
      </c>
      <c r="D1070" s="8" t="n">
        <v>3935</v>
      </c>
      <c r="E1070" s="8" t="n">
        <v>23915</v>
      </c>
      <c r="F1070" s="8" t="s">
        <v>2200</v>
      </c>
      <c r="G1070" s="8" t="s">
        <v>2201</v>
      </c>
      <c r="H1070" s="8" t="s">
        <v>2431</v>
      </c>
    </row>
    <row r="1071" customFormat="false" ht="15" hidden="false" customHeight="false" outlineLevel="0" collapsed="false">
      <c r="A1071" s="7" t="n">
        <v>45537</v>
      </c>
      <c r="B1071" s="7" t="n">
        <v>45583</v>
      </c>
      <c r="C1071" s="8" t="n">
        <v>6194</v>
      </c>
      <c r="D1071" s="8" t="n">
        <v>2250</v>
      </c>
      <c r="E1071" s="8" t="n">
        <v>19855</v>
      </c>
      <c r="F1071" s="8" t="s">
        <v>2200</v>
      </c>
      <c r="G1071" s="8" t="s">
        <v>2201</v>
      </c>
      <c r="H1071" s="8" t="s">
        <v>2431</v>
      </c>
    </row>
    <row r="1072" customFormat="false" ht="15" hidden="false" customHeight="false" outlineLevel="0" collapsed="false">
      <c r="A1072" s="7" t="n">
        <v>45537</v>
      </c>
      <c r="B1072" s="7" t="n">
        <v>45616</v>
      </c>
      <c r="C1072" s="8" t="n">
        <v>6271</v>
      </c>
      <c r="D1072" s="8" t="n">
        <v>0</v>
      </c>
      <c r="E1072" s="8" t="n">
        <v>0</v>
      </c>
      <c r="F1072" s="8" t="s">
        <v>2200</v>
      </c>
      <c r="G1072" s="8" t="s">
        <v>2201</v>
      </c>
      <c r="H1072" s="8" t="s">
        <v>2431</v>
      </c>
    </row>
    <row r="1073" customFormat="false" ht="15" hidden="false" customHeight="false" outlineLevel="0" collapsed="false">
      <c r="A1073" s="7" t="n">
        <v>45537</v>
      </c>
      <c r="B1073" s="7" t="n">
        <v>45646</v>
      </c>
      <c r="C1073" s="8" t="n">
        <v>6348</v>
      </c>
      <c r="D1073" s="8" t="n">
        <v>0</v>
      </c>
      <c r="E1073" s="8" t="n">
        <v>0</v>
      </c>
      <c r="F1073" s="8" t="s">
        <v>2200</v>
      </c>
      <c r="G1073" s="8" t="s">
        <v>2201</v>
      </c>
      <c r="H1073" s="8" t="s">
        <v>2431</v>
      </c>
    </row>
    <row r="1074" customFormat="false" ht="15" hidden="false" customHeight="false" outlineLevel="0" collapsed="false">
      <c r="A1074" s="7" t="n">
        <v>45537</v>
      </c>
      <c r="B1074" s="7" t="n">
        <v>45677</v>
      </c>
      <c r="C1074" s="8" t="n">
        <v>6425</v>
      </c>
      <c r="D1074" s="8" t="n">
        <v>0</v>
      </c>
      <c r="E1074" s="8" t="n">
        <v>0</v>
      </c>
      <c r="F1074" s="8" t="s">
        <v>2200</v>
      </c>
      <c r="G1074" s="8" t="s">
        <v>2201</v>
      </c>
      <c r="H1074" s="8" t="s">
        <v>2431</v>
      </c>
    </row>
    <row r="1075" customFormat="false" ht="15" hidden="false" customHeight="false" outlineLevel="0" collapsed="false">
      <c r="A1075" s="7" t="n">
        <v>45538</v>
      </c>
      <c r="B1075" s="7" t="n">
        <v>45555</v>
      </c>
      <c r="C1075" s="8" t="n">
        <v>6118</v>
      </c>
      <c r="D1075" s="8" t="n">
        <v>7015</v>
      </c>
      <c r="E1075" s="8" t="n">
        <v>21420</v>
      </c>
      <c r="F1075" s="8" t="s">
        <v>2200</v>
      </c>
      <c r="G1075" s="8" t="s">
        <v>2201</v>
      </c>
      <c r="H1075" s="8" t="s">
        <v>2432</v>
      </c>
    </row>
    <row r="1076" customFormat="false" ht="15" hidden="false" customHeight="false" outlineLevel="0" collapsed="false">
      <c r="A1076" s="7" t="n">
        <v>45538</v>
      </c>
      <c r="B1076" s="7" t="n">
        <v>45583</v>
      </c>
      <c r="C1076" s="8" t="n">
        <v>6186</v>
      </c>
      <c r="D1076" s="8" t="n">
        <v>3445</v>
      </c>
      <c r="E1076" s="8" t="n">
        <v>20920</v>
      </c>
      <c r="F1076" s="8" t="s">
        <v>2200</v>
      </c>
      <c r="G1076" s="8" t="s">
        <v>2201</v>
      </c>
      <c r="H1076" s="8" t="s">
        <v>2432</v>
      </c>
    </row>
    <row r="1077" customFormat="false" ht="15" hidden="false" customHeight="false" outlineLevel="0" collapsed="false">
      <c r="A1077" s="7" t="n">
        <v>45538</v>
      </c>
      <c r="B1077" s="7" t="n">
        <v>45616</v>
      </c>
      <c r="C1077" s="8" t="n">
        <v>6254</v>
      </c>
      <c r="D1077" s="8" t="n">
        <v>0</v>
      </c>
      <c r="E1077" s="8" t="n">
        <v>0</v>
      </c>
      <c r="F1077" s="8" t="s">
        <v>2200</v>
      </c>
      <c r="G1077" s="8" t="s">
        <v>2201</v>
      </c>
      <c r="H1077" s="8" t="s">
        <v>2432</v>
      </c>
    </row>
    <row r="1078" customFormat="false" ht="15" hidden="false" customHeight="false" outlineLevel="0" collapsed="false">
      <c r="A1078" s="7" t="n">
        <v>45538</v>
      </c>
      <c r="B1078" s="7" t="n">
        <v>45646</v>
      </c>
      <c r="C1078" s="8" t="n">
        <v>6322</v>
      </c>
      <c r="D1078" s="8" t="n">
        <v>0</v>
      </c>
      <c r="E1078" s="8" t="n">
        <v>0</v>
      </c>
      <c r="F1078" s="8" t="s">
        <v>2200</v>
      </c>
      <c r="G1078" s="8" t="s">
        <v>2201</v>
      </c>
      <c r="H1078" s="8" t="s">
        <v>2432</v>
      </c>
    </row>
    <row r="1079" customFormat="false" ht="15" hidden="false" customHeight="false" outlineLevel="0" collapsed="false">
      <c r="A1079" s="7" t="n">
        <v>45538</v>
      </c>
      <c r="B1079" s="7" t="n">
        <v>45677</v>
      </c>
      <c r="C1079" s="8" t="n">
        <v>6390</v>
      </c>
      <c r="D1079" s="8" t="n">
        <v>0</v>
      </c>
      <c r="E1079" s="8" t="n">
        <v>0</v>
      </c>
      <c r="F1079" s="8" t="s">
        <v>2200</v>
      </c>
      <c r="G1079" s="8" t="s">
        <v>2201</v>
      </c>
      <c r="H1079" s="8" t="s">
        <v>2432</v>
      </c>
    </row>
    <row r="1080" customFormat="false" ht="15" hidden="false" customHeight="false" outlineLevel="0" collapsed="false">
      <c r="A1080" s="7" t="n">
        <v>45539</v>
      </c>
      <c r="B1080" s="7" t="n">
        <v>45555</v>
      </c>
      <c r="C1080" s="8" t="n">
        <v>6120</v>
      </c>
      <c r="D1080" s="8" t="n">
        <v>5395</v>
      </c>
      <c r="E1080" s="8" t="n">
        <v>17915</v>
      </c>
      <c r="F1080" s="8" t="s">
        <v>2200</v>
      </c>
      <c r="G1080" s="8" t="s">
        <v>2201</v>
      </c>
      <c r="H1080" s="8" t="s">
        <v>2433</v>
      </c>
    </row>
    <row r="1081" customFormat="false" ht="15" hidden="false" customHeight="false" outlineLevel="0" collapsed="false">
      <c r="A1081" s="7" t="n">
        <v>45539</v>
      </c>
      <c r="B1081" s="7" t="n">
        <v>45583</v>
      </c>
      <c r="C1081" s="8" t="n">
        <v>6191</v>
      </c>
      <c r="D1081" s="8" t="n">
        <v>4985</v>
      </c>
      <c r="E1081" s="8" t="n">
        <v>23995</v>
      </c>
      <c r="F1081" s="8" t="s">
        <v>2200</v>
      </c>
      <c r="G1081" s="8" t="s">
        <v>2201</v>
      </c>
      <c r="H1081" s="8" t="s">
        <v>2433</v>
      </c>
    </row>
    <row r="1082" customFormat="false" ht="15" hidden="false" customHeight="false" outlineLevel="0" collapsed="false">
      <c r="A1082" s="7" t="n">
        <v>45539</v>
      </c>
      <c r="B1082" s="7" t="n">
        <v>45616</v>
      </c>
      <c r="C1082" s="8" t="n">
        <v>6262</v>
      </c>
      <c r="D1082" s="8" t="n">
        <v>0</v>
      </c>
      <c r="E1082" s="8" t="n">
        <v>0</v>
      </c>
      <c r="F1082" s="8" t="s">
        <v>2200</v>
      </c>
      <c r="G1082" s="8" t="s">
        <v>2201</v>
      </c>
      <c r="H1082" s="8" t="s">
        <v>2433</v>
      </c>
    </row>
    <row r="1083" customFormat="false" ht="15" hidden="false" customHeight="false" outlineLevel="0" collapsed="false">
      <c r="A1083" s="7" t="n">
        <v>45539</v>
      </c>
      <c r="B1083" s="7" t="n">
        <v>45646</v>
      </c>
      <c r="C1083" s="8" t="n">
        <v>6333</v>
      </c>
      <c r="D1083" s="8" t="n">
        <v>0</v>
      </c>
      <c r="E1083" s="8" t="n">
        <v>0</v>
      </c>
      <c r="F1083" s="8" t="s">
        <v>2200</v>
      </c>
      <c r="G1083" s="8" t="s">
        <v>2201</v>
      </c>
      <c r="H1083" s="8" t="s">
        <v>2433</v>
      </c>
    </row>
    <row r="1084" customFormat="false" ht="15" hidden="false" customHeight="false" outlineLevel="0" collapsed="false">
      <c r="A1084" s="7" t="n">
        <v>45539</v>
      </c>
      <c r="B1084" s="7" t="n">
        <v>45677</v>
      </c>
      <c r="C1084" s="8" t="n">
        <v>6404</v>
      </c>
      <c r="D1084" s="8" t="n">
        <v>0</v>
      </c>
      <c r="E1084" s="8" t="n">
        <v>0</v>
      </c>
      <c r="F1084" s="8" t="s">
        <v>2200</v>
      </c>
      <c r="G1084" s="8" t="s">
        <v>2201</v>
      </c>
      <c r="H1084" s="8" t="s">
        <v>2433</v>
      </c>
    </row>
    <row r="1085" customFormat="false" ht="15" hidden="false" customHeight="false" outlineLevel="0" collapsed="false">
      <c r="A1085" s="7" t="n">
        <v>45540</v>
      </c>
      <c r="B1085" s="7" t="n">
        <v>45555</v>
      </c>
      <c r="C1085" s="8" t="n">
        <v>6108</v>
      </c>
      <c r="D1085" s="8" t="n">
        <v>7125</v>
      </c>
      <c r="E1085" s="8" t="n">
        <v>16800</v>
      </c>
      <c r="F1085" s="8" t="s">
        <v>2200</v>
      </c>
      <c r="G1085" s="8" t="s">
        <v>2201</v>
      </c>
      <c r="H1085" s="8" t="s">
        <v>2434</v>
      </c>
    </row>
    <row r="1086" customFormat="false" ht="15" hidden="false" customHeight="false" outlineLevel="0" collapsed="false">
      <c r="A1086" s="7" t="n">
        <v>45540</v>
      </c>
      <c r="B1086" s="7" t="n">
        <v>45583</v>
      </c>
      <c r="C1086" s="8" t="n">
        <v>6193</v>
      </c>
      <c r="D1086" s="8" t="n">
        <v>6245</v>
      </c>
      <c r="E1086" s="8" t="n">
        <v>25750</v>
      </c>
      <c r="F1086" s="8" t="s">
        <v>2200</v>
      </c>
      <c r="G1086" s="8" t="s">
        <v>2201</v>
      </c>
      <c r="H1086" s="8" t="s">
        <v>2434</v>
      </c>
    </row>
    <row r="1087" customFormat="false" ht="15" hidden="false" customHeight="false" outlineLevel="0" collapsed="false">
      <c r="A1087" s="7" t="n">
        <v>45540</v>
      </c>
      <c r="B1087" s="7" t="n">
        <v>45616</v>
      </c>
      <c r="C1087" s="8" t="n">
        <v>6278</v>
      </c>
      <c r="D1087" s="8" t="n">
        <v>0</v>
      </c>
      <c r="E1087" s="8" t="n">
        <v>0</v>
      </c>
      <c r="F1087" s="8" t="s">
        <v>2200</v>
      </c>
      <c r="G1087" s="8" t="s">
        <v>2201</v>
      </c>
      <c r="H1087" s="8" t="s">
        <v>2434</v>
      </c>
    </row>
    <row r="1088" customFormat="false" ht="15" hidden="false" customHeight="false" outlineLevel="0" collapsed="false">
      <c r="A1088" s="7" t="n">
        <v>45540</v>
      </c>
      <c r="B1088" s="7" t="n">
        <v>45646</v>
      </c>
      <c r="C1088" s="8" t="n">
        <v>6363</v>
      </c>
      <c r="D1088" s="8" t="n">
        <v>0</v>
      </c>
      <c r="E1088" s="8" t="n">
        <v>0</v>
      </c>
      <c r="F1088" s="8" t="s">
        <v>2200</v>
      </c>
      <c r="G1088" s="8" t="s">
        <v>2201</v>
      </c>
      <c r="H1088" s="8" t="s">
        <v>2434</v>
      </c>
    </row>
    <row r="1089" customFormat="false" ht="15" hidden="false" customHeight="false" outlineLevel="0" collapsed="false">
      <c r="A1089" s="7" t="n">
        <v>45540</v>
      </c>
      <c r="B1089" s="7" t="n">
        <v>45677</v>
      </c>
      <c r="C1089" s="8" t="n">
        <v>6448</v>
      </c>
      <c r="D1089" s="8" t="n">
        <v>0</v>
      </c>
      <c r="E1089" s="8" t="n">
        <v>0</v>
      </c>
      <c r="F1089" s="8" t="s">
        <v>2200</v>
      </c>
      <c r="G1089" s="8" t="s">
        <v>2201</v>
      </c>
      <c r="H1089" s="8" t="s">
        <v>2434</v>
      </c>
    </row>
    <row r="1090" customFormat="false" ht="15" hidden="false" customHeight="false" outlineLevel="0" collapsed="false">
      <c r="A1090" s="7" t="n">
        <v>45541</v>
      </c>
      <c r="B1090" s="7" t="n">
        <v>45555</v>
      </c>
      <c r="C1090" s="8" t="n">
        <v>6084</v>
      </c>
      <c r="D1090" s="8" t="n">
        <v>4340</v>
      </c>
      <c r="E1090" s="8" t="n">
        <v>16110</v>
      </c>
      <c r="F1090" s="8" t="s">
        <v>2200</v>
      </c>
      <c r="G1090" s="8" t="s">
        <v>2201</v>
      </c>
      <c r="H1090" s="8" t="s">
        <v>2435</v>
      </c>
    </row>
    <row r="1091" customFormat="false" ht="15" hidden="false" customHeight="false" outlineLevel="0" collapsed="false">
      <c r="A1091" s="7" t="n">
        <v>45541</v>
      </c>
      <c r="B1091" s="7" t="n">
        <v>45583</v>
      </c>
      <c r="C1091" s="8" t="n">
        <v>6174</v>
      </c>
      <c r="D1091" s="8" t="n">
        <v>5160</v>
      </c>
      <c r="E1091" s="8" t="n">
        <v>27260</v>
      </c>
      <c r="F1091" s="8" t="s">
        <v>2200</v>
      </c>
      <c r="G1091" s="8" t="s">
        <v>2201</v>
      </c>
      <c r="H1091" s="8" t="s">
        <v>2435</v>
      </c>
    </row>
    <row r="1092" customFormat="false" ht="15" hidden="false" customHeight="false" outlineLevel="0" collapsed="false">
      <c r="A1092" s="7" t="n">
        <v>45541</v>
      </c>
      <c r="B1092" s="7" t="n">
        <v>45616</v>
      </c>
      <c r="C1092" s="8" t="n">
        <v>6264</v>
      </c>
      <c r="D1092" s="8" t="n">
        <v>0</v>
      </c>
      <c r="E1092" s="8" t="n">
        <v>0</v>
      </c>
      <c r="F1092" s="8" t="s">
        <v>2200</v>
      </c>
      <c r="G1092" s="8" t="s">
        <v>2201</v>
      </c>
      <c r="H1092" s="8" t="s">
        <v>2435</v>
      </c>
    </row>
    <row r="1093" customFormat="false" ht="15" hidden="false" customHeight="false" outlineLevel="0" collapsed="false">
      <c r="A1093" s="7" t="n">
        <v>45541</v>
      </c>
      <c r="B1093" s="7" t="n">
        <v>45646</v>
      </c>
      <c r="C1093" s="8" t="n">
        <v>6354</v>
      </c>
      <c r="D1093" s="8" t="n">
        <v>0</v>
      </c>
      <c r="E1093" s="8" t="n">
        <v>0</v>
      </c>
      <c r="F1093" s="8" t="s">
        <v>2200</v>
      </c>
      <c r="G1093" s="8" t="s">
        <v>2201</v>
      </c>
      <c r="H1093" s="8" t="s">
        <v>2435</v>
      </c>
    </row>
    <row r="1094" customFormat="false" ht="15" hidden="false" customHeight="false" outlineLevel="0" collapsed="false">
      <c r="A1094" s="7" t="n">
        <v>45541</v>
      </c>
      <c r="B1094" s="7" t="n">
        <v>45677</v>
      </c>
      <c r="C1094" s="8" t="n">
        <v>6444</v>
      </c>
      <c r="D1094" s="8" t="n">
        <v>0</v>
      </c>
      <c r="E1094" s="8" t="n">
        <v>0</v>
      </c>
      <c r="F1094" s="8" t="s">
        <v>2200</v>
      </c>
      <c r="G1094" s="8" t="s">
        <v>2201</v>
      </c>
      <c r="H1094" s="8" t="s">
        <v>2435</v>
      </c>
    </row>
    <row r="1095" customFormat="false" ht="15" hidden="false" customHeight="false" outlineLevel="0" collapsed="false">
      <c r="A1095" s="7" t="n">
        <v>45544</v>
      </c>
      <c r="B1095" s="7" t="n">
        <v>45555</v>
      </c>
      <c r="C1095" s="8" t="n">
        <v>6049</v>
      </c>
      <c r="D1095" s="8" t="n">
        <v>6380</v>
      </c>
      <c r="E1095" s="8" t="n">
        <v>13310</v>
      </c>
      <c r="F1095" s="8" t="s">
        <v>2200</v>
      </c>
      <c r="G1095" s="8" t="s">
        <v>2201</v>
      </c>
      <c r="H1095" s="8" t="s">
        <v>2436</v>
      </c>
    </row>
    <row r="1096" customFormat="false" ht="15" hidden="false" customHeight="false" outlineLevel="0" collapsed="false">
      <c r="A1096" s="7" t="n">
        <v>45544</v>
      </c>
      <c r="B1096" s="7" t="n">
        <v>45583</v>
      </c>
      <c r="C1096" s="8" t="n">
        <v>6131</v>
      </c>
      <c r="D1096" s="8" t="n">
        <v>8185</v>
      </c>
      <c r="E1096" s="8" t="n">
        <v>30725</v>
      </c>
      <c r="F1096" s="8" t="s">
        <v>2200</v>
      </c>
      <c r="G1096" s="8" t="s">
        <v>2201</v>
      </c>
      <c r="H1096" s="8" t="s">
        <v>2436</v>
      </c>
    </row>
    <row r="1097" customFormat="false" ht="15" hidden="false" customHeight="false" outlineLevel="0" collapsed="false">
      <c r="A1097" s="7" t="n">
        <v>45544</v>
      </c>
      <c r="B1097" s="7" t="n">
        <v>45616</v>
      </c>
      <c r="C1097" s="8" t="n">
        <v>6161</v>
      </c>
      <c r="D1097" s="8" t="n">
        <v>50</v>
      </c>
      <c r="E1097" s="8" t="n">
        <v>10</v>
      </c>
      <c r="F1097" s="8" t="s">
        <v>2200</v>
      </c>
      <c r="G1097" s="8" t="s">
        <v>2201</v>
      </c>
      <c r="H1097" s="8" t="s">
        <v>2436</v>
      </c>
    </row>
    <row r="1098" customFormat="false" ht="15" hidden="false" customHeight="false" outlineLevel="0" collapsed="false">
      <c r="A1098" s="7" t="n">
        <v>45544</v>
      </c>
      <c r="B1098" s="7" t="n">
        <v>45646</v>
      </c>
      <c r="C1098" s="8" t="n">
        <v>6191</v>
      </c>
      <c r="D1098" s="8" t="n">
        <v>0</v>
      </c>
      <c r="E1098" s="8" t="n">
        <v>0</v>
      </c>
      <c r="F1098" s="8" t="s">
        <v>2200</v>
      </c>
      <c r="G1098" s="8" t="s">
        <v>2201</v>
      </c>
      <c r="H1098" s="8" t="s">
        <v>2436</v>
      </c>
    </row>
    <row r="1099" customFormat="false" ht="15" hidden="false" customHeight="false" outlineLevel="0" collapsed="false">
      <c r="A1099" s="7" t="n">
        <v>45544</v>
      </c>
      <c r="B1099" s="7" t="n">
        <v>45677</v>
      </c>
      <c r="C1099" s="8" t="n">
        <v>6221</v>
      </c>
      <c r="D1099" s="8" t="n">
        <v>0</v>
      </c>
      <c r="E1099" s="8" t="n">
        <v>0</v>
      </c>
      <c r="F1099" s="8" t="s">
        <v>2200</v>
      </c>
      <c r="G1099" s="8" t="s">
        <v>2201</v>
      </c>
      <c r="H1099" s="8" t="s">
        <v>2436</v>
      </c>
    </row>
    <row r="1100" customFormat="false" ht="15" hidden="false" customHeight="false" outlineLevel="0" collapsed="false">
      <c r="A1100" s="7" t="n">
        <v>45545</v>
      </c>
      <c r="B1100" s="7" t="n">
        <v>45555</v>
      </c>
      <c r="C1100" s="8" t="n">
        <v>6088</v>
      </c>
      <c r="D1100" s="8" t="n">
        <v>6085</v>
      </c>
      <c r="E1100" s="8" t="n">
        <v>10180</v>
      </c>
      <c r="F1100" s="8" t="s">
        <v>2200</v>
      </c>
      <c r="G1100" s="8" t="s">
        <v>2201</v>
      </c>
      <c r="H1100" s="8" t="s">
        <v>2437</v>
      </c>
    </row>
    <row r="1101" customFormat="false" ht="15" hidden="false" customHeight="false" outlineLevel="0" collapsed="false">
      <c r="A1101" s="7" t="n">
        <v>45545</v>
      </c>
      <c r="B1101" s="7" t="n">
        <v>45583</v>
      </c>
      <c r="C1101" s="8" t="n">
        <v>6186</v>
      </c>
      <c r="D1101" s="8" t="n">
        <v>7815</v>
      </c>
      <c r="E1101" s="8" t="n">
        <v>32885</v>
      </c>
      <c r="F1101" s="8" t="s">
        <v>2200</v>
      </c>
      <c r="G1101" s="8" t="s">
        <v>2201</v>
      </c>
      <c r="H1101" s="8" t="s">
        <v>2437</v>
      </c>
    </row>
    <row r="1102" customFormat="false" ht="15" hidden="false" customHeight="false" outlineLevel="0" collapsed="false">
      <c r="A1102" s="7" t="n">
        <v>45545</v>
      </c>
      <c r="B1102" s="7" t="n">
        <v>45616</v>
      </c>
      <c r="C1102" s="8" t="n">
        <v>6186</v>
      </c>
      <c r="D1102" s="8" t="n">
        <v>0</v>
      </c>
      <c r="E1102" s="8" t="n">
        <v>10</v>
      </c>
      <c r="F1102" s="8" t="s">
        <v>2200</v>
      </c>
      <c r="G1102" s="8" t="s">
        <v>2201</v>
      </c>
      <c r="H1102" s="8" t="s">
        <v>2437</v>
      </c>
    </row>
    <row r="1103" customFormat="false" ht="15" hidden="false" customHeight="false" outlineLevel="0" collapsed="false">
      <c r="A1103" s="7" t="n">
        <v>45545</v>
      </c>
      <c r="B1103" s="7" t="n">
        <v>45646</v>
      </c>
      <c r="C1103" s="8" t="n">
        <v>6186</v>
      </c>
      <c r="D1103" s="8" t="n">
        <v>0</v>
      </c>
      <c r="E1103" s="8" t="n">
        <v>0</v>
      </c>
      <c r="F1103" s="8" t="s">
        <v>2200</v>
      </c>
      <c r="G1103" s="8" t="s">
        <v>2201</v>
      </c>
      <c r="H1103" s="8" t="s">
        <v>2437</v>
      </c>
    </row>
    <row r="1104" customFormat="false" ht="15" hidden="false" customHeight="false" outlineLevel="0" collapsed="false">
      <c r="A1104" s="7" t="n">
        <v>45545</v>
      </c>
      <c r="B1104" s="7" t="n">
        <v>45677</v>
      </c>
      <c r="C1104" s="8" t="n">
        <v>6186</v>
      </c>
      <c r="D1104" s="8" t="n">
        <v>0</v>
      </c>
      <c r="E1104" s="8" t="n">
        <v>0</v>
      </c>
      <c r="F1104" s="8" t="s">
        <v>2200</v>
      </c>
      <c r="G1104" s="8" t="s">
        <v>2201</v>
      </c>
      <c r="H1104" s="8" t="s">
        <v>2437</v>
      </c>
    </row>
    <row r="1105" customFormat="false" ht="15" hidden="false" customHeight="false" outlineLevel="0" collapsed="false">
      <c r="A1105" s="7" t="n">
        <v>45546</v>
      </c>
      <c r="B1105" s="7" t="n">
        <v>45555</v>
      </c>
      <c r="C1105" s="8" t="n">
        <v>6092</v>
      </c>
      <c r="D1105" s="8" t="n">
        <v>2650</v>
      </c>
      <c r="E1105" s="8" t="n">
        <v>9180</v>
      </c>
      <c r="F1105" s="8" t="s">
        <v>2200</v>
      </c>
      <c r="G1105" s="8" t="s">
        <v>2201</v>
      </c>
      <c r="H1105" s="8" t="s">
        <v>2438</v>
      </c>
    </row>
    <row r="1106" customFormat="false" ht="15" hidden="false" customHeight="false" outlineLevel="0" collapsed="false">
      <c r="A1106" s="7" t="n">
        <v>45546</v>
      </c>
      <c r="B1106" s="7" t="n">
        <v>45583</v>
      </c>
      <c r="C1106" s="8" t="n">
        <v>6186</v>
      </c>
      <c r="D1106" s="8" t="n">
        <v>6525</v>
      </c>
      <c r="E1106" s="8" t="n">
        <v>32730</v>
      </c>
      <c r="F1106" s="8" t="s">
        <v>2200</v>
      </c>
      <c r="G1106" s="8" t="s">
        <v>2201</v>
      </c>
      <c r="H1106" s="8" t="s">
        <v>2438</v>
      </c>
    </row>
    <row r="1107" customFormat="false" ht="15" hidden="false" customHeight="false" outlineLevel="0" collapsed="false">
      <c r="A1107" s="7" t="n">
        <v>45546</v>
      </c>
      <c r="B1107" s="7" t="n">
        <v>45616</v>
      </c>
      <c r="C1107" s="8" t="n">
        <v>6186</v>
      </c>
      <c r="D1107" s="8" t="n">
        <v>0</v>
      </c>
      <c r="E1107" s="8" t="n">
        <v>10</v>
      </c>
      <c r="F1107" s="8" t="s">
        <v>2200</v>
      </c>
      <c r="G1107" s="8" t="s">
        <v>2201</v>
      </c>
      <c r="H1107" s="8" t="s">
        <v>2438</v>
      </c>
    </row>
    <row r="1108" customFormat="false" ht="15" hidden="false" customHeight="false" outlineLevel="0" collapsed="false">
      <c r="A1108" s="7" t="n">
        <v>45546</v>
      </c>
      <c r="B1108" s="7" t="n">
        <v>45646</v>
      </c>
      <c r="C1108" s="8" t="n">
        <v>6186</v>
      </c>
      <c r="D1108" s="8" t="n">
        <v>0</v>
      </c>
      <c r="E1108" s="8" t="n">
        <v>0</v>
      </c>
      <c r="F1108" s="8" t="s">
        <v>2200</v>
      </c>
      <c r="G1108" s="8" t="s">
        <v>2201</v>
      </c>
      <c r="H1108" s="8" t="s">
        <v>2438</v>
      </c>
    </row>
    <row r="1109" customFormat="false" ht="15" hidden="false" customHeight="false" outlineLevel="0" collapsed="false">
      <c r="A1109" s="7" t="n">
        <v>45546</v>
      </c>
      <c r="B1109" s="7" t="n">
        <v>45677</v>
      </c>
      <c r="C1109" s="8" t="n">
        <v>6186</v>
      </c>
      <c r="D1109" s="8" t="n">
        <v>0</v>
      </c>
      <c r="E1109" s="8" t="n">
        <v>0</v>
      </c>
      <c r="F1109" s="8" t="s">
        <v>2200</v>
      </c>
      <c r="G1109" s="8" t="s">
        <v>2201</v>
      </c>
      <c r="H1109" s="8" t="s">
        <v>2438</v>
      </c>
    </row>
    <row r="1110" customFormat="false" ht="15" hidden="false" customHeight="false" outlineLevel="0" collapsed="false">
      <c r="A1110" s="7" t="n">
        <v>45547</v>
      </c>
      <c r="B1110" s="7" t="n">
        <v>45555</v>
      </c>
      <c r="C1110" s="8" t="n">
        <v>6123</v>
      </c>
      <c r="D1110" s="8" t="n">
        <v>2490</v>
      </c>
      <c r="E1110" s="8" t="n">
        <v>8420</v>
      </c>
      <c r="F1110" s="8" t="s">
        <v>2200</v>
      </c>
      <c r="G1110" s="8" t="s">
        <v>2201</v>
      </c>
      <c r="H1110" s="8" t="s">
        <v>2439</v>
      </c>
    </row>
    <row r="1111" customFormat="false" ht="15" hidden="false" customHeight="false" outlineLevel="0" collapsed="false">
      <c r="A1111" s="7" t="n">
        <v>45547</v>
      </c>
      <c r="B1111" s="7" t="n">
        <v>45583</v>
      </c>
      <c r="C1111" s="8" t="n">
        <v>6199</v>
      </c>
      <c r="D1111" s="8" t="n">
        <v>4165</v>
      </c>
      <c r="E1111" s="8" t="n">
        <v>33135</v>
      </c>
      <c r="F1111" s="8" t="s">
        <v>2200</v>
      </c>
      <c r="G1111" s="8" t="s">
        <v>2201</v>
      </c>
      <c r="H1111" s="8" t="s">
        <v>2439</v>
      </c>
    </row>
    <row r="1112" customFormat="false" ht="15" hidden="false" customHeight="false" outlineLevel="0" collapsed="false">
      <c r="A1112" s="7" t="n">
        <v>45547</v>
      </c>
      <c r="B1112" s="7" t="n">
        <v>45616</v>
      </c>
      <c r="C1112" s="8" t="n">
        <v>6199</v>
      </c>
      <c r="D1112" s="8" t="n">
        <v>165</v>
      </c>
      <c r="E1112" s="8" t="n">
        <v>140</v>
      </c>
      <c r="F1112" s="8" t="s">
        <v>2200</v>
      </c>
      <c r="G1112" s="8" t="s">
        <v>2201</v>
      </c>
      <c r="H1112" s="8" t="s">
        <v>2439</v>
      </c>
    </row>
    <row r="1113" customFormat="false" ht="15" hidden="false" customHeight="false" outlineLevel="0" collapsed="false">
      <c r="A1113" s="7" t="n">
        <v>45547</v>
      </c>
      <c r="B1113" s="7" t="n">
        <v>45646</v>
      </c>
      <c r="C1113" s="8" t="n">
        <v>6199</v>
      </c>
      <c r="D1113" s="8" t="n">
        <v>0</v>
      </c>
      <c r="E1113" s="8" t="n">
        <v>0</v>
      </c>
      <c r="F1113" s="8" t="s">
        <v>2200</v>
      </c>
      <c r="G1113" s="8" t="s">
        <v>2201</v>
      </c>
      <c r="H1113" s="8" t="s">
        <v>2439</v>
      </c>
    </row>
    <row r="1114" customFormat="false" ht="15" hidden="false" customHeight="false" outlineLevel="0" collapsed="false">
      <c r="A1114" s="7" t="n">
        <v>45547</v>
      </c>
      <c r="B1114" s="7" t="n">
        <v>45677</v>
      </c>
      <c r="C1114" s="8" t="n">
        <v>6199</v>
      </c>
      <c r="D1114" s="8" t="n">
        <v>0</v>
      </c>
      <c r="E1114" s="8" t="n">
        <v>0</v>
      </c>
      <c r="F1114" s="8" t="s">
        <v>2200</v>
      </c>
      <c r="G1114" s="8" t="s">
        <v>2201</v>
      </c>
      <c r="H1114" s="8" t="s">
        <v>2439</v>
      </c>
    </row>
    <row r="1115" customFormat="false" ht="15" hidden="false" customHeight="false" outlineLevel="0" collapsed="false">
      <c r="A1115" s="7" t="n">
        <v>45548</v>
      </c>
      <c r="B1115" s="7" t="n">
        <v>45555</v>
      </c>
      <c r="C1115" s="8" t="n">
        <v>6198</v>
      </c>
      <c r="D1115" s="8" t="n">
        <v>4530</v>
      </c>
      <c r="E1115" s="8" t="n">
        <v>7890</v>
      </c>
      <c r="F1115" s="8" t="s">
        <v>2200</v>
      </c>
      <c r="G1115" s="8" t="s">
        <v>2201</v>
      </c>
      <c r="H1115" s="8" t="s">
        <v>2440</v>
      </c>
    </row>
    <row r="1116" customFormat="false" ht="15" hidden="false" customHeight="false" outlineLevel="0" collapsed="false">
      <c r="A1116" s="7" t="n">
        <v>45548</v>
      </c>
      <c r="B1116" s="7" t="n">
        <v>45583</v>
      </c>
      <c r="C1116" s="8" t="n">
        <v>6265</v>
      </c>
      <c r="D1116" s="8" t="n">
        <v>11385</v>
      </c>
      <c r="E1116" s="8" t="n">
        <v>35280</v>
      </c>
      <c r="F1116" s="8" t="s">
        <v>2200</v>
      </c>
      <c r="G1116" s="8" t="s">
        <v>2201</v>
      </c>
      <c r="H1116" s="8" t="s">
        <v>2440</v>
      </c>
    </row>
    <row r="1117" customFormat="false" ht="15" hidden="false" customHeight="false" outlineLevel="0" collapsed="false">
      <c r="A1117" s="7" t="n">
        <v>45548</v>
      </c>
      <c r="B1117" s="7" t="n">
        <v>45616</v>
      </c>
      <c r="C1117" s="8" t="n">
        <v>6265</v>
      </c>
      <c r="D1117" s="8" t="n">
        <v>695</v>
      </c>
      <c r="E1117" s="8" t="n">
        <v>820</v>
      </c>
      <c r="F1117" s="8" t="s">
        <v>2200</v>
      </c>
      <c r="G1117" s="8" t="s">
        <v>2201</v>
      </c>
      <c r="H1117" s="8" t="s">
        <v>2440</v>
      </c>
    </row>
    <row r="1118" customFormat="false" ht="15" hidden="false" customHeight="false" outlineLevel="0" collapsed="false">
      <c r="A1118" s="7" t="n">
        <v>45548</v>
      </c>
      <c r="B1118" s="7" t="n">
        <v>45646</v>
      </c>
      <c r="C1118" s="8" t="n">
        <v>6265</v>
      </c>
      <c r="D1118" s="8" t="n">
        <v>0</v>
      </c>
      <c r="E1118" s="8" t="n">
        <v>0</v>
      </c>
      <c r="F1118" s="8" t="s">
        <v>2200</v>
      </c>
      <c r="G1118" s="8" t="s">
        <v>2201</v>
      </c>
      <c r="H1118" s="8" t="s">
        <v>2440</v>
      </c>
    </row>
    <row r="1119" customFormat="false" ht="15" hidden="false" customHeight="false" outlineLevel="0" collapsed="false">
      <c r="A1119" s="7" t="n">
        <v>45548</v>
      </c>
      <c r="B1119" s="7" t="n">
        <v>45677</v>
      </c>
      <c r="C1119" s="8" t="n">
        <v>6265</v>
      </c>
      <c r="D1119" s="8" t="n">
        <v>0</v>
      </c>
      <c r="E1119" s="8" t="n">
        <v>0</v>
      </c>
      <c r="F1119" s="8" t="s">
        <v>2200</v>
      </c>
      <c r="G1119" s="8" t="s">
        <v>2201</v>
      </c>
      <c r="H1119" s="8" t="s">
        <v>2440</v>
      </c>
    </row>
    <row r="1120" customFormat="false" ht="15" hidden="false" customHeight="false" outlineLevel="0" collapsed="false">
      <c r="A1120" s="7" t="n">
        <v>45551</v>
      </c>
      <c r="B1120" s="7" t="n">
        <v>45555</v>
      </c>
      <c r="C1120" s="8" t="n">
        <v>6366</v>
      </c>
      <c r="D1120" s="8" t="n">
        <v>6490</v>
      </c>
      <c r="E1120" s="8" t="n">
        <v>7415</v>
      </c>
      <c r="F1120" s="8" t="s">
        <v>2200</v>
      </c>
      <c r="G1120" s="8" t="s">
        <v>2201</v>
      </c>
      <c r="H1120" s="8" t="s">
        <v>2441</v>
      </c>
    </row>
    <row r="1121" customFormat="false" ht="15" hidden="false" customHeight="false" outlineLevel="0" collapsed="false">
      <c r="A1121" s="7" t="n">
        <v>45551</v>
      </c>
      <c r="B1121" s="7" t="n">
        <v>45583</v>
      </c>
      <c r="C1121" s="8" t="n">
        <v>6406</v>
      </c>
      <c r="D1121" s="8" t="n">
        <v>13640</v>
      </c>
      <c r="E1121" s="8" t="n">
        <v>37755</v>
      </c>
      <c r="F1121" s="8" t="s">
        <v>2200</v>
      </c>
      <c r="G1121" s="8" t="s">
        <v>2201</v>
      </c>
      <c r="H1121" s="8" t="s">
        <v>2441</v>
      </c>
    </row>
    <row r="1122" customFormat="false" ht="15" hidden="false" customHeight="false" outlineLevel="0" collapsed="false">
      <c r="A1122" s="7" t="n">
        <v>45551</v>
      </c>
      <c r="B1122" s="7" t="n">
        <v>45616</v>
      </c>
      <c r="C1122" s="8" t="n">
        <v>6406</v>
      </c>
      <c r="D1122" s="8" t="n">
        <v>35</v>
      </c>
      <c r="E1122" s="8" t="n">
        <v>840</v>
      </c>
      <c r="F1122" s="8" t="s">
        <v>2200</v>
      </c>
      <c r="G1122" s="8" t="s">
        <v>2201</v>
      </c>
      <c r="H1122" s="8" t="s">
        <v>2441</v>
      </c>
    </row>
    <row r="1123" customFormat="false" ht="15" hidden="false" customHeight="false" outlineLevel="0" collapsed="false">
      <c r="A1123" s="7" t="n">
        <v>45551</v>
      </c>
      <c r="B1123" s="7" t="n">
        <v>45646</v>
      </c>
      <c r="C1123" s="8" t="n">
        <v>6406</v>
      </c>
      <c r="D1123" s="8" t="n">
        <v>0</v>
      </c>
      <c r="E1123" s="8" t="n">
        <v>0</v>
      </c>
      <c r="F1123" s="8" t="s">
        <v>2200</v>
      </c>
      <c r="G1123" s="8" t="s">
        <v>2201</v>
      </c>
      <c r="H1123" s="8" t="s">
        <v>2441</v>
      </c>
    </row>
    <row r="1124" customFormat="false" ht="15" hidden="false" customHeight="false" outlineLevel="0" collapsed="false">
      <c r="A1124" s="7" t="n">
        <v>45551</v>
      </c>
      <c r="B1124" s="7" t="n">
        <v>45677</v>
      </c>
      <c r="C1124" s="8" t="n">
        <v>6406</v>
      </c>
      <c r="D1124" s="8" t="n">
        <v>0</v>
      </c>
      <c r="E1124" s="8" t="n">
        <v>0</v>
      </c>
      <c r="F1124" s="8" t="s">
        <v>2200</v>
      </c>
      <c r="G1124" s="8" t="s">
        <v>2201</v>
      </c>
      <c r="H1124" s="8" t="s">
        <v>2441</v>
      </c>
    </row>
    <row r="1125" customFormat="false" ht="15" hidden="false" customHeight="false" outlineLevel="0" collapsed="false">
      <c r="A1125" s="7" t="n">
        <v>45552</v>
      </c>
      <c r="B1125" s="7" t="n">
        <v>45555</v>
      </c>
      <c r="C1125" s="8" t="n">
        <v>6428</v>
      </c>
      <c r="D1125" s="8" t="n">
        <v>10260</v>
      </c>
      <c r="E1125" s="8" t="n">
        <v>8590</v>
      </c>
      <c r="F1125" s="8" t="s">
        <v>2200</v>
      </c>
      <c r="G1125" s="8" t="s">
        <v>2201</v>
      </c>
      <c r="H1125" s="8" t="s">
        <v>2442</v>
      </c>
    </row>
    <row r="1126" customFormat="false" ht="15" hidden="false" customHeight="false" outlineLevel="0" collapsed="false">
      <c r="A1126" s="7" t="n">
        <v>45552</v>
      </c>
      <c r="B1126" s="7" t="n">
        <v>45583</v>
      </c>
      <c r="C1126" s="8" t="n">
        <v>6471</v>
      </c>
      <c r="D1126" s="8" t="n">
        <v>17320</v>
      </c>
      <c r="E1126" s="8" t="n">
        <v>39240</v>
      </c>
      <c r="F1126" s="8" t="s">
        <v>2200</v>
      </c>
      <c r="G1126" s="8" t="s">
        <v>2201</v>
      </c>
      <c r="H1126" s="8" t="s">
        <v>2442</v>
      </c>
    </row>
    <row r="1127" customFormat="false" ht="15" hidden="false" customHeight="false" outlineLevel="0" collapsed="false">
      <c r="A1127" s="7" t="n">
        <v>45552</v>
      </c>
      <c r="B1127" s="7" t="n">
        <v>45616</v>
      </c>
      <c r="C1127" s="8" t="n">
        <v>6548</v>
      </c>
      <c r="D1127" s="8" t="n">
        <v>1725</v>
      </c>
      <c r="E1127" s="8" t="n">
        <v>1765</v>
      </c>
      <c r="F1127" s="8" t="s">
        <v>2200</v>
      </c>
      <c r="G1127" s="8" t="s">
        <v>2201</v>
      </c>
      <c r="H1127" s="8" t="s">
        <v>2442</v>
      </c>
    </row>
    <row r="1128" customFormat="false" ht="15" hidden="false" customHeight="false" outlineLevel="0" collapsed="false">
      <c r="A1128" s="7" t="n">
        <v>45552</v>
      </c>
      <c r="B1128" s="7" t="n">
        <v>45646</v>
      </c>
      <c r="C1128" s="8" t="n">
        <v>6548</v>
      </c>
      <c r="D1128" s="8" t="n">
        <v>0</v>
      </c>
      <c r="E1128" s="8" t="n">
        <v>0</v>
      </c>
      <c r="F1128" s="8" t="s">
        <v>2200</v>
      </c>
      <c r="G1128" s="8" t="s">
        <v>2201</v>
      </c>
      <c r="H1128" s="8" t="s">
        <v>2442</v>
      </c>
    </row>
    <row r="1129" customFormat="false" ht="15" hidden="false" customHeight="false" outlineLevel="0" collapsed="false">
      <c r="A1129" s="7" t="n">
        <v>45552</v>
      </c>
      <c r="B1129" s="7" t="n">
        <v>45677</v>
      </c>
      <c r="C1129" s="8" t="n">
        <v>6548</v>
      </c>
      <c r="D1129" s="8" t="n">
        <v>0</v>
      </c>
      <c r="E1129" s="8" t="n">
        <v>0</v>
      </c>
      <c r="F1129" s="8" t="s">
        <v>2200</v>
      </c>
      <c r="G1129" s="8" t="s">
        <v>2201</v>
      </c>
      <c r="H1129" s="8" t="s">
        <v>2442</v>
      </c>
    </row>
    <row r="1130" customFormat="false" ht="15" hidden="false" customHeight="false" outlineLevel="0" collapsed="false">
      <c r="A1130" s="7" t="n">
        <v>45553</v>
      </c>
      <c r="B1130" s="7" t="n">
        <v>45555</v>
      </c>
      <c r="C1130" s="8" t="n">
        <v>6543</v>
      </c>
      <c r="D1130" s="8" t="n">
        <v>2445</v>
      </c>
      <c r="E1130" s="8" t="n">
        <v>8200</v>
      </c>
      <c r="F1130" s="8" t="s">
        <v>2200</v>
      </c>
      <c r="G1130" s="8" t="s">
        <v>2201</v>
      </c>
      <c r="H1130" s="8" t="s">
        <v>2443</v>
      </c>
    </row>
    <row r="1131" customFormat="false" ht="15" hidden="false" customHeight="false" outlineLevel="0" collapsed="false">
      <c r="A1131" s="7" t="n">
        <v>45553</v>
      </c>
      <c r="B1131" s="7" t="n">
        <v>45583</v>
      </c>
      <c r="C1131" s="8" t="n">
        <v>6582</v>
      </c>
      <c r="D1131" s="8" t="n">
        <v>18825</v>
      </c>
      <c r="E1131" s="8" t="n">
        <v>41970</v>
      </c>
      <c r="F1131" s="8" t="s">
        <v>2200</v>
      </c>
      <c r="G1131" s="8" t="s">
        <v>2201</v>
      </c>
      <c r="H1131" s="8" t="s">
        <v>2443</v>
      </c>
    </row>
    <row r="1132" customFormat="false" ht="15" hidden="false" customHeight="false" outlineLevel="0" collapsed="false">
      <c r="A1132" s="7" t="n">
        <v>45553</v>
      </c>
      <c r="B1132" s="7" t="n">
        <v>45616</v>
      </c>
      <c r="C1132" s="8" t="n">
        <v>6629</v>
      </c>
      <c r="D1132" s="8" t="n">
        <v>4650</v>
      </c>
      <c r="E1132" s="8" t="n">
        <v>4195</v>
      </c>
      <c r="F1132" s="8" t="s">
        <v>2200</v>
      </c>
      <c r="G1132" s="8" t="s">
        <v>2201</v>
      </c>
      <c r="H1132" s="8" t="s">
        <v>2443</v>
      </c>
    </row>
    <row r="1133" customFormat="false" ht="15" hidden="false" customHeight="false" outlineLevel="0" collapsed="false">
      <c r="A1133" s="7" t="n">
        <v>45553</v>
      </c>
      <c r="B1133" s="7" t="n">
        <v>45646</v>
      </c>
      <c r="C1133" s="8" t="n">
        <v>6676</v>
      </c>
      <c r="D1133" s="8" t="n">
        <v>0</v>
      </c>
      <c r="E1133" s="8" t="n">
        <v>0</v>
      </c>
      <c r="F1133" s="8" t="s">
        <v>2200</v>
      </c>
      <c r="G1133" s="8" t="s">
        <v>2201</v>
      </c>
      <c r="H1133" s="8" t="s">
        <v>2443</v>
      </c>
    </row>
    <row r="1134" customFormat="false" ht="15" hidden="false" customHeight="false" outlineLevel="0" collapsed="false">
      <c r="A1134" s="7" t="n">
        <v>45553</v>
      </c>
      <c r="B1134" s="7" t="n">
        <v>45677</v>
      </c>
      <c r="C1134" s="8" t="n">
        <v>6723</v>
      </c>
      <c r="D1134" s="8" t="n">
        <v>0</v>
      </c>
      <c r="E1134" s="8" t="n">
        <v>0</v>
      </c>
      <c r="F1134" s="8" t="s">
        <v>2200</v>
      </c>
      <c r="G1134" s="8" t="s">
        <v>2201</v>
      </c>
      <c r="H1134" s="8" t="s">
        <v>2443</v>
      </c>
    </row>
    <row r="1135" customFormat="false" ht="15" hidden="false" customHeight="false" outlineLevel="0" collapsed="false">
      <c r="A1135" s="7" t="n">
        <v>45554</v>
      </c>
      <c r="B1135" s="7" t="n">
        <v>45555</v>
      </c>
      <c r="C1135" s="8" t="n">
        <v>6486</v>
      </c>
      <c r="D1135" s="8" t="n">
        <v>140</v>
      </c>
      <c r="E1135" s="8" t="n">
        <v>1960</v>
      </c>
      <c r="F1135" s="8" t="s">
        <v>2200</v>
      </c>
      <c r="G1135" s="8" t="s">
        <v>2201</v>
      </c>
      <c r="H1135" s="8" t="s">
        <v>2444</v>
      </c>
    </row>
    <row r="1136" customFormat="false" ht="15" hidden="false" customHeight="false" outlineLevel="0" collapsed="false">
      <c r="A1136" s="7" t="n">
        <v>45554</v>
      </c>
      <c r="B1136" s="7" t="n">
        <v>45583</v>
      </c>
      <c r="C1136" s="8" t="n">
        <v>6511</v>
      </c>
      <c r="D1136" s="8" t="n">
        <v>15440</v>
      </c>
      <c r="E1136" s="8" t="n">
        <v>41735</v>
      </c>
      <c r="F1136" s="8" t="s">
        <v>2200</v>
      </c>
      <c r="G1136" s="8" t="s">
        <v>2201</v>
      </c>
      <c r="H1136" s="8" t="s">
        <v>2444</v>
      </c>
    </row>
    <row r="1137" customFormat="false" ht="15" hidden="false" customHeight="false" outlineLevel="0" collapsed="false">
      <c r="A1137" s="7" t="n">
        <v>45554</v>
      </c>
      <c r="B1137" s="7" t="n">
        <v>45616</v>
      </c>
      <c r="C1137" s="8" t="n">
        <v>6525</v>
      </c>
      <c r="D1137" s="8" t="n">
        <v>6500</v>
      </c>
      <c r="E1137" s="8" t="n">
        <v>4630</v>
      </c>
      <c r="F1137" s="8" t="s">
        <v>2200</v>
      </c>
      <c r="G1137" s="8" t="s">
        <v>2201</v>
      </c>
      <c r="H1137" s="8" t="s">
        <v>2444</v>
      </c>
    </row>
    <row r="1138" customFormat="false" ht="15" hidden="false" customHeight="false" outlineLevel="0" collapsed="false">
      <c r="A1138" s="7" t="n">
        <v>45554</v>
      </c>
      <c r="B1138" s="7" t="n">
        <v>45646</v>
      </c>
      <c r="C1138" s="8" t="n">
        <v>6539</v>
      </c>
      <c r="D1138" s="8" t="n">
        <v>0</v>
      </c>
      <c r="E1138" s="8" t="n">
        <v>0</v>
      </c>
      <c r="F1138" s="8" t="s">
        <v>2200</v>
      </c>
      <c r="G1138" s="8" t="s">
        <v>2201</v>
      </c>
      <c r="H1138" s="8" t="s">
        <v>2444</v>
      </c>
    </row>
    <row r="1139" customFormat="false" ht="15" hidden="false" customHeight="false" outlineLevel="0" collapsed="false">
      <c r="A1139" s="7" t="n">
        <v>45554</v>
      </c>
      <c r="B1139" s="7" t="n">
        <v>45677</v>
      </c>
      <c r="C1139" s="8" t="n">
        <v>6553</v>
      </c>
      <c r="D1139" s="8" t="n">
        <v>0</v>
      </c>
      <c r="E1139" s="8" t="n">
        <v>0</v>
      </c>
      <c r="F1139" s="8" t="s">
        <v>2200</v>
      </c>
      <c r="G1139" s="8" t="s">
        <v>2201</v>
      </c>
      <c r="H1139" s="8" t="s">
        <v>2444</v>
      </c>
    </row>
    <row r="1140" customFormat="false" ht="15" hidden="false" customHeight="false" outlineLevel="0" collapsed="false">
      <c r="A1140" s="7" t="n">
        <v>45555</v>
      </c>
      <c r="B1140" s="7" t="n">
        <v>45555</v>
      </c>
      <c r="C1140" s="8" t="n">
        <v>6550</v>
      </c>
      <c r="D1140" s="8" t="n">
        <v>20</v>
      </c>
      <c r="E1140" s="8" t="n">
        <v>215</v>
      </c>
      <c r="F1140" s="8" t="s">
        <v>2200</v>
      </c>
      <c r="G1140" s="8" t="s">
        <v>2201</v>
      </c>
      <c r="H1140" s="8" t="s">
        <v>2445</v>
      </c>
    </row>
    <row r="1141" customFormat="false" ht="15" hidden="false" customHeight="false" outlineLevel="0" collapsed="false">
      <c r="A1141" s="7" t="n">
        <v>45555</v>
      </c>
      <c r="B1141" s="7" t="n">
        <v>45583</v>
      </c>
      <c r="C1141" s="8" t="n">
        <v>6582</v>
      </c>
      <c r="D1141" s="8" t="n">
        <v>6365</v>
      </c>
      <c r="E1141" s="8" t="n">
        <v>41455</v>
      </c>
      <c r="F1141" s="8" t="s">
        <v>2200</v>
      </c>
      <c r="G1141" s="8" t="s">
        <v>2201</v>
      </c>
      <c r="H1141" s="8" t="s">
        <v>2445</v>
      </c>
    </row>
    <row r="1142" customFormat="false" ht="15" hidden="false" customHeight="false" outlineLevel="0" collapsed="false">
      <c r="A1142" s="7" t="n">
        <v>45555</v>
      </c>
      <c r="B1142" s="7" t="n">
        <v>45616</v>
      </c>
      <c r="C1142" s="8" t="n">
        <v>6610</v>
      </c>
      <c r="D1142" s="8" t="n">
        <v>2070</v>
      </c>
      <c r="E1142" s="8" t="n">
        <v>5715</v>
      </c>
      <c r="F1142" s="8" t="s">
        <v>2200</v>
      </c>
      <c r="G1142" s="8" t="s">
        <v>2201</v>
      </c>
      <c r="H1142" s="8" t="s">
        <v>2445</v>
      </c>
    </row>
    <row r="1143" customFormat="false" ht="15" hidden="false" customHeight="false" outlineLevel="0" collapsed="false">
      <c r="A1143" s="7" t="n">
        <v>45555</v>
      </c>
      <c r="B1143" s="7" t="n">
        <v>45646</v>
      </c>
      <c r="C1143" s="8" t="n">
        <v>6638</v>
      </c>
      <c r="D1143" s="8" t="n">
        <v>0</v>
      </c>
      <c r="E1143" s="8" t="n">
        <v>0</v>
      </c>
      <c r="F1143" s="8" t="s">
        <v>2200</v>
      </c>
      <c r="G1143" s="8" t="s">
        <v>2201</v>
      </c>
      <c r="H1143" s="8" t="s">
        <v>2445</v>
      </c>
    </row>
    <row r="1144" customFormat="false" ht="15" hidden="false" customHeight="false" outlineLevel="0" collapsed="false">
      <c r="A1144" s="7" t="n">
        <v>45555</v>
      </c>
      <c r="B1144" s="7" t="n">
        <v>45677</v>
      </c>
      <c r="C1144" s="8" t="n">
        <v>6666</v>
      </c>
      <c r="D1144" s="8" t="n">
        <v>0</v>
      </c>
      <c r="E1144" s="8" t="n">
        <v>0</v>
      </c>
      <c r="F1144" s="8" t="s">
        <v>2200</v>
      </c>
      <c r="G1144" s="8" t="s">
        <v>2201</v>
      </c>
      <c r="H1144" s="8" t="s">
        <v>2445</v>
      </c>
    </row>
    <row r="1145" customFormat="false" ht="15" hidden="false" customHeight="false" outlineLevel="0" collapsed="false">
      <c r="A1145" s="7" t="n">
        <v>45558</v>
      </c>
      <c r="B1145" s="7" t="n">
        <v>45583</v>
      </c>
      <c r="C1145" s="8" t="n">
        <v>6652</v>
      </c>
      <c r="D1145" s="8" t="n">
        <v>13860</v>
      </c>
      <c r="E1145" s="8" t="n">
        <v>39300</v>
      </c>
      <c r="F1145" s="8" t="s">
        <v>2200</v>
      </c>
      <c r="G1145" s="8" t="s">
        <v>2201</v>
      </c>
      <c r="H1145" s="8" t="s">
        <v>2446</v>
      </c>
    </row>
    <row r="1146" customFormat="false" ht="15" hidden="false" customHeight="false" outlineLevel="0" collapsed="false">
      <c r="A1146" s="7" t="n">
        <v>45558</v>
      </c>
      <c r="B1146" s="7" t="n">
        <v>45616</v>
      </c>
      <c r="C1146" s="8" t="n">
        <v>6698</v>
      </c>
      <c r="D1146" s="8" t="n">
        <v>2075</v>
      </c>
      <c r="E1146" s="8" t="n">
        <v>6465</v>
      </c>
      <c r="F1146" s="8" t="s">
        <v>2200</v>
      </c>
      <c r="G1146" s="8" t="s">
        <v>2201</v>
      </c>
      <c r="H1146" s="8" t="s">
        <v>2446</v>
      </c>
    </row>
    <row r="1147" customFormat="false" ht="15" hidden="false" customHeight="false" outlineLevel="0" collapsed="false">
      <c r="A1147" s="7" t="n">
        <v>45558</v>
      </c>
      <c r="B1147" s="7" t="n">
        <v>45646</v>
      </c>
      <c r="C1147" s="8" t="n">
        <v>6744</v>
      </c>
      <c r="D1147" s="8" t="n">
        <v>0</v>
      </c>
      <c r="E1147" s="8" t="n">
        <v>0</v>
      </c>
      <c r="F1147" s="8" t="s">
        <v>2200</v>
      </c>
      <c r="G1147" s="8" t="s">
        <v>2201</v>
      </c>
      <c r="H1147" s="8" t="s">
        <v>2446</v>
      </c>
    </row>
    <row r="1148" customFormat="false" ht="15" hidden="false" customHeight="false" outlineLevel="0" collapsed="false">
      <c r="A1148" s="7" t="n">
        <v>45558</v>
      </c>
      <c r="B1148" s="7" t="n">
        <v>45677</v>
      </c>
      <c r="C1148" s="8" t="n">
        <v>6790</v>
      </c>
      <c r="D1148" s="8" t="n">
        <v>0</v>
      </c>
      <c r="E1148" s="8" t="n">
        <v>0</v>
      </c>
      <c r="F1148" s="8" t="s">
        <v>2200</v>
      </c>
      <c r="G1148" s="8" t="s">
        <v>2201</v>
      </c>
      <c r="H1148" s="8" t="s">
        <v>2446</v>
      </c>
    </row>
    <row r="1149" customFormat="false" ht="15" hidden="false" customHeight="false" outlineLevel="0" collapsed="false">
      <c r="A1149" s="7" t="n">
        <v>45559</v>
      </c>
      <c r="B1149" s="7" t="n">
        <v>45583</v>
      </c>
      <c r="C1149" s="8" t="n">
        <v>6667</v>
      </c>
      <c r="D1149" s="8" t="n">
        <v>10460</v>
      </c>
      <c r="E1149" s="8" t="n">
        <v>37395</v>
      </c>
      <c r="F1149" s="8" t="s">
        <v>2200</v>
      </c>
      <c r="G1149" s="8" t="s">
        <v>2201</v>
      </c>
      <c r="H1149" s="8" t="s">
        <v>2447</v>
      </c>
    </row>
    <row r="1150" customFormat="false" ht="15" hidden="false" customHeight="false" outlineLevel="0" collapsed="false">
      <c r="A1150" s="7" t="n">
        <v>45559</v>
      </c>
      <c r="B1150" s="7" t="n">
        <v>45616</v>
      </c>
      <c r="C1150" s="8" t="n">
        <v>6717</v>
      </c>
      <c r="D1150" s="8" t="n">
        <v>5070</v>
      </c>
      <c r="E1150" s="8" t="n">
        <v>9795</v>
      </c>
      <c r="F1150" s="8" t="s">
        <v>2200</v>
      </c>
      <c r="G1150" s="8" t="s">
        <v>2201</v>
      </c>
      <c r="H1150" s="8" t="s">
        <v>2447</v>
      </c>
    </row>
    <row r="1151" customFormat="false" ht="15" hidden="false" customHeight="false" outlineLevel="0" collapsed="false">
      <c r="A1151" s="7" t="n">
        <v>45559</v>
      </c>
      <c r="B1151" s="7" t="n">
        <v>45646</v>
      </c>
      <c r="C1151" s="8" t="n">
        <v>6767</v>
      </c>
      <c r="D1151" s="8" t="n">
        <v>0</v>
      </c>
      <c r="E1151" s="8" t="n">
        <v>0</v>
      </c>
      <c r="F1151" s="8" t="s">
        <v>2200</v>
      </c>
      <c r="G1151" s="8" t="s">
        <v>2201</v>
      </c>
      <c r="H1151" s="8" t="s">
        <v>2447</v>
      </c>
    </row>
    <row r="1152" customFormat="false" ht="15" hidden="false" customHeight="false" outlineLevel="0" collapsed="false">
      <c r="A1152" s="7" t="n">
        <v>45559</v>
      </c>
      <c r="B1152" s="7" t="n">
        <v>45677</v>
      </c>
      <c r="C1152" s="8" t="n">
        <v>6817</v>
      </c>
      <c r="D1152" s="8" t="n">
        <v>0</v>
      </c>
      <c r="E1152" s="8" t="n">
        <v>0</v>
      </c>
      <c r="F1152" s="8" t="s">
        <v>2200</v>
      </c>
      <c r="G1152" s="8" t="s">
        <v>2201</v>
      </c>
      <c r="H1152" s="8" t="s">
        <v>2447</v>
      </c>
    </row>
    <row r="1153" customFormat="false" ht="15" hidden="false" customHeight="false" outlineLevel="0" collapsed="false">
      <c r="A1153" s="7" t="n">
        <v>45560</v>
      </c>
      <c r="B1153" s="7" t="n">
        <v>45583</v>
      </c>
      <c r="C1153" s="8" t="n">
        <v>6779</v>
      </c>
      <c r="D1153" s="8" t="n">
        <v>16005</v>
      </c>
      <c r="E1153" s="8" t="n">
        <v>32765</v>
      </c>
      <c r="F1153" s="8" t="s">
        <v>2200</v>
      </c>
      <c r="G1153" s="8" t="s">
        <v>2201</v>
      </c>
      <c r="H1153" s="8" t="s">
        <v>2448</v>
      </c>
    </row>
    <row r="1154" customFormat="false" ht="15" hidden="false" customHeight="false" outlineLevel="0" collapsed="false">
      <c r="A1154" s="7" t="n">
        <v>45560</v>
      </c>
      <c r="B1154" s="7" t="n">
        <v>45616</v>
      </c>
      <c r="C1154" s="8" t="n">
        <v>6845</v>
      </c>
      <c r="D1154" s="8" t="n">
        <v>8590</v>
      </c>
      <c r="E1154" s="8" t="n">
        <v>15815</v>
      </c>
      <c r="F1154" s="8" t="s">
        <v>2200</v>
      </c>
      <c r="G1154" s="8" t="s">
        <v>2201</v>
      </c>
      <c r="H1154" s="8" t="s">
        <v>2448</v>
      </c>
    </row>
    <row r="1155" customFormat="false" ht="15" hidden="false" customHeight="false" outlineLevel="0" collapsed="false">
      <c r="A1155" s="7" t="n">
        <v>45560</v>
      </c>
      <c r="B1155" s="7" t="n">
        <v>45646</v>
      </c>
      <c r="C1155" s="8" t="n">
        <v>6924</v>
      </c>
      <c r="D1155" s="8" t="n">
        <v>5</v>
      </c>
      <c r="E1155" s="8" t="n">
        <v>5</v>
      </c>
      <c r="F1155" s="8" t="s">
        <v>2200</v>
      </c>
      <c r="G1155" s="8" t="s">
        <v>2201</v>
      </c>
      <c r="H1155" s="8" t="s">
        <v>2448</v>
      </c>
    </row>
    <row r="1156" customFormat="false" ht="15" hidden="false" customHeight="false" outlineLevel="0" collapsed="false">
      <c r="A1156" s="7" t="n">
        <v>45560</v>
      </c>
      <c r="B1156" s="7" t="n">
        <v>45677</v>
      </c>
      <c r="C1156" s="8" t="n">
        <v>7003</v>
      </c>
      <c r="D1156" s="8" t="n">
        <v>0</v>
      </c>
      <c r="E1156" s="8" t="n">
        <v>0</v>
      </c>
      <c r="F1156" s="8" t="s">
        <v>2200</v>
      </c>
      <c r="G1156" s="8" t="s">
        <v>2201</v>
      </c>
      <c r="H1156" s="8" t="s">
        <v>2448</v>
      </c>
    </row>
    <row r="1157" customFormat="false" ht="15" hidden="false" customHeight="false" outlineLevel="0" collapsed="false">
      <c r="A1157" s="7" t="n">
        <v>45561</v>
      </c>
      <c r="B1157" s="7" t="n">
        <v>45583</v>
      </c>
      <c r="C1157" s="8" t="n">
        <v>6778</v>
      </c>
      <c r="D1157" s="8" t="n">
        <v>8275</v>
      </c>
      <c r="E1157" s="8" t="n">
        <v>32565</v>
      </c>
      <c r="F1157" s="8" t="s">
        <v>2200</v>
      </c>
      <c r="G1157" s="8" t="s">
        <v>2201</v>
      </c>
      <c r="H1157" s="8" t="s">
        <v>2449</v>
      </c>
    </row>
    <row r="1158" customFormat="false" ht="15" hidden="false" customHeight="false" outlineLevel="0" collapsed="false">
      <c r="A1158" s="7" t="n">
        <v>45561</v>
      </c>
      <c r="B1158" s="7" t="n">
        <v>45616</v>
      </c>
      <c r="C1158" s="8" t="n">
        <v>6853</v>
      </c>
      <c r="D1158" s="8" t="n">
        <v>4385</v>
      </c>
      <c r="E1158" s="8" t="n">
        <v>17195</v>
      </c>
      <c r="F1158" s="8" t="s">
        <v>2200</v>
      </c>
      <c r="G1158" s="8" t="s">
        <v>2201</v>
      </c>
      <c r="H1158" s="8" t="s">
        <v>2449</v>
      </c>
    </row>
    <row r="1159" customFormat="false" ht="15" hidden="false" customHeight="false" outlineLevel="0" collapsed="false">
      <c r="A1159" s="7" t="n">
        <v>45561</v>
      </c>
      <c r="B1159" s="7" t="n">
        <v>45646</v>
      </c>
      <c r="C1159" s="8" t="n">
        <v>6959</v>
      </c>
      <c r="D1159" s="8" t="n">
        <v>270</v>
      </c>
      <c r="E1159" s="8" t="n">
        <v>245</v>
      </c>
      <c r="F1159" s="8" t="s">
        <v>2200</v>
      </c>
      <c r="G1159" s="8" t="s">
        <v>2201</v>
      </c>
      <c r="H1159" s="8" t="s">
        <v>2449</v>
      </c>
    </row>
    <row r="1160" customFormat="false" ht="15" hidden="false" customHeight="false" outlineLevel="0" collapsed="false">
      <c r="A1160" s="7" t="n">
        <v>45561</v>
      </c>
      <c r="B1160" s="7" t="n">
        <v>45677</v>
      </c>
      <c r="C1160" s="8" t="n">
        <v>7065</v>
      </c>
      <c r="D1160" s="8" t="n">
        <v>0</v>
      </c>
      <c r="E1160" s="8" t="n">
        <v>0</v>
      </c>
      <c r="F1160" s="8" t="s">
        <v>2200</v>
      </c>
      <c r="G1160" s="8" t="s">
        <v>2201</v>
      </c>
      <c r="H1160" s="8" t="s">
        <v>2449</v>
      </c>
    </row>
    <row r="1161" customFormat="false" ht="15" hidden="false" customHeight="false" outlineLevel="0" collapsed="false">
      <c r="A1161" s="7" t="n">
        <v>45562</v>
      </c>
      <c r="B1161" s="7" t="n">
        <v>45583</v>
      </c>
      <c r="C1161" s="8" t="n">
        <v>6853</v>
      </c>
      <c r="D1161" s="8" t="n">
        <v>13540</v>
      </c>
      <c r="E1161" s="8" t="n">
        <v>28705</v>
      </c>
      <c r="F1161" s="8" t="s">
        <v>2200</v>
      </c>
      <c r="G1161" s="8" t="s">
        <v>2201</v>
      </c>
      <c r="H1161" s="8" t="s">
        <v>2450</v>
      </c>
    </row>
    <row r="1162" customFormat="false" ht="15" hidden="false" customHeight="false" outlineLevel="0" collapsed="false">
      <c r="A1162" s="7" t="n">
        <v>45562</v>
      </c>
      <c r="B1162" s="7" t="n">
        <v>45616</v>
      </c>
      <c r="C1162" s="8" t="n">
        <v>6922</v>
      </c>
      <c r="D1162" s="8" t="n">
        <v>5780</v>
      </c>
      <c r="E1162" s="8" t="n">
        <v>19490</v>
      </c>
      <c r="F1162" s="8" t="s">
        <v>2200</v>
      </c>
      <c r="G1162" s="8" t="s">
        <v>2201</v>
      </c>
      <c r="H1162" s="8" t="s">
        <v>2450</v>
      </c>
    </row>
    <row r="1163" customFormat="false" ht="15" hidden="false" customHeight="false" outlineLevel="0" collapsed="false">
      <c r="A1163" s="7" t="n">
        <v>45562</v>
      </c>
      <c r="B1163" s="7" t="n">
        <v>45646</v>
      </c>
      <c r="C1163" s="8" t="n">
        <v>7021</v>
      </c>
      <c r="D1163" s="8" t="n">
        <v>1180</v>
      </c>
      <c r="E1163" s="8" t="n">
        <v>985</v>
      </c>
      <c r="F1163" s="8" t="s">
        <v>2200</v>
      </c>
      <c r="G1163" s="8" t="s">
        <v>2201</v>
      </c>
      <c r="H1163" s="8" t="s">
        <v>2450</v>
      </c>
    </row>
    <row r="1164" customFormat="false" ht="15" hidden="false" customHeight="false" outlineLevel="0" collapsed="false">
      <c r="A1164" s="7" t="n">
        <v>45562</v>
      </c>
      <c r="B1164" s="7" t="n">
        <v>45677</v>
      </c>
      <c r="C1164" s="8" t="n">
        <v>7120</v>
      </c>
      <c r="D1164" s="8" t="n">
        <v>0</v>
      </c>
      <c r="E1164" s="8" t="n">
        <v>0</v>
      </c>
      <c r="F1164" s="8" t="s">
        <v>2200</v>
      </c>
      <c r="G1164" s="8" t="s">
        <v>2201</v>
      </c>
      <c r="H1164" s="8" t="s">
        <v>2450</v>
      </c>
    </row>
    <row r="1165" customFormat="false" ht="15" hidden="false" customHeight="false" outlineLevel="0" collapsed="false">
      <c r="A1165" s="7" t="n">
        <v>45565</v>
      </c>
      <c r="B1165" s="7" t="n">
        <v>45583</v>
      </c>
      <c r="C1165" s="8" t="n">
        <v>6927</v>
      </c>
      <c r="D1165" s="8" t="n">
        <v>15475</v>
      </c>
      <c r="E1165" s="8" t="n">
        <v>26200</v>
      </c>
      <c r="F1165" s="8" t="s">
        <v>2200</v>
      </c>
      <c r="G1165" s="8" t="s">
        <v>2201</v>
      </c>
      <c r="H1165" s="8" t="s">
        <v>2451</v>
      </c>
    </row>
    <row r="1166" customFormat="false" ht="15" hidden="false" customHeight="false" outlineLevel="0" collapsed="false">
      <c r="A1166" s="7" t="n">
        <v>45565</v>
      </c>
      <c r="B1166" s="7" t="n">
        <v>45616</v>
      </c>
      <c r="C1166" s="8" t="n">
        <v>7003</v>
      </c>
      <c r="D1166" s="8" t="n">
        <v>7785</v>
      </c>
      <c r="E1166" s="8" t="n">
        <v>21500</v>
      </c>
      <c r="F1166" s="8" t="s">
        <v>2200</v>
      </c>
      <c r="G1166" s="8" t="s">
        <v>2201</v>
      </c>
      <c r="H1166" s="8" t="s">
        <v>2451</v>
      </c>
    </row>
    <row r="1167" customFormat="false" ht="15" hidden="false" customHeight="false" outlineLevel="0" collapsed="false">
      <c r="A1167" s="7" t="n">
        <v>45565</v>
      </c>
      <c r="B1167" s="7" t="n">
        <v>45646</v>
      </c>
      <c r="C1167" s="8" t="n">
        <v>7062</v>
      </c>
      <c r="D1167" s="8" t="n">
        <v>565</v>
      </c>
      <c r="E1167" s="8" t="n">
        <v>1100</v>
      </c>
      <c r="F1167" s="8" t="s">
        <v>2200</v>
      </c>
      <c r="G1167" s="8" t="s">
        <v>2201</v>
      </c>
      <c r="H1167" s="8" t="s">
        <v>2451</v>
      </c>
    </row>
    <row r="1168" customFormat="false" ht="15" hidden="false" customHeight="false" outlineLevel="0" collapsed="false">
      <c r="A1168" s="7" t="n">
        <v>45565</v>
      </c>
      <c r="B1168" s="7" t="n">
        <v>45677</v>
      </c>
      <c r="C1168" s="8" t="n">
        <v>7121</v>
      </c>
      <c r="D1168" s="8" t="n">
        <v>0</v>
      </c>
      <c r="E1168" s="8" t="n">
        <v>0</v>
      </c>
      <c r="F1168" s="8" t="s">
        <v>2200</v>
      </c>
      <c r="G1168" s="8" t="s">
        <v>2201</v>
      </c>
      <c r="H1168" s="8" t="s">
        <v>2451</v>
      </c>
    </row>
    <row r="1169" customFormat="false" ht="15" hidden="false" customHeight="false" outlineLevel="0" collapsed="false">
      <c r="A1169" s="7" t="n">
        <v>45566</v>
      </c>
      <c r="B1169" s="7" t="n">
        <v>45583</v>
      </c>
      <c r="C1169" s="8" t="n">
        <v>6910</v>
      </c>
      <c r="D1169" s="8" t="n">
        <v>19520</v>
      </c>
      <c r="E1169" s="8" t="n">
        <v>25095</v>
      </c>
      <c r="F1169" s="8" t="s">
        <v>2200</v>
      </c>
      <c r="G1169" s="8" t="s">
        <v>2201</v>
      </c>
      <c r="H1169" s="8" t="s">
        <v>2452</v>
      </c>
    </row>
    <row r="1170" customFormat="false" ht="15" hidden="false" customHeight="false" outlineLevel="0" collapsed="false">
      <c r="A1170" s="7" t="n">
        <v>45566</v>
      </c>
      <c r="B1170" s="7" t="n">
        <v>45616</v>
      </c>
      <c r="C1170" s="8" t="n">
        <v>6991</v>
      </c>
      <c r="D1170" s="8" t="n">
        <v>10815</v>
      </c>
      <c r="E1170" s="8" t="n">
        <v>23425</v>
      </c>
      <c r="F1170" s="8" t="s">
        <v>2200</v>
      </c>
      <c r="G1170" s="8" t="s">
        <v>2201</v>
      </c>
      <c r="H1170" s="8" t="s">
        <v>2452</v>
      </c>
    </row>
    <row r="1171" customFormat="false" ht="15" hidden="false" customHeight="false" outlineLevel="0" collapsed="false">
      <c r="A1171" s="7" t="n">
        <v>45566</v>
      </c>
      <c r="B1171" s="7" t="n">
        <v>45646</v>
      </c>
      <c r="C1171" s="8" t="n">
        <v>7044</v>
      </c>
      <c r="D1171" s="8" t="n">
        <v>1915</v>
      </c>
      <c r="E1171" s="8" t="n">
        <v>2180</v>
      </c>
      <c r="F1171" s="8" t="s">
        <v>2200</v>
      </c>
      <c r="G1171" s="8" t="s">
        <v>2201</v>
      </c>
      <c r="H1171" s="8" t="s">
        <v>2452</v>
      </c>
    </row>
    <row r="1172" customFormat="false" ht="15" hidden="false" customHeight="false" outlineLevel="0" collapsed="false">
      <c r="A1172" s="7" t="n">
        <v>45566</v>
      </c>
      <c r="B1172" s="7" t="n">
        <v>45677</v>
      </c>
      <c r="C1172" s="8" t="n">
        <v>7097</v>
      </c>
      <c r="D1172" s="8" t="n">
        <v>0</v>
      </c>
      <c r="E1172" s="8" t="n">
        <v>0</v>
      </c>
      <c r="F1172" s="8" t="s">
        <v>2200</v>
      </c>
      <c r="G1172" s="8" t="s">
        <v>2201</v>
      </c>
      <c r="H1172" s="8" t="s">
        <v>2452</v>
      </c>
    </row>
    <row r="1173" customFormat="false" ht="15" hidden="false" customHeight="false" outlineLevel="0" collapsed="false">
      <c r="A1173" s="7" t="n">
        <v>45566</v>
      </c>
      <c r="B1173" s="7" t="n">
        <v>45708</v>
      </c>
      <c r="C1173" s="8" t="n">
        <v>7150</v>
      </c>
      <c r="D1173" s="8" t="n">
        <v>0</v>
      </c>
      <c r="E1173" s="8" t="n">
        <v>0</v>
      </c>
      <c r="F1173" s="8" t="s">
        <v>2200</v>
      </c>
      <c r="G1173" s="8" t="s">
        <v>2201</v>
      </c>
      <c r="H1173" s="8" t="s">
        <v>2452</v>
      </c>
    </row>
    <row r="1174" customFormat="false" ht="15" hidden="false" customHeight="false" outlineLevel="0" collapsed="false">
      <c r="A1174" s="7" t="n">
        <v>45568</v>
      </c>
      <c r="B1174" s="7" t="n">
        <v>45583</v>
      </c>
      <c r="C1174" s="8" t="n">
        <v>6891</v>
      </c>
      <c r="D1174" s="8" t="n">
        <v>13470</v>
      </c>
      <c r="E1174" s="8" t="n">
        <v>22525</v>
      </c>
      <c r="F1174" s="8" t="s">
        <v>2200</v>
      </c>
      <c r="G1174" s="8" t="s">
        <v>2201</v>
      </c>
      <c r="H1174" s="8" t="s">
        <v>2453</v>
      </c>
    </row>
    <row r="1175" customFormat="false" ht="15" hidden="false" customHeight="false" outlineLevel="0" collapsed="false">
      <c r="A1175" s="7" t="n">
        <v>45568</v>
      </c>
      <c r="B1175" s="7" t="n">
        <v>45616</v>
      </c>
      <c r="C1175" s="8" t="n">
        <v>6972</v>
      </c>
      <c r="D1175" s="8" t="n">
        <v>11320</v>
      </c>
      <c r="E1175" s="8" t="n">
        <v>28215</v>
      </c>
      <c r="F1175" s="8" t="s">
        <v>2200</v>
      </c>
      <c r="G1175" s="8" t="s">
        <v>2201</v>
      </c>
      <c r="H1175" s="8" t="s">
        <v>2453</v>
      </c>
    </row>
    <row r="1176" customFormat="false" ht="15" hidden="false" customHeight="false" outlineLevel="0" collapsed="false">
      <c r="A1176" s="7" t="n">
        <v>45568</v>
      </c>
      <c r="B1176" s="7" t="n">
        <v>45646</v>
      </c>
      <c r="C1176" s="8" t="n">
        <v>7002</v>
      </c>
      <c r="D1176" s="8" t="n">
        <v>55</v>
      </c>
      <c r="E1176" s="8" t="n">
        <v>2190</v>
      </c>
      <c r="F1176" s="8" t="s">
        <v>2200</v>
      </c>
      <c r="G1176" s="8" t="s">
        <v>2201</v>
      </c>
      <c r="H1176" s="8" t="s">
        <v>2453</v>
      </c>
    </row>
    <row r="1177" customFormat="false" ht="15" hidden="false" customHeight="false" outlineLevel="0" collapsed="false">
      <c r="A1177" s="7" t="n">
        <v>45568</v>
      </c>
      <c r="B1177" s="7" t="n">
        <v>45677</v>
      </c>
      <c r="C1177" s="8" t="n">
        <v>7032</v>
      </c>
      <c r="D1177" s="8" t="n">
        <v>0</v>
      </c>
      <c r="E1177" s="8" t="n">
        <v>0</v>
      </c>
      <c r="F1177" s="8" t="s">
        <v>2200</v>
      </c>
      <c r="G1177" s="8" t="s">
        <v>2201</v>
      </c>
      <c r="H1177" s="8" t="s">
        <v>2453</v>
      </c>
    </row>
    <row r="1178" customFormat="false" ht="15" hidden="false" customHeight="false" outlineLevel="0" collapsed="false">
      <c r="A1178" s="7" t="n">
        <v>45568</v>
      </c>
      <c r="B1178" s="7" t="n">
        <v>45708</v>
      </c>
      <c r="C1178" s="8" t="n">
        <v>7062</v>
      </c>
      <c r="D1178" s="8" t="n">
        <v>0</v>
      </c>
      <c r="E1178" s="8" t="n">
        <v>0</v>
      </c>
      <c r="F1178" s="8" t="s">
        <v>2200</v>
      </c>
      <c r="G1178" s="8" t="s">
        <v>2201</v>
      </c>
      <c r="H1178" s="8" t="s">
        <v>2453</v>
      </c>
    </row>
    <row r="1179" customFormat="false" ht="15" hidden="false" customHeight="false" outlineLevel="0" collapsed="false">
      <c r="A1179" s="7" t="n">
        <v>45569</v>
      </c>
      <c r="B1179" s="7" t="n">
        <v>45583</v>
      </c>
      <c r="C1179" s="8" t="n">
        <v>6819</v>
      </c>
      <c r="D1179" s="8" t="n">
        <v>14315</v>
      </c>
      <c r="E1179" s="8" t="n">
        <v>21045</v>
      </c>
      <c r="F1179" s="8" t="s">
        <v>2200</v>
      </c>
      <c r="G1179" s="8" t="s">
        <v>2201</v>
      </c>
      <c r="H1179" s="8" t="s">
        <v>2454</v>
      </c>
    </row>
    <row r="1180" customFormat="false" ht="15" hidden="false" customHeight="false" outlineLevel="0" collapsed="false">
      <c r="A1180" s="7" t="n">
        <v>45569</v>
      </c>
      <c r="B1180" s="7" t="n">
        <v>45616</v>
      </c>
      <c r="C1180" s="8" t="n">
        <v>6889</v>
      </c>
      <c r="D1180" s="8" t="n">
        <v>14035</v>
      </c>
      <c r="E1180" s="8" t="n">
        <v>29315</v>
      </c>
      <c r="F1180" s="8" t="s">
        <v>2200</v>
      </c>
      <c r="G1180" s="8" t="s">
        <v>2201</v>
      </c>
      <c r="H1180" s="8" t="s">
        <v>2454</v>
      </c>
    </row>
    <row r="1181" customFormat="false" ht="15" hidden="false" customHeight="false" outlineLevel="0" collapsed="false">
      <c r="A1181" s="7" t="n">
        <v>45569</v>
      </c>
      <c r="B1181" s="7" t="n">
        <v>45646</v>
      </c>
      <c r="C1181" s="8" t="n">
        <v>6954</v>
      </c>
      <c r="D1181" s="8" t="n">
        <v>435</v>
      </c>
      <c r="E1181" s="8" t="n">
        <v>2330</v>
      </c>
      <c r="F1181" s="8" t="s">
        <v>2200</v>
      </c>
      <c r="G1181" s="8" t="s">
        <v>2201</v>
      </c>
      <c r="H1181" s="8" t="s">
        <v>2454</v>
      </c>
    </row>
    <row r="1182" customFormat="false" ht="15" hidden="false" customHeight="false" outlineLevel="0" collapsed="false">
      <c r="A1182" s="7" t="n">
        <v>45569</v>
      </c>
      <c r="B1182" s="7" t="n">
        <v>45677</v>
      </c>
      <c r="C1182" s="8" t="n">
        <v>7019</v>
      </c>
      <c r="D1182" s="8" t="n">
        <v>0</v>
      </c>
      <c r="E1182" s="8" t="n">
        <v>0</v>
      </c>
      <c r="F1182" s="8" t="s">
        <v>2200</v>
      </c>
      <c r="G1182" s="8" t="s">
        <v>2201</v>
      </c>
      <c r="H1182" s="8" t="s">
        <v>2454</v>
      </c>
    </row>
    <row r="1183" customFormat="false" ht="15" hidden="false" customHeight="false" outlineLevel="0" collapsed="false">
      <c r="A1183" s="7" t="n">
        <v>45569</v>
      </c>
      <c r="B1183" s="7" t="n">
        <v>45708</v>
      </c>
      <c r="C1183" s="8" t="n">
        <v>7084</v>
      </c>
      <c r="D1183" s="8" t="n">
        <v>0</v>
      </c>
      <c r="E1183" s="8" t="n">
        <v>0</v>
      </c>
      <c r="F1183" s="8" t="s">
        <v>2200</v>
      </c>
      <c r="G1183" s="8" t="s">
        <v>2201</v>
      </c>
      <c r="H1183" s="8" t="s">
        <v>2454</v>
      </c>
    </row>
    <row r="1184" customFormat="false" ht="15" hidden="false" customHeight="false" outlineLevel="0" collapsed="false">
      <c r="A1184" s="7" t="n">
        <v>45572</v>
      </c>
      <c r="B1184" s="7" t="n">
        <v>45583</v>
      </c>
      <c r="C1184" s="8" t="n">
        <v>6726</v>
      </c>
      <c r="D1184" s="8" t="n">
        <v>11690</v>
      </c>
      <c r="E1184" s="8" t="n">
        <v>17540</v>
      </c>
      <c r="F1184" s="8" t="s">
        <v>2200</v>
      </c>
      <c r="G1184" s="8" t="s">
        <v>2201</v>
      </c>
      <c r="H1184" s="8" t="s">
        <v>2455</v>
      </c>
    </row>
    <row r="1185" customFormat="false" ht="15" hidden="false" customHeight="false" outlineLevel="0" collapsed="false">
      <c r="A1185" s="7" t="n">
        <v>45572</v>
      </c>
      <c r="B1185" s="7" t="n">
        <v>45616</v>
      </c>
      <c r="C1185" s="8" t="n">
        <v>6835</v>
      </c>
      <c r="D1185" s="8" t="n">
        <v>15045</v>
      </c>
      <c r="E1185" s="8" t="n">
        <v>34110</v>
      </c>
      <c r="F1185" s="8" t="s">
        <v>2200</v>
      </c>
      <c r="G1185" s="8" t="s">
        <v>2201</v>
      </c>
      <c r="H1185" s="8" t="s">
        <v>2455</v>
      </c>
    </row>
    <row r="1186" customFormat="false" ht="15" hidden="false" customHeight="false" outlineLevel="0" collapsed="false">
      <c r="A1186" s="7" t="n">
        <v>45572</v>
      </c>
      <c r="B1186" s="7" t="n">
        <v>45646</v>
      </c>
      <c r="C1186" s="8" t="n">
        <v>6913</v>
      </c>
      <c r="D1186" s="8" t="n">
        <v>1205</v>
      </c>
      <c r="E1186" s="8" t="n">
        <v>2895</v>
      </c>
      <c r="F1186" s="8" t="s">
        <v>2200</v>
      </c>
      <c r="G1186" s="8" t="s">
        <v>2201</v>
      </c>
      <c r="H1186" s="8" t="s">
        <v>2455</v>
      </c>
    </row>
    <row r="1187" customFormat="false" ht="15" hidden="false" customHeight="false" outlineLevel="0" collapsed="false">
      <c r="A1187" s="7" t="n">
        <v>45572</v>
      </c>
      <c r="B1187" s="7" t="n">
        <v>45677</v>
      </c>
      <c r="C1187" s="8" t="n">
        <v>6991</v>
      </c>
      <c r="D1187" s="8" t="n">
        <v>0</v>
      </c>
      <c r="E1187" s="8" t="n">
        <v>0</v>
      </c>
      <c r="F1187" s="8" t="s">
        <v>2200</v>
      </c>
      <c r="G1187" s="8" t="s">
        <v>2201</v>
      </c>
      <c r="H1187" s="8" t="s">
        <v>2455</v>
      </c>
    </row>
    <row r="1188" customFormat="false" ht="15" hidden="false" customHeight="false" outlineLevel="0" collapsed="false">
      <c r="A1188" s="7" t="n">
        <v>45572</v>
      </c>
      <c r="B1188" s="7" t="n">
        <v>45708</v>
      </c>
      <c r="C1188" s="8" t="n">
        <v>7069</v>
      </c>
      <c r="D1188" s="8" t="n">
        <v>0</v>
      </c>
      <c r="E1188" s="8" t="n">
        <v>0</v>
      </c>
      <c r="F1188" s="8" t="s">
        <v>2200</v>
      </c>
      <c r="G1188" s="8" t="s">
        <v>2201</v>
      </c>
      <c r="H1188" s="8" t="s">
        <v>2455</v>
      </c>
    </row>
    <row r="1189" customFormat="false" ht="15" hidden="false" customHeight="false" outlineLevel="0" collapsed="false">
      <c r="A1189" s="7" t="n">
        <v>45573</v>
      </c>
      <c r="B1189" s="7" t="n">
        <v>45583</v>
      </c>
      <c r="C1189" s="8" t="n">
        <v>6781</v>
      </c>
      <c r="D1189" s="8" t="n">
        <v>5400</v>
      </c>
      <c r="E1189" s="8" t="n">
        <v>16685</v>
      </c>
      <c r="F1189" s="8" t="s">
        <v>2200</v>
      </c>
      <c r="G1189" s="8" t="s">
        <v>2201</v>
      </c>
      <c r="H1189" s="8" t="s">
        <v>2456</v>
      </c>
    </row>
    <row r="1190" customFormat="false" ht="15" hidden="false" customHeight="false" outlineLevel="0" collapsed="false">
      <c r="A1190" s="7" t="n">
        <v>45573</v>
      </c>
      <c r="B1190" s="7" t="n">
        <v>45616</v>
      </c>
      <c r="C1190" s="8" t="n">
        <v>6870</v>
      </c>
      <c r="D1190" s="8" t="n">
        <v>9965</v>
      </c>
      <c r="E1190" s="8" t="n">
        <v>36725</v>
      </c>
      <c r="F1190" s="8" t="s">
        <v>2200</v>
      </c>
      <c r="G1190" s="8" t="s">
        <v>2201</v>
      </c>
      <c r="H1190" s="8" t="s">
        <v>2456</v>
      </c>
    </row>
    <row r="1191" customFormat="false" ht="15" hidden="false" customHeight="false" outlineLevel="0" collapsed="false">
      <c r="A1191" s="7" t="n">
        <v>45573</v>
      </c>
      <c r="B1191" s="7" t="n">
        <v>45646</v>
      </c>
      <c r="C1191" s="8" t="n">
        <v>6941</v>
      </c>
      <c r="D1191" s="8" t="n">
        <v>840</v>
      </c>
      <c r="E1191" s="8" t="n">
        <v>3310</v>
      </c>
      <c r="F1191" s="8" t="s">
        <v>2200</v>
      </c>
      <c r="G1191" s="8" t="s">
        <v>2201</v>
      </c>
      <c r="H1191" s="8" t="s">
        <v>2456</v>
      </c>
    </row>
    <row r="1192" customFormat="false" ht="15" hidden="false" customHeight="false" outlineLevel="0" collapsed="false">
      <c r="A1192" s="7" t="n">
        <v>45573</v>
      </c>
      <c r="B1192" s="7" t="n">
        <v>45677</v>
      </c>
      <c r="C1192" s="8" t="n">
        <v>7012</v>
      </c>
      <c r="D1192" s="8" t="n">
        <v>0</v>
      </c>
      <c r="E1192" s="8" t="n">
        <v>0</v>
      </c>
      <c r="F1192" s="8" t="s">
        <v>2200</v>
      </c>
      <c r="G1192" s="8" t="s">
        <v>2201</v>
      </c>
      <c r="H1192" s="8" t="s">
        <v>2456</v>
      </c>
    </row>
    <row r="1193" customFormat="false" ht="15" hidden="false" customHeight="false" outlineLevel="0" collapsed="false">
      <c r="A1193" s="7" t="n">
        <v>45573</v>
      </c>
      <c r="B1193" s="7" t="n">
        <v>45708</v>
      </c>
      <c r="C1193" s="8" t="n">
        <v>7083</v>
      </c>
      <c r="D1193" s="8" t="n">
        <v>0</v>
      </c>
      <c r="E1193" s="8" t="n">
        <v>0</v>
      </c>
      <c r="F1193" s="8" t="s">
        <v>2200</v>
      </c>
      <c r="G1193" s="8" t="s">
        <v>2201</v>
      </c>
      <c r="H1193" s="8" t="s">
        <v>2456</v>
      </c>
    </row>
    <row r="1194" customFormat="false" ht="15" hidden="false" customHeight="false" outlineLevel="0" collapsed="false">
      <c r="A1194" s="7" t="n">
        <v>45574</v>
      </c>
      <c r="B1194" s="7" t="n">
        <v>45583</v>
      </c>
      <c r="C1194" s="8" t="n">
        <v>6831</v>
      </c>
      <c r="D1194" s="8" t="n">
        <v>4005</v>
      </c>
      <c r="E1194" s="8" t="n">
        <v>15800</v>
      </c>
      <c r="F1194" s="8" t="s">
        <v>2200</v>
      </c>
      <c r="G1194" s="8" t="s">
        <v>2201</v>
      </c>
      <c r="H1194" s="8" t="s">
        <v>2457</v>
      </c>
    </row>
    <row r="1195" customFormat="false" ht="15" hidden="false" customHeight="false" outlineLevel="0" collapsed="false">
      <c r="A1195" s="7" t="n">
        <v>45574</v>
      </c>
      <c r="B1195" s="7" t="n">
        <v>45616</v>
      </c>
      <c r="C1195" s="8" t="n">
        <v>6908</v>
      </c>
      <c r="D1195" s="8" t="n">
        <v>9445</v>
      </c>
      <c r="E1195" s="8" t="n">
        <v>38225</v>
      </c>
      <c r="F1195" s="8" t="s">
        <v>2200</v>
      </c>
      <c r="G1195" s="8" t="s">
        <v>2201</v>
      </c>
      <c r="H1195" s="8" t="s">
        <v>2457</v>
      </c>
    </row>
    <row r="1196" customFormat="false" ht="15" hidden="false" customHeight="false" outlineLevel="0" collapsed="false">
      <c r="A1196" s="7" t="n">
        <v>45574</v>
      </c>
      <c r="B1196" s="7" t="n">
        <v>45646</v>
      </c>
      <c r="C1196" s="8" t="n">
        <v>6968</v>
      </c>
      <c r="D1196" s="8" t="n">
        <v>1200</v>
      </c>
      <c r="E1196" s="8" t="n">
        <v>3460</v>
      </c>
      <c r="F1196" s="8" t="s">
        <v>2200</v>
      </c>
      <c r="G1196" s="8" t="s">
        <v>2201</v>
      </c>
      <c r="H1196" s="8" t="s">
        <v>2457</v>
      </c>
    </row>
    <row r="1197" customFormat="false" ht="15" hidden="false" customHeight="false" outlineLevel="0" collapsed="false">
      <c r="A1197" s="7" t="n">
        <v>45574</v>
      </c>
      <c r="B1197" s="7" t="n">
        <v>45677</v>
      </c>
      <c r="C1197" s="8" t="n">
        <v>7028</v>
      </c>
      <c r="D1197" s="8" t="n">
        <v>0</v>
      </c>
      <c r="E1197" s="8" t="n">
        <v>0</v>
      </c>
      <c r="F1197" s="8" t="s">
        <v>2200</v>
      </c>
      <c r="G1197" s="8" t="s">
        <v>2201</v>
      </c>
      <c r="H1197" s="8" t="s">
        <v>2457</v>
      </c>
    </row>
    <row r="1198" customFormat="false" ht="15" hidden="false" customHeight="false" outlineLevel="0" collapsed="false">
      <c r="A1198" s="7" t="n">
        <v>45574</v>
      </c>
      <c r="B1198" s="7" t="n">
        <v>45708</v>
      </c>
      <c r="C1198" s="8" t="n">
        <v>7088</v>
      </c>
      <c r="D1198" s="8" t="n">
        <v>0</v>
      </c>
      <c r="E1198" s="8" t="n">
        <v>0</v>
      </c>
      <c r="F1198" s="8" t="s">
        <v>2200</v>
      </c>
      <c r="G1198" s="8" t="s">
        <v>2201</v>
      </c>
      <c r="H1198" s="8" t="s">
        <v>2457</v>
      </c>
    </row>
    <row r="1199" customFormat="false" ht="15" hidden="false" customHeight="false" outlineLevel="0" collapsed="false">
      <c r="A1199" s="7" t="n">
        <v>45575</v>
      </c>
      <c r="B1199" s="7" t="n">
        <v>45583</v>
      </c>
      <c r="C1199" s="8" t="n">
        <v>6772</v>
      </c>
      <c r="D1199" s="8" t="n">
        <v>2870</v>
      </c>
      <c r="E1199" s="8" t="n">
        <v>14410</v>
      </c>
      <c r="F1199" s="8" t="s">
        <v>2200</v>
      </c>
      <c r="G1199" s="8" t="s">
        <v>2201</v>
      </c>
      <c r="H1199" s="8" t="s">
        <v>2458</v>
      </c>
    </row>
    <row r="1200" customFormat="false" ht="15" hidden="false" customHeight="false" outlineLevel="0" collapsed="false">
      <c r="A1200" s="7" t="n">
        <v>45575</v>
      </c>
      <c r="B1200" s="7" t="n">
        <v>45616</v>
      </c>
      <c r="C1200" s="8" t="n">
        <v>6862</v>
      </c>
      <c r="D1200" s="8" t="n">
        <v>5865</v>
      </c>
      <c r="E1200" s="8" t="n">
        <v>39690</v>
      </c>
      <c r="F1200" s="8" t="s">
        <v>2200</v>
      </c>
      <c r="G1200" s="8" t="s">
        <v>2201</v>
      </c>
      <c r="H1200" s="8" t="s">
        <v>2458</v>
      </c>
    </row>
    <row r="1201" customFormat="false" ht="15" hidden="false" customHeight="false" outlineLevel="0" collapsed="false">
      <c r="A1201" s="7" t="n">
        <v>45575</v>
      </c>
      <c r="B1201" s="7" t="n">
        <v>45646</v>
      </c>
      <c r="C1201" s="8" t="n">
        <v>6945</v>
      </c>
      <c r="D1201" s="8" t="n">
        <v>10</v>
      </c>
      <c r="E1201" s="8" t="n">
        <v>3460</v>
      </c>
      <c r="F1201" s="8" t="s">
        <v>2200</v>
      </c>
      <c r="G1201" s="8" t="s">
        <v>2201</v>
      </c>
      <c r="H1201" s="8" t="s">
        <v>2458</v>
      </c>
    </row>
    <row r="1202" customFormat="false" ht="15" hidden="false" customHeight="false" outlineLevel="0" collapsed="false">
      <c r="A1202" s="7" t="n">
        <v>45575</v>
      </c>
      <c r="B1202" s="7" t="n">
        <v>45677</v>
      </c>
      <c r="C1202" s="8" t="n">
        <v>7028</v>
      </c>
      <c r="D1202" s="8" t="n">
        <v>0</v>
      </c>
      <c r="E1202" s="8" t="n">
        <v>0</v>
      </c>
      <c r="F1202" s="8" t="s">
        <v>2200</v>
      </c>
      <c r="G1202" s="8" t="s">
        <v>2201</v>
      </c>
      <c r="H1202" s="8" t="s">
        <v>2458</v>
      </c>
    </row>
    <row r="1203" customFormat="false" ht="15" hidden="false" customHeight="false" outlineLevel="0" collapsed="false">
      <c r="A1203" s="7" t="n">
        <v>45575</v>
      </c>
      <c r="B1203" s="7" t="n">
        <v>45708</v>
      </c>
      <c r="C1203" s="8" t="n">
        <v>7111</v>
      </c>
      <c r="D1203" s="8" t="n">
        <v>0</v>
      </c>
      <c r="E1203" s="8" t="n">
        <v>0</v>
      </c>
      <c r="F1203" s="8" t="s">
        <v>2200</v>
      </c>
      <c r="G1203" s="8" t="s">
        <v>2201</v>
      </c>
      <c r="H1203" s="8" t="s">
        <v>2458</v>
      </c>
    </row>
    <row r="1204" customFormat="false" ht="15" hidden="false" customHeight="false" outlineLevel="0" collapsed="false">
      <c r="A1204" s="7" t="n">
        <v>45576</v>
      </c>
      <c r="B1204" s="7" t="n">
        <v>45583</v>
      </c>
      <c r="C1204" s="8" t="n">
        <v>6769</v>
      </c>
      <c r="D1204" s="8" t="n">
        <v>2450</v>
      </c>
      <c r="E1204" s="8" t="n">
        <v>13585</v>
      </c>
      <c r="F1204" s="8" t="s">
        <v>2200</v>
      </c>
      <c r="G1204" s="8" t="s">
        <v>2201</v>
      </c>
      <c r="H1204" s="8" t="s">
        <v>2459</v>
      </c>
    </row>
    <row r="1205" customFormat="false" ht="15" hidden="false" customHeight="false" outlineLevel="0" collapsed="false">
      <c r="A1205" s="7" t="n">
        <v>45576</v>
      </c>
      <c r="B1205" s="7" t="n">
        <v>45616</v>
      </c>
      <c r="C1205" s="8" t="n">
        <v>6864</v>
      </c>
      <c r="D1205" s="8" t="n">
        <v>6065</v>
      </c>
      <c r="E1205" s="8" t="n">
        <v>40475</v>
      </c>
      <c r="F1205" s="8" t="s">
        <v>2200</v>
      </c>
      <c r="G1205" s="8" t="s">
        <v>2201</v>
      </c>
      <c r="H1205" s="8" t="s">
        <v>2459</v>
      </c>
    </row>
    <row r="1206" customFormat="false" ht="15" hidden="false" customHeight="false" outlineLevel="0" collapsed="false">
      <c r="A1206" s="7" t="n">
        <v>45576</v>
      </c>
      <c r="B1206" s="7" t="n">
        <v>45646</v>
      </c>
      <c r="C1206" s="8" t="n">
        <v>6909</v>
      </c>
      <c r="D1206" s="8" t="n">
        <v>80</v>
      </c>
      <c r="E1206" s="8" t="n">
        <v>3505</v>
      </c>
      <c r="F1206" s="8" t="s">
        <v>2200</v>
      </c>
      <c r="G1206" s="8" t="s">
        <v>2201</v>
      </c>
      <c r="H1206" s="8" t="s">
        <v>2459</v>
      </c>
    </row>
    <row r="1207" customFormat="false" ht="15" hidden="false" customHeight="false" outlineLevel="0" collapsed="false">
      <c r="A1207" s="7" t="n">
        <v>45576</v>
      </c>
      <c r="B1207" s="7" t="n">
        <v>45677</v>
      </c>
      <c r="C1207" s="8" t="n">
        <v>6954</v>
      </c>
      <c r="D1207" s="8" t="n">
        <v>0</v>
      </c>
      <c r="E1207" s="8" t="n">
        <v>0</v>
      </c>
      <c r="F1207" s="8" t="s">
        <v>2200</v>
      </c>
      <c r="G1207" s="8" t="s">
        <v>2201</v>
      </c>
      <c r="H1207" s="8" t="s">
        <v>2459</v>
      </c>
    </row>
    <row r="1208" customFormat="false" ht="15" hidden="false" customHeight="false" outlineLevel="0" collapsed="false">
      <c r="A1208" s="7" t="n">
        <v>45576</v>
      </c>
      <c r="B1208" s="7" t="n">
        <v>45708</v>
      </c>
      <c r="C1208" s="8" t="n">
        <v>6999</v>
      </c>
      <c r="D1208" s="8" t="n">
        <v>0</v>
      </c>
      <c r="E1208" s="8" t="n">
        <v>0</v>
      </c>
      <c r="F1208" s="8" t="s">
        <v>2200</v>
      </c>
      <c r="G1208" s="8" t="s">
        <v>2201</v>
      </c>
      <c r="H1208" s="8" t="s">
        <v>2459</v>
      </c>
    </row>
    <row r="1209" customFormat="false" ht="15" hidden="false" customHeight="false" outlineLevel="0" collapsed="false">
      <c r="A1209" s="7" t="n">
        <v>45579</v>
      </c>
      <c r="B1209" s="7" t="n">
        <v>45583</v>
      </c>
      <c r="C1209" s="8" t="n">
        <v>6745</v>
      </c>
      <c r="D1209" s="8" t="n">
        <v>2925</v>
      </c>
      <c r="E1209" s="8" t="n">
        <v>12365</v>
      </c>
      <c r="F1209" s="8" t="s">
        <v>2200</v>
      </c>
      <c r="G1209" s="8" t="s">
        <v>2201</v>
      </c>
      <c r="H1209" s="8" t="s">
        <v>2460</v>
      </c>
    </row>
    <row r="1210" customFormat="false" ht="15" hidden="false" customHeight="false" outlineLevel="0" collapsed="false">
      <c r="A1210" s="7" t="n">
        <v>45579</v>
      </c>
      <c r="B1210" s="7" t="n">
        <v>45616</v>
      </c>
      <c r="C1210" s="8" t="n">
        <v>6854</v>
      </c>
      <c r="D1210" s="8" t="n">
        <v>5695</v>
      </c>
      <c r="E1210" s="8" t="n">
        <v>40835</v>
      </c>
      <c r="F1210" s="8" t="s">
        <v>2200</v>
      </c>
      <c r="G1210" s="8" t="s">
        <v>2201</v>
      </c>
      <c r="H1210" s="8" t="s">
        <v>2460</v>
      </c>
    </row>
    <row r="1211" customFormat="false" ht="15" hidden="false" customHeight="false" outlineLevel="0" collapsed="false">
      <c r="A1211" s="7" t="n">
        <v>45579</v>
      </c>
      <c r="B1211" s="7" t="n">
        <v>45646</v>
      </c>
      <c r="C1211" s="8" t="n">
        <v>6918</v>
      </c>
      <c r="D1211" s="8" t="n">
        <v>455</v>
      </c>
      <c r="E1211" s="8" t="n">
        <v>3535</v>
      </c>
      <c r="F1211" s="8" t="s">
        <v>2200</v>
      </c>
      <c r="G1211" s="8" t="s">
        <v>2201</v>
      </c>
      <c r="H1211" s="8" t="s">
        <v>2460</v>
      </c>
    </row>
    <row r="1212" customFormat="false" ht="15" hidden="false" customHeight="false" outlineLevel="0" collapsed="false">
      <c r="A1212" s="7" t="n">
        <v>45579</v>
      </c>
      <c r="B1212" s="7" t="n">
        <v>45677</v>
      </c>
      <c r="C1212" s="8" t="n">
        <v>6982</v>
      </c>
      <c r="D1212" s="8" t="n">
        <v>0</v>
      </c>
      <c r="E1212" s="8" t="n">
        <v>0</v>
      </c>
      <c r="F1212" s="8" t="s">
        <v>2200</v>
      </c>
      <c r="G1212" s="8" t="s">
        <v>2201</v>
      </c>
      <c r="H1212" s="8" t="s">
        <v>2460</v>
      </c>
    </row>
    <row r="1213" customFormat="false" ht="15" hidden="false" customHeight="false" outlineLevel="0" collapsed="false">
      <c r="A1213" s="7" t="n">
        <v>45579</v>
      </c>
      <c r="B1213" s="7" t="n">
        <v>45708</v>
      </c>
      <c r="C1213" s="8" t="n">
        <v>7046</v>
      </c>
      <c r="D1213" s="8" t="n">
        <v>0</v>
      </c>
      <c r="E1213" s="8" t="n">
        <v>0</v>
      </c>
      <c r="F1213" s="8" t="s">
        <v>2200</v>
      </c>
      <c r="G1213" s="8" t="s">
        <v>2201</v>
      </c>
      <c r="H1213" s="8" t="s">
        <v>2460</v>
      </c>
    </row>
    <row r="1214" customFormat="false" ht="15" hidden="false" customHeight="false" outlineLevel="0" collapsed="false">
      <c r="A1214" s="7" t="n">
        <v>45580</v>
      </c>
      <c r="B1214" s="7" t="n">
        <v>45583</v>
      </c>
      <c r="C1214" s="8" t="n">
        <v>6814</v>
      </c>
      <c r="D1214" s="8" t="n">
        <v>4940</v>
      </c>
      <c r="E1214" s="8" t="n">
        <v>10285</v>
      </c>
      <c r="F1214" s="8" t="s">
        <v>2200</v>
      </c>
      <c r="G1214" s="8" t="s">
        <v>2201</v>
      </c>
      <c r="H1214" s="8" t="s">
        <v>2461</v>
      </c>
    </row>
    <row r="1215" customFormat="false" ht="15" hidden="false" customHeight="false" outlineLevel="0" collapsed="false">
      <c r="A1215" s="7" t="n">
        <v>45580</v>
      </c>
      <c r="B1215" s="7" t="n">
        <v>45616</v>
      </c>
      <c r="C1215" s="8" t="n">
        <v>6884</v>
      </c>
      <c r="D1215" s="8" t="n">
        <v>11900</v>
      </c>
      <c r="E1215" s="8" t="n">
        <v>42870</v>
      </c>
      <c r="F1215" s="8" t="s">
        <v>2200</v>
      </c>
      <c r="G1215" s="8" t="s">
        <v>2201</v>
      </c>
      <c r="H1215" s="8" t="s">
        <v>2461</v>
      </c>
    </row>
    <row r="1216" customFormat="false" ht="15" hidden="false" customHeight="false" outlineLevel="0" collapsed="false">
      <c r="A1216" s="7" t="n">
        <v>45580</v>
      </c>
      <c r="B1216" s="7" t="n">
        <v>45646</v>
      </c>
      <c r="C1216" s="8" t="n">
        <v>6950</v>
      </c>
      <c r="D1216" s="8" t="n">
        <v>190</v>
      </c>
      <c r="E1216" s="8" t="n">
        <v>3610</v>
      </c>
      <c r="F1216" s="8" t="s">
        <v>2200</v>
      </c>
      <c r="G1216" s="8" t="s">
        <v>2201</v>
      </c>
      <c r="H1216" s="8" t="s">
        <v>2461</v>
      </c>
    </row>
    <row r="1217" customFormat="false" ht="15" hidden="false" customHeight="false" outlineLevel="0" collapsed="false">
      <c r="A1217" s="7" t="n">
        <v>45580</v>
      </c>
      <c r="B1217" s="7" t="n">
        <v>45677</v>
      </c>
      <c r="C1217" s="8" t="n">
        <v>7016</v>
      </c>
      <c r="D1217" s="8" t="n">
        <v>0</v>
      </c>
      <c r="E1217" s="8" t="n">
        <v>0</v>
      </c>
      <c r="F1217" s="8" t="s">
        <v>2200</v>
      </c>
      <c r="G1217" s="8" t="s">
        <v>2201</v>
      </c>
      <c r="H1217" s="8" t="s">
        <v>2461</v>
      </c>
    </row>
    <row r="1218" customFormat="false" ht="15" hidden="false" customHeight="false" outlineLevel="0" collapsed="false">
      <c r="A1218" s="7" t="n">
        <v>45580</v>
      </c>
      <c r="B1218" s="7" t="n">
        <v>45708</v>
      </c>
      <c r="C1218" s="8" t="n">
        <v>7082</v>
      </c>
      <c r="D1218" s="8" t="n">
        <v>0</v>
      </c>
      <c r="E1218" s="8" t="n">
        <v>0</v>
      </c>
      <c r="F1218" s="8" t="s">
        <v>2200</v>
      </c>
      <c r="G1218" s="8" t="s">
        <v>2201</v>
      </c>
      <c r="H1218" s="8" t="s">
        <v>2461</v>
      </c>
    </row>
    <row r="1219" customFormat="false" ht="15" hidden="false" customHeight="false" outlineLevel="0" collapsed="false">
      <c r="A1219" s="7" t="n">
        <v>45581</v>
      </c>
      <c r="B1219" s="7" t="n">
        <v>45583</v>
      </c>
      <c r="C1219" s="8" t="n">
        <v>6793</v>
      </c>
      <c r="D1219" s="8" t="n">
        <v>5075</v>
      </c>
      <c r="E1219" s="8" t="n">
        <v>7295</v>
      </c>
      <c r="F1219" s="8" t="s">
        <v>2200</v>
      </c>
      <c r="G1219" s="8" t="s">
        <v>2201</v>
      </c>
      <c r="H1219" s="8" t="s">
        <v>2462</v>
      </c>
    </row>
    <row r="1220" customFormat="false" ht="15" hidden="false" customHeight="false" outlineLevel="0" collapsed="false">
      <c r="A1220" s="7" t="n">
        <v>45581</v>
      </c>
      <c r="B1220" s="7" t="n">
        <v>45616</v>
      </c>
      <c r="C1220" s="8" t="n">
        <v>6884</v>
      </c>
      <c r="D1220" s="8" t="n">
        <v>9095</v>
      </c>
      <c r="E1220" s="8" t="n">
        <v>41025</v>
      </c>
      <c r="F1220" s="8" t="s">
        <v>2200</v>
      </c>
      <c r="G1220" s="8" t="s">
        <v>2201</v>
      </c>
      <c r="H1220" s="8" t="s">
        <v>2462</v>
      </c>
    </row>
    <row r="1221" customFormat="false" ht="15" hidden="false" customHeight="false" outlineLevel="0" collapsed="false">
      <c r="A1221" s="7" t="n">
        <v>45581</v>
      </c>
      <c r="B1221" s="7" t="n">
        <v>45646</v>
      </c>
      <c r="C1221" s="8" t="n">
        <v>6964</v>
      </c>
      <c r="D1221" s="8" t="n">
        <v>1590</v>
      </c>
      <c r="E1221" s="8" t="n">
        <v>5050</v>
      </c>
      <c r="F1221" s="8" t="s">
        <v>2200</v>
      </c>
      <c r="G1221" s="8" t="s">
        <v>2201</v>
      </c>
      <c r="H1221" s="8" t="s">
        <v>2462</v>
      </c>
    </row>
    <row r="1222" customFormat="false" ht="15" hidden="false" customHeight="false" outlineLevel="0" collapsed="false">
      <c r="A1222" s="7" t="n">
        <v>45581</v>
      </c>
      <c r="B1222" s="7" t="n">
        <v>45677</v>
      </c>
      <c r="C1222" s="8" t="n">
        <v>7044</v>
      </c>
      <c r="D1222" s="8" t="n">
        <v>0</v>
      </c>
      <c r="E1222" s="8" t="n">
        <v>0</v>
      </c>
      <c r="F1222" s="8" t="s">
        <v>2200</v>
      </c>
      <c r="G1222" s="8" t="s">
        <v>2201</v>
      </c>
      <c r="H1222" s="8" t="s">
        <v>2462</v>
      </c>
    </row>
    <row r="1223" customFormat="false" ht="15" hidden="false" customHeight="false" outlineLevel="0" collapsed="false">
      <c r="A1223" s="7" t="n">
        <v>45581</v>
      </c>
      <c r="B1223" s="7" t="n">
        <v>45708</v>
      </c>
      <c r="C1223" s="8" t="n">
        <v>7124</v>
      </c>
      <c r="D1223" s="8" t="n">
        <v>0</v>
      </c>
      <c r="E1223" s="8" t="n">
        <v>0</v>
      </c>
      <c r="F1223" s="8" t="s">
        <v>2200</v>
      </c>
      <c r="G1223" s="8" t="s">
        <v>2201</v>
      </c>
      <c r="H1223" s="8" t="s">
        <v>2462</v>
      </c>
    </row>
    <row r="1224" customFormat="false" ht="15" hidden="false" customHeight="false" outlineLevel="0" collapsed="false">
      <c r="A1224" s="7" t="n">
        <v>45582</v>
      </c>
      <c r="B1224" s="7" t="n">
        <v>45583</v>
      </c>
      <c r="C1224" s="8" t="n">
        <v>6790</v>
      </c>
      <c r="D1224" s="8" t="n">
        <v>215</v>
      </c>
      <c r="E1224" s="8" t="n">
        <v>195</v>
      </c>
      <c r="F1224" s="8" t="s">
        <v>2200</v>
      </c>
      <c r="G1224" s="8" t="s">
        <v>2201</v>
      </c>
      <c r="H1224" s="8" t="s">
        <v>2463</v>
      </c>
    </row>
    <row r="1225" customFormat="false" ht="15" hidden="false" customHeight="false" outlineLevel="0" collapsed="false">
      <c r="A1225" s="7" t="n">
        <v>45582</v>
      </c>
      <c r="B1225" s="7" t="n">
        <v>45616</v>
      </c>
      <c r="C1225" s="8" t="n">
        <v>6857</v>
      </c>
      <c r="D1225" s="8" t="n">
        <v>3025</v>
      </c>
      <c r="E1225" s="8" t="n">
        <v>40440</v>
      </c>
      <c r="F1225" s="8" t="s">
        <v>2200</v>
      </c>
      <c r="G1225" s="8" t="s">
        <v>2201</v>
      </c>
      <c r="H1225" s="8" t="s">
        <v>2463</v>
      </c>
    </row>
    <row r="1226" customFormat="false" ht="15" hidden="false" customHeight="false" outlineLevel="0" collapsed="false">
      <c r="A1226" s="7" t="n">
        <v>45582</v>
      </c>
      <c r="B1226" s="7" t="n">
        <v>45646</v>
      </c>
      <c r="C1226" s="8" t="n">
        <v>6922</v>
      </c>
      <c r="D1226" s="8" t="n">
        <v>660</v>
      </c>
      <c r="E1226" s="8" t="n">
        <v>5475</v>
      </c>
      <c r="F1226" s="8" t="s">
        <v>2200</v>
      </c>
      <c r="G1226" s="8" t="s">
        <v>2201</v>
      </c>
      <c r="H1226" s="8" t="s">
        <v>2463</v>
      </c>
    </row>
    <row r="1227" customFormat="false" ht="15" hidden="false" customHeight="false" outlineLevel="0" collapsed="false">
      <c r="A1227" s="7" t="n">
        <v>45582</v>
      </c>
      <c r="B1227" s="7" t="n">
        <v>45677</v>
      </c>
      <c r="C1227" s="8" t="n">
        <v>6987</v>
      </c>
      <c r="D1227" s="8" t="n">
        <v>0</v>
      </c>
      <c r="E1227" s="8" t="n">
        <v>0</v>
      </c>
      <c r="F1227" s="8" t="s">
        <v>2200</v>
      </c>
      <c r="G1227" s="8" t="s">
        <v>2201</v>
      </c>
      <c r="H1227" s="8" t="s">
        <v>2463</v>
      </c>
    </row>
    <row r="1228" customFormat="false" ht="15" hidden="false" customHeight="false" outlineLevel="0" collapsed="false">
      <c r="A1228" s="7" t="n">
        <v>45582</v>
      </c>
      <c r="B1228" s="7" t="n">
        <v>45708</v>
      </c>
      <c r="C1228" s="8" t="n">
        <v>7052</v>
      </c>
      <c r="D1228" s="8" t="n">
        <v>0</v>
      </c>
      <c r="E1228" s="8" t="n">
        <v>0</v>
      </c>
      <c r="F1228" s="8" t="s">
        <v>2200</v>
      </c>
      <c r="G1228" s="8" t="s">
        <v>2201</v>
      </c>
      <c r="H1228" s="8" t="s">
        <v>2463</v>
      </c>
    </row>
    <row r="1229" customFormat="false" ht="15" hidden="false" customHeight="false" outlineLevel="0" collapsed="false">
      <c r="A1229" s="7" t="n">
        <v>45583</v>
      </c>
      <c r="B1229" s="7" t="n">
        <v>45583</v>
      </c>
      <c r="C1229" s="8" t="n">
        <v>6800</v>
      </c>
      <c r="D1229" s="8" t="n">
        <v>145</v>
      </c>
      <c r="E1229" s="8" t="n">
        <v>55</v>
      </c>
      <c r="F1229" s="8" t="s">
        <v>2200</v>
      </c>
      <c r="G1229" s="8" t="s">
        <v>2201</v>
      </c>
      <c r="H1229" s="8" t="s">
        <v>2464</v>
      </c>
    </row>
    <row r="1230" customFormat="false" ht="15" hidden="false" customHeight="false" outlineLevel="0" collapsed="false">
      <c r="A1230" s="7" t="n">
        <v>45583</v>
      </c>
      <c r="B1230" s="7" t="n">
        <v>45616</v>
      </c>
      <c r="C1230" s="8" t="n">
        <v>6800</v>
      </c>
      <c r="D1230" s="8" t="n">
        <v>8260</v>
      </c>
      <c r="E1230" s="8" t="n">
        <v>40615</v>
      </c>
      <c r="F1230" s="8" t="s">
        <v>2200</v>
      </c>
      <c r="G1230" s="8" t="s">
        <v>2201</v>
      </c>
      <c r="H1230" s="8" t="s">
        <v>2464</v>
      </c>
    </row>
    <row r="1231" customFormat="false" ht="15" hidden="false" customHeight="false" outlineLevel="0" collapsed="false">
      <c r="A1231" s="7" t="n">
        <v>45583</v>
      </c>
      <c r="B1231" s="7" t="n">
        <v>45646</v>
      </c>
      <c r="C1231" s="8" t="n">
        <v>6862</v>
      </c>
      <c r="D1231" s="8" t="n">
        <v>1345</v>
      </c>
      <c r="E1231" s="8" t="n">
        <v>6240</v>
      </c>
      <c r="F1231" s="8" t="s">
        <v>2200</v>
      </c>
      <c r="G1231" s="8" t="s">
        <v>2201</v>
      </c>
      <c r="H1231" s="8" t="s">
        <v>2464</v>
      </c>
    </row>
    <row r="1232" customFormat="false" ht="15" hidden="false" customHeight="false" outlineLevel="0" collapsed="false">
      <c r="A1232" s="7" t="n">
        <v>45583</v>
      </c>
      <c r="B1232" s="7" t="n">
        <v>45677</v>
      </c>
      <c r="C1232" s="8" t="n">
        <v>6924</v>
      </c>
      <c r="D1232" s="8" t="n">
        <v>0</v>
      </c>
      <c r="E1232" s="8" t="n">
        <v>0</v>
      </c>
      <c r="F1232" s="8" t="s">
        <v>2200</v>
      </c>
      <c r="G1232" s="8" t="s">
        <v>2201</v>
      </c>
      <c r="H1232" s="8" t="s">
        <v>2464</v>
      </c>
    </row>
    <row r="1233" customFormat="false" ht="15" hidden="false" customHeight="false" outlineLevel="0" collapsed="false">
      <c r="A1233" s="7" t="n">
        <v>45583</v>
      </c>
      <c r="B1233" s="7" t="n">
        <v>45708</v>
      </c>
      <c r="C1233" s="8" t="n">
        <v>6986</v>
      </c>
      <c r="D1233" s="8" t="n">
        <v>0</v>
      </c>
      <c r="E1233" s="8" t="n">
        <v>0</v>
      </c>
      <c r="F1233" s="8" t="s">
        <v>2200</v>
      </c>
      <c r="G1233" s="8" t="s">
        <v>2201</v>
      </c>
      <c r="H1233" s="8" t="s">
        <v>2464</v>
      </c>
    </row>
    <row r="1234" customFormat="false" ht="15" hidden="false" customHeight="false" outlineLevel="0" collapsed="false">
      <c r="A1234" s="7" t="n">
        <v>45586</v>
      </c>
      <c r="B1234" s="7" t="n">
        <v>45616</v>
      </c>
      <c r="C1234" s="8" t="n">
        <v>6775</v>
      </c>
      <c r="D1234" s="8" t="n">
        <v>17075</v>
      </c>
      <c r="E1234" s="8" t="n">
        <v>32515</v>
      </c>
      <c r="F1234" s="8" t="s">
        <v>2200</v>
      </c>
      <c r="G1234" s="8" t="s">
        <v>2201</v>
      </c>
      <c r="H1234" s="8" t="s">
        <v>2465</v>
      </c>
    </row>
    <row r="1235" customFormat="false" ht="15" hidden="false" customHeight="false" outlineLevel="0" collapsed="false">
      <c r="A1235" s="7" t="n">
        <v>45586</v>
      </c>
      <c r="B1235" s="7" t="n">
        <v>45646</v>
      </c>
      <c r="C1235" s="8" t="n">
        <v>6871</v>
      </c>
      <c r="D1235" s="8" t="n">
        <v>6225</v>
      </c>
      <c r="E1235" s="8" t="n">
        <v>11395</v>
      </c>
      <c r="F1235" s="8" t="s">
        <v>2200</v>
      </c>
      <c r="G1235" s="8" t="s">
        <v>2201</v>
      </c>
      <c r="H1235" s="8" t="s">
        <v>2465</v>
      </c>
    </row>
    <row r="1236" customFormat="false" ht="15" hidden="false" customHeight="false" outlineLevel="0" collapsed="false">
      <c r="A1236" s="7" t="n">
        <v>45586</v>
      </c>
      <c r="B1236" s="7" t="n">
        <v>45677</v>
      </c>
      <c r="C1236" s="8" t="n">
        <v>6943</v>
      </c>
      <c r="D1236" s="8" t="n">
        <v>10</v>
      </c>
      <c r="E1236" s="8" t="n">
        <v>5</v>
      </c>
      <c r="F1236" s="8" t="s">
        <v>2200</v>
      </c>
      <c r="G1236" s="8" t="s">
        <v>2201</v>
      </c>
      <c r="H1236" s="8" t="s">
        <v>2465</v>
      </c>
    </row>
    <row r="1237" customFormat="false" ht="15" hidden="false" customHeight="false" outlineLevel="0" collapsed="false">
      <c r="A1237" s="7" t="n">
        <v>45586</v>
      </c>
      <c r="B1237" s="7" t="n">
        <v>45708</v>
      </c>
      <c r="C1237" s="8" t="n">
        <v>7015</v>
      </c>
      <c r="D1237" s="8" t="n">
        <v>0</v>
      </c>
      <c r="E1237" s="8" t="n">
        <v>0</v>
      </c>
      <c r="F1237" s="8" t="s">
        <v>2200</v>
      </c>
      <c r="G1237" s="8" t="s">
        <v>2201</v>
      </c>
      <c r="H1237" s="8" t="s">
        <v>2465</v>
      </c>
    </row>
    <row r="1238" customFormat="false" ht="15" hidden="false" customHeight="false" outlineLevel="0" collapsed="false">
      <c r="A1238" s="7" t="n">
        <v>45587</v>
      </c>
      <c r="B1238" s="7" t="n">
        <v>45616</v>
      </c>
      <c r="C1238" s="8" t="n">
        <v>6739</v>
      </c>
      <c r="D1238" s="8" t="n">
        <v>9750</v>
      </c>
      <c r="E1238" s="8" t="n">
        <v>29075</v>
      </c>
      <c r="F1238" s="8" t="s">
        <v>2200</v>
      </c>
      <c r="G1238" s="8" t="s">
        <v>2201</v>
      </c>
      <c r="H1238" s="8" t="s">
        <v>2466</v>
      </c>
    </row>
    <row r="1239" customFormat="false" ht="15" hidden="false" customHeight="false" outlineLevel="0" collapsed="false">
      <c r="A1239" s="7" t="n">
        <v>45587</v>
      </c>
      <c r="B1239" s="7" t="n">
        <v>45646</v>
      </c>
      <c r="C1239" s="8" t="n">
        <v>6829</v>
      </c>
      <c r="D1239" s="8" t="n">
        <v>3175</v>
      </c>
      <c r="E1239" s="8" t="n">
        <v>13165</v>
      </c>
      <c r="F1239" s="8" t="s">
        <v>2200</v>
      </c>
      <c r="G1239" s="8" t="s">
        <v>2201</v>
      </c>
      <c r="H1239" s="8" t="s">
        <v>2466</v>
      </c>
    </row>
    <row r="1240" customFormat="false" ht="15" hidden="false" customHeight="false" outlineLevel="0" collapsed="false">
      <c r="A1240" s="7" t="n">
        <v>45587</v>
      </c>
      <c r="B1240" s="7" t="n">
        <v>45677</v>
      </c>
      <c r="C1240" s="8" t="n">
        <v>6841</v>
      </c>
      <c r="D1240" s="8" t="n">
        <v>15</v>
      </c>
      <c r="E1240" s="8" t="n">
        <v>20</v>
      </c>
      <c r="F1240" s="8" t="s">
        <v>2200</v>
      </c>
      <c r="G1240" s="8" t="s">
        <v>2201</v>
      </c>
      <c r="H1240" s="8" t="s">
        <v>2466</v>
      </c>
    </row>
    <row r="1241" customFormat="false" ht="15" hidden="false" customHeight="false" outlineLevel="0" collapsed="false">
      <c r="A1241" s="7" t="n">
        <v>45587</v>
      </c>
      <c r="B1241" s="7" t="n">
        <v>45708</v>
      </c>
      <c r="C1241" s="8" t="n">
        <v>6853</v>
      </c>
      <c r="D1241" s="8" t="n">
        <v>0</v>
      </c>
      <c r="E1241" s="8" t="n">
        <v>0</v>
      </c>
      <c r="F1241" s="8" t="s">
        <v>2200</v>
      </c>
      <c r="G1241" s="8" t="s">
        <v>2201</v>
      </c>
      <c r="H1241" s="8" t="s">
        <v>2466</v>
      </c>
    </row>
    <row r="1242" customFormat="false" ht="15" hidden="false" customHeight="false" outlineLevel="0" collapsed="false">
      <c r="A1242" s="7" t="n">
        <v>45588</v>
      </c>
      <c r="B1242" s="7" t="n">
        <v>45616</v>
      </c>
      <c r="C1242" s="8" t="n">
        <v>6697</v>
      </c>
      <c r="D1242" s="8" t="n">
        <v>6685</v>
      </c>
      <c r="E1242" s="8" t="n">
        <v>26875</v>
      </c>
      <c r="F1242" s="8" t="s">
        <v>2200</v>
      </c>
      <c r="G1242" s="8" t="s">
        <v>2201</v>
      </c>
      <c r="H1242" s="8" t="s">
        <v>2467</v>
      </c>
    </row>
    <row r="1243" customFormat="false" ht="15" hidden="false" customHeight="false" outlineLevel="0" collapsed="false">
      <c r="A1243" s="7" t="n">
        <v>45588</v>
      </c>
      <c r="B1243" s="7" t="n">
        <v>45646</v>
      </c>
      <c r="C1243" s="8" t="n">
        <v>6797</v>
      </c>
      <c r="D1243" s="8" t="n">
        <v>2250</v>
      </c>
      <c r="E1243" s="8" t="n">
        <v>14000</v>
      </c>
      <c r="F1243" s="8" t="s">
        <v>2200</v>
      </c>
      <c r="G1243" s="8" t="s">
        <v>2201</v>
      </c>
      <c r="H1243" s="8" t="s">
        <v>2467</v>
      </c>
    </row>
    <row r="1244" customFormat="false" ht="15" hidden="false" customHeight="false" outlineLevel="0" collapsed="false">
      <c r="A1244" s="7" t="n">
        <v>45588</v>
      </c>
      <c r="B1244" s="7" t="n">
        <v>45677</v>
      </c>
      <c r="C1244" s="8" t="n">
        <v>6800</v>
      </c>
      <c r="D1244" s="8" t="n">
        <v>40</v>
      </c>
      <c r="E1244" s="8" t="n">
        <v>40</v>
      </c>
      <c r="F1244" s="8" t="s">
        <v>2200</v>
      </c>
      <c r="G1244" s="8" t="s">
        <v>2201</v>
      </c>
      <c r="H1244" s="8" t="s">
        <v>2467</v>
      </c>
    </row>
    <row r="1245" customFormat="false" ht="15" hidden="false" customHeight="false" outlineLevel="0" collapsed="false">
      <c r="A1245" s="7" t="n">
        <v>45588</v>
      </c>
      <c r="B1245" s="7" t="n">
        <v>45708</v>
      </c>
      <c r="C1245" s="8" t="n">
        <v>6803</v>
      </c>
      <c r="D1245" s="8" t="n">
        <v>0</v>
      </c>
      <c r="E1245" s="8" t="n">
        <v>0</v>
      </c>
      <c r="F1245" s="8" t="s">
        <v>2200</v>
      </c>
      <c r="G1245" s="8" t="s">
        <v>2201</v>
      </c>
      <c r="H1245" s="8" t="s">
        <v>2467</v>
      </c>
    </row>
    <row r="1246" customFormat="false" ht="15" hidden="false" customHeight="false" outlineLevel="0" collapsed="false">
      <c r="A1246" s="7" t="n">
        <v>45589</v>
      </c>
      <c r="B1246" s="7" t="n">
        <v>45616</v>
      </c>
      <c r="C1246" s="8" t="n">
        <v>6682</v>
      </c>
      <c r="D1246" s="8" t="n">
        <v>14040</v>
      </c>
      <c r="E1246" s="8" t="n">
        <v>25150</v>
      </c>
      <c r="F1246" s="8" t="s">
        <v>2200</v>
      </c>
      <c r="G1246" s="8" t="s">
        <v>2201</v>
      </c>
      <c r="H1246" s="8" t="s">
        <v>2468</v>
      </c>
    </row>
    <row r="1247" customFormat="false" ht="15" hidden="false" customHeight="false" outlineLevel="0" collapsed="false">
      <c r="A1247" s="7" t="n">
        <v>45589</v>
      </c>
      <c r="B1247" s="7" t="n">
        <v>45646</v>
      </c>
      <c r="C1247" s="8" t="n">
        <v>6778</v>
      </c>
      <c r="D1247" s="8" t="n">
        <v>4455</v>
      </c>
      <c r="E1247" s="8" t="n">
        <v>14395</v>
      </c>
      <c r="F1247" s="8" t="s">
        <v>2200</v>
      </c>
      <c r="G1247" s="8" t="s">
        <v>2201</v>
      </c>
      <c r="H1247" s="8" t="s">
        <v>2468</v>
      </c>
    </row>
    <row r="1248" customFormat="false" ht="15" hidden="false" customHeight="false" outlineLevel="0" collapsed="false">
      <c r="A1248" s="7" t="n">
        <v>45589</v>
      </c>
      <c r="B1248" s="7" t="n">
        <v>45677</v>
      </c>
      <c r="C1248" s="8" t="n">
        <v>6751</v>
      </c>
      <c r="D1248" s="8" t="n">
        <v>115</v>
      </c>
      <c r="E1248" s="8" t="n">
        <v>125</v>
      </c>
      <c r="F1248" s="8" t="s">
        <v>2200</v>
      </c>
      <c r="G1248" s="8" t="s">
        <v>2201</v>
      </c>
      <c r="H1248" s="8" t="s">
        <v>2468</v>
      </c>
    </row>
    <row r="1249" customFormat="false" ht="15" hidden="false" customHeight="false" outlineLevel="0" collapsed="false">
      <c r="A1249" s="7" t="n">
        <v>45589</v>
      </c>
      <c r="B1249" s="7" t="n">
        <v>45708</v>
      </c>
      <c r="C1249" s="8" t="n">
        <v>6748</v>
      </c>
      <c r="D1249" s="8" t="n">
        <v>0</v>
      </c>
      <c r="E1249" s="8" t="n">
        <v>0</v>
      </c>
      <c r="F1249" s="8" t="s">
        <v>2200</v>
      </c>
      <c r="G1249" s="8" t="s">
        <v>2201</v>
      </c>
      <c r="H1249" s="8" t="s">
        <v>2468</v>
      </c>
    </row>
    <row r="1250" customFormat="false" ht="15" hidden="false" customHeight="false" outlineLevel="0" collapsed="false">
      <c r="A1250" s="7" t="n">
        <v>45590</v>
      </c>
      <c r="B1250" s="7" t="n">
        <v>45616</v>
      </c>
      <c r="C1250" s="8" t="n">
        <v>6667</v>
      </c>
      <c r="D1250" s="8" t="n">
        <v>4500</v>
      </c>
      <c r="E1250" s="8" t="n">
        <v>24060</v>
      </c>
      <c r="F1250" s="8" t="s">
        <v>2200</v>
      </c>
      <c r="G1250" s="8" t="s">
        <v>2201</v>
      </c>
      <c r="H1250" s="8" t="s">
        <v>2469</v>
      </c>
    </row>
    <row r="1251" customFormat="false" ht="15" hidden="false" customHeight="false" outlineLevel="0" collapsed="false">
      <c r="A1251" s="7" t="n">
        <v>45590</v>
      </c>
      <c r="B1251" s="7" t="n">
        <v>45646</v>
      </c>
      <c r="C1251" s="8" t="n">
        <v>6759</v>
      </c>
      <c r="D1251" s="8" t="n">
        <v>2185</v>
      </c>
      <c r="E1251" s="8" t="n">
        <v>15460</v>
      </c>
      <c r="F1251" s="8" t="s">
        <v>2200</v>
      </c>
      <c r="G1251" s="8" t="s">
        <v>2201</v>
      </c>
      <c r="H1251" s="8" t="s">
        <v>2469</v>
      </c>
    </row>
    <row r="1252" customFormat="false" ht="15" hidden="false" customHeight="false" outlineLevel="0" collapsed="false">
      <c r="A1252" s="7" t="n">
        <v>45590</v>
      </c>
      <c r="B1252" s="7" t="n">
        <v>45677</v>
      </c>
      <c r="C1252" s="8" t="n">
        <v>6790</v>
      </c>
      <c r="D1252" s="8" t="n">
        <v>10</v>
      </c>
      <c r="E1252" s="8" t="n">
        <v>125</v>
      </c>
      <c r="F1252" s="8" t="s">
        <v>2200</v>
      </c>
      <c r="G1252" s="8" t="s">
        <v>2201</v>
      </c>
      <c r="H1252" s="8" t="s">
        <v>2469</v>
      </c>
    </row>
    <row r="1253" customFormat="false" ht="15" hidden="false" customHeight="false" outlineLevel="0" collapsed="false">
      <c r="A1253" s="7" t="n">
        <v>45590</v>
      </c>
      <c r="B1253" s="7" t="n">
        <v>45708</v>
      </c>
      <c r="C1253" s="8" t="n">
        <v>6821</v>
      </c>
      <c r="D1253" s="8" t="n">
        <v>0</v>
      </c>
      <c r="E1253" s="8" t="n">
        <v>0</v>
      </c>
      <c r="F1253" s="8" t="s">
        <v>2200</v>
      </c>
      <c r="G1253" s="8" t="s">
        <v>2201</v>
      </c>
      <c r="H1253" s="8" t="s">
        <v>2469</v>
      </c>
    </row>
    <row r="1254" customFormat="false" ht="15" hidden="false" customHeight="false" outlineLevel="0" collapsed="false">
      <c r="A1254" s="7" t="n">
        <v>45593</v>
      </c>
      <c r="B1254" s="7" t="n">
        <v>45616</v>
      </c>
      <c r="C1254" s="8" t="n">
        <v>6622</v>
      </c>
      <c r="D1254" s="8" t="n">
        <v>8960</v>
      </c>
      <c r="E1254" s="8" t="n">
        <v>22510</v>
      </c>
      <c r="F1254" s="8" t="s">
        <v>2200</v>
      </c>
      <c r="G1254" s="8" t="s">
        <v>2201</v>
      </c>
      <c r="H1254" s="8" t="s">
        <v>2470</v>
      </c>
    </row>
    <row r="1255" customFormat="false" ht="15" hidden="false" customHeight="false" outlineLevel="0" collapsed="false">
      <c r="A1255" s="7" t="n">
        <v>45593</v>
      </c>
      <c r="B1255" s="7" t="n">
        <v>45646</v>
      </c>
      <c r="C1255" s="8" t="n">
        <v>6738</v>
      </c>
      <c r="D1255" s="8" t="n">
        <v>5520</v>
      </c>
      <c r="E1255" s="8" t="n">
        <v>18040</v>
      </c>
      <c r="F1255" s="8" t="s">
        <v>2200</v>
      </c>
      <c r="G1255" s="8" t="s">
        <v>2201</v>
      </c>
      <c r="H1255" s="8" t="s">
        <v>2470</v>
      </c>
    </row>
    <row r="1256" customFormat="false" ht="15" hidden="false" customHeight="false" outlineLevel="0" collapsed="false">
      <c r="A1256" s="7" t="n">
        <v>45593</v>
      </c>
      <c r="B1256" s="7" t="n">
        <v>45677</v>
      </c>
      <c r="C1256" s="8" t="n">
        <v>6854</v>
      </c>
      <c r="D1256" s="8" t="n">
        <v>15</v>
      </c>
      <c r="E1256" s="8" t="n">
        <v>135</v>
      </c>
      <c r="F1256" s="8" t="s">
        <v>2200</v>
      </c>
      <c r="G1256" s="8" t="s">
        <v>2201</v>
      </c>
      <c r="H1256" s="8" t="s">
        <v>2470</v>
      </c>
    </row>
    <row r="1257" customFormat="false" ht="15" hidden="false" customHeight="false" outlineLevel="0" collapsed="false">
      <c r="A1257" s="7" t="n">
        <v>45593</v>
      </c>
      <c r="B1257" s="7" t="n">
        <v>45708</v>
      </c>
      <c r="C1257" s="8" t="n">
        <v>6970</v>
      </c>
      <c r="D1257" s="8" t="n">
        <v>0</v>
      </c>
      <c r="E1257" s="8" t="n">
        <v>0</v>
      </c>
      <c r="F1257" s="8" t="s">
        <v>2200</v>
      </c>
      <c r="G1257" s="8" t="s">
        <v>2201</v>
      </c>
      <c r="H1257" s="8" t="s">
        <v>2470</v>
      </c>
    </row>
    <row r="1258" customFormat="false" ht="15" hidden="false" customHeight="false" outlineLevel="0" collapsed="false">
      <c r="A1258" s="7" t="n">
        <v>45594</v>
      </c>
      <c r="B1258" s="7" t="n">
        <v>45616</v>
      </c>
      <c r="C1258" s="8" t="n">
        <v>6565</v>
      </c>
      <c r="D1258" s="8" t="n">
        <v>6850</v>
      </c>
      <c r="E1258" s="8" t="n">
        <v>20480</v>
      </c>
      <c r="F1258" s="8" t="s">
        <v>2200</v>
      </c>
      <c r="G1258" s="8" t="s">
        <v>2201</v>
      </c>
      <c r="H1258" s="8" t="s">
        <v>2471</v>
      </c>
    </row>
    <row r="1259" customFormat="false" ht="15" hidden="false" customHeight="false" outlineLevel="0" collapsed="false">
      <c r="A1259" s="7" t="n">
        <v>45594</v>
      </c>
      <c r="B1259" s="7" t="n">
        <v>45646</v>
      </c>
      <c r="C1259" s="8" t="n">
        <v>6681</v>
      </c>
      <c r="D1259" s="8" t="n">
        <v>3950</v>
      </c>
      <c r="E1259" s="8" t="n">
        <v>19355</v>
      </c>
      <c r="F1259" s="8" t="s">
        <v>2200</v>
      </c>
      <c r="G1259" s="8" t="s">
        <v>2201</v>
      </c>
      <c r="H1259" s="8" t="s">
        <v>2471</v>
      </c>
    </row>
    <row r="1260" customFormat="false" ht="15" hidden="false" customHeight="false" outlineLevel="0" collapsed="false">
      <c r="A1260" s="7" t="n">
        <v>45594</v>
      </c>
      <c r="B1260" s="7" t="n">
        <v>45677</v>
      </c>
      <c r="C1260" s="8" t="n">
        <v>6721</v>
      </c>
      <c r="D1260" s="8" t="n">
        <v>220</v>
      </c>
      <c r="E1260" s="8" t="n">
        <v>285</v>
      </c>
      <c r="F1260" s="8" t="s">
        <v>2200</v>
      </c>
      <c r="G1260" s="8" t="s">
        <v>2201</v>
      </c>
      <c r="H1260" s="8" t="s">
        <v>2471</v>
      </c>
    </row>
    <row r="1261" customFormat="false" ht="15" hidden="false" customHeight="false" outlineLevel="0" collapsed="false">
      <c r="A1261" s="7" t="n">
        <v>45594</v>
      </c>
      <c r="B1261" s="7" t="n">
        <v>45708</v>
      </c>
      <c r="C1261" s="8" t="n">
        <v>6761</v>
      </c>
      <c r="D1261" s="8" t="n">
        <v>0</v>
      </c>
      <c r="E1261" s="8" t="n">
        <v>0</v>
      </c>
      <c r="F1261" s="8" t="s">
        <v>2200</v>
      </c>
      <c r="G1261" s="8" t="s">
        <v>2201</v>
      </c>
      <c r="H1261" s="8" t="s">
        <v>2471</v>
      </c>
    </row>
    <row r="1262" customFormat="false" ht="15" hidden="false" customHeight="false" outlineLevel="0" collapsed="false">
      <c r="A1262" s="7" t="n">
        <v>45595</v>
      </c>
      <c r="B1262" s="7" t="n">
        <v>45616</v>
      </c>
      <c r="C1262" s="8" t="n">
        <v>6592</v>
      </c>
      <c r="D1262" s="8" t="n">
        <v>5005</v>
      </c>
      <c r="E1262" s="8" t="n">
        <v>18835</v>
      </c>
      <c r="F1262" s="8" t="s">
        <v>2200</v>
      </c>
      <c r="G1262" s="8" t="s">
        <v>2201</v>
      </c>
      <c r="H1262" s="8" t="s">
        <v>2472</v>
      </c>
    </row>
    <row r="1263" customFormat="false" ht="15" hidden="false" customHeight="false" outlineLevel="0" collapsed="false">
      <c r="A1263" s="7" t="n">
        <v>45595</v>
      </c>
      <c r="B1263" s="7" t="n">
        <v>45646</v>
      </c>
      <c r="C1263" s="8" t="n">
        <v>6708</v>
      </c>
      <c r="D1263" s="8" t="n">
        <v>5410</v>
      </c>
      <c r="E1263" s="8" t="n">
        <v>20575</v>
      </c>
      <c r="F1263" s="8" t="s">
        <v>2200</v>
      </c>
      <c r="G1263" s="8" t="s">
        <v>2201</v>
      </c>
      <c r="H1263" s="8" t="s">
        <v>2472</v>
      </c>
    </row>
    <row r="1264" customFormat="false" ht="15" hidden="false" customHeight="false" outlineLevel="0" collapsed="false">
      <c r="A1264" s="7" t="n">
        <v>45595</v>
      </c>
      <c r="B1264" s="7" t="n">
        <v>45677</v>
      </c>
      <c r="C1264" s="8" t="n">
        <v>6738</v>
      </c>
      <c r="D1264" s="8" t="n">
        <v>25</v>
      </c>
      <c r="E1264" s="8" t="n">
        <v>305</v>
      </c>
      <c r="F1264" s="8" t="s">
        <v>2200</v>
      </c>
      <c r="G1264" s="8" t="s">
        <v>2201</v>
      </c>
      <c r="H1264" s="8" t="s">
        <v>2472</v>
      </c>
    </row>
    <row r="1265" customFormat="false" ht="15" hidden="false" customHeight="false" outlineLevel="0" collapsed="false">
      <c r="A1265" s="7" t="n">
        <v>45595</v>
      </c>
      <c r="B1265" s="7" t="n">
        <v>45708</v>
      </c>
      <c r="C1265" s="8" t="n">
        <v>6768</v>
      </c>
      <c r="D1265" s="8" t="n">
        <v>0</v>
      </c>
      <c r="E1265" s="8" t="n">
        <v>0</v>
      </c>
      <c r="F1265" s="8" t="s">
        <v>2200</v>
      </c>
      <c r="G1265" s="8" t="s">
        <v>2201</v>
      </c>
      <c r="H1265" s="8" t="s">
        <v>2472</v>
      </c>
    </row>
    <row r="1266" customFormat="false" ht="15" hidden="false" customHeight="false" outlineLevel="0" collapsed="false">
      <c r="A1266" s="7" t="n">
        <v>45596</v>
      </c>
      <c r="B1266" s="7" t="n">
        <v>45616</v>
      </c>
      <c r="C1266" s="8" t="n">
        <v>6603</v>
      </c>
      <c r="D1266" s="8" t="n">
        <v>2975</v>
      </c>
      <c r="E1266" s="8" t="n">
        <v>17675</v>
      </c>
      <c r="F1266" s="8" t="s">
        <v>2200</v>
      </c>
      <c r="G1266" s="8" t="s">
        <v>2201</v>
      </c>
      <c r="H1266" s="8" t="s">
        <v>2473</v>
      </c>
    </row>
    <row r="1267" customFormat="false" ht="15" hidden="false" customHeight="false" outlineLevel="0" collapsed="false">
      <c r="A1267" s="7" t="n">
        <v>45596</v>
      </c>
      <c r="B1267" s="7" t="n">
        <v>45646</v>
      </c>
      <c r="C1267" s="8" t="n">
        <v>6724</v>
      </c>
      <c r="D1267" s="8" t="n">
        <v>5135</v>
      </c>
      <c r="E1267" s="8" t="n">
        <v>21185</v>
      </c>
      <c r="F1267" s="8" t="s">
        <v>2200</v>
      </c>
      <c r="G1267" s="8" t="s">
        <v>2201</v>
      </c>
      <c r="H1267" s="8" t="s">
        <v>2473</v>
      </c>
    </row>
    <row r="1268" customFormat="false" ht="15" hidden="false" customHeight="false" outlineLevel="0" collapsed="false">
      <c r="A1268" s="7" t="n">
        <v>45596</v>
      </c>
      <c r="B1268" s="7" t="n">
        <v>45677</v>
      </c>
      <c r="C1268" s="8" t="n">
        <v>6751</v>
      </c>
      <c r="D1268" s="8" t="n">
        <v>335</v>
      </c>
      <c r="E1268" s="8" t="n">
        <v>620</v>
      </c>
      <c r="F1268" s="8" t="s">
        <v>2200</v>
      </c>
      <c r="G1268" s="8" t="s">
        <v>2201</v>
      </c>
      <c r="H1268" s="8" t="s">
        <v>2473</v>
      </c>
    </row>
    <row r="1269" customFormat="false" ht="15" hidden="false" customHeight="false" outlineLevel="0" collapsed="false">
      <c r="A1269" s="7" t="n">
        <v>45596</v>
      </c>
      <c r="B1269" s="7" t="n">
        <v>45708</v>
      </c>
      <c r="C1269" s="8" t="n">
        <v>6778</v>
      </c>
      <c r="D1269" s="8" t="n">
        <v>0</v>
      </c>
      <c r="E1269" s="8" t="n">
        <v>0</v>
      </c>
      <c r="F1269" s="8" t="s">
        <v>2200</v>
      </c>
      <c r="G1269" s="8" t="s">
        <v>2201</v>
      </c>
      <c r="H1269" s="8" t="s">
        <v>2473</v>
      </c>
    </row>
    <row r="1270" customFormat="false" ht="15" hidden="false" customHeight="false" outlineLevel="0" collapsed="false">
      <c r="A1270" s="7" t="n">
        <v>45597</v>
      </c>
      <c r="B1270" s="7" t="n">
        <v>45616</v>
      </c>
      <c r="C1270" s="8" t="n">
        <v>6616</v>
      </c>
      <c r="D1270" s="8" t="n">
        <v>1240</v>
      </c>
      <c r="E1270" s="8" t="n">
        <v>17940</v>
      </c>
      <c r="F1270" s="8" t="s">
        <v>2200</v>
      </c>
      <c r="G1270" s="8" t="s">
        <v>2201</v>
      </c>
      <c r="H1270" s="8" t="s">
        <v>2474</v>
      </c>
    </row>
    <row r="1271" customFormat="false" ht="15" hidden="false" customHeight="false" outlineLevel="0" collapsed="false">
      <c r="A1271" s="7" t="n">
        <v>45597</v>
      </c>
      <c r="B1271" s="7" t="n">
        <v>45646</v>
      </c>
      <c r="C1271" s="8" t="n">
        <v>6739</v>
      </c>
      <c r="D1271" s="8" t="n">
        <v>2705</v>
      </c>
      <c r="E1271" s="8" t="n">
        <v>21805</v>
      </c>
      <c r="F1271" s="8" t="s">
        <v>2200</v>
      </c>
      <c r="G1271" s="8" t="s">
        <v>2201</v>
      </c>
      <c r="H1271" s="8" t="s">
        <v>2474</v>
      </c>
    </row>
    <row r="1272" customFormat="false" ht="15" hidden="false" customHeight="false" outlineLevel="0" collapsed="false">
      <c r="A1272" s="7" t="n">
        <v>45597</v>
      </c>
      <c r="B1272" s="7" t="n">
        <v>45677</v>
      </c>
      <c r="C1272" s="8" t="n">
        <v>6760</v>
      </c>
      <c r="D1272" s="8" t="n">
        <v>270</v>
      </c>
      <c r="E1272" s="8" t="n">
        <v>695</v>
      </c>
      <c r="F1272" s="8" t="s">
        <v>2200</v>
      </c>
      <c r="G1272" s="8" t="s">
        <v>2201</v>
      </c>
      <c r="H1272" s="8" t="s">
        <v>2474</v>
      </c>
    </row>
    <row r="1273" customFormat="false" ht="15" hidden="false" customHeight="false" outlineLevel="0" collapsed="false">
      <c r="A1273" s="7" t="n">
        <v>45597</v>
      </c>
      <c r="B1273" s="7" t="n">
        <v>45708</v>
      </c>
      <c r="C1273" s="8" t="n">
        <v>6781</v>
      </c>
      <c r="D1273" s="8" t="n">
        <v>0</v>
      </c>
      <c r="E1273" s="8" t="n">
        <v>0</v>
      </c>
      <c r="F1273" s="8" t="s">
        <v>2200</v>
      </c>
      <c r="G1273" s="8" t="s">
        <v>2201</v>
      </c>
      <c r="H1273" s="8" t="s">
        <v>2474</v>
      </c>
    </row>
    <row r="1274" customFormat="false" ht="15" hidden="false" customHeight="false" outlineLevel="0" collapsed="false">
      <c r="A1274" s="7" t="n">
        <v>45597</v>
      </c>
      <c r="B1274" s="7" t="n">
        <v>45736</v>
      </c>
      <c r="C1274" s="8" t="n">
        <v>6802</v>
      </c>
      <c r="D1274" s="8" t="n">
        <v>0</v>
      </c>
      <c r="E1274" s="8" t="n">
        <v>0</v>
      </c>
      <c r="F1274" s="8" t="s">
        <v>2200</v>
      </c>
      <c r="G1274" s="8" t="s">
        <v>2201</v>
      </c>
      <c r="H1274" s="8" t="s">
        <v>2474</v>
      </c>
    </row>
    <row r="1275" customFormat="false" ht="15" hidden="false" customHeight="false" outlineLevel="0" collapsed="false">
      <c r="A1275" s="7" t="n">
        <v>45600</v>
      </c>
      <c r="B1275" s="7" t="n">
        <v>45616</v>
      </c>
      <c r="C1275" s="8" t="n">
        <v>6534</v>
      </c>
      <c r="D1275" s="8" t="n">
        <v>4865</v>
      </c>
      <c r="E1275" s="8" t="n">
        <v>17215</v>
      </c>
      <c r="F1275" s="8" t="s">
        <v>2200</v>
      </c>
      <c r="G1275" s="8" t="s">
        <v>2201</v>
      </c>
      <c r="H1275" s="8" t="s">
        <v>2475</v>
      </c>
    </row>
    <row r="1276" customFormat="false" ht="15" hidden="false" customHeight="false" outlineLevel="0" collapsed="false">
      <c r="A1276" s="7" t="n">
        <v>45600</v>
      </c>
      <c r="B1276" s="7" t="n">
        <v>45646</v>
      </c>
      <c r="C1276" s="8" t="n">
        <v>6671</v>
      </c>
      <c r="D1276" s="8" t="n">
        <v>5185</v>
      </c>
      <c r="E1276" s="8" t="n">
        <v>23370</v>
      </c>
      <c r="F1276" s="8" t="s">
        <v>2200</v>
      </c>
      <c r="G1276" s="8" t="s">
        <v>2201</v>
      </c>
      <c r="H1276" s="8" t="s">
        <v>2475</v>
      </c>
    </row>
    <row r="1277" customFormat="false" ht="15" hidden="false" customHeight="false" outlineLevel="0" collapsed="false">
      <c r="A1277" s="7" t="n">
        <v>45600</v>
      </c>
      <c r="B1277" s="7" t="n">
        <v>45677</v>
      </c>
      <c r="C1277" s="8" t="n">
        <v>6671</v>
      </c>
      <c r="D1277" s="8" t="n">
        <v>5</v>
      </c>
      <c r="E1277" s="8" t="n">
        <v>695</v>
      </c>
      <c r="F1277" s="8" t="s">
        <v>2200</v>
      </c>
      <c r="G1277" s="8" t="s">
        <v>2201</v>
      </c>
      <c r="H1277" s="8" t="s">
        <v>2475</v>
      </c>
    </row>
    <row r="1278" customFormat="false" ht="15" hidden="false" customHeight="false" outlineLevel="0" collapsed="false">
      <c r="A1278" s="7" t="n">
        <v>45600</v>
      </c>
      <c r="B1278" s="7" t="n">
        <v>45708</v>
      </c>
      <c r="C1278" s="8" t="n">
        <v>6671</v>
      </c>
      <c r="D1278" s="8" t="n">
        <v>0</v>
      </c>
      <c r="E1278" s="8" t="n">
        <v>0</v>
      </c>
      <c r="F1278" s="8" t="s">
        <v>2200</v>
      </c>
      <c r="G1278" s="8" t="s">
        <v>2201</v>
      </c>
      <c r="H1278" s="8" t="s">
        <v>2475</v>
      </c>
    </row>
    <row r="1279" customFormat="false" ht="15" hidden="false" customHeight="false" outlineLevel="0" collapsed="false">
      <c r="A1279" s="7" t="n">
        <v>45600</v>
      </c>
      <c r="B1279" s="7" t="n">
        <v>45736</v>
      </c>
      <c r="C1279" s="8" t="n">
        <v>6671</v>
      </c>
      <c r="D1279" s="8" t="n">
        <v>0</v>
      </c>
      <c r="E1279" s="8" t="n">
        <v>0</v>
      </c>
      <c r="F1279" s="8" t="s">
        <v>2200</v>
      </c>
      <c r="G1279" s="8" t="s">
        <v>2201</v>
      </c>
      <c r="H1279" s="8" t="s">
        <v>2475</v>
      </c>
    </row>
    <row r="1280" customFormat="false" ht="15" hidden="false" customHeight="false" outlineLevel="0" collapsed="false">
      <c r="A1280" s="7" t="n">
        <v>45601</v>
      </c>
      <c r="B1280" s="7" t="n">
        <v>45616</v>
      </c>
      <c r="C1280" s="8" t="n">
        <v>6524</v>
      </c>
      <c r="D1280" s="8" t="n">
        <v>3055</v>
      </c>
      <c r="E1280" s="8" t="n">
        <v>16740</v>
      </c>
      <c r="F1280" s="8" t="s">
        <v>2200</v>
      </c>
      <c r="G1280" s="8" t="s">
        <v>2201</v>
      </c>
      <c r="H1280" s="8" t="s">
        <v>2476</v>
      </c>
    </row>
    <row r="1281" customFormat="false" ht="15" hidden="false" customHeight="false" outlineLevel="0" collapsed="false">
      <c r="A1281" s="7" t="n">
        <v>45601</v>
      </c>
      <c r="B1281" s="7" t="n">
        <v>45646</v>
      </c>
      <c r="C1281" s="8" t="n">
        <v>6661</v>
      </c>
      <c r="D1281" s="8" t="n">
        <v>3200</v>
      </c>
      <c r="E1281" s="8" t="n">
        <v>24165</v>
      </c>
      <c r="F1281" s="8" t="s">
        <v>2200</v>
      </c>
      <c r="G1281" s="8" t="s">
        <v>2201</v>
      </c>
      <c r="H1281" s="8" t="s">
        <v>2476</v>
      </c>
    </row>
    <row r="1282" customFormat="false" ht="15" hidden="false" customHeight="false" outlineLevel="0" collapsed="false">
      <c r="A1282" s="7" t="n">
        <v>45601</v>
      </c>
      <c r="B1282" s="7" t="n">
        <v>45677</v>
      </c>
      <c r="C1282" s="8" t="n">
        <v>6661</v>
      </c>
      <c r="D1282" s="8" t="n">
        <v>5</v>
      </c>
      <c r="E1282" s="8" t="n">
        <v>700</v>
      </c>
      <c r="F1282" s="8" t="s">
        <v>2200</v>
      </c>
      <c r="G1282" s="8" t="s">
        <v>2201</v>
      </c>
      <c r="H1282" s="8" t="s">
        <v>2476</v>
      </c>
    </row>
    <row r="1283" customFormat="false" ht="15" hidden="false" customHeight="false" outlineLevel="0" collapsed="false">
      <c r="A1283" s="7" t="n">
        <v>45601</v>
      </c>
      <c r="B1283" s="7" t="n">
        <v>45708</v>
      </c>
      <c r="C1283" s="8" t="n">
        <v>6661</v>
      </c>
      <c r="D1283" s="8" t="n">
        <v>0</v>
      </c>
      <c r="E1283" s="8" t="n">
        <v>0</v>
      </c>
      <c r="F1283" s="8" t="s">
        <v>2200</v>
      </c>
      <c r="G1283" s="8" t="s">
        <v>2201</v>
      </c>
      <c r="H1283" s="8" t="s">
        <v>2476</v>
      </c>
    </row>
    <row r="1284" customFormat="false" ht="15" hidden="false" customHeight="false" outlineLevel="0" collapsed="false">
      <c r="A1284" s="7" t="n">
        <v>45601</v>
      </c>
      <c r="B1284" s="7" t="n">
        <v>45736</v>
      </c>
      <c r="C1284" s="8" t="n">
        <v>6661</v>
      </c>
      <c r="D1284" s="8" t="n">
        <v>0</v>
      </c>
      <c r="E1284" s="8" t="n">
        <v>0</v>
      </c>
      <c r="F1284" s="8" t="s">
        <v>2200</v>
      </c>
      <c r="G1284" s="8" t="s">
        <v>2201</v>
      </c>
      <c r="H1284" s="8" t="s">
        <v>2476</v>
      </c>
    </row>
    <row r="1285" customFormat="false" ht="15" hidden="false" customHeight="false" outlineLevel="0" collapsed="false">
      <c r="A1285" s="7" t="n">
        <v>45602</v>
      </c>
      <c r="B1285" s="7" t="n">
        <v>45616</v>
      </c>
      <c r="C1285" s="8" t="n">
        <v>6587</v>
      </c>
      <c r="D1285" s="8" t="n">
        <v>5820</v>
      </c>
      <c r="E1285" s="8" t="n">
        <v>16165</v>
      </c>
      <c r="F1285" s="8" t="s">
        <v>2200</v>
      </c>
      <c r="G1285" s="8" t="s">
        <v>2201</v>
      </c>
      <c r="H1285" s="8" t="s">
        <v>2477</v>
      </c>
    </row>
    <row r="1286" customFormat="false" ht="15" hidden="false" customHeight="false" outlineLevel="0" collapsed="false">
      <c r="A1286" s="7" t="n">
        <v>45602</v>
      </c>
      <c r="B1286" s="7" t="n">
        <v>45646</v>
      </c>
      <c r="C1286" s="8" t="n">
        <v>6731</v>
      </c>
      <c r="D1286" s="8" t="n">
        <v>5245</v>
      </c>
      <c r="E1286" s="8" t="n">
        <v>26195</v>
      </c>
      <c r="F1286" s="8" t="s">
        <v>2200</v>
      </c>
      <c r="G1286" s="8" t="s">
        <v>2201</v>
      </c>
      <c r="H1286" s="8" t="s">
        <v>2477</v>
      </c>
    </row>
    <row r="1287" customFormat="false" ht="15" hidden="false" customHeight="false" outlineLevel="0" collapsed="false">
      <c r="A1287" s="7" t="n">
        <v>45602</v>
      </c>
      <c r="B1287" s="7" t="n">
        <v>45677</v>
      </c>
      <c r="C1287" s="8" t="n">
        <v>6731</v>
      </c>
      <c r="D1287" s="8" t="n">
        <v>15</v>
      </c>
      <c r="E1287" s="8" t="n">
        <v>710</v>
      </c>
      <c r="F1287" s="8" t="s">
        <v>2200</v>
      </c>
      <c r="G1287" s="8" t="s">
        <v>2201</v>
      </c>
      <c r="H1287" s="8" t="s">
        <v>2477</v>
      </c>
    </row>
    <row r="1288" customFormat="false" ht="15" hidden="false" customHeight="false" outlineLevel="0" collapsed="false">
      <c r="A1288" s="7" t="n">
        <v>45602</v>
      </c>
      <c r="B1288" s="7" t="n">
        <v>45708</v>
      </c>
      <c r="C1288" s="8" t="n">
        <v>6731</v>
      </c>
      <c r="D1288" s="8" t="n">
        <v>0</v>
      </c>
      <c r="E1288" s="8" t="n">
        <v>0</v>
      </c>
      <c r="F1288" s="8" t="s">
        <v>2200</v>
      </c>
      <c r="G1288" s="8" t="s">
        <v>2201</v>
      </c>
      <c r="H1288" s="8" t="s">
        <v>2477</v>
      </c>
    </row>
    <row r="1289" customFormat="false" ht="15" hidden="false" customHeight="false" outlineLevel="0" collapsed="false">
      <c r="A1289" s="7" t="n">
        <v>45602</v>
      </c>
      <c r="B1289" s="7" t="n">
        <v>45736</v>
      </c>
      <c r="C1289" s="8" t="n">
        <v>6731</v>
      </c>
      <c r="D1289" s="8" t="n">
        <v>0</v>
      </c>
      <c r="E1289" s="8" t="n">
        <v>0</v>
      </c>
      <c r="F1289" s="8" t="s">
        <v>2200</v>
      </c>
      <c r="G1289" s="8" t="s">
        <v>2201</v>
      </c>
      <c r="H1289" s="8" t="s">
        <v>2477</v>
      </c>
    </row>
    <row r="1290" customFormat="false" ht="15" hidden="false" customHeight="false" outlineLevel="0" collapsed="false">
      <c r="A1290" s="7" t="n">
        <v>45603</v>
      </c>
      <c r="B1290" s="7" t="n">
        <v>45616</v>
      </c>
      <c r="C1290" s="8" t="n">
        <v>6606</v>
      </c>
      <c r="D1290" s="8" t="n">
        <v>4060</v>
      </c>
      <c r="E1290" s="8" t="n">
        <v>14955</v>
      </c>
      <c r="F1290" s="8" t="s">
        <v>2200</v>
      </c>
      <c r="G1290" s="8" t="s">
        <v>2201</v>
      </c>
      <c r="H1290" s="8" t="s">
        <v>2478</v>
      </c>
    </row>
    <row r="1291" customFormat="false" ht="15" hidden="false" customHeight="false" outlineLevel="0" collapsed="false">
      <c r="A1291" s="7" t="n">
        <v>45603</v>
      </c>
      <c r="B1291" s="7" t="n">
        <v>45646</v>
      </c>
      <c r="C1291" s="8" t="n">
        <v>6751</v>
      </c>
      <c r="D1291" s="8" t="n">
        <v>7245</v>
      </c>
      <c r="E1291" s="8" t="n">
        <v>26310</v>
      </c>
      <c r="F1291" s="8" t="s">
        <v>2200</v>
      </c>
      <c r="G1291" s="8" t="s">
        <v>2201</v>
      </c>
      <c r="H1291" s="8" t="s">
        <v>2478</v>
      </c>
    </row>
    <row r="1292" customFormat="false" ht="15" hidden="false" customHeight="false" outlineLevel="0" collapsed="false">
      <c r="A1292" s="7" t="n">
        <v>45603</v>
      </c>
      <c r="B1292" s="7" t="n">
        <v>45677</v>
      </c>
      <c r="C1292" s="8" t="n">
        <v>6808</v>
      </c>
      <c r="D1292" s="8" t="n">
        <v>385</v>
      </c>
      <c r="E1292" s="8" t="n">
        <v>980</v>
      </c>
      <c r="F1292" s="8" t="s">
        <v>2200</v>
      </c>
      <c r="G1292" s="8" t="s">
        <v>2201</v>
      </c>
      <c r="H1292" s="8" t="s">
        <v>2478</v>
      </c>
    </row>
    <row r="1293" customFormat="false" ht="15" hidden="false" customHeight="false" outlineLevel="0" collapsed="false">
      <c r="A1293" s="7" t="n">
        <v>45603</v>
      </c>
      <c r="B1293" s="7" t="n">
        <v>45708</v>
      </c>
      <c r="C1293" s="8" t="n">
        <v>6865</v>
      </c>
      <c r="D1293" s="8" t="n">
        <v>0</v>
      </c>
      <c r="E1293" s="8" t="n">
        <v>0</v>
      </c>
      <c r="F1293" s="8" t="s">
        <v>2200</v>
      </c>
      <c r="G1293" s="8" t="s">
        <v>2201</v>
      </c>
      <c r="H1293" s="8" t="s">
        <v>2478</v>
      </c>
    </row>
    <row r="1294" customFormat="false" ht="15" hidden="false" customHeight="false" outlineLevel="0" collapsed="false">
      <c r="A1294" s="7" t="n">
        <v>45603</v>
      </c>
      <c r="B1294" s="7" t="n">
        <v>45736</v>
      </c>
      <c r="C1294" s="8" t="n">
        <v>6922</v>
      </c>
      <c r="D1294" s="8" t="n">
        <v>0</v>
      </c>
      <c r="E1294" s="8" t="n">
        <v>0</v>
      </c>
      <c r="F1294" s="8" t="s">
        <v>2200</v>
      </c>
      <c r="G1294" s="8" t="s">
        <v>2201</v>
      </c>
      <c r="H1294" s="8" t="s">
        <v>2478</v>
      </c>
    </row>
    <row r="1295" customFormat="false" ht="15" hidden="false" customHeight="false" outlineLevel="0" collapsed="false">
      <c r="A1295" s="7" t="n">
        <v>45604</v>
      </c>
      <c r="B1295" s="7" t="n">
        <v>45616</v>
      </c>
      <c r="C1295" s="8" t="n">
        <v>6535</v>
      </c>
      <c r="D1295" s="8" t="n">
        <v>6060</v>
      </c>
      <c r="E1295" s="8" t="n">
        <v>13195</v>
      </c>
      <c r="F1295" s="8" t="s">
        <v>2200</v>
      </c>
      <c r="G1295" s="8" t="s">
        <v>2201</v>
      </c>
      <c r="H1295" s="8" t="s">
        <v>2479</v>
      </c>
    </row>
    <row r="1296" customFormat="false" ht="15" hidden="false" customHeight="false" outlineLevel="0" collapsed="false">
      <c r="A1296" s="7" t="n">
        <v>45604</v>
      </c>
      <c r="B1296" s="7" t="n">
        <v>45646</v>
      </c>
      <c r="C1296" s="8" t="n">
        <v>6712</v>
      </c>
      <c r="D1296" s="8" t="n">
        <v>6875</v>
      </c>
      <c r="E1296" s="8" t="n">
        <v>26995</v>
      </c>
      <c r="F1296" s="8" t="s">
        <v>2200</v>
      </c>
      <c r="G1296" s="8" t="s">
        <v>2201</v>
      </c>
      <c r="H1296" s="8" t="s">
        <v>2479</v>
      </c>
    </row>
    <row r="1297" customFormat="false" ht="15" hidden="false" customHeight="false" outlineLevel="0" collapsed="false">
      <c r="A1297" s="7" t="n">
        <v>45604</v>
      </c>
      <c r="B1297" s="7" t="n">
        <v>45677</v>
      </c>
      <c r="C1297" s="8" t="n">
        <v>6786</v>
      </c>
      <c r="D1297" s="8" t="n">
        <v>230</v>
      </c>
      <c r="E1297" s="8" t="n">
        <v>1095</v>
      </c>
      <c r="F1297" s="8" t="s">
        <v>2200</v>
      </c>
      <c r="G1297" s="8" t="s">
        <v>2201</v>
      </c>
      <c r="H1297" s="8" t="s">
        <v>2479</v>
      </c>
    </row>
    <row r="1298" customFormat="false" ht="15" hidden="false" customHeight="false" outlineLevel="0" collapsed="false">
      <c r="A1298" s="7" t="n">
        <v>45604</v>
      </c>
      <c r="B1298" s="7" t="n">
        <v>45708</v>
      </c>
      <c r="C1298" s="8" t="n">
        <v>6860</v>
      </c>
      <c r="D1298" s="8" t="n">
        <v>0</v>
      </c>
      <c r="E1298" s="8" t="n">
        <v>0</v>
      </c>
      <c r="F1298" s="8" t="s">
        <v>2200</v>
      </c>
      <c r="G1298" s="8" t="s">
        <v>2201</v>
      </c>
      <c r="H1298" s="8" t="s">
        <v>2479</v>
      </c>
    </row>
    <row r="1299" customFormat="false" ht="15" hidden="false" customHeight="false" outlineLevel="0" collapsed="false">
      <c r="A1299" s="7" t="n">
        <v>45604</v>
      </c>
      <c r="B1299" s="7" t="n">
        <v>45736</v>
      </c>
      <c r="C1299" s="8" t="n">
        <v>6934</v>
      </c>
      <c r="D1299" s="8" t="n">
        <v>0</v>
      </c>
      <c r="E1299" s="8" t="n">
        <v>0</v>
      </c>
      <c r="F1299" s="8" t="s">
        <v>2200</v>
      </c>
      <c r="G1299" s="8" t="s">
        <v>2201</v>
      </c>
      <c r="H1299" s="8" t="s">
        <v>2479</v>
      </c>
    </row>
    <row r="1300" customFormat="false" ht="15" hidden="false" customHeight="false" outlineLevel="0" collapsed="false">
      <c r="A1300" s="7" t="n">
        <v>45607</v>
      </c>
      <c r="B1300" s="7" t="n">
        <v>45616</v>
      </c>
      <c r="C1300" s="8" t="n">
        <v>6525</v>
      </c>
      <c r="D1300" s="8" t="n">
        <v>3615</v>
      </c>
      <c r="E1300" s="8" t="n">
        <v>13285</v>
      </c>
      <c r="F1300" s="8" t="s">
        <v>2200</v>
      </c>
      <c r="G1300" s="8" t="s">
        <v>2201</v>
      </c>
      <c r="H1300" s="8" t="s">
        <v>2480</v>
      </c>
    </row>
    <row r="1301" customFormat="false" ht="15" hidden="false" customHeight="false" outlineLevel="0" collapsed="false">
      <c r="A1301" s="7" t="n">
        <v>45607</v>
      </c>
      <c r="B1301" s="7" t="n">
        <v>45646</v>
      </c>
      <c r="C1301" s="8" t="n">
        <v>6691</v>
      </c>
      <c r="D1301" s="8" t="n">
        <v>5890</v>
      </c>
      <c r="E1301" s="8" t="n">
        <v>26995</v>
      </c>
      <c r="F1301" s="8" t="s">
        <v>2200</v>
      </c>
      <c r="G1301" s="8" t="s">
        <v>2201</v>
      </c>
      <c r="H1301" s="8" t="s">
        <v>2480</v>
      </c>
    </row>
    <row r="1302" customFormat="false" ht="15" hidden="false" customHeight="false" outlineLevel="0" collapsed="false">
      <c r="A1302" s="7" t="n">
        <v>45607</v>
      </c>
      <c r="B1302" s="7" t="n">
        <v>45677</v>
      </c>
      <c r="C1302" s="8" t="n">
        <v>6767</v>
      </c>
      <c r="D1302" s="8" t="n">
        <v>1850</v>
      </c>
      <c r="E1302" s="8" t="n">
        <v>2790</v>
      </c>
      <c r="F1302" s="8" t="s">
        <v>2200</v>
      </c>
      <c r="G1302" s="8" t="s">
        <v>2201</v>
      </c>
      <c r="H1302" s="8" t="s">
        <v>2480</v>
      </c>
    </row>
    <row r="1303" customFormat="false" ht="15" hidden="false" customHeight="false" outlineLevel="0" collapsed="false">
      <c r="A1303" s="7" t="n">
        <v>45607</v>
      </c>
      <c r="B1303" s="7" t="n">
        <v>45708</v>
      </c>
      <c r="C1303" s="8" t="n">
        <v>6843</v>
      </c>
      <c r="D1303" s="8" t="n">
        <v>0</v>
      </c>
      <c r="E1303" s="8" t="n">
        <v>0</v>
      </c>
      <c r="F1303" s="8" t="s">
        <v>2200</v>
      </c>
      <c r="G1303" s="8" t="s">
        <v>2201</v>
      </c>
      <c r="H1303" s="8" t="s">
        <v>2480</v>
      </c>
    </row>
    <row r="1304" customFormat="false" ht="15" hidden="false" customHeight="false" outlineLevel="0" collapsed="false">
      <c r="A1304" s="7" t="n">
        <v>45607</v>
      </c>
      <c r="B1304" s="7" t="n">
        <v>45736</v>
      </c>
      <c r="C1304" s="8" t="n">
        <v>6919</v>
      </c>
      <c r="D1304" s="8" t="n">
        <v>0</v>
      </c>
      <c r="E1304" s="8" t="n">
        <v>0</v>
      </c>
      <c r="F1304" s="8" t="s">
        <v>2200</v>
      </c>
      <c r="G1304" s="8" t="s">
        <v>2201</v>
      </c>
      <c r="H1304" s="8" t="s">
        <v>2480</v>
      </c>
    </row>
    <row r="1305" customFormat="false" ht="15" hidden="false" customHeight="false" outlineLevel="0" collapsed="false">
      <c r="A1305" s="7" t="n">
        <v>45608</v>
      </c>
      <c r="B1305" s="7" t="n">
        <v>45616</v>
      </c>
      <c r="C1305" s="8" t="n">
        <v>6508</v>
      </c>
      <c r="D1305" s="8" t="n">
        <v>4125</v>
      </c>
      <c r="E1305" s="8" t="n">
        <v>12655</v>
      </c>
      <c r="F1305" s="8" t="s">
        <v>2200</v>
      </c>
      <c r="G1305" s="8" t="s">
        <v>2201</v>
      </c>
      <c r="H1305" s="8" t="s">
        <v>2481</v>
      </c>
    </row>
    <row r="1306" customFormat="false" ht="15" hidden="false" customHeight="false" outlineLevel="0" collapsed="false">
      <c r="A1306" s="7" t="n">
        <v>45608</v>
      </c>
      <c r="B1306" s="7" t="n">
        <v>45646</v>
      </c>
      <c r="C1306" s="8" t="n">
        <v>6670</v>
      </c>
      <c r="D1306" s="8" t="n">
        <v>5220</v>
      </c>
      <c r="E1306" s="8" t="n">
        <v>26325</v>
      </c>
      <c r="F1306" s="8" t="s">
        <v>2200</v>
      </c>
      <c r="G1306" s="8" t="s">
        <v>2201</v>
      </c>
      <c r="H1306" s="8" t="s">
        <v>2481</v>
      </c>
    </row>
    <row r="1307" customFormat="false" ht="15" hidden="false" customHeight="false" outlineLevel="0" collapsed="false">
      <c r="A1307" s="7" t="n">
        <v>45608</v>
      </c>
      <c r="B1307" s="7" t="n">
        <v>45677</v>
      </c>
      <c r="C1307" s="8" t="n">
        <v>6735</v>
      </c>
      <c r="D1307" s="8" t="n">
        <v>395</v>
      </c>
      <c r="E1307" s="8" t="n">
        <v>3140</v>
      </c>
      <c r="F1307" s="8" t="s">
        <v>2200</v>
      </c>
      <c r="G1307" s="8" t="s">
        <v>2201</v>
      </c>
      <c r="H1307" s="8" t="s">
        <v>2481</v>
      </c>
    </row>
    <row r="1308" customFormat="false" ht="15" hidden="false" customHeight="false" outlineLevel="0" collapsed="false">
      <c r="A1308" s="7" t="n">
        <v>45608</v>
      </c>
      <c r="B1308" s="7" t="n">
        <v>45708</v>
      </c>
      <c r="C1308" s="8" t="n">
        <v>6800</v>
      </c>
      <c r="D1308" s="8" t="n">
        <v>0</v>
      </c>
      <c r="E1308" s="8" t="n">
        <v>0</v>
      </c>
      <c r="F1308" s="8" t="s">
        <v>2200</v>
      </c>
      <c r="G1308" s="8" t="s">
        <v>2201</v>
      </c>
      <c r="H1308" s="8" t="s">
        <v>2481</v>
      </c>
    </row>
    <row r="1309" customFormat="false" ht="15" hidden="false" customHeight="false" outlineLevel="0" collapsed="false">
      <c r="A1309" s="7" t="n">
        <v>45608</v>
      </c>
      <c r="B1309" s="7" t="n">
        <v>45736</v>
      </c>
      <c r="C1309" s="8" t="n">
        <v>6865</v>
      </c>
      <c r="D1309" s="8" t="n">
        <v>0</v>
      </c>
      <c r="E1309" s="8" t="n">
        <v>0</v>
      </c>
      <c r="F1309" s="8" t="s">
        <v>2200</v>
      </c>
      <c r="G1309" s="8" t="s">
        <v>2201</v>
      </c>
      <c r="H1309" s="8" t="s">
        <v>2481</v>
      </c>
    </row>
    <row r="1310" customFormat="false" ht="15" hidden="false" customHeight="false" outlineLevel="0" collapsed="false">
      <c r="A1310" s="7" t="n">
        <v>45609</v>
      </c>
      <c r="B1310" s="7" t="n">
        <v>45616</v>
      </c>
      <c r="C1310" s="8" t="n">
        <v>6586</v>
      </c>
      <c r="D1310" s="8" t="n">
        <v>9495</v>
      </c>
      <c r="E1310" s="8" t="n">
        <v>7685</v>
      </c>
      <c r="F1310" s="8" t="s">
        <v>2200</v>
      </c>
      <c r="G1310" s="8" t="s">
        <v>2201</v>
      </c>
      <c r="H1310" s="8" t="s">
        <v>2482</v>
      </c>
    </row>
    <row r="1311" customFormat="false" ht="15" hidden="false" customHeight="false" outlineLevel="0" collapsed="false">
      <c r="A1311" s="7" t="n">
        <v>45609</v>
      </c>
      <c r="B1311" s="7" t="n">
        <v>45646</v>
      </c>
      <c r="C1311" s="8" t="n">
        <v>6714</v>
      </c>
      <c r="D1311" s="8" t="n">
        <v>10945</v>
      </c>
      <c r="E1311" s="8" t="n">
        <v>25075</v>
      </c>
      <c r="F1311" s="8" t="s">
        <v>2200</v>
      </c>
      <c r="G1311" s="8" t="s">
        <v>2201</v>
      </c>
      <c r="H1311" s="8" t="s">
        <v>2482</v>
      </c>
    </row>
    <row r="1312" customFormat="false" ht="15" hidden="false" customHeight="false" outlineLevel="0" collapsed="false">
      <c r="A1312" s="7" t="n">
        <v>45609</v>
      </c>
      <c r="B1312" s="7" t="n">
        <v>45677</v>
      </c>
      <c r="C1312" s="8" t="n">
        <v>6735</v>
      </c>
      <c r="D1312" s="8" t="n">
        <v>495</v>
      </c>
      <c r="E1312" s="8" t="n">
        <v>3425</v>
      </c>
      <c r="F1312" s="8" t="s">
        <v>2200</v>
      </c>
      <c r="G1312" s="8" t="s">
        <v>2201</v>
      </c>
      <c r="H1312" s="8" t="s">
        <v>2482</v>
      </c>
    </row>
    <row r="1313" customFormat="false" ht="15" hidden="false" customHeight="false" outlineLevel="0" collapsed="false">
      <c r="A1313" s="7" t="n">
        <v>45609</v>
      </c>
      <c r="B1313" s="7" t="n">
        <v>45708</v>
      </c>
      <c r="C1313" s="8" t="n">
        <v>6756</v>
      </c>
      <c r="D1313" s="8" t="n">
        <v>0</v>
      </c>
      <c r="E1313" s="8" t="n">
        <v>0</v>
      </c>
      <c r="F1313" s="8" t="s">
        <v>2200</v>
      </c>
      <c r="G1313" s="8" t="s">
        <v>2201</v>
      </c>
      <c r="H1313" s="8" t="s">
        <v>2482</v>
      </c>
    </row>
    <row r="1314" customFormat="false" ht="15" hidden="false" customHeight="false" outlineLevel="0" collapsed="false">
      <c r="A1314" s="7" t="n">
        <v>45609</v>
      </c>
      <c r="B1314" s="7" t="n">
        <v>45736</v>
      </c>
      <c r="C1314" s="8" t="n">
        <v>6777</v>
      </c>
      <c r="D1314" s="8" t="n">
        <v>0</v>
      </c>
      <c r="E1314" s="8" t="n">
        <v>0</v>
      </c>
      <c r="F1314" s="8" t="s">
        <v>2200</v>
      </c>
      <c r="G1314" s="8" t="s">
        <v>2201</v>
      </c>
      <c r="H1314" s="8" t="s">
        <v>2482</v>
      </c>
    </row>
    <row r="1315" customFormat="false" ht="15" hidden="false" customHeight="false" outlineLevel="0" collapsed="false">
      <c r="A1315" s="7" t="n">
        <v>45610</v>
      </c>
      <c r="B1315" s="7" t="n">
        <v>45616</v>
      </c>
      <c r="C1315" s="8" t="n">
        <v>6508</v>
      </c>
      <c r="D1315" s="8" t="n">
        <v>5510</v>
      </c>
      <c r="E1315" s="8" t="n">
        <v>5520</v>
      </c>
      <c r="F1315" s="8" t="s">
        <v>2200</v>
      </c>
      <c r="G1315" s="8" t="s">
        <v>2201</v>
      </c>
      <c r="H1315" s="8" t="s">
        <v>2483</v>
      </c>
    </row>
    <row r="1316" customFormat="false" ht="15" hidden="false" customHeight="false" outlineLevel="0" collapsed="false">
      <c r="A1316" s="7" t="n">
        <v>45610</v>
      </c>
      <c r="B1316" s="7" t="n">
        <v>45646</v>
      </c>
      <c r="C1316" s="8" t="n">
        <v>6691</v>
      </c>
      <c r="D1316" s="8" t="n">
        <v>6480</v>
      </c>
      <c r="E1316" s="8" t="n">
        <v>27010</v>
      </c>
      <c r="F1316" s="8" t="s">
        <v>2200</v>
      </c>
      <c r="G1316" s="8" t="s">
        <v>2201</v>
      </c>
      <c r="H1316" s="8" t="s">
        <v>2483</v>
      </c>
    </row>
    <row r="1317" customFormat="false" ht="15" hidden="false" customHeight="false" outlineLevel="0" collapsed="false">
      <c r="A1317" s="7" t="n">
        <v>45610</v>
      </c>
      <c r="B1317" s="7" t="n">
        <v>45677</v>
      </c>
      <c r="C1317" s="8" t="n">
        <v>6748</v>
      </c>
      <c r="D1317" s="8" t="n">
        <v>160</v>
      </c>
      <c r="E1317" s="8" t="n">
        <v>3570</v>
      </c>
      <c r="F1317" s="8" t="s">
        <v>2200</v>
      </c>
      <c r="G1317" s="8" t="s">
        <v>2201</v>
      </c>
      <c r="H1317" s="8" t="s">
        <v>2483</v>
      </c>
    </row>
    <row r="1318" customFormat="false" ht="15" hidden="false" customHeight="false" outlineLevel="0" collapsed="false">
      <c r="A1318" s="7" t="n">
        <v>45610</v>
      </c>
      <c r="B1318" s="7" t="n">
        <v>45708</v>
      </c>
      <c r="C1318" s="8" t="n">
        <v>6805</v>
      </c>
      <c r="D1318" s="8" t="n">
        <v>0</v>
      </c>
      <c r="E1318" s="8" t="n">
        <v>0</v>
      </c>
      <c r="F1318" s="8" t="s">
        <v>2200</v>
      </c>
      <c r="G1318" s="8" t="s">
        <v>2201</v>
      </c>
      <c r="H1318" s="8" t="s">
        <v>2483</v>
      </c>
    </row>
    <row r="1319" customFormat="false" ht="15" hidden="false" customHeight="false" outlineLevel="0" collapsed="false">
      <c r="A1319" s="7" t="n">
        <v>45610</v>
      </c>
      <c r="B1319" s="7" t="n">
        <v>45736</v>
      </c>
      <c r="C1319" s="8" t="n">
        <v>6862</v>
      </c>
      <c r="D1319" s="8" t="n">
        <v>0</v>
      </c>
      <c r="E1319" s="8" t="n">
        <v>0</v>
      </c>
      <c r="F1319" s="8" t="s">
        <v>2200</v>
      </c>
      <c r="G1319" s="8" t="s">
        <v>2201</v>
      </c>
      <c r="H1319" s="8" t="s">
        <v>2483</v>
      </c>
    </row>
    <row r="1320" customFormat="false" ht="15" hidden="false" customHeight="false" outlineLevel="0" collapsed="false">
      <c r="A1320" s="7" t="n">
        <v>45614</v>
      </c>
      <c r="B1320" s="7" t="n">
        <v>45616</v>
      </c>
      <c r="C1320" s="8" t="n">
        <v>6623</v>
      </c>
      <c r="D1320" s="8" t="n">
        <v>15</v>
      </c>
      <c r="E1320" s="8" t="n">
        <v>630</v>
      </c>
      <c r="F1320" s="8" t="s">
        <v>2200</v>
      </c>
      <c r="G1320" s="8" t="s">
        <v>2201</v>
      </c>
      <c r="H1320" s="8" t="s">
        <v>2484</v>
      </c>
    </row>
    <row r="1321" customFormat="false" ht="15" hidden="false" customHeight="false" outlineLevel="0" collapsed="false">
      <c r="A1321" s="7" t="n">
        <v>45614</v>
      </c>
      <c r="B1321" s="7" t="n">
        <v>45646</v>
      </c>
      <c r="C1321" s="8" t="n">
        <v>6658</v>
      </c>
      <c r="D1321" s="8" t="n">
        <v>1625</v>
      </c>
      <c r="E1321" s="8" t="n">
        <v>26645</v>
      </c>
      <c r="F1321" s="8" t="s">
        <v>2200</v>
      </c>
      <c r="G1321" s="8" t="s">
        <v>2201</v>
      </c>
      <c r="H1321" s="8" t="s">
        <v>2484</v>
      </c>
    </row>
    <row r="1322" customFormat="false" ht="15" hidden="false" customHeight="false" outlineLevel="0" collapsed="false">
      <c r="A1322" s="7" t="n">
        <v>45614</v>
      </c>
      <c r="B1322" s="7" t="n">
        <v>45677</v>
      </c>
      <c r="C1322" s="8" t="n">
        <v>6712</v>
      </c>
      <c r="D1322" s="8" t="n">
        <v>140</v>
      </c>
      <c r="E1322" s="8" t="n">
        <v>3640</v>
      </c>
      <c r="F1322" s="8" t="s">
        <v>2200</v>
      </c>
      <c r="G1322" s="8" t="s">
        <v>2201</v>
      </c>
      <c r="H1322" s="8" t="s">
        <v>2484</v>
      </c>
    </row>
    <row r="1323" customFormat="false" ht="15" hidden="false" customHeight="false" outlineLevel="0" collapsed="false">
      <c r="A1323" s="7" t="n">
        <v>45614</v>
      </c>
      <c r="B1323" s="7" t="n">
        <v>45708</v>
      </c>
      <c r="C1323" s="8" t="n">
        <v>6766</v>
      </c>
      <c r="D1323" s="8" t="n">
        <v>0</v>
      </c>
      <c r="E1323" s="8" t="n">
        <v>0</v>
      </c>
      <c r="F1323" s="8" t="s">
        <v>2200</v>
      </c>
      <c r="G1323" s="8" t="s">
        <v>2201</v>
      </c>
      <c r="H1323" s="8" t="s">
        <v>2484</v>
      </c>
    </row>
    <row r="1324" customFormat="false" ht="15" hidden="false" customHeight="false" outlineLevel="0" collapsed="false">
      <c r="A1324" s="7" t="n">
        <v>45614</v>
      </c>
      <c r="B1324" s="7" t="n">
        <v>45736</v>
      </c>
      <c r="C1324" s="8" t="n">
        <v>6820</v>
      </c>
      <c r="D1324" s="8" t="n">
        <v>0</v>
      </c>
      <c r="E1324" s="8" t="n">
        <v>0</v>
      </c>
      <c r="F1324" s="8" t="s">
        <v>2200</v>
      </c>
      <c r="G1324" s="8" t="s">
        <v>2201</v>
      </c>
      <c r="H1324" s="8" t="s">
        <v>2484</v>
      </c>
    </row>
    <row r="1325" customFormat="false" ht="15" hidden="false" customHeight="false" outlineLevel="0" collapsed="false">
      <c r="A1325" s="7" t="n">
        <v>45615</v>
      </c>
      <c r="B1325" s="7" t="n">
        <v>45616</v>
      </c>
      <c r="C1325" s="8" t="n">
        <v>6516</v>
      </c>
      <c r="D1325" s="8" t="n">
        <v>270</v>
      </c>
      <c r="E1325" s="8" t="n">
        <v>220</v>
      </c>
      <c r="F1325" s="8" t="s">
        <v>2200</v>
      </c>
      <c r="G1325" s="8" t="s">
        <v>2201</v>
      </c>
      <c r="H1325" s="8" t="s">
        <v>2485</v>
      </c>
    </row>
    <row r="1326" customFormat="false" ht="15" hidden="false" customHeight="false" outlineLevel="0" collapsed="false">
      <c r="A1326" s="7" t="n">
        <v>45615</v>
      </c>
      <c r="B1326" s="7" t="n">
        <v>45646</v>
      </c>
      <c r="C1326" s="8" t="n">
        <v>6626</v>
      </c>
      <c r="D1326" s="8" t="n">
        <v>3125</v>
      </c>
      <c r="E1326" s="8" t="n">
        <v>26530</v>
      </c>
      <c r="F1326" s="8" t="s">
        <v>2200</v>
      </c>
      <c r="G1326" s="8" t="s">
        <v>2201</v>
      </c>
      <c r="H1326" s="8" t="s">
        <v>2485</v>
      </c>
    </row>
    <row r="1327" customFormat="false" ht="15" hidden="false" customHeight="false" outlineLevel="0" collapsed="false">
      <c r="A1327" s="7" t="n">
        <v>45615</v>
      </c>
      <c r="B1327" s="7" t="n">
        <v>45677</v>
      </c>
      <c r="C1327" s="8" t="n">
        <v>6682</v>
      </c>
      <c r="D1327" s="8" t="n">
        <v>75</v>
      </c>
      <c r="E1327" s="8" t="n">
        <v>3660</v>
      </c>
      <c r="F1327" s="8" t="s">
        <v>2200</v>
      </c>
      <c r="G1327" s="8" t="s">
        <v>2201</v>
      </c>
      <c r="H1327" s="8" t="s">
        <v>2485</v>
      </c>
    </row>
    <row r="1328" customFormat="false" ht="15" hidden="false" customHeight="false" outlineLevel="0" collapsed="false">
      <c r="A1328" s="7" t="n">
        <v>45615</v>
      </c>
      <c r="B1328" s="7" t="n">
        <v>45708</v>
      </c>
      <c r="C1328" s="8" t="n">
        <v>6738</v>
      </c>
      <c r="D1328" s="8" t="n">
        <v>0</v>
      </c>
      <c r="E1328" s="8" t="n">
        <v>0</v>
      </c>
      <c r="F1328" s="8" t="s">
        <v>2200</v>
      </c>
      <c r="G1328" s="8" t="s">
        <v>2201</v>
      </c>
      <c r="H1328" s="8" t="s">
        <v>2485</v>
      </c>
    </row>
    <row r="1329" customFormat="false" ht="15" hidden="false" customHeight="false" outlineLevel="0" collapsed="false">
      <c r="A1329" s="7" t="n">
        <v>45615</v>
      </c>
      <c r="B1329" s="7" t="n">
        <v>45736</v>
      </c>
      <c r="C1329" s="8" t="n">
        <v>6794</v>
      </c>
      <c r="D1329" s="8" t="n">
        <v>0</v>
      </c>
      <c r="E1329" s="8" t="n">
        <v>0</v>
      </c>
      <c r="F1329" s="8" t="s">
        <v>2200</v>
      </c>
      <c r="G1329" s="8" t="s">
        <v>2201</v>
      </c>
      <c r="H1329" s="8" t="s">
        <v>2485</v>
      </c>
    </row>
    <row r="1330" customFormat="false" ht="15" hidden="false" customHeight="false" outlineLevel="0" collapsed="false">
      <c r="A1330" s="7" t="n">
        <v>45617</v>
      </c>
      <c r="B1330" s="7" t="n">
        <v>45646</v>
      </c>
      <c r="C1330" s="8" t="n">
        <v>6590</v>
      </c>
      <c r="D1330" s="8" t="n">
        <v>3790</v>
      </c>
      <c r="E1330" s="8" t="n">
        <v>26945</v>
      </c>
      <c r="F1330" s="8" t="s">
        <v>2200</v>
      </c>
      <c r="G1330" s="8" t="s">
        <v>2201</v>
      </c>
      <c r="H1330" s="8" t="s">
        <v>2486</v>
      </c>
    </row>
    <row r="1331" customFormat="false" ht="15" hidden="false" customHeight="false" outlineLevel="0" collapsed="false">
      <c r="A1331" s="7" t="n">
        <v>45617</v>
      </c>
      <c r="B1331" s="7" t="n">
        <v>45677</v>
      </c>
      <c r="C1331" s="8" t="n">
        <v>6652</v>
      </c>
      <c r="D1331" s="8" t="n">
        <v>335</v>
      </c>
      <c r="E1331" s="8" t="n">
        <v>3770</v>
      </c>
      <c r="F1331" s="8" t="s">
        <v>2200</v>
      </c>
      <c r="G1331" s="8" t="s">
        <v>2201</v>
      </c>
      <c r="H1331" s="8" t="s">
        <v>2486</v>
      </c>
    </row>
    <row r="1332" customFormat="false" ht="15" hidden="false" customHeight="false" outlineLevel="0" collapsed="false">
      <c r="A1332" s="7" t="n">
        <v>45617</v>
      </c>
      <c r="B1332" s="7" t="n">
        <v>45708</v>
      </c>
      <c r="C1332" s="8" t="n">
        <v>6714</v>
      </c>
      <c r="D1332" s="8" t="n">
        <v>0</v>
      </c>
      <c r="E1332" s="8" t="n">
        <v>0</v>
      </c>
      <c r="F1332" s="8" t="s">
        <v>2200</v>
      </c>
      <c r="G1332" s="8" t="s">
        <v>2201</v>
      </c>
      <c r="H1332" s="8" t="s">
        <v>2486</v>
      </c>
    </row>
    <row r="1333" customFormat="false" ht="15" hidden="false" customHeight="false" outlineLevel="0" collapsed="false">
      <c r="A1333" s="7" t="n">
        <v>45617</v>
      </c>
      <c r="B1333" s="7" t="n">
        <v>45736</v>
      </c>
      <c r="C1333" s="8" t="n">
        <v>6776</v>
      </c>
      <c r="D1333" s="8" t="n">
        <v>0</v>
      </c>
      <c r="E1333" s="8" t="n">
        <v>0</v>
      </c>
      <c r="F1333" s="8" t="s">
        <v>2200</v>
      </c>
      <c r="G1333" s="8" t="s">
        <v>2201</v>
      </c>
      <c r="H1333" s="8" t="s">
        <v>2486</v>
      </c>
    </row>
    <row r="1334" customFormat="false" ht="15" hidden="false" customHeight="false" outlineLevel="0" collapsed="false">
      <c r="A1334" s="7" t="n">
        <v>45618</v>
      </c>
      <c r="B1334" s="7" t="n">
        <v>45646</v>
      </c>
      <c r="C1334" s="8" t="n">
        <v>6526</v>
      </c>
      <c r="D1334" s="8" t="n">
        <v>3625</v>
      </c>
      <c r="E1334" s="8" t="n">
        <v>26390</v>
      </c>
      <c r="F1334" s="8" t="s">
        <v>2200</v>
      </c>
      <c r="G1334" s="8" t="s">
        <v>2201</v>
      </c>
      <c r="H1334" s="8" t="s">
        <v>2487</v>
      </c>
    </row>
    <row r="1335" customFormat="false" ht="15" hidden="false" customHeight="false" outlineLevel="0" collapsed="false">
      <c r="A1335" s="7" t="n">
        <v>45618</v>
      </c>
      <c r="B1335" s="7" t="n">
        <v>45677</v>
      </c>
      <c r="C1335" s="8" t="n">
        <v>6578</v>
      </c>
      <c r="D1335" s="8" t="n">
        <v>590</v>
      </c>
      <c r="E1335" s="8" t="n">
        <v>4070</v>
      </c>
      <c r="F1335" s="8" t="s">
        <v>2200</v>
      </c>
      <c r="G1335" s="8" t="s">
        <v>2201</v>
      </c>
      <c r="H1335" s="8" t="s">
        <v>2487</v>
      </c>
    </row>
    <row r="1336" customFormat="false" ht="15" hidden="false" customHeight="false" outlineLevel="0" collapsed="false">
      <c r="A1336" s="7" t="n">
        <v>45618</v>
      </c>
      <c r="B1336" s="7" t="n">
        <v>45708</v>
      </c>
      <c r="C1336" s="8" t="n">
        <v>6630</v>
      </c>
      <c r="D1336" s="8" t="n">
        <v>0</v>
      </c>
      <c r="E1336" s="8" t="n">
        <v>0</v>
      </c>
      <c r="F1336" s="8" t="s">
        <v>2200</v>
      </c>
      <c r="G1336" s="8" t="s">
        <v>2201</v>
      </c>
      <c r="H1336" s="8" t="s">
        <v>2487</v>
      </c>
    </row>
    <row r="1337" customFormat="false" ht="15" hidden="false" customHeight="false" outlineLevel="0" collapsed="false">
      <c r="A1337" s="7" t="n">
        <v>45618</v>
      </c>
      <c r="B1337" s="7" t="n">
        <v>45736</v>
      </c>
      <c r="C1337" s="8" t="n">
        <v>6682</v>
      </c>
      <c r="D1337" s="8" t="n">
        <v>0</v>
      </c>
      <c r="E1337" s="8" t="n">
        <v>0</v>
      </c>
      <c r="F1337" s="8" t="s">
        <v>2200</v>
      </c>
      <c r="G1337" s="8" t="s">
        <v>2201</v>
      </c>
      <c r="H1337" s="8" t="s">
        <v>2487</v>
      </c>
    </row>
    <row r="1338" customFormat="false" ht="15" hidden="false" customHeight="false" outlineLevel="0" collapsed="false">
      <c r="A1338" s="7" t="n">
        <v>45621</v>
      </c>
      <c r="B1338" s="7" t="n">
        <v>45646</v>
      </c>
      <c r="C1338" s="8" t="n">
        <v>6528</v>
      </c>
      <c r="D1338" s="8" t="n">
        <v>3685</v>
      </c>
      <c r="E1338" s="8" t="n">
        <v>26675</v>
      </c>
      <c r="F1338" s="8" t="s">
        <v>2200</v>
      </c>
      <c r="G1338" s="8" t="s">
        <v>2201</v>
      </c>
      <c r="H1338" s="8" t="s">
        <v>2488</v>
      </c>
    </row>
    <row r="1339" customFormat="false" ht="15" hidden="false" customHeight="false" outlineLevel="0" collapsed="false">
      <c r="A1339" s="7" t="n">
        <v>45621</v>
      </c>
      <c r="B1339" s="7" t="n">
        <v>45677</v>
      </c>
      <c r="C1339" s="8" t="n">
        <v>6580</v>
      </c>
      <c r="D1339" s="8" t="n">
        <v>410</v>
      </c>
      <c r="E1339" s="8" t="n">
        <v>4110</v>
      </c>
      <c r="F1339" s="8" t="s">
        <v>2200</v>
      </c>
      <c r="G1339" s="8" t="s">
        <v>2201</v>
      </c>
      <c r="H1339" s="8" t="s">
        <v>2488</v>
      </c>
    </row>
    <row r="1340" customFormat="false" ht="15" hidden="false" customHeight="false" outlineLevel="0" collapsed="false">
      <c r="A1340" s="7" t="n">
        <v>45621</v>
      </c>
      <c r="B1340" s="7" t="n">
        <v>45708</v>
      </c>
      <c r="C1340" s="8" t="n">
        <v>6632</v>
      </c>
      <c r="D1340" s="8" t="n">
        <v>0</v>
      </c>
      <c r="E1340" s="8" t="n">
        <v>0</v>
      </c>
      <c r="F1340" s="8" t="s">
        <v>2200</v>
      </c>
      <c r="G1340" s="8" t="s">
        <v>2201</v>
      </c>
      <c r="H1340" s="8" t="s">
        <v>2488</v>
      </c>
    </row>
    <row r="1341" customFormat="false" ht="15" hidden="false" customHeight="false" outlineLevel="0" collapsed="false">
      <c r="A1341" s="7" t="n">
        <v>45621</v>
      </c>
      <c r="B1341" s="7" t="n">
        <v>45736</v>
      </c>
      <c r="C1341" s="8" t="n">
        <v>6684</v>
      </c>
      <c r="D1341" s="8" t="n">
        <v>0</v>
      </c>
      <c r="E1341" s="8" t="n">
        <v>0</v>
      </c>
      <c r="F1341" s="8" t="s">
        <v>2200</v>
      </c>
      <c r="G1341" s="8" t="s">
        <v>2201</v>
      </c>
      <c r="H1341" s="8" t="s">
        <v>2488</v>
      </c>
    </row>
    <row r="1342" customFormat="false" ht="15" hidden="false" customHeight="false" outlineLevel="0" collapsed="false">
      <c r="A1342" s="7" t="n">
        <v>45622</v>
      </c>
      <c r="B1342" s="7" t="n">
        <v>45646</v>
      </c>
      <c r="C1342" s="8" t="n">
        <v>6521</v>
      </c>
      <c r="D1342" s="8" t="n">
        <v>2800</v>
      </c>
      <c r="E1342" s="8" t="n">
        <v>25615</v>
      </c>
      <c r="F1342" s="8" t="s">
        <v>2200</v>
      </c>
      <c r="G1342" s="8" t="s">
        <v>2201</v>
      </c>
      <c r="H1342" s="8" t="s">
        <v>2489</v>
      </c>
    </row>
    <row r="1343" customFormat="false" ht="15" hidden="false" customHeight="false" outlineLevel="0" collapsed="false">
      <c r="A1343" s="7" t="n">
        <v>45622</v>
      </c>
      <c r="B1343" s="7" t="n">
        <v>45677</v>
      </c>
      <c r="C1343" s="8" t="n">
        <v>6581</v>
      </c>
      <c r="D1343" s="8" t="n">
        <v>1390</v>
      </c>
      <c r="E1343" s="8" t="n">
        <v>5145</v>
      </c>
      <c r="F1343" s="8" t="s">
        <v>2200</v>
      </c>
      <c r="G1343" s="8" t="s">
        <v>2201</v>
      </c>
      <c r="H1343" s="8" t="s">
        <v>2489</v>
      </c>
    </row>
    <row r="1344" customFormat="false" ht="15" hidden="false" customHeight="false" outlineLevel="0" collapsed="false">
      <c r="A1344" s="7" t="n">
        <v>45622</v>
      </c>
      <c r="B1344" s="7" t="n">
        <v>45708</v>
      </c>
      <c r="C1344" s="8" t="n">
        <v>6641</v>
      </c>
      <c r="D1344" s="8" t="n">
        <v>0</v>
      </c>
      <c r="E1344" s="8" t="n">
        <v>0</v>
      </c>
      <c r="F1344" s="8" t="s">
        <v>2200</v>
      </c>
      <c r="G1344" s="8" t="s">
        <v>2201</v>
      </c>
      <c r="H1344" s="8" t="s">
        <v>2489</v>
      </c>
    </row>
    <row r="1345" customFormat="false" ht="15" hidden="false" customHeight="false" outlineLevel="0" collapsed="false">
      <c r="A1345" s="7" t="n">
        <v>45622</v>
      </c>
      <c r="B1345" s="7" t="n">
        <v>45736</v>
      </c>
      <c r="C1345" s="8" t="n">
        <v>6701</v>
      </c>
      <c r="D1345" s="8" t="n">
        <v>0</v>
      </c>
      <c r="E1345" s="8" t="n">
        <v>0</v>
      </c>
      <c r="F1345" s="8" t="s">
        <v>2200</v>
      </c>
      <c r="G1345" s="8" t="s">
        <v>2201</v>
      </c>
      <c r="H1345" s="8" t="s">
        <v>2489</v>
      </c>
    </row>
    <row r="1346" customFormat="false" ht="15" hidden="false" customHeight="false" outlineLevel="0" collapsed="false">
      <c r="A1346" s="7" t="n">
        <v>45623</v>
      </c>
      <c r="B1346" s="7" t="n">
        <v>45646</v>
      </c>
      <c r="C1346" s="8" t="n">
        <v>6469</v>
      </c>
      <c r="D1346" s="8" t="n">
        <v>5290</v>
      </c>
      <c r="E1346" s="8" t="n">
        <v>24765</v>
      </c>
      <c r="F1346" s="8" t="s">
        <v>2200</v>
      </c>
      <c r="G1346" s="8" t="s">
        <v>2201</v>
      </c>
      <c r="H1346" s="8" t="s">
        <v>2490</v>
      </c>
    </row>
    <row r="1347" customFormat="false" ht="15" hidden="false" customHeight="false" outlineLevel="0" collapsed="false">
      <c r="A1347" s="7" t="n">
        <v>45623</v>
      </c>
      <c r="B1347" s="7" t="n">
        <v>45677</v>
      </c>
      <c r="C1347" s="8" t="n">
        <v>6532</v>
      </c>
      <c r="D1347" s="8" t="n">
        <v>1875</v>
      </c>
      <c r="E1347" s="8" t="n">
        <v>5945</v>
      </c>
      <c r="F1347" s="8" t="s">
        <v>2200</v>
      </c>
      <c r="G1347" s="8" t="s">
        <v>2201</v>
      </c>
      <c r="H1347" s="8" t="s">
        <v>2490</v>
      </c>
    </row>
    <row r="1348" customFormat="false" ht="15" hidden="false" customHeight="false" outlineLevel="0" collapsed="false">
      <c r="A1348" s="7" t="n">
        <v>45623</v>
      </c>
      <c r="B1348" s="7" t="n">
        <v>45708</v>
      </c>
      <c r="C1348" s="8" t="n">
        <v>6595</v>
      </c>
      <c r="D1348" s="8" t="n">
        <v>0</v>
      </c>
      <c r="E1348" s="8" t="n">
        <v>0</v>
      </c>
      <c r="F1348" s="8" t="s">
        <v>2200</v>
      </c>
      <c r="G1348" s="8" t="s">
        <v>2201</v>
      </c>
      <c r="H1348" s="8" t="s">
        <v>2490</v>
      </c>
    </row>
    <row r="1349" customFormat="false" ht="15" hidden="false" customHeight="false" outlineLevel="0" collapsed="false">
      <c r="A1349" s="7" t="n">
        <v>45623</v>
      </c>
      <c r="B1349" s="7" t="n">
        <v>45736</v>
      </c>
      <c r="C1349" s="8" t="n">
        <v>6658</v>
      </c>
      <c r="D1349" s="8" t="n">
        <v>0</v>
      </c>
      <c r="E1349" s="8" t="n">
        <v>0</v>
      </c>
      <c r="F1349" s="8" t="s">
        <v>2200</v>
      </c>
      <c r="G1349" s="8" t="s">
        <v>2201</v>
      </c>
      <c r="H1349" s="8" t="s">
        <v>2490</v>
      </c>
    </row>
    <row r="1350" customFormat="false" ht="15" hidden="false" customHeight="false" outlineLevel="0" collapsed="false">
      <c r="A1350" s="7" t="n">
        <v>45624</v>
      </c>
      <c r="B1350" s="7" t="n">
        <v>45646</v>
      </c>
      <c r="C1350" s="8" t="n">
        <v>6473</v>
      </c>
      <c r="D1350" s="8" t="n">
        <v>2775</v>
      </c>
      <c r="E1350" s="8" t="n">
        <v>24540</v>
      </c>
      <c r="F1350" s="8" t="s">
        <v>2200</v>
      </c>
      <c r="G1350" s="8" t="s">
        <v>2201</v>
      </c>
      <c r="H1350" s="8" t="s">
        <v>2491</v>
      </c>
    </row>
    <row r="1351" customFormat="false" ht="15" hidden="false" customHeight="false" outlineLevel="0" collapsed="false">
      <c r="A1351" s="7" t="n">
        <v>45624</v>
      </c>
      <c r="B1351" s="7" t="n">
        <v>45677</v>
      </c>
      <c r="C1351" s="8" t="n">
        <v>6536</v>
      </c>
      <c r="D1351" s="8" t="n">
        <v>580</v>
      </c>
      <c r="E1351" s="8" t="n">
        <v>6185</v>
      </c>
      <c r="F1351" s="8" t="s">
        <v>2200</v>
      </c>
      <c r="G1351" s="8" t="s">
        <v>2201</v>
      </c>
      <c r="H1351" s="8" t="s">
        <v>2491</v>
      </c>
    </row>
    <row r="1352" customFormat="false" ht="15" hidden="false" customHeight="false" outlineLevel="0" collapsed="false">
      <c r="A1352" s="7" t="n">
        <v>45624</v>
      </c>
      <c r="B1352" s="7" t="n">
        <v>45708</v>
      </c>
      <c r="C1352" s="8" t="n">
        <v>6599</v>
      </c>
      <c r="D1352" s="8" t="n">
        <v>0</v>
      </c>
      <c r="E1352" s="8" t="n">
        <v>0</v>
      </c>
      <c r="F1352" s="8" t="s">
        <v>2200</v>
      </c>
      <c r="G1352" s="8" t="s">
        <v>2201</v>
      </c>
      <c r="H1352" s="8" t="s">
        <v>2491</v>
      </c>
    </row>
    <row r="1353" customFormat="false" ht="15" hidden="false" customHeight="false" outlineLevel="0" collapsed="false">
      <c r="A1353" s="7" t="n">
        <v>45624</v>
      </c>
      <c r="B1353" s="7" t="n">
        <v>45736</v>
      </c>
      <c r="C1353" s="8" t="n">
        <v>6662</v>
      </c>
      <c r="D1353" s="8" t="n">
        <v>0</v>
      </c>
      <c r="E1353" s="8" t="n">
        <v>0</v>
      </c>
      <c r="F1353" s="8" t="s">
        <v>2200</v>
      </c>
      <c r="G1353" s="8" t="s">
        <v>2201</v>
      </c>
      <c r="H1353" s="8" t="s">
        <v>2491</v>
      </c>
    </row>
    <row r="1354" customFormat="false" ht="15" hidden="false" customHeight="false" outlineLevel="0" collapsed="false">
      <c r="A1354" s="7" t="n">
        <v>45625</v>
      </c>
      <c r="B1354" s="7" t="n">
        <v>45646</v>
      </c>
      <c r="C1354" s="8" t="n">
        <v>6494</v>
      </c>
      <c r="D1354" s="8" t="n">
        <v>2550</v>
      </c>
      <c r="E1354" s="8" t="n">
        <v>24620</v>
      </c>
      <c r="F1354" s="8" t="s">
        <v>2200</v>
      </c>
      <c r="G1354" s="8" t="s">
        <v>2201</v>
      </c>
      <c r="H1354" s="8" t="s">
        <v>2492</v>
      </c>
    </row>
    <row r="1355" customFormat="false" ht="15" hidden="false" customHeight="false" outlineLevel="0" collapsed="false">
      <c r="A1355" s="7" t="n">
        <v>45625</v>
      </c>
      <c r="B1355" s="7" t="n">
        <v>45677</v>
      </c>
      <c r="C1355" s="8" t="n">
        <v>6554</v>
      </c>
      <c r="D1355" s="8" t="n">
        <v>1195</v>
      </c>
      <c r="E1355" s="8" t="n">
        <v>6690</v>
      </c>
      <c r="F1355" s="8" t="s">
        <v>2200</v>
      </c>
      <c r="G1355" s="8" t="s">
        <v>2201</v>
      </c>
      <c r="H1355" s="8" t="s">
        <v>2492</v>
      </c>
    </row>
    <row r="1356" customFormat="false" ht="15" hidden="false" customHeight="false" outlineLevel="0" collapsed="false">
      <c r="A1356" s="7" t="n">
        <v>45625</v>
      </c>
      <c r="B1356" s="7" t="n">
        <v>45708</v>
      </c>
      <c r="C1356" s="8" t="n">
        <v>6614</v>
      </c>
      <c r="D1356" s="8" t="n">
        <v>0</v>
      </c>
      <c r="E1356" s="8" t="n">
        <v>0</v>
      </c>
      <c r="F1356" s="8" t="s">
        <v>2200</v>
      </c>
      <c r="G1356" s="8" t="s">
        <v>2201</v>
      </c>
      <c r="H1356" s="8" t="s">
        <v>2492</v>
      </c>
    </row>
    <row r="1357" customFormat="false" ht="15" hidden="false" customHeight="false" outlineLevel="0" collapsed="false">
      <c r="A1357" s="7" t="n">
        <v>45625</v>
      </c>
      <c r="B1357" s="7" t="n">
        <v>45736</v>
      </c>
      <c r="C1357" s="8" t="n">
        <v>6674</v>
      </c>
      <c r="D1357" s="8" t="n">
        <v>0</v>
      </c>
      <c r="E1357" s="8" t="n">
        <v>0</v>
      </c>
      <c r="F1357" s="8" t="s">
        <v>2200</v>
      </c>
      <c r="G1357" s="8" t="s">
        <v>2201</v>
      </c>
      <c r="H1357" s="8" t="s">
        <v>2492</v>
      </c>
    </row>
    <row r="1358" customFormat="false" ht="15" hidden="false" customHeight="false" outlineLevel="0" collapsed="false">
      <c r="A1358" s="7" t="n">
        <v>45628</v>
      </c>
      <c r="B1358" s="7" t="n">
        <v>45646</v>
      </c>
      <c r="C1358" s="8" t="n">
        <v>6520</v>
      </c>
      <c r="D1358" s="8" t="n">
        <v>4005</v>
      </c>
      <c r="E1358" s="8" t="n">
        <v>22520</v>
      </c>
      <c r="F1358" s="8" t="s">
        <v>2200</v>
      </c>
      <c r="G1358" s="8" t="s">
        <v>2201</v>
      </c>
      <c r="H1358" s="8" t="s">
        <v>2493</v>
      </c>
    </row>
    <row r="1359" customFormat="false" ht="15" hidden="false" customHeight="false" outlineLevel="0" collapsed="false">
      <c r="A1359" s="7" t="n">
        <v>45628</v>
      </c>
      <c r="B1359" s="7" t="n">
        <v>45677</v>
      </c>
      <c r="C1359" s="8" t="n">
        <v>6578</v>
      </c>
      <c r="D1359" s="8" t="n">
        <v>2905</v>
      </c>
      <c r="E1359" s="8" t="n">
        <v>8515</v>
      </c>
      <c r="F1359" s="8" t="s">
        <v>2200</v>
      </c>
      <c r="G1359" s="8" t="s">
        <v>2201</v>
      </c>
      <c r="H1359" s="8" t="s">
        <v>2493</v>
      </c>
    </row>
    <row r="1360" customFormat="false" ht="15" hidden="false" customHeight="false" outlineLevel="0" collapsed="false">
      <c r="A1360" s="7" t="n">
        <v>45628</v>
      </c>
      <c r="B1360" s="7" t="n">
        <v>45708</v>
      </c>
      <c r="C1360" s="8" t="n">
        <v>6621</v>
      </c>
      <c r="D1360" s="8" t="n">
        <v>105</v>
      </c>
      <c r="E1360" s="8" t="n">
        <v>105</v>
      </c>
      <c r="F1360" s="8" t="s">
        <v>2200</v>
      </c>
      <c r="G1360" s="8" t="s">
        <v>2201</v>
      </c>
      <c r="H1360" s="8" t="s">
        <v>2493</v>
      </c>
    </row>
    <row r="1361" customFormat="false" ht="15" hidden="false" customHeight="false" outlineLevel="0" collapsed="false">
      <c r="A1361" s="7" t="n">
        <v>45628</v>
      </c>
      <c r="B1361" s="7" t="n">
        <v>45736</v>
      </c>
      <c r="C1361" s="8" t="n">
        <v>6664</v>
      </c>
      <c r="D1361" s="8" t="n">
        <v>0</v>
      </c>
      <c r="E1361" s="8" t="n">
        <v>0</v>
      </c>
      <c r="F1361" s="8" t="s">
        <v>2200</v>
      </c>
      <c r="G1361" s="8" t="s">
        <v>2201</v>
      </c>
      <c r="H1361" s="8" t="s">
        <v>2493</v>
      </c>
    </row>
    <row r="1362" customFormat="false" ht="15" hidden="false" customHeight="false" outlineLevel="0" collapsed="false">
      <c r="A1362" s="7" t="n">
        <v>45628</v>
      </c>
      <c r="B1362" s="7" t="n">
        <v>45764</v>
      </c>
      <c r="C1362" s="8" t="n">
        <v>6707</v>
      </c>
      <c r="D1362" s="8" t="n">
        <v>0</v>
      </c>
      <c r="E1362" s="8" t="n">
        <v>0</v>
      </c>
      <c r="F1362" s="8" t="s">
        <v>2200</v>
      </c>
      <c r="G1362" s="8" t="s">
        <v>2201</v>
      </c>
      <c r="H1362" s="8" t="s">
        <v>2493</v>
      </c>
    </row>
    <row r="1363" customFormat="false" ht="15" hidden="false" customHeight="false" outlineLevel="0" collapsed="false">
      <c r="A1363" s="7" t="n">
        <v>45629</v>
      </c>
      <c r="B1363" s="7" t="n">
        <v>45646</v>
      </c>
      <c r="C1363" s="8" t="n">
        <v>6505</v>
      </c>
      <c r="D1363" s="8" t="n">
        <v>3435</v>
      </c>
      <c r="E1363" s="8" t="n">
        <v>22115</v>
      </c>
      <c r="F1363" s="8" t="s">
        <v>2200</v>
      </c>
      <c r="G1363" s="8" t="s">
        <v>2201</v>
      </c>
      <c r="H1363" s="8" t="s">
        <v>2494</v>
      </c>
    </row>
    <row r="1364" customFormat="false" ht="15" hidden="false" customHeight="false" outlineLevel="0" collapsed="false">
      <c r="A1364" s="7" t="n">
        <v>45629</v>
      </c>
      <c r="B1364" s="7" t="n">
        <v>45677</v>
      </c>
      <c r="C1364" s="8" t="n">
        <v>6569</v>
      </c>
      <c r="D1364" s="8" t="n">
        <v>2240</v>
      </c>
      <c r="E1364" s="8" t="n">
        <v>9185</v>
      </c>
      <c r="F1364" s="8" t="s">
        <v>2200</v>
      </c>
      <c r="G1364" s="8" t="s">
        <v>2201</v>
      </c>
      <c r="H1364" s="8" t="s">
        <v>2494</v>
      </c>
    </row>
    <row r="1365" customFormat="false" ht="15" hidden="false" customHeight="false" outlineLevel="0" collapsed="false">
      <c r="A1365" s="7" t="n">
        <v>45629</v>
      </c>
      <c r="B1365" s="7" t="n">
        <v>45708</v>
      </c>
      <c r="C1365" s="8" t="n">
        <v>6620</v>
      </c>
      <c r="D1365" s="8" t="n">
        <v>85</v>
      </c>
      <c r="E1365" s="8" t="n">
        <v>190</v>
      </c>
      <c r="F1365" s="8" t="s">
        <v>2200</v>
      </c>
      <c r="G1365" s="8" t="s">
        <v>2201</v>
      </c>
      <c r="H1365" s="8" t="s">
        <v>2494</v>
      </c>
    </row>
    <row r="1366" customFormat="false" ht="15" hidden="false" customHeight="false" outlineLevel="0" collapsed="false">
      <c r="A1366" s="7" t="n">
        <v>45629</v>
      </c>
      <c r="B1366" s="7" t="n">
        <v>45736</v>
      </c>
      <c r="C1366" s="8" t="n">
        <v>6671</v>
      </c>
      <c r="D1366" s="8" t="n">
        <v>0</v>
      </c>
      <c r="E1366" s="8" t="n">
        <v>0</v>
      </c>
      <c r="F1366" s="8" t="s">
        <v>2200</v>
      </c>
      <c r="G1366" s="8" t="s">
        <v>2201</v>
      </c>
      <c r="H1366" s="8" t="s">
        <v>2494</v>
      </c>
    </row>
    <row r="1367" customFormat="false" ht="15" hidden="false" customHeight="false" outlineLevel="0" collapsed="false">
      <c r="A1367" s="7" t="n">
        <v>45629</v>
      </c>
      <c r="B1367" s="7" t="n">
        <v>45764</v>
      </c>
      <c r="C1367" s="8" t="n">
        <v>6722</v>
      </c>
      <c r="D1367" s="8" t="n">
        <v>0</v>
      </c>
      <c r="E1367" s="8" t="n">
        <v>0</v>
      </c>
      <c r="F1367" s="8" t="s">
        <v>2200</v>
      </c>
      <c r="G1367" s="8" t="s">
        <v>2201</v>
      </c>
      <c r="H1367" s="8" t="s">
        <v>2494</v>
      </c>
    </row>
    <row r="1368" customFormat="false" ht="15" hidden="false" customHeight="false" outlineLevel="0" collapsed="false">
      <c r="A1368" s="7" t="n">
        <v>45630</v>
      </c>
      <c r="B1368" s="7" t="n">
        <v>45646</v>
      </c>
      <c r="C1368" s="8" t="n">
        <v>6479</v>
      </c>
      <c r="D1368" s="8" t="n">
        <v>6425</v>
      </c>
      <c r="E1368" s="8" t="n">
        <v>19500</v>
      </c>
      <c r="F1368" s="8" t="s">
        <v>2200</v>
      </c>
      <c r="G1368" s="8" t="s">
        <v>2201</v>
      </c>
      <c r="H1368" s="8" t="s">
        <v>2495</v>
      </c>
    </row>
    <row r="1369" customFormat="false" ht="15" hidden="false" customHeight="false" outlineLevel="0" collapsed="false">
      <c r="A1369" s="7" t="n">
        <v>45630</v>
      </c>
      <c r="B1369" s="7" t="n">
        <v>45677</v>
      </c>
      <c r="C1369" s="8" t="n">
        <v>6551</v>
      </c>
      <c r="D1369" s="8" t="n">
        <v>5995</v>
      </c>
      <c r="E1369" s="8" t="n">
        <v>10930</v>
      </c>
      <c r="F1369" s="8" t="s">
        <v>2200</v>
      </c>
      <c r="G1369" s="8" t="s">
        <v>2201</v>
      </c>
      <c r="H1369" s="8" t="s">
        <v>2495</v>
      </c>
    </row>
    <row r="1370" customFormat="false" ht="15" hidden="false" customHeight="false" outlineLevel="0" collapsed="false">
      <c r="A1370" s="7" t="n">
        <v>45630</v>
      </c>
      <c r="B1370" s="7" t="n">
        <v>45708</v>
      </c>
      <c r="C1370" s="8" t="n">
        <v>6600</v>
      </c>
      <c r="D1370" s="8" t="n">
        <v>210</v>
      </c>
      <c r="E1370" s="8" t="n">
        <v>395</v>
      </c>
      <c r="F1370" s="8" t="s">
        <v>2200</v>
      </c>
      <c r="G1370" s="8" t="s">
        <v>2201</v>
      </c>
      <c r="H1370" s="8" t="s">
        <v>2495</v>
      </c>
    </row>
    <row r="1371" customFormat="false" ht="15" hidden="false" customHeight="false" outlineLevel="0" collapsed="false">
      <c r="A1371" s="7" t="n">
        <v>45630</v>
      </c>
      <c r="B1371" s="7" t="n">
        <v>45736</v>
      </c>
      <c r="C1371" s="8" t="n">
        <v>6649</v>
      </c>
      <c r="D1371" s="8" t="n">
        <v>0</v>
      </c>
      <c r="E1371" s="8" t="n">
        <v>0</v>
      </c>
      <c r="F1371" s="8" t="s">
        <v>2200</v>
      </c>
      <c r="G1371" s="8" t="s">
        <v>2201</v>
      </c>
      <c r="H1371" s="8" t="s">
        <v>2495</v>
      </c>
    </row>
    <row r="1372" customFormat="false" ht="15" hidden="false" customHeight="false" outlineLevel="0" collapsed="false">
      <c r="A1372" s="7" t="n">
        <v>45630</v>
      </c>
      <c r="B1372" s="7" t="n">
        <v>45764</v>
      </c>
      <c r="C1372" s="8" t="n">
        <v>6698</v>
      </c>
      <c r="D1372" s="8" t="n">
        <v>0</v>
      </c>
      <c r="E1372" s="8" t="n">
        <v>0</v>
      </c>
      <c r="F1372" s="8" t="s">
        <v>2200</v>
      </c>
      <c r="G1372" s="8" t="s">
        <v>2201</v>
      </c>
      <c r="H1372" s="8" t="s">
        <v>2495</v>
      </c>
    </row>
    <row r="1373" customFormat="false" ht="15" hidden="false" customHeight="false" outlineLevel="0" collapsed="false">
      <c r="A1373" s="7" t="n">
        <v>45631</v>
      </c>
      <c r="B1373" s="7" t="n">
        <v>45646</v>
      </c>
      <c r="C1373" s="8" t="n">
        <v>6390</v>
      </c>
      <c r="D1373" s="8" t="n">
        <v>4780</v>
      </c>
      <c r="E1373" s="8" t="n">
        <v>17660</v>
      </c>
      <c r="F1373" s="8" t="s">
        <v>2200</v>
      </c>
      <c r="G1373" s="8" t="s">
        <v>2201</v>
      </c>
      <c r="H1373" s="8" t="s">
        <v>2496</v>
      </c>
    </row>
    <row r="1374" customFormat="false" ht="15" hidden="false" customHeight="false" outlineLevel="0" collapsed="false">
      <c r="A1374" s="7" t="n">
        <v>45631</v>
      </c>
      <c r="B1374" s="7" t="n">
        <v>45677</v>
      </c>
      <c r="C1374" s="8" t="n">
        <v>6455</v>
      </c>
      <c r="D1374" s="8" t="n">
        <v>7220</v>
      </c>
      <c r="E1374" s="8" t="n">
        <v>13165</v>
      </c>
      <c r="F1374" s="8" t="s">
        <v>2200</v>
      </c>
      <c r="G1374" s="8" t="s">
        <v>2201</v>
      </c>
      <c r="H1374" s="8" t="s">
        <v>2496</v>
      </c>
    </row>
    <row r="1375" customFormat="false" ht="15" hidden="false" customHeight="false" outlineLevel="0" collapsed="false">
      <c r="A1375" s="7" t="n">
        <v>45631</v>
      </c>
      <c r="B1375" s="7" t="n">
        <v>45708</v>
      </c>
      <c r="C1375" s="8" t="n">
        <v>6521</v>
      </c>
      <c r="D1375" s="8" t="n">
        <v>60</v>
      </c>
      <c r="E1375" s="8" t="n">
        <v>450</v>
      </c>
      <c r="F1375" s="8" t="s">
        <v>2200</v>
      </c>
      <c r="G1375" s="8" t="s">
        <v>2201</v>
      </c>
      <c r="H1375" s="8" t="s">
        <v>2496</v>
      </c>
    </row>
    <row r="1376" customFormat="false" ht="15" hidden="false" customHeight="false" outlineLevel="0" collapsed="false">
      <c r="A1376" s="7" t="n">
        <v>45631</v>
      </c>
      <c r="B1376" s="7" t="n">
        <v>45736</v>
      </c>
      <c r="C1376" s="8" t="n">
        <v>6587</v>
      </c>
      <c r="D1376" s="8" t="n">
        <v>0</v>
      </c>
      <c r="E1376" s="8" t="n">
        <v>0</v>
      </c>
      <c r="F1376" s="8" t="s">
        <v>2200</v>
      </c>
      <c r="G1376" s="8" t="s">
        <v>2201</v>
      </c>
      <c r="H1376" s="8" t="s">
        <v>2496</v>
      </c>
    </row>
    <row r="1377" customFormat="false" ht="15" hidden="false" customHeight="false" outlineLevel="0" collapsed="false">
      <c r="A1377" s="7" t="n">
        <v>45631</v>
      </c>
      <c r="B1377" s="7" t="n">
        <v>45764</v>
      </c>
      <c r="C1377" s="8" t="n">
        <v>6653</v>
      </c>
      <c r="D1377" s="8" t="n">
        <v>0</v>
      </c>
      <c r="E1377" s="8" t="n">
        <v>0</v>
      </c>
      <c r="F1377" s="8" t="s">
        <v>2200</v>
      </c>
      <c r="G1377" s="8" t="s">
        <v>2201</v>
      </c>
      <c r="H1377" s="8" t="s">
        <v>2496</v>
      </c>
    </row>
    <row r="1378" customFormat="false" ht="15" hidden="false" customHeight="false" outlineLevel="0" collapsed="false">
      <c r="A1378" s="7" t="n">
        <v>45632</v>
      </c>
      <c r="B1378" s="7" t="n">
        <v>45646</v>
      </c>
      <c r="C1378" s="8" t="n">
        <v>6417</v>
      </c>
      <c r="D1378" s="8" t="n">
        <v>3415</v>
      </c>
      <c r="E1378" s="8" t="n">
        <v>15685</v>
      </c>
      <c r="F1378" s="8" t="s">
        <v>2200</v>
      </c>
      <c r="G1378" s="8" t="s">
        <v>2201</v>
      </c>
      <c r="H1378" s="8" t="s">
        <v>2497</v>
      </c>
    </row>
    <row r="1379" customFormat="false" ht="15" hidden="false" customHeight="false" outlineLevel="0" collapsed="false">
      <c r="A1379" s="7" t="n">
        <v>45632</v>
      </c>
      <c r="B1379" s="7" t="n">
        <v>45677</v>
      </c>
      <c r="C1379" s="8" t="n">
        <v>6485</v>
      </c>
      <c r="D1379" s="8" t="n">
        <v>3635</v>
      </c>
      <c r="E1379" s="8" t="n">
        <v>14630</v>
      </c>
      <c r="F1379" s="8" t="s">
        <v>2200</v>
      </c>
      <c r="G1379" s="8" t="s">
        <v>2201</v>
      </c>
      <c r="H1379" s="8" t="s">
        <v>2497</v>
      </c>
    </row>
    <row r="1380" customFormat="false" ht="15" hidden="false" customHeight="false" outlineLevel="0" collapsed="false">
      <c r="A1380" s="7" t="n">
        <v>45632</v>
      </c>
      <c r="B1380" s="7" t="n">
        <v>45708</v>
      </c>
      <c r="C1380" s="8" t="n">
        <v>6506</v>
      </c>
      <c r="D1380" s="8" t="n">
        <v>55</v>
      </c>
      <c r="E1380" s="8" t="n">
        <v>470</v>
      </c>
      <c r="F1380" s="8" t="s">
        <v>2200</v>
      </c>
      <c r="G1380" s="8" t="s">
        <v>2201</v>
      </c>
      <c r="H1380" s="8" t="s">
        <v>2497</v>
      </c>
    </row>
    <row r="1381" customFormat="false" ht="15" hidden="false" customHeight="false" outlineLevel="0" collapsed="false">
      <c r="A1381" s="7" t="n">
        <v>45632</v>
      </c>
      <c r="B1381" s="7" t="n">
        <v>45736</v>
      </c>
      <c r="C1381" s="8" t="n">
        <v>6527</v>
      </c>
      <c r="D1381" s="8" t="n">
        <v>0</v>
      </c>
      <c r="E1381" s="8" t="n">
        <v>0</v>
      </c>
      <c r="F1381" s="8" t="s">
        <v>2200</v>
      </c>
      <c r="G1381" s="8" t="s">
        <v>2201</v>
      </c>
      <c r="H1381" s="8" t="s">
        <v>2497</v>
      </c>
    </row>
    <row r="1382" customFormat="false" ht="15" hidden="false" customHeight="false" outlineLevel="0" collapsed="false">
      <c r="A1382" s="7" t="n">
        <v>45632</v>
      </c>
      <c r="B1382" s="7" t="n">
        <v>45764</v>
      </c>
      <c r="C1382" s="8" t="n">
        <v>6548</v>
      </c>
      <c r="D1382" s="8" t="n">
        <v>0</v>
      </c>
      <c r="E1382" s="8" t="n">
        <v>0</v>
      </c>
      <c r="F1382" s="8" t="s">
        <v>2200</v>
      </c>
      <c r="G1382" s="8" t="s">
        <v>2201</v>
      </c>
      <c r="H1382" s="8" t="s">
        <v>2497</v>
      </c>
    </row>
    <row r="1383" customFormat="false" ht="15" hidden="false" customHeight="false" outlineLevel="0" collapsed="false">
      <c r="A1383" s="7" t="n">
        <v>45635</v>
      </c>
      <c r="B1383" s="7" t="n">
        <v>45646</v>
      </c>
      <c r="C1383" s="8" t="n">
        <v>6383</v>
      </c>
      <c r="D1383" s="8" t="n">
        <v>4395</v>
      </c>
      <c r="E1383" s="8" t="n">
        <v>13170</v>
      </c>
      <c r="F1383" s="8" t="s">
        <v>2200</v>
      </c>
      <c r="G1383" s="8" t="s">
        <v>2201</v>
      </c>
      <c r="H1383" s="8" t="s">
        <v>2498</v>
      </c>
    </row>
    <row r="1384" customFormat="false" ht="15" hidden="false" customHeight="false" outlineLevel="0" collapsed="false">
      <c r="A1384" s="7" t="n">
        <v>45635</v>
      </c>
      <c r="B1384" s="7" t="n">
        <v>45677</v>
      </c>
      <c r="C1384" s="8" t="n">
        <v>6458</v>
      </c>
      <c r="D1384" s="8" t="n">
        <v>6025</v>
      </c>
      <c r="E1384" s="8" t="n">
        <v>16915</v>
      </c>
      <c r="F1384" s="8" t="s">
        <v>2200</v>
      </c>
      <c r="G1384" s="8" t="s">
        <v>2201</v>
      </c>
      <c r="H1384" s="8" t="s">
        <v>2498</v>
      </c>
    </row>
    <row r="1385" customFormat="false" ht="15" hidden="false" customHeight="false" outlineLevel="0" collapsed="false">
      <c r="A1385" s="7" t="n">
        <v>45635</v>
      </c>
      <c r="B1385" s="7" t="n">
        <v>45708</v>
      </c>
      <c r="C1385" s="8" t="n">
        <v>6533</v>
      </c>
      <c r="D1385" s="8" t="n">
        <v>0</v>
      </c>
      <c r="E1385" s="8" t="n">
        <v>470</v>
      </c>
      <c r="F1385" s="8" t="s">
        <v>2200</v>
      </c>
      <c r="G1385" s="8" t="s">
        <v>2201</v>
      </c>
      <c r="H1385" s="8" t="s">
        <v>2498</v>
      </c>
    </row>
    <row r="1386" customFormat="false" ht="15" hidden="false" customHeight="false" outlineLevel="0" collapsed="false">
      <c r="A1386" s="7" t="n">
        <v>45635</v>
      </c>
      <c r="B1386" s="7" t="n">
        <v>45736</v>
      </c>
      <c r="C1386" s="8" t="n">
        <v>6608</v>
      </c>
      <c r="D1386" s="8" t="n">
        <v>0</v>
      </c>
      <c r="E1386" s="8" t="n">
        <v>0</v>
      </c>
      <c r="F1386" s="8" t="s">
        <v>2200</v>
      </c>
      <c r="G1386" s="8" t="s">
        <v>2201</v>
      </c>
      <c r="H1386" s="8" t="s">
        <v>2498</v>
      </c>
    </row>
    <row r="1387" customFormat="false" ht="15" hidden="false" customHeight="false" outlineLevel="0" collapsed="false">
      <c r="A1387" s="7" t="n">
        <v>45635</v>
      </c>
      <c r="B1387" s="7" t="n">
        <v>45764</v>
      </c>
      <c r="C1387" s="8" t="n">
        <v>6683</v>
      </c>
      <c r="D1387" s="8" t="n">
        <v>0</v>
      </c>
      <c r="E1387" s="8" t="n">
        <v>0</v>
      </c>
      <c r="F1387" s="8" t="s">
        <v>2200</v>
      </c>
      <c r="G1387" s="8" t="s">
        <v>2201</v>
      </c>
      <c r="H1387" s="8" t="s">
        <v>2498</v>
      </c>
    </row>
    <row r="1388" customFormat="false" ht="15" hidden="false" customHeight="false" outlineLevel="0" collapsed="false">
      <c r="A1388" s="7" t="n">
        <v>45636</v>
      </c>
      <c r="B1388" s="7" t="n">
        <v>45646</v>
      </c>
      <c r="C1388" s="8" t="n">
        <v>6294</v>
      </c>
      <c r="D1388" s="8" t="n">
        <v>4685</v>
      </c>
      <c r="E1388" s="8" t="n">
        <v>11525</v>
      </c>
      <c r="F1388" s="8" t="s">
        <v>2200</v>
      </c>
      <c r="G1388" s="8" t="s">
        <v>2201</v>
      </c>
      <c r="H1388" s="8" t="s">
        <v>2499</v>
      </c>
    </row>
    <row r="1389" customFormat="false" ht="15" hidden="false" customHeight="false" outlineLevel="0" collapsed="false">
      <c r="A1389" s="7" t="n">
        <v>45636</v>
      </c>
      <c r="B1389" s="7" t="n">
        <v>45677</v>
      </c>
      <c r="C1389" s="8" t="n">
        <v>6368</v>
      </c>
      <c r="D1389" s="8" t="n">
        <v>5725</v>
      </c>
      <c r="E1389" s="8" t="n">
        <v>18540</v>
      </c>
      <c r="F1389" s="8" t="s">
        <v>2200</v>
      </c>
      <c r="G1389" s="8" t="s">
        <v>2201</v>
      </c>
      <c r="H1389" s="8" t="s">
        <v>2499</v>
      </c>
    </row>
    <row r="1390" customFormat="false" ht="15" hidden="false" customHeight="false" outlineLevel="0" collapsed="false">
      <c r="A1390" s="7" t="n">
        <v>45636</v>
      </c>
      <c r="B1390" s="7" t="n">
        <v>45708</v>
      </c>
      <c r="C1390" s="8" t="n">
        <v>6377</v>
      </c>
      <c r="D1390" s="8" t="n">
        <v>145</v>
      </c>
      <c r="E1390" s="8" t="n">
        <v>545</v>
      </c>
      <c r="F1390" s="8" t="s">
        <v>2200</v>
      </c>
      <c r="G1390" s="8" t="s">
        <v>2201</v>
      </c>
      <c r="H1390" s="8" t="s">
        <v>2499</v>
      </c>
    </row>
    <row r="1391" customFormat="false" ht="15" hidden="false" customHeight="false" outlineLevel="0" collapsed="false">
      <c r="A1391" s="7" t="n">
        <v>45636</v>
      </c>
      <c r="B1391" s="7" t="n">
        <v>45736</v>
      </c>
      <c r="C1391" s="8" t="n">
        <v>6386</v>
      </c>
      <c r="D1391" s="8" t="n">
        <v>0</v>
      </c>
      <c r="E1391" s="8" t="n">
        <v>0</v>
      </c>
      <c r="F1391" s="8" t="s">
        <v>2200</v>
      </c>
      <c r="G1391" s="8" t="s">
        <v>2201</v>
      </c>
      <c r="H1391" s="8" t="s">
        <v>2499</v>
      </c>
    </row>
    <row r="1392" customFormat="false" ht="15" hidden="false" customHeight="false" outlineLevel="0" collapsed="false">
      <c r="A1392" s="7" t="n">
        <v>45636</v>
      </c>
      <c r="B1392" s="7" t="n">
        <v>45764</v>
      </c>
      <c r="C1392" s="8" t="n">
        <v>6395</v>
      </c>
      <c r="D1392" s="8" t="n">
        <v>0</v>
      </c>
      <c r="E1392" s="8" t="n">
        <v>0</v>
      </c>
      <c r="F1392" s="8" t="s">
        <v>2200</v>
      </c>
      <c r="G1392" s="8" t="s">
        <v>2201</v>
      </c>
      <c r="H1392" s="8" t="s">
        <v>2499</v>
      </c>
    </row>
    <row r="1393" customFormat="false" ht="15" hidden="false" customHeight="false" outlineLevel="0" collapsed="false">
      <c r="A1393" s="7" t="n">
        <v>45637</v>
      </c>
      <c r="B1393" s="7" t="n">
        <v>45646</v>
      </c>
      <c r="C1393" s="8" t="n">
        <v>6269</v>
      </c>
      <c r="D1393" s="8" t="n">
        <v>3875</v>
      </c>
      <c r="E1393" s="8" t="n">
        <v>9615</v>
      </c>
      <c r="F1393" s="8" t="s">
        <v>2200</v>
      </c>
      <c r="G1393" s="8" t="s">
        <v>2201</v>
      </c>
      <c r="H1393" s="8" t="s">
        <v>2500</v>
      </c>
    </row>
    <row r="1394" customFormat="false" ht="15" hidden="false" customHeight="false" outlineLevel="0" collapsed="false">
      <c r="A1394" s="7" t="n">
        <v>45637</v>
      </c>
      <c r="B1394" s="7" t="n">
        <v>45677</v>
      </c>
      <c r="C1394" s="8" t="n">
        <v>6346</v>
      </c>
      <c r="D1394" s="8" t="n">
        <v>4750</v>
      </c>
      <c r="E1394" s="8" t="n">
        <v>19375</v>
      </c>
      <c r="F1394" s="8" t="s">
        <v>2200</v>
      </c>
      <c r="G1394" s="8" t="s">
        <v>2201</v>
      </c>
      <c r="H1394" s="8" t="s">
        <v>2500</v>
      </c>
    </row>
    <row r="1395" customFormat="false" ht="15" hidden="false" customHeight="false" outlineLevel="0" collapsed="false">
      <c r="A1395" s="7" t="n">
        <v>45637</v>
      </c>
      <c r="B1395" s="7" t="n">
        <v>45708</v>
      </c>
      <c r="C1395" s="8" t="n">
        <v>6362</v>
      </c>
      <c r="D1395" s="8" t="n">
        <v>435</v>
      </c>
      <c r="E1395" s="8" t="n">
        <v>740</v>
      </c>
      <c r="F1395" s="8" t="s">
        <v>2200</v>
      </c>
      <c r="G1395" s="8" t="s">
        <v>2201</v>
      </c>
      <c r="H1395" s="8" t="s">
        <v>2500</v>
      </c>
    </row>
    <row r="1396" customFormat="false" ht="15" hidden="false" customHeight="false" outlineLevel="0" collapsed="false">
      <c r="A1396" s="7" t="n">
        <v>45637</v>
      </c>
      <c r="B1396" s="7" t="n">
        <v>45736</v>
      </c>
      <c r="C1396" s="8" t="n">
        <v>6378</v>
      </c>
      <c r="D1396" s="8" t="n">
        <v>0</v>
      </c>
      <c r="E1396" s="8" t="n">
        <v>0</v>
      </c>
      <c r="F1396" s="8" t="s">
        <v>2200</v>
      </c>
      <c r="G1396" s="8" t="s">
        <v>2201</v>
      </c>
      <c r="H1396" s="8" t="s">
        <v>2500</v>
      </c>
    </row>
    <row r="1397" customFormat="false" ht="15" hidden="false" customHeight="false" outlineLevel="0" collapsed="false">
      <c r="A1397" s="7" t="n">
        <v>45637</v>
      </c>
      <c r="B1397" s="7" t="n">
        <v>45764</v>
      </c>
      <c r="C1397" s="8" t="n">
        <v>6394</v>
      </c>
      <c r="D1397" s="8" t="n">
        <v>0</v>
      </c>
      <c r="E1397" s="8" t="n">
        <v>0</v>
      </c>
      <c r="F1397" s="8" t="s">
        <v>2200</v>
      </c>
      <c r="G1397" s="8" t="s">
        <v>2201</v>
      </c>
      <c r="H1397" s="8" t="s">
        <v>2500</v>
      </c>
    </row>
    <row r="1398" customFormat="false" ht="15" hidden="false" customHeight="false" outlineLevel="0" collapsed="false">
      <c r="A1398" s="7" t="n">
        <v>45638</v>
      </c>
      <c r="B1398" s="7" t="n">
        <v>45646</v>
      </c>
      <c r="C1398" s="8" t="n">
        <v>6295</v>
      </c>
      <c r="D1398" s="8" t="n">
        <v>1395</v>
      </c>
      <c r="E1398" s="8" t="n">
        <v>9075</v>
      </c>
      <c r="F1398" s="8" t="s">
        <v>2200</v>
      </c>
      <c r="G1398" s="8" t="s">
        <v>2201</v>
      </c>
      <c r="H1398" s="8" t="s">
        <v>2501</v>
      </c>
    </row>
    <row r="1399" customFormat="false" ht="15" hidden="false" customHeight="false" outlineLevel="0" collapsed="false">
      <c r="A1399" s="7" t="n">
        <v>45638</v>
      </c>
      <c r="B1399" s="7" t="n">
        <v>45677</v>
      </c>
      <c r="C1399" s="8" t="n">
        <v>6372</v>
      </c>
      <c r="D1399" s="8" t="n">
        <v>2300</v>
      </c>
      <c r="E1399" s="8" t="n">
        <v>20025</v>
      </c>
      <c r="F1399" s="8" t="s">
        <v>2200</v>
      </c>
      <c r="G1399" s="8" t="s">
        <v>2201</v>
      </c>
      <c r="H1399" s="8" t="s">
        <v>2501</v>
      </c>
    </row>
    <row r="1400" customFormat="false" ht="15" hidden="false" customHeight="false" outlineLevel="0" collapsed="false">
      <c r="A1400" s="7" t="n">
        <v>45638</v>
      </c>
      <c r="B1400" s="7" t="n">
        <v>45708</v>
      </c>
      <c r="C1400" s="8" t="n">
        <v>6396</v>
      </c>
      <c r="D1400" s="8" t="n">
        <v>165</v>
      </c>
      <c r="E1400" s="8" t="n">
        <v>750</v>
      </c>
      <c r="F1400" s="8" t="s">
        <v>2200</v>
      </c>
      <c r="G1400" s="8" t="s">
        <v>2201</v>
      </c>
      <c r="H1400" s="8" t="s">
        <v>2501</v>
      </c>
    </row>
    <row r="1401" customFormat="false" ht="15" hidden="false" customHeight="false" outlineLevel="0" collapsed="false">
      <c r="A1401" s="7" t="n">
        <v>45638</v>
      </c>
      <c r="B1401" s="7" t="n">
        <v>45736</v>
      </c>
      <c r="C1401" s="8" t="n">
        <v>6420</v>
      </c>
      <c r="D1401" s="8" t="n">
        <v>0</v>
      </c>
      <c r="E1401" s="8" t="n">
        <v>0</v>
      </c>
      <c r="F1401" s="8" t="s">
        <v>2200</v>
      </c>
      <c r="G1401" s="8" t="s">
        <v>2201</v>
      </c>
      <c r="H1401" s="8" t="s">
        <v>2501</v>
      </c>
    </row>
    <row r="1402" customFormat="false" ht="15" hidden="false" customHeight="false" outlineLevel="0" collapsed="false">
      <c r="A1402" s="7" t="n">
        <v>45638</v>
      </c>
      <c r="B1402" s="7" t="n">
        <v>45764</v>
      </c>
      <c r="C1402" s="8" t="n">
        <v>6444</v>
      </c>
      <c r="D1402" s="8" t="n">
        <v>0</v>
      </c>
      <c r="E1402" s="8" t="n">
        <v>0</v>
      </c>
      <c r="F1402" s="8" t="s">
        <v>2200</v>
      </c>
      <c r="G1402" s="8" t="s">
        <v>2201</v>
      </c>
      <c r="H1402" s="8" t="s">
        <v>2501</v>
      </c>
    </row>
    <row r="1403" customFormat="false" ht="15" hidden="false" customHeight="false" outlineLevel="0" collapsed="false">
      <c r="A1403" s="7" t="n">
        <v>45639</v>
      </c>
      <c r="B1403" s="7" t="n">
        <v>45646</v>
      </c>
      <c r="C1403" s="8" t="n">
        <v>6268</v>
      </c>
      <c r="D1403" s="8" t="n">
        <v>2760</v>
      </c>
      <c r="E1403" s="8" t="n">
        <v>7885</v>
      </c>
      <c r="F1403" s="8" t="s">
        <v>2200</v>
      </c>
      <c r="G1403" s="8" t="s">
        <v>2201</v>
      </c>
      <c r="H1403" s="8" t="s">
        <v>2502</v>
      </c>
    </row>
    <row r="1404" customFormat="false" ht="15" hidden="false" customHeight="false" outlineLevel="0" collapsed="false">
      <c r="A1404" s="7" t="n">
        <v>45639</v>
      </c>
      <c r="B1404" s="7" t="n">
        <v>45677</v>
      </c>
      <c r="C1404" s="8" t="n">
        <v>6347</v>
      </c>
      <c r="D1404" s="8" t="n">
        <v>3650</v>
      </c>
      <c r="E1404" s="8" t="n">
        <v>22030</v>
      </c>
      <c r="F1404" s="8" t="s">
        <v>2200</v>
      </c>
      <c r="G1404" s="8" t="s">
        <v>2201</v>
      </c>
      <c r="H1404" s="8" t="s">
        <v>2502</v>
      </c>
    </row>
    <row r="1405" customFormat="false" ht="15" hidden="false" customHeight="false" outlineLevel="0" collapsed="false">
      <c r="A1405" s="7" t="n">
        <v>45639</v>
      </c>
      <c r="B1405" s="7" t="n">
        <v>45708</v>
      </c>
      <c r="C1405" s="8" t="n">
        <v>6380</v>
      </c>
      <c r="D1405" s="8" t="n">
        <v>5</v>
      </c>
      <c r="E1405" s="8" t="n">
        <v>755</v>
      </c>
      <c r="F1405" s="8" t="s">
        <v>2200</v>
      </c>
      <c r="G1405" s="8" t="s">
        <v>2201</v>
      </c>
      <c r="H1405" s="8" t="s">
        <v>2502</v>
      </c>
    </row>
    <row r="1406" customFormat="false" ht="15" hidden="false" customHeight="false" outlineLevel="0" collapsed="false">
      <c r="A1406" s="7" t="n">
        <v>45639</v>
      </c>
      <c r="B1406" s="7" t="n">
        <v>45736</v>
      </c>
      <c r="C1406" s="8" t="n">
        <v>6400</v>
      </c>
      <c r="D1406" s="8" t="n">
        <v>5</v>
      </c>
      <c r="E1406" s="8" t="n">
        <v>5</v>
      </c>
      <c r="F1406" s="8" t="s">
        <v>2200</v>
      </c>
      <c r="G1406" s="8" t="s">
        <v>2201</v>
      </c>
      <c r="H1406" s="8" t="s">
        <v>2502</v>
      </c>
    </row>
    <row r="1407" customFormat="false" ht="15" hidden="false" customHeight="false" outlineLevel="0" collapsed="false">
      <c r="A1407" s="7" t="n">
        <v>45639</v>
      </c>
      <c r="B1407" s="7" t="n">
        <v>45764</v>
      </c>
      <c r="C1407" s="8" t="n">
        <v>6420</v>
      </c>
      <c r="D1407" s="8" t="n">
        <v>0</v>
      </c>
      <c r="E1407" s="8" t="n">
        <v>0</v>
      </c>
      <c r="F1407" s="8" t="s">
        <v>2200</v>
      </c>
      <c r="G1407" s="8" t="s">
        <v>2201</v>
      </c>
      <c r="H1407" s="8" t="s">
        <v>2502</v>
      </c>
    </row>
    <row r="1408" customFormat="false" ht="15" hidden="false" customHeight="false" outlineLevel="0" collapsed="false">
      <c r="A1408" s="7" t="n">
        <v>45642</v>
      </c>
      <c r="B1408" s="7" t="n">
        <v>45646</v>
      </c>
      <c r="C1408" s="8" t="n">
        <v>6194</v>
      </c>
      <c r="D1408" s="8" t="n">
        <v>2745</v>
      </c>
      <c r="E1408" s="8" t="n">
        <v>6575</v>
      </c>
      <c r="F1408" s="8" t="s">
        <v>2200</v>
      </c>
      <c r="G1408" s="8" t="s">
        <v>2201</v>
      </c>
      <c r="H1408" s="8" t="s">
        <v>2503</v>
      </c>
    </row>
    <row r="1409" customFormat="false" ht="15" hidden="false" customHeight="false" outlineLevel="0" collapsed="false">
      <c r="A1409" s="7" t="n">
        <v>45642</v>
      </c>
      <c r="B1409" s="7" t="n">
        <v>45677</v>
      </c>
      <c r="C1409" s="8" t="n">
        <v>6265</v>
      </c>
      <c r="D1409" s="8" t="n">
        <v>5380</v>
      </c>
      <c r="E1409" s="8" t="n">
        <v>23530</v>
      </c>
      <c r="F1409" s="8" t="s">
        <v>2200</v>
      </c>
      <c r="G1409" s="8" t="s">
        <v>2201</v>
      </c>
      <c r="H1409" s="8" t="s">
        <v>2503</v>
      </c>
    </row>
    <row r="1410" customFormat="false" ht="15" hidden="false" customHeight="false" outlineLevel="0" collapsed="false">
      <c r="A1410" s="7" t="n">
        <v>45642</v>
      </c>
      <c r="B1410" s="7" t="n">
        <v>45708</v>
      </c>
      <c r="C1410" s="8" t="n">
        <v>6323</v>
      </c>
      <c r="D1410" s="8" t="n">
        <v>165</v>
      </c>
      <c r="E1410" s="8" t="n">
        <v>825</v>
      </c>
      <c r="F1410" s="8" t="s">
        <v>2200</v>
      </c>
      <c r="G1410" s="8" t="s">
        <v>2201</v>
      </c>
      <c r="H1410" s="8" t="s">
        <v>2503</v>
      </c>
    </row>
    <row r="1411" customFormat="false" ht="15" hidden="false" customHeight="false" outlineLevel="0" collapsed="false">
      <c r="A1411" s="7" t="n">
        <v>45642</v>
      </c>
      <c r="B1411" s="7" t="n">
        <v>45736</v>
      </c>
      <c r="C1411" s="8" t="n">
        <v>6381</v>
      </c>
      <c r="D1411" s="8" t="n">
        <v>0</v>
      </c>
      <c r="E1411" s="8" t="n">
        <v>5</v>
      </c>
      <c r="F1411" s="8" t="s">
        <v>2200</v>
      </c>
      <c r="G1411" s="8" t="s">
        <v>2201</v>
      </c>
      <c r="H1411" s="8" t="s">
        <v>2503</v>
      </c>
    </row>
    <row r="1412" customFormat="false" ht="15" hidden="false" customHeight="false" outlineLevel="0" collapsed="false">
      <c r="A1412" s="7" t="n">
        <v>45642</v>
      </c>
      <c r="B1412" s="7" t="n">
        <v>45764</v>
      </c>
      <c r="C1412" s="8" t="n">
        <v>6439</v>
      </c>
      <c r="D1412" s="8" t="n">
        <v>0</v>
      </c>
      <c r="E1412" s="8" t="n">
        <v>0</v>
      </c>
      <c r="F1412" s="8" t="s">
        <v>2200</v>
      </c>
      <c r="G1412" s="8" t="s">
        <v>2201</v>
      </c>
      <c r="H1412" s="8" t="s">
        <v>2503</v>
      </c>
    </row>
    <row r="1413" customFormat="false" ht="15" hidden="false" customHeight="false" outlineLevel="0" collapsed="false">
      <c r="A1413" s="7" t="n">
        <v>45643</v>
      </c>
      <c r="B1413" s="7" t="n">
        <v>45646</v>
      </c>
      <c r="C1413" s="8" t="n">
        <v>6178</v>
      </c>
      <c r="D1413" s="8" t="n">
        <v>1075</v>
      </c>
      <c r="E1413" s="8" t="n">
        <v>6060</v>
      </c>
      <c r="F1413" s="8" t="s">
        <v>2200</v>
      </c>
      <c r="G1413" s="8" t="s">
        <v>2201</v>
      </c>
      <c r="H1413" s="8" t="s">
        <v>2504</v>
      </c>
    </row>
    <row r="1414" customFormat="false" ht="15" hidden="false" customHeight="false" outlineLevel="0" collapsed="false">
      <c r="A1414" s="7" t="n">
        <v>45643</v>
      </c>
      <c r="B1414" s="7" t="n">
        <v>45677</v>
      </c>
      <c r="C1414" s="8" t="n">
        <v>6246</v>
      </c>
      <c r="D1414" s="8" t="n">
        <v>4560</v>
      </c>
      <c r="E1414" s="8" t="n">
        <v>24125</v>
      </c>
      <c r="F1414" s="8" t="s">
        <v>2200</v>
      </c>
      <c r="G1414" s="8" t="s">
        <v>2201</v>
      </c>
      <c r="H1414" s="8" t="s">
        <v>2504</v>
      </c>
    </row>
    <row r="1415" customFormat="false" ht="15" hidden="false" customHeight="false" outlineLevel="0" collapsed="false">
      <c r="A1415" s="7" t="n">
        <v>45643</v>
      </c>
      <c r="B1415" s="7" t="n">
        <v>45708</v>
      </c>
      <c r="C1415" s="8" t="n">
        <v>6280</v>
      </c>
      <c r="D1415" s="8" t="n">
        <v>45</v>
      </c>
      <c r="E1415" s="8" t="n">
        <v>835</v>
      </c>
      <c r="F1415" s="8" t="s">
        <v>2200</v>
      </c>
      <c r="G1415" s="8" t="s">
        <v>2201</v>
      </c>
      <c r="H1415" s="8" t="s">
        <v>2504</v>
      </c>
    </row>
    <row r="1416" customFormat="false" ht="15" hidden="false" customHeight="false" outlineLevel="0" collapsed="false">
      <c r="A1416" s="7" t="n">
        <v>45643</v>
      </c>
      <c r="B1416" s="7" t="n">
        <v>45736</v>
      </c>
      <c r="C1416" s="8" t="n">
        <v>6314</v>
      </c>
      <c r="D1416" s="8" t="n">
        <v>0</v>
      </c>
      <c r="E1416" s="8" t="n">
        <v>5</v>
      </c>
      <c r="F1416" s="8" t="s">
        <v>2200</v>
      </c>
      <c r="G1416" s="8" t="s">
        <v>2201</v>
      </c>
      <c r="H1416" s="8" t="s">
        <v>2504</v>
      </c>
    </row>
    <row r="1417" customFormat="false" ht="15" hidden="false" customHeight="false" outlineLevel="0" collapsed="false">
      <c r="A1417" s="7" t="n">
        <v>45643</v>
      </c>
      <c r="B1417" s="7" t="n">
        <v>45764</v>
      </c>
      <c r="C1417" s="8" t="n">
        <v>6348</v>
      </c>
      <c r="D1417" s="8" t="n">
        <v>0</v>
      </c>
      <c r="E1417" s="8" t="n">
        <v>0</v>
      </c>
      <c r="F1417" s="8" t="s">
        <v>2200</v>
      </c>
      <c r="G1417" s="8" t="s">
        <v>2201</v>
      </c>
      <c r="H1417" s="8" t="s">
        <v>2504</v>
      </c>
    </row>
    <row r="1418" customFormat="false" ht="15" hidden="false" customHeight="false" outlineLevel="0" collapsed="false">
      <c r="A1418" s="7" t="n">
        <v>45644</v>
      </c>
      <c r="B1418" s="7" t="n">
        <v>45646</v>
      </c>
      <c r="C1418" s="8" t="n">
        <v>6247</v>
      </c>
      <c r="D1418" s="8" t="n">
        <v>1625</v>
      </c>
      <c r="E1418" s="8" t="n">
        <v>5155</v>
      </c>
      <c r="F1418" s="8" t="s">
        <v>2200</v>
      </c>
      <c r="G1418" s="8" t="s">
        <v>2201</v>
      </c>
      <c r="H1418" s="8" t="s">
        <v>2505</v>
      </c>
    </row>
    <row r="1419" customFormat="false" ht="15" hidden="false" customHeight="false" outlineLevel="0" collapsed="false">
      <c r="A1419" s="7" t="n">
        <v>45644</v>
      </c>
      <c r="B1419" s="7" t="n">
        <v>45677</v>
      </c>
      <c r="C1419" s="8" t="n">
        <v>6313</v>
      </c>
      <c r="D1419" s="8" t="n">
        <v>4810</v>
      </c>
      <c r="E1419" s="8" t="n">
        <v>23870</v>
      </c>
      <c r="F1419" s="8" t="s">
        <v>2200</v>
      </c>
      <c r="G1419" s="8" t="s">
        <v>2201</v>
      </c>
      <c r="H1419" s="8" t="s">
        <v>2505</v>
      </c>
    </row>
    <row r="1420" customFormat="false" ht="15" hidden="false" customHeight="false" outlineLevel="0" collapsed="false">
      <c r="A1420" s="7" t="n">
        <v>45644</v>
      </c>
      <c r="B1420" s="7" t="n">
        <v>45708</v>
      </c>
      <c r="C1420" s="8" t="n">
        <v>6358</v>
      </c>
      <c r="D1420" s="8" t="n">
        <v>705</v>
      </c>
      <c r="E1420" s="8" t="n">
        <v>1120</v>
      </c>
      <c r="F1420" s="8" t="s">
        <v>2200</v>
      </c>
      <c r="G1420" s="8" t="s">
        <v>2201</v>
      </c>
      <c r="H1420" s="8" t="s">
        <v>2505</v>
      </c>
    </row>
    <row r="1421" customFormat="false" ht="15" hidden="false" customHeight="false" outlineLevel="0" collapsed="false">
      <c r="A1421" s="7" t="n">
        <v>45644</v>
      </c>
      <c r="B1421" s="7" t="n">
        <v>45736</v>
      </c>
      <c r="C1421" s="8" t="n">
        <v>6403</v>
      </c>
      <c r="D1421" s="8" t="n">
        <v>0</v>
      </c>
      <c r="E1421" s="8" t="n">
        <v>5</v>
      </c>
      <c r="F1421" s="8" t="s">
        <v>2200</v>
      </c>
      <c r="G1421" s="8" t="s">
        <v>2201</v>
      </c>
      <c r="H1421" s="8" t="s">
        <v>2505</v>
      </c>
    </row>
    <row r="1422" customFormat="false" ht="15" hidden="false" customHeight="false" outlineLevel="0" collapsed="false">
      <c r="A1422" s="7" t="n">
        <v>45644</v>
      </c>
      <c r="B1422" s="7" t="n">
        <v>45764</v>
      </c>
      <c r="C1422" s="8" t="n">
        <v>6448</v>
      </c>
      <c r="D1422" s="8" t="n">
        <v>0</v>
      </c>
      <c r="E1422" s="8" t="n">
        <v>0</v>
      </c>
      <c r="F1422" s="8" t="s">
        <v>2200</v>
      </c>
      <c r="G1422" s="8" t="s">
        <v>2201</v>
      </c>
      <c r="H1422" s="8" t="s">
        <v>2505</v>
      </c>
    </row>
    <row r="1423" customFormat="false" ht="15" hidden="false" customHeight="false" outlineLevel="0" collapsed="false">
      <c r="A1423" s="7" t="n">
        <v>45645</v>
      </c>
      <c r="B1423" s="7" t="n">
        <v>45646</v>
      </c>
      <c r="C1423" s="8" t="n">
        <v>6281</v>
      </c>
      <c r="D1423" s="8" t="n">
        <v>450</v>
      </c>
      <c r="E1423" s="8" t="n">
        <v>2825</v>
      </c>
      <c r="F1423" s="8" t="s">
        <v>2200</v>
      </c>
      <c r="G1423" s="8" t="s">
        <v>2201</v>
      </c>
      <c r="H1423" s="8" t="s">
        <v>2506</v>
      </c>
    </row>
    <row r="1424" customFormat="false" ht="15" hidden="false" customHeight="false" outlineLevel="0" collapsed="false">
      <c r="A1424" s="7" t="n">
        <v>45645</v>
      </c>
      <c r="B1424" s="7" t="n">
        <v>45677</v>
      </c>
      <c r="C1424" s="8" t="n">
        <v>6328</v>
      </c>
      <c r="D1424" s="8" t="n">
        <v>3225</v>
      </c>
      <c r="E1424" s="8" t="n">
        <v>24170</v>
      </c>
      <c r="F1424" s="8" t="s">
        <v>2200</v>
      </c>
      <c r="G1424" s="8" t="s">
        <v>2201</v>
      </c>
      <c r="H1424" s="8" t="s">
        <v>2506</v>
      </c>
    </row>
    <row r="1425" customFormat="false" ht="15" hidden="false" customHeight="false" outlineLevel="0" collapsed="false">
      <c r="A1425" s="7" t="n">
        <v>45645</v>
      </c>
      <c r="B1425" s="7" t="n">
        <v>45708</v>
      </c>
      <c r="C1425" s="8" t="n">
        <v>6371</v>
      </c>
      <c r="D1425" s="8" t="n">
        <v>525</v>
      </c>
      <c r="E1425" s="8" t="n">
        <v>1390</v>
      </c>
      <c r="F1425" s="8" t="s">
        <v>2200</v>
      </c>
      <c r="G1425" s="8" t="s">
        <v>2201</v>
      </c>
      <c r="H1425" s="8" t="s">
        <v>2506</v>
      </c>
    </row>
    <row r="1426" customFormat="false" ht="15" hidden="false" customHeight="false" outlineLevel="0" collapsed="false">
      <c r="A1426" s="7" t="n">
        <v>45645</v>
      </c>
      <c r="B1426" s="7" t="n">
        <v>45736</v>
      </c>
      <c r="C1426" s="8" t="n">
        <v>6414</v>
      </c>
      <c r="D1426" s="8" t="n">
        <v>0</v>
      </c>
      <c r="E1426" s="8" t="n">
        <v>5</v>
      </c>
      <c r="F1426" s="8" t="s">
        <v>2200</v>
      </c>
      <c r="G1426" s="8" t="s">
        <v>2201</v>
      </c>
      <c r="H1426" s="8" t="s">
        <v>2506</v>
      </c>
    </row>
    <row r="1427" customFormat="false" ht="15" hidden="false" customHeight="false" outlineLevel="0" collapsed="false">
      <c r="A1427" s="7" t="n">
        <v>45645</v>
      </c>
      <c r="B1427" s="7" t="n">
        <v>45764</v>
      </c>
      <c r="C1427" s="8" t="n">
        <v>6457</v>
      </c>
      <c r="D1427" s="8" t="n">
        <v>0</v>
      </c>
      <c r="E1427" s="8" t="n">
        <v>0</v>
      </c>
      <c r="F1427" s="8" t="s">
        <v>2200</v>
      </c>
      <c r="G1427" s="8" t="s">
        <v>2201</v>
      </c>
      <c r="H1427" s="8" t="s">
        <v>2506</v>
      </c>
    </row>
    <row r="1428" customFormat="false" ht="15" hidden="false" customHeight="false" outlineLevel="0" collapsed="false">
      <c r="A1428" s="7" t="n">
        <v>45646</v>
      </c>
      <c r="B1428" s="7" t="n">
        <v>45646</v>
      </c>
      <c r="C1428" s="8" t="n">
        <v>6289</v>
      </c>
      <c r="D1428" s="8" t="n">
        <v>710</v>
      </c>
      <c r="E1428" s="8" t="n">
        <v>1050</v>
      </c>
      <c r="F1428" s="8" t="s">
        <v>2200</v>
      </c>
      <c r="G1428" s="8" t="s">
        <v>2201</v>
      </c>
      <c r="H1428" s="8" t="s">
        <v>2507</v>
      </c>
    </row>
    <row r="1429" customFormat="false" ht="15" hidden="false" customHeight="false" outlineLevel="0" collapsed="false">
      <c r="A1429" s="7" t="n">
        <v>45646</v>
      </c>
      <c r="B1429" s="7" t="n">
        <v>45677</v>
      </c>
      <c r="C1429" s="8" t="n">
        <v>6376</v>
      </c>
      <c r="D1429" s="8" t="n">
        <v>5005</v>
      </c>
      <c r="E1429" s="8" t="n">
        <v>24335</v>
      </c>
      <c r="F1429" s="8" t="s">
        <v>2200</v>
      </c>
      <c r="G1429" s="8" t="s">
        <v>2201</v>
      </c>
      <c r="H1429" s="8" t="s">
        <v>2507</v>
      </c>
    </row>
    <row r="1430" customFormat="false" ht="15" hidden="false" customHeight="false" outlineLevel="0" collapsed="false">
      <c r="A1430" s="7" t="n">
        <v>45646</v>
      </c>
      <c r="B1430" s="7" t="n">
        <v>45708</v>
      </c>
      <c r="C1430" s="8" t="n">
        <v>6402</v>
      </c>
      <c r="D1430" s="8" t="n">
        <v>1220</v>
      </c>
      <c r="E1430" s="8" t="n">
        <v>2035</v>
      </c>
      <c r="F1430" s="8" t="s">
        <v>2200</v>
      </c>
      <c r="G1430" s="8" t="s">
        <v>2201</v>
      </c>
      <c r="H1430" s="8" t="s">
        <v>2507</v>
      </c>
    </row>
    <row r="1431" customFormat="false" ht="15" hidden="false" customHeight="false" outlineLevel="0" collapsed="false">
      <c r="A1431" s="7" t="n">
        <v>45646</v>
      </c>
      <c r="B1431" s="7" t="n">
        <v>45736</v>
      </c>
      <c r="C1431" s="8" t="n">
        <v>6400</v>
      </c>
      <c r="D1431" s="8" t="n">
        <v>160</v>
      </c>
      <c r="E1431" s="8" t="n">
        <v>100</v>
      </c>
      <c r="F1431" s="8" t="s">
        <v>2200</v>
      </c>
      <c r="G1431" s="8" t="s">
        <v>2201</v>
      </c>
      <c r="H1431" s="8" t="s">
        <v>2507</v>
      </c>
    </row>
    <row r="1432" customFormat="false" ht="15" hidden="false" customHeight="false" outlineLevel="0" collapsed="false">
      <c r="A1432" s="7" t="n">
        <v>45646</v>
      </c>
      <c r="B1432" s="7" t="n">
        <v>45764</v>
      </c>
      <c r="C1432" s="8" t="n">
        <v>6514</v>
      </c>
      <c r="D1432" s="8" t="n">
        <v>0</v>
      </c>
      <c r="E1432" s="8" t="n">
        <v>0</v>
      </c>
      <c r="F1432" s="8" t="s">
        <v>2200</v>
      </c>
      <c r="G1432" s="8" t="s">
        <v>2201</v>
      </c>
      <c r="H1432" s="8" t="s">
        <v>2507</v>
      </c>
    </row>
    <row r="1433" customFormat="false" ht="15" hidden="false" customHeight="false" outlineLevel="0" collapsed="false">
      <c r="A1433" s="7" t="n">
        <v>45649</v>
      </c>
      <c r="B1433" s="7" t="n">
        <v>45677</v>
      </c>
      <c r="C1433" s="8" t="n">
        <v>6438</v>
      </c>
      <c r="D1433" s="8" t="n">
        <v>5190</v>
      </c>
      <c r="E1433" s="8" t="n">
        <v>23470</v>
      </c>
      <c r="F1433" s="8" t="s">
        <v>2200</v>
      </c>
      <c r="G1433" s="8" t="s">
        <v>2201</v>
      </c>
      <c r="H1433" s="8" t="s">
        <v>2508</v>
      </c>
    </row>
    <row r="1434" customFormat="false" ht="15" hidden="false" customHeight="false" outlineLevel="0" collapsed="false">
      <c r="A1434" s="7" t="n">
        <v>45649</v>
      </c>
      <c r="B1434" s="7" t="n">
        <v>45708</v>
      </c>
      <c r="C1434" s="8" t="n">
        <v>6460</v>
      </c>
      <c r="D1434" s="8" t="n">
        <v>1425</v>
      </c>
      <c r="E1434" s="8" t="n">
        <v>2700</v>
      </c>
      <c r="F1434" s="8" t="s">
        <v>2200</v>
      </c>
      <c r="G1434" s="8" t="s">
        <v>2201</v>
      </c>
      <c r="H1434" s="8" t="s">
        <v>2508</v>
      </c>
    </row>
    <row r="1435" customFormat="false" ht="15" hidden="false" customHeight="false" outlineLevel="0" collapsed="false">
      <c r="A1435" s="7" t="n">
        <v>45649</v>
      </c>
      <c r="B1435" s="7" t="n">
        <v>45736</v>
      </c>
      <c r="C1435" s="8" t="n">
        <v>6407</v>
      </c>
      <c r="D1435" s="8" t="n">
        <v>265</v>
      </c>
      <c r="E1435" s="8" t="n">
        <v>350</v>
      </c>
      <c r="F1435" s="8" t="s">
        <v>2200</v>
      </c>
      <c r="G1435" s="8" t="s">
        <v>2201</v>
      </c>
      <c r="H1435" s="8" t="s">
        <v>2508</v>
      </c>
    </row>
    <row r="1436" customFormat="false" ht="15" hidden="false" customHeight="false" outlineLevel="0" collapsed="false">
      <c r="A1436" s="7" t="n">
        <v>45649</v>
      </c>
      <c r="B1436" s="7" t="n">
        <v>45764</v>
      </c>
      <c r="C1436" s="8" t="n">
        <v>6556</v>
      </c>
      <c r="D1436" s="8" t="n">
        <v>0</v>
      </c>
      <c r="E1436" s="8" t="n">
        <v>0</v>
      </c>
      <c r="F1436" s="8" t="s">
        <v>2200</v>
      </c>
      <c r="G1436" s="8" t="s">
        <v>2201</v>
      </c>
      <c r="H1436" s="8" t="s">
        <v>2508</v>
      </c>
    </row>
    <row r="1437" customFormat="false" ht="15" hidden="false" customHeight="false" outlineLevel="0" collapsed="false">
      <c r="A1437" s="7" t="n">
        <v>45650</v>
      </c>
      <c r="B1437" s="7" t="n">
        <v>45677</v>
      </c>
      <c r="C1437" s="8" t="n">
        <v>6363</v>
      </c>
      <c r="D1437" s="8" t="n">
        <v>5270</v>
      </c>
      <c r="E1437" s="8" t="n">
        <v>23080</v>
      </c>
      <c r="F1437" s="8" t="s">
        <v>2200</v>
      </c>
      <c r="G1437" s="8" t="s">
        <v>2201</v>
      </c>
      <c r="H1437" s="8" t="s">
        <v>2509</v>
      </c>
    </row>
    <row r="1438" customFormat="false" ht="15" hidden="false" customHeight="false" outlineLevel="0" collapsed="false">
      <c r="A1438" s="7" t="n">
        <v>45650</v>
      </c>
      <c r="B1438" s="7" t="n">
        <v>45708</v>
      </c>
      <c r="C1438" s="8" t="n">
        <v>6394</v>
      </c>
      <c r="D1438" s="8" t="n">
        <v>925</v>
      </c>
      <c r="E1438" s="8" t="n">
        <v>2805</v>
      </c>
      <c r="F1438" s="8" t="s">
        <v>2200</v>
      </c>
      <c r="G1438" s="8" t="s">
        <v>2201</v>
      </c>
      <c r="H1438" s="8" t="s">
        <v>2509</v>
      </c>
    </row>
    <row r="1439" customFormat="false" ht="15" hidden="false" customHeight="false" outlineLevel="0" collapsed="false">
      <c r="A1439" s="7" t="n">
        <v>45650</v>
      </c>
      <c r="B1439" s="7" t="n">
        <v>45736</v>
      </c>
      <c r="C1439" s="8" t="n">
        <v>6410</v>
      </c>
      <c r="D1439" s="8" t="n">
        <v>15</v>
      </c>
      <c r="E1439" s="8" t="n">
        <v>360</v>
      </c>
      <c r="F1439" s="8" t="s">
        <v>2200</v>
      </c>
      <c r="G1439" s="8" t="s">
        <v>2201</v>
      </c>
      <c r="H1439" s="8" t="s">
        <v>2509</v>
      </c>
    </row>
    <row r="1440" customFormat="false" ht="15" hidden="false" customHeight="false" outlineLevel="0" collapsed="false">
      <c r="A1440" s="7" t="n">
        <v>45650</v>
      </c>
      <c r="B1440" s="7" t="n">
        <v>45764</v>
      </c>
      <c r="C1440" s="8" t="n">
        <v>6426</v>
      </c>
      <c r="D1440" s="8" t="n">
        <v>0</v>
      </c>
      <c r="E1440" s="8" t="n">
        <v>0</v>
      </c>
      <c r="F1440" s="8" t="s">
        <v>2200</v>
      </c>
      <c r="G1440" s="8" t="s">
        <v>2201</v>
      </c>
      <c r="H1440" s="8" t="s">
        <v>2509</v>
      </c>
    </row>
    <row r="1441" customFormat="false" ht="15" hidden="false" customHeight="false" outlineLevel="0" collapsed="false">
      <c r="A1441" s="7" t="n">
        <v>45652</v>
      </c>
      <c r="B1441" s="7" t="n">
        <v>45677</v>
      </c>
      <c r="C1441" s="8" t="n">
        <v>6373</v>
      </c>
      <c r="D1441" s="8" t="n">
        <v>2610</v>
      </c>
      <c r="E1441" s="8" t="n">
        <v>22780</v>
      </c>
      <c r="F1441" s="8" t="s">
        <v>2200</v>
      </c>
      <c r="G1441" s="8" t="s">
        <v>2201</v>
      </c>
      <c r="H1441" s="8" t="s">
        <v>2510</v>
      </c>
    </row>
    <row r="1442" customFormat="false" ht="15" hidden="false" customHeight="false" outlineLevel="0" collapsed="false">
      <c r="A1442" s="7" t="n">
        <v>45652</v>
      </c>
      <c r="B1442" s="7" t="n">
        <v>45708</v>
      </c>
      <c r="C1442" s="8" t="n">
        <v>6414</v>
      </c>
      <c r="D1442" s="8" t="n">
        <v>950</v>
      </c>
      <c r="E1442" s="8" t="n">
        <v>3060</v>
      </c>
      <c r="F1442" s="8" t="s">
        <v>2200</v>
      </c>
      <c r="G1442" s="8" t="s">
        <v>2201</v>
      </c>
      <c r="H1442" s="8" t="s">
        <v>2510</v>
      </c>
    </row>
    <row r="1443" customFormat="false" ht="15" hidden="false" customHeight="false" outlineLevel="0" collapsed="false">
      <c r="A1443" s="7" t="n">
        <v>45652</v>
      </c>
      <c r="B1443" s="7" t="n">
        <v>45736</v>
      </c>
      <c r="C1443" s="8" t="n">
        <v>6455</v>
      </c>
      <c r="D1443" s="8" t="n">
        <v>5</v>
      </c>
      <c r="E1443" s="8" t="n">
        <v>360</v>
      </c>
      <c r="F1443" s="8" t="s">
        <v>2200</v>
      </c>
      <c r="G1443" s="8" t="s">
        <v>2201</v>
      </c>
      <c r="H1443" s="8" t="s">
        <v>2510</v>
      </c>
    </row>
    <row r="1444" customFormat="false" ht="15" hidden="false" customHeight="false" outlineLevel="0" collapsed="false">
      <c r="A1444" s="7" t="n">
        <v>45652</v>
      </c>
      <c r="B1444" s="7" t="n">
        <v>45764</v>
      </c>
      <c r="C1444" s="8" t="n">
        <v>6496</v>
      </c>
      <c r="D1444" s="8" t="n">
        <v>0</v>
      </c>
      <c r="E1444" s="8" t="n">
        <v>0</v>
      </c>
      <c r="F1444" s="8" t="s">
        <v>2200</v>
      </c>
      <c r="G1444" s="8" t="s">
        <v>2201</v>
      </c>
      <c r="H1444" s="8" t="s">
        <v>2510</v>
      </c>
    </row>
    <row r="1445" customFormat="false" ht="15" hidden="false" customHeight="false" outlineLevel="0" collapsed="false">
      <c r="A1445" s="7" t="n">
        <v>45653</v>
      </c>
      <c r="B1445" s="7" t="n">
        <v>45677</v>
      </c>
      <c r="C1445" s="8" t="n">
        <v>6371</v>
      </c>
      <c r="D1445" s="8" t="n">
        <v>1515</v>
      </c>
      <c r="E1445" s="8" t="n">
        <v>22655</v>
      </c>
      <c r="F1445" s="8" t="s">
        <v>2200</v>
      </c>
      <c r="G1445" s="8" t="s">
        <v>2201</v>
      </c>
      <c r="H1445" s="8" t="s">
        <v>2511</v>
      </c>
    </row>
    <row r="1446" customFormat="false" ht="15" hidden="false" customHeight="false" outlineLevel="0" collapsed="false">
      <c r="A1446" s="7" t="n">
        <v>45653</v>
      </c>
      <c r="B1446" s="7" t="n">
        <v>45708</v>
      </c>
      <c r="C1446" s="8" t="n">
        <v>6408</v>
      </c>
      <c r="D1446" s="8" t="n">
        <v>495</v>
      </c>
      <c r="E1446" s="8" t="n">
        <v>3230</v>
      </c>
      <c r="F1446" s="8" t="s">
        <v>2200</v>
      </c>
      <c r="G1446" s="8" t="s">
        <v>2201</v>
      </c>
      <c r="H1446" s="8" t="s">
        <v>2511</v>
      </c>
    </row>
    <row r="1447" customFormat="false" ht="15" hidden="false" customHeight="false" outlineLevel="0" collapsed="false">
      <c r="A1447" s="7" t="n">
        <v>45653</v>
      </c>
      <c r="B1447" s="7" t="n">
        <v>45736</v>
      </c>
      <c r="C1447" s="8" t="n">
        <v>6445</v>
      </c>
      <c r="D1447" s="8" t="n">
        <v>0</v>
      </c>
      <c r="E1447" s="8" t="n">
        <v>360</v>
      </c>
      <c r="F1447" s="8" t="s">
        <v>2200</v>
      </c>
      <c r="G1447" s="8" t="s">
        <v>2201</v>
      </c>
      <c r="H1447" s="8" t="s">
        <v>2511</v>
      </c>
    </row>
    <row r="1448" customFormat="false" ht="15" hidden="false" customHeight="false" outlineLevel="0" collapsed="false">
      <c r="A1448" s="7" t="n">
        <v>45653</v>
      </c>
      <c r="B1448" s="7" t="n">
        <v>45764</v>
      </c>
      <c r="C1448" s="8" t="n">
        <v>6482</v>
      </c>
      <c r="D1448" s="8" t="n">
        <v>0</v>
      </c>
      <c r="E1448" s="8" t="n">
        <v>0</v>
      </c>
      <c r="F1448" s="8" t="s">
        <v>2200</v>
      </c>
      <c r="G1448" s="8" t="s">
        <v>2201</v>
      </c>
      <c r="H1448" s="8" t="s">
        <v>2511</v>
      </c>
    </row>
    <row r="1449" customFormat="false" ht="15" hidden="false" customHeight="false" outlineLevel="0" collapsed="false">
      <c r="A1449" s="7" t="n">
        <v>45656</v>
      </c>
      <c r="B1449" s="7" t="n">
        <v>45677</v>
      </c>
      <c r="C1449" s="8" t="n">
        <v>6435</v>
      </c>
      <c r="D1449" s="8" t="n">
        <v>4950</v>
      </c>
      <c r="E1449" s="8" t="n">
        <v>22805</v>
      </c>
      <c r="F1449" s="8" t="s">
        <v>2200</v>
      </c>
      <c r="G1449" s="8" t="s">
        <v>2201</v>
      </c>
      <c r="H1449" s="8" t="s">
        <v>2512</v>
      </c>
    </row>
    <row r="1450" customFormat="false" ht="15" hidden="false" customHeight="false" outlineLevel="0" collapsed="false">
      <c r="A1450" s="7" t="n">
        <v>45656</v>
      </c>
      <c r="B1450" s="7" t="n">
        <v>45708</v>
      </c>
      <c r="C1450" s="8" t="n">
        <v>6461</v>
      </c>
      <c r="D1450" s="8" t="n">
        <v>2285</v>
      </c>
      <c r="E1450" s="8" t="n">
        <v>4630</v>
      </c>
      <c r="F1450" s="8" t="s">
        <v>2200</v>
      </c>
      <c r="G1450" s="8" t="s">
        <v>2201</v>
      </c>
      <c r="H1450" s="8" t="s">
        <v>2512</v>
      </c>
    </row>
    <row r="1451" customFormat="false" ht="15" hidden="false" customHeight="false" outlineLevel="0" collapsed="false">
      <c r="A1451" s="7" t="n">
        <v>45656</v>
      </c>
      <c r="B1451" s="7" t="n">
        <v>45736</v>
      </c>
      <c r="C1451" s="8" t="n">
        <v>6401</v>
      </c>
      <c r="D1451" s="8" t="n">
        <v>305</v>
      </c>
      <c r="E1451" s="8" t="n">
        <v>585</v>
      </c>
      <c r="F1451" s="8" t="s">
        <v>2200</v>
      </c>
      <c r="G1451" s="8" t="s">
        <v>2201</v>
      </c>
      <c r="H1451" s="8" t="s">
        <v>2512</v>
      </c>
    </row>
    <row r="1452" customFormat="false" ht="15" hidden="false" customHeight="false" outlineLevel="0" collapsed="false">
      <c r="A1452" s="7" t="n">
        <v>45656</v>
      </c>
      <c r="B1452" s="7" t="n">
        <v>45764</v>
      </c>
      <c r="C1452" s="8" t="n">
        <v>6401</v>
      </c>
      <c r="D1452" s="8" t="n">
        <v>0</v>
      </c>
      <c r="E1452" s="8" t="n">
        <v>0</v>
      </c>
      <c r="F1452" s="8" t="s">
        <v>2200</v>
      </c>
      <c r="G1452" s="8" t="s">
        <v>2201</v>
      </c>
      <c r="H1452" s="8" t="s">
        <v>2512</v>
      </c>
    </row>
    <row r="1453" customFormat="false" ht="15" hidden="false" customHeight="false" outlineLevel="0" collapsed="false">
      <c r="A1453" s="7" t="n">
        <v>45657</v>
      </c>
      <c r="B1453" s="7" t="n">
        <v>45677</v>
      </c>
      <c r="C1453" s="8" t="n">
        <v>6448</v>
      </c>
      <c r="D1453" s="8" t="n">
        <v>4895</v>
      </c>
      <c r="E1453" s="8" t="n">
        <v>22225</v>
      </c>
      <c r="F1453" s="8" t="s">
        <v>2200</v>
      </c>
      <c r="G1453" s="8" t="s">
        <v>2201</v>
      </c>
      <c r="H1453" s="8" t="s">
        <v>2513</v>
      </c>
    </row>
    <row r="1454" customFormat="false" ht="15" hidden="false" customHeight="false" outlineLevel="0" collapsed="false">
      <c r="A1454" s="7" t="n">
        <v>45657</v>
      </c>
      <c r="B1454" s="7" t="n">
        <v>45708</v>
      </c>
      <c r="C1454" s="8" t="n">
        <v>6449</v>
      </c>
      <c r="D1454" s="8" t="n">
        <v>4095</v>
      </c>
      <c r="E1454" s="8" t="n">
        <v>6800</v>
      </c>
      <c r="F1454" s="8" t="s">
        <v>2200</v>
      </c>
      <c r="G1454" s="8" t="s">
        <v>2201</v>
      </c>
      <c r="H1454" s="8" t="s">
        <v>2513</v>
      </c>
    </row>
    <row r="1455" customFormat="false" ht="15" hidden="false" customHeight="false" outlineLevel="0" collapsed="false">
      <c r="A1455" s="7" t="n">
        <v>45657</v>
      </c>
      <c r="B1455" s="7" t="n">
        <v>45736</v>
      </c>
      <c r="C1455" s="8" t="n">
        <v>6400</v>
      </c>
      <c r="D1455" s="8" t="n">
        <v>525</v>
      </c>
      <c r="E1455" s="8" t="n">
        <v>1085</v>
      </c>
      <c r="F1455" s="8" t="s">
        <v>2200</v>
      </c>
      <c r="G1455" s="8" t="s">
        <v>2201</v>
      </c>
      <c r="H1455" s="8" t="s">
        <v>2513</v>
      </c>
    </row>
    <row r="1456" customFormat="false" ht="15" hidden="false" customHeight="false" outlineLevel="0" collapsed="false">
      <c r="A1456" s="7" t="n">
        <v>45657</v>
      </c>
      <c r="B1456" s="7" t="n">
        <v>45764</v>
      </c>
      <c r="C1456" s="8" t="n">
        <v>6400</v>
      </c>
      <c r="D1456" s="8" t="n">
        <v>0</v>
      </c>
      <c r="E1456" s="8" t="n">
        <v>0</v>
      </c>
      <c r="F1456" s="8" t="s">
        <v>2200</v>
      </c>
      <c r="G1456" s="8" t="s">
        <v>2201</v>
      </c>
      <c r="H1456" s="8" t="s">
        <v>2513</v>
      </c>
    </row>
    <row r="1457" customFormat="false" ht="15" hidden="false" customHeight="false" outlineLevel="0" collapsed="false">
      <c r="A1457" s="7" t="n">
        <v>45658</v>
      </c>
      <c r="B1457" s="7" t="n">
        <v>45677</v>
      </c>
      <c r="C1457" s="8" t="n">
        <v>6479</v>
      </c>
      <c r="D1457" s="8" t="n">
        <v>4805</v>
      </c>
      <c r="E1457" s="8" t="n">
        <v>21795</v>
      </c>
      <c r="F1457" s="8" t="s">
        <v>2200</v>
      </c>
      <c r="G1457" s="8" t="s">
        <v>2201</v>
      </c>
      <c r="H1457" s="8" t="s">
        <v>2514</v>
      </c>
    </row>
    <row r="1458" customFormat="false" ht="15" hidden="false" customHeight="false" outlineLevel="0" collapsed="false">
      <c r="A1458" s="7" t="n">
        <v>45658</v>
      </c>
      <c r="B1458" s="7" t="n">
        <v>45708</v>
      </c>
      <c r="C1458" s="8" t="n">
        <v>6474</v>
      </c>
      <c r="D1458" s="8" t="n">
        <v>3240</v>
      </c>
      <c r="E1458" s="8" t="n">
        <v>7940</v>
      </c>
      <c r="F1458" s="8" t="s">
        <v>2200</v>
      </c>
      <c r="G1458" s="8" t="s">
        <v>2201</v>
      </c>
      <c r="H1458" s="8" t="s">
        <v>2514</v>
      </c>
    </row>
    <row r="1459" customFormat="false" ht="15" hidden="false" customHeight="false" outlineLevel="0" collapsed="false">
      <c r="A1459" s="7" t="n">
        <v>45658</v>
      </c>
      <c r="B1459" s="7" t="n">
        <v>45736</v>
      </c>
      <c r="C1459" s="8" t="n">
        <v>6450</v>
      </c>
      <c r="D1459" s="8" t="n">
        <v>20</v>
      </c>
      <c r="E1459" s="8" t="n">
        <v>1105</v>
      </c>
      <c r="F1459" s="8" t="s">
        <v>2200</v>
      </c>
      <c r="G1459" s="8" t="s">
        <v>2201</v>
      </c>
      <c r="H1459" s="8" t="s">
        <v>2514</v>
      </c>
    </row>
    <row r="1460" customFormat="false" ht="15" hidden="false" customHeight="false" outlineLevel="0" collapsed="false">
      <c r="A1460" s="7" t="n">
        <v>45658</v>
      </c>
      <c r="B1460" s="7" t="n">
        <v>45764</v>
      </c>
      <c r="C1460" s="8" t="n">
        <v>6450</v>
      </c>
      <c r="D1460" s="8" t="n">
        <v>0</v>
      </c>
      <c r="E1460" s="8" t="n">
        <v>0</v>
      </c>
      <c r="F1460" s="8" t="s">
        <v>2200</v>
      </c>
      <c r="G1460" s="8" t="s">
        <v>2201</v>
      </c>
      <c r="H1460" s="8" t="s">
        <v>2514</v>
      </c>
    </row>
    <row r="1461" customFormat="false" ht="15" hidden="false" customHeight="false" outlineLevel="0" collapsed="false">
      <c r="A1461" s="7" t="n">
        <v>45658</v>
      </c>
      <c r="B1461" s="7" t="n">
        <v>45797</v>
      </c>
      <c r="C1461" s="8" t="n">
        <v>6450</v>
      </c>
      <c r="D1461" s="8" t="n">
        <v>0</v>
      </c>
      <c r="E1461" s="8" t="n">
        <v>0</v>
      </c>
      <c r="F1461" s="8" t="s">
        <v>2200</v>
      </c>
      <c r="G1461" s="8" t="s">
        <v>2201</v>
      </c>
      <c r="H1461" s="8" t="s">
        <v>2514</v>
      </c>
    </row>
    <row r="1462" customFormat="false" ht="15" hidden="false" customHeight="false" outlineLevel="0" collapsed="false">
      <c r="A1462" s="7" t="n">
        <v>45659</v>
      </c>
      <c r="B1462" s="7" t="n">
        <v>45677</v>
      </c>
      <c r="C1462" s="8" t="n">
        <v>6463</v>
      </c>
      <c r="D1462" s="8" t="n">
        <v>2985</v>
      </c>
      <c r="E1462" s="8" t="n">
        <v>22470</v>
      </c>
      <c r="F1462" s="8" t="s">
        <v>2200</v>
      </c>
      <c r="G1462" s="8" t="s">
        <v>2201</v>
      </c>
      <c r="H1462" s="8" t="s">
        <v>2515</v>
      </c>
    </row>
    <row r="1463" customFormat="false" ht="15" hidden="false" customHeight="false" outlineLevel="0" collapsed="false">
      <c r="A1463" s="7" t="n">
        <v>45659</v>
      </c>
      <c r="B1463" s="7" t="n">
        <v>45708</v>
      </c>
      <c r="C1463" s="8" t="n">
        <v>6466</v>
      </c>
      <c r="D1463" s="8" t="n">
        <v>1055</v>
      </c>
      <c r="E1463" s="8" t="n">
        <v>8090</v>
      </c>
      <c r="F1463" s="8" t="s">
        <v>2200</v>
      </c>
      <c r="G1463" s="8" t="s">
        <v>2201</v>
      </c>
      <c r="H1463" s="8" t="s">
        <v>2515</v>
      </c>
    </row>
    <row r="1464" customFormat="false" ht="15" hidden="false" customHeight="false" outlineLevel="0" collapsed="false">
      <c r="A1464" s="7" t="n">
        <v>45659</v>
      </c>
      <c r="B1464" s="7" t="n">
        <v>45736</v>
      </c>
      <c r="C1464" s="8" t="n">
        <v>6469</v>
      </c>
      <c r="D1464" s="8" t="n">
        <v>5</v>
      </c>
      <c r="E1464" s="8" t="n">
        <v>1110</v>
      </c>
      <c r="F1464" s="8" t="s">
        <v>2200</v>
      </c>
      <c r="G1464" s="8" t="s">
        <v>2201</v>
      </c>
      <c r="H1464" s="8" t="s">
        <v>2515</v>
      </c>
    </row>
    <row r="1465" customFormat="false" ht="15" hidden="false" customHeight="false" outlineLevel="0" collapsed="false">
      <c r="A1465" s="7" t="n">
        <v>45659</v>
      </c>
      <c r="B1465" s="7" t="n">
        <v>45764</v>
      </c>
      <c r="C1465" s="8" t="n">
        <v>6472</v>
      </c>
      <c r="D1465" s="8" t="n">
        <v>0</v>
      </c>
      <c r="E1465" s="8" t="n">
        <v>0</v>
      </c>
      <c r="F1465" s="8" t="s">
        <v>2200</v>
      </c>
      <c r="G1465" s="8" t="s">
        <v>2201</v>
      </c>
      <c r="H1465" s="8" t="s">
        <v>2515</v>
      </c>
    </row>
    <row r="1466" customFormat="false" ht="15" hidden="false" customHeight="false" outlineLevel="0" collapsed="false">
      <c r="A1466" s="7" t="n">
        <v>45659</v>
      </c>
      <c r="B1466" s="7" t="n">
        <v>45797</v>
      </c>
      <c r="C1466" s="8" t="n">
        <v>6475</v>
      </c>
      <c r="D1466" s="8" t="n">
        <v>0</v>
      </c>
      <c r="E1466" s="8" t="n">
        <v>0</v>
      </c>
      <c r="F1466" s="8" t="s">
        <v>2200</v>
      </c>
      <c r="G1466" s="8" t="s">
        <v>2201</v>
      </c>
      <c r="H1466" s="8" t="s">
        <v>2515</v>
      </c>
    </row>
    <row r="1467" customFormat="false" ht="15" hidden="false" customHeight="false" outlineLevel="0" collapsed="false">
      <c r="A1467" s="7" t="n">
        <v>45660</v>
      </c>
      <c r="B1467" s="7" t="n">
        <v>45677</v>
      </c>
      <c r="C1467" s="8" t="n">
        <v>6373</v>
      </c>
      <c r="D1467" s="8" t="n">
        <v>7025</v>
      </c>
      <c r="E1467" s="8" t="n">
        <v>22520</v>
      </c>
      <c r="F1467" s="8" t="s">
        <v>2200</v>
      </c>
      <c r="G1467" s="8" t="s">
        <v>2201</v>
      </c>
      <c r="H1467" s="8" t="s">
        <v>2516</v>
      </c>
    </row>
    <row r="1468" customFormat="false" ht="15" hidden="false" customHeight="false" outlineLevel="0" collapsed="false">
      <c r="A1468" s="7" t="n">
        <v>45660</v>
      </c>
      <c r="B1468" s="7" t="n">
        <v>45708</v>
      </c>
      <c r="C1468" s="8" t="n">
        <v>6408</v>
      </c>
      <c r="D1468" s="8" t="n">
        <v>5060</v>
      </c>
      <c r="E1468" s="8" t="n">
        <v>9425</v>
      </c>
      <c r="F1468" s="8" t="s">
        <v>2200</v>
      </c>
      <c r="G1468" s="8" t="s">
        <v>2201</v>
      </c>
      <c r="H1468" s="8" t="s">
        <v>2516</v>
      </c>
    </row>
    <row r="1469" customFormat="false" ht="15" hidden="false" customHeight="false" outlineLevel="0" collapsed="false">
      <c r="A1469" s="7" t="n">
        <v>45660</v>
      </c>
      <c r="B1469" s="7" t="n">
        <v>45736</v>
      </c>
      <c r="C1469" s="8" t="n">
        <v>6443</v>
      </c>
      <c r="D1469" s="8" t="n">
        <v>0</v>
      </c>
      <c r="E1469" s="8" t="n">
        <v>1110</v>
      </c>
      <c r="F1469" s="8" t="s">
        <v>2200</v>
      </c>
      <c r="G1469" s="8" t="s">
        <v>2201</v>
      </c>
      <c r="H1469" s="8" t="s">
        <v>2516</v>
      </c>
    </row>
    <row r="1470" customFormat="false" ht="15" hidden="false" customHeight="false" outlineLevel="0" collapsed="false">
      <c r="A1470" s="7" t="n">
        <v>45660</v>
      </c>
      <c r="B1470" s="7" t="n">
        <v>45764</v>
      </c>
      <c r="C1470" s="8" t="n">
        <v>6478</v>
      </c>
      <c r="D1470" s="8" t="n">
        <v>0</v>
      </c>
      <c r="E1470" s="8" t="n">
        <v>0</v>
      </c>
      <c r="F1470" s="8" t="s">
        <v>2200</v>
      </c>
      <c r="G1470" s="8" t="s">
        <v>2201</v>
      </c>
      <c r="H1470" s="8" t="s">
        <v>2516</v>
      </c>
    </row>
    <row r="1471" customFormat="false" ht="15" hidden="false" customHeight="false" outlineLevel="0" collapsed="false">
      <c r="A1471" s="7" t="n">
        <v>45660</v>
      </c>
      <c r="B1471" s="7" t="n">
        <v>45797</v>
      </c>
      <c r="C1471" s="8" t="n">
        <v>6513</v>
      </c>
      <c r="D1471" s="8" t="n">
        <v>0</v>
      </c>
      <c r="E1471" s="8" t="n">
        <v>0</v>
      </c>
      <c r="F1471" s="8" t="s">
        <v>2200</v>
      </c>
      <c r="G1471" s="8" t="s">
        <v>2201</v>
      </c>
      <c r="H1471" s="8" t="s">
        <v>2516</v>
      </c>
    </row>
    <row r="1472" customFormat="false" ht="15" hidden="false" customHeight="false" outlineLevel="0" collapsed="false">
      <c r="A1472" s="7" t="n">
        <v>45663</v>
      </c>
      <c r="B1472" s="7" t="n">
        <v>45677</v>
      </c>
      <c r="C1472" s="8" t="n">
        <v>6296</v>
      </c>
      <c r="D1472" s="8" t="n">
        <v>8875</v>
      </c>
      <c r="E1472" s="8" t="n">
        <v>16430</v>
      </c>
      <c r="F1472" s="8" t="s">
        <v>2200</v>
      </c>
      <c r="G1472" s="8" t="s">
        <v>2201</v>
      </c>
      <c r="H1472" s="8" t="s">
        <v>2517</v>
      </c>
    </row>
    <row r="1473" customFormat="false" ht="15" hidden="false" customHeight="false" outlineLevel="0" collapsed="false">
      <c r="A1473" s="7" t="n">
        <v>45663</v>
      </c>
      <c r="B1473" s="7" t="n">
        <v>45708</v>
      </c>
      <c r="C1473" s="8" t="n">
        <v>6352</v>
      </c>
      <c r="D1473" s="8" t="n">
        <v>6990</v>
      </c>
      <c r="E1473" s="8" t="n">
        <v>10410</v>
      </c>
      <c r="F1473" s="8" t="s">
        <v>2200</v>
      </c>
      <c r="G1473" s="8" t="s">
        <v>2201</v>
      </c>
      <c r="H1473" s="8" t="s">
        <v>2517</v>
      </c>
    </row>
    <row r="1474" customFormat="false" ht="15" hidden="false" customHeight="false" outlineLevel="0" collapsed="false">
      <c r="A1474" s="7" t="n">
        <v>45663</v>
      </c>
      <c r="B1474" s="7" t="n">
        <v>45736</v>
      </c>
      <c r="C1474" s="8" t="n">
        <v>6329</v>
      </c>
      <c r="D1474" s="8" t="n">
        <v>25</v>
      </c>
      <c r="E1474" s="8" t="n">
        <v>1125</v>
      </c>
      <c r="F1474" s="8" t="s">
        <v>2200</v>
      </c>
      <c r="G1474" s="8" t="s">
        <v>2201</v>
      </c>
      <c r="H1474" s="8" t="s">
        <v>2517</v>
      </c>
    </row>
    <row r="1475" customFormat="false" ht="15" hidden="false" customHeight="false" outlineLevel="0" collapsed="false">
      <c r="A1475" s="7" t="n">
        <v>45663</v>
      </c>
      <c r="B1475" s="7" t="n">
        <v>45764</v>
      </c>
      <c r="C1475" s="8" t="n">
        <v>6503</v>
      </c>
      <c r="D1475" s="8" t="n">
        <v>0</v>
      </c>
      <c r="E1475" s="8" t="n">
        <v>0</v>
      </c>
      <c r="F1475" s="8" t="s">
        <v>2200</v>
      </c>
      <c r="G1475" s="8" t="s">
        <v>2201</v>
      </c>
      <c r="H1475" s="8" t="s">
        <v>2517</v>
      </c>
    </row>
    <row r="1476" customFormat="false" ht="15" hidden="false" customHeight="false" outlineLevel="0" collapsed="false">
      <c r="A1476" s="7" t="n">
        <v>45663</v>
      </c>
      <c r="B1476" s="7" t="n">
        <v>45797</v>
      </c>
      <c r="C1476" s="8" t="n">
        <v>6677</v>
      </c>
      <c r="D1476" s="8" t="n">
        <v>0</v>
      </c>
      <c r="E1476" s="8" t="n">
        <v>0</v>
      </c>
      <c r="F1476" s="8" t="s">
        <v>2200</v>
      </c>
      <c r="G1476" s="8" t="s">
        <v>2201</v>
      </c>
      <c r="H1476" s="8" t="s">
        <v>2517</v>
      </c>
    </row>
    <row r="1477" customFormat="false" ht="15" hidden="false" customHeight="false" outlineLevel="0" collapsed="false">
      <c r="A1477" s="7" t="n">
        <v>45664</v>
      </c>
      <c r="B1477" s="7" t="n">
        <v>45677</v>
      </c>
      <c r="C1477" s="8" t="n">
        <v>6343</v>
      </c>
      <c r="D1477" s="8" t="n">
        <v>3295</v>
      </c>
      <c r="E1477" s="8" t="n">
        <v>14115</v>
      </c>
      <c r="F1477" s="8" t="s">
        <v>2200</v>
      </c>
      <c r="G1477" s="8" t="s">
        <v>2201</v>
      </c>
      <c r="H1477" s="8" t="s">
        <v>2518</v>
      </c>
    </row>
    <row r="1478" customFormat="false" ht="15" hidden="false" customHeight="false" outlineLevel="0" collapsed="false">
      <c r="A1478" s="7" t="n">
        <v>45664</v>
      </c>
      <c r="B1478" s="7" t="n">
        <v>45708</v>
      </c>
      <c r="C1478" s="8" t="n">
        <v>6403</v>
      </c>
      <c r="D1478" s="8" t="n">
        <v>4225</v>
      </c>
      <c r="E1478" s="8" t="n">
        <v>12730</v>
      </c>
      <c r="F1478" s="8" t="s">
        <v>2200</v>
      </c>
      <c r="G1478" s="8" t="s">
        <v>2201</v>
      </c>
      <c r="H1478" s="8" t="s">
        <v>2518</v>
      </c>
    </row>
    <row r="1479" customFormat="false" ht="15" hidden="false" customHeight="false" outlineLevel="0" collapsed="false">
      <c r="A1479" s="7" t="n">
        <v>45664</v>
      </c>
      <c r="B1479" s="7" t="n">
        <v>45736</v>
      </c>
      <c r="C1479" s="8" t="n">
        <v>6463</v>
      </c>
      <c r="D1479" s="8" t="n">
        <v>0</v>
      </c>
      <c r="E1479" s="8" t="n">
        <v>1125</v>
      </c>
      <c r="F1479" s="8" t="s">
        <v>2200</v>
      </c>
      <c r="G1479" s="8" t="s">
        <v>2201</v>
      </c>
      <c r="H1479" s="8" t="s">
        <v>2518</v>
      </c>
    </row>
    <row r="1480" customFormat="false" ht="15" hidden="false" customHeight="false" outlineLevel="0" collapsed="false">
      <c r="A1480" s="7" t="n">
        <v>45664</v>
      </c>
      <c r="B1480" s="7" t="n">
        <v>45764</v>
      </c>
      <c r="C1480" s="8" t="n">
        <v>6523</v>
      </c>
      <c r="D1480" s="8" t="n">
        <v>0</v>
      </c>
      <c r="E1480" s="8" t="n">
        <v>0</v>
      </c>
      <c r="F1480" s="8" t="s">
        <v>2200</v>
      </c>
      <c r="G1480" s="8" t="s">
        <v>2201</v>
      </c>
      <c r="H1480" s="8" t="s">
        <v>2518</v>
      </c>
    </row>
    <row r="1481" customFormat="false" ht="15" hidden="false" customHeight="false" outlineLevel="0" collapsed="false">
      <c r="A1481" s="7" t="n">
        <v>45664</v>
      </c>
      <c r="B1481" s="7" t="n">
        <v>45797</v>
      </c>
      <c r="C1481" s="8" t="n">
        <v>6583</v>
      </c>
      <c r="D1481" s="8" t="n">
        <v>0</v>
      </c>
      <c r="E1481" s="8" t="n">
        <v>0</v>
      </c>
      <c r="F1481" s="8" t="s">
        <v>2200</v>
      </c>
      <c r="G1481" s="8" t="s">
        <v>2201</v>
      </c>
      <c r="H1481" s="8" t="s">
        <v>2518</v>
      </c>
    </row>
    <row r="1482" customFormat="false" ht="15" hidden="false" customHeight="false" outlineLevel="0" collapsed="false">
      <c r="A1482" s="7" t="n">
        <v>45665</v>
      </c>
      <c r="B1482" s="7" t="n">
        <v>45677</v>
      </c>
      <c r="C1482" s="8" t="n">
        <v>6318</v>
      </c>
      <c r="D1482" s="8" t="n">
        <v>2750</v>
      </c>
      <c r="E1482" s="8" t="n">
        <v>13065</v>
      </c>
      <c r="F1482" s="8" t="s">
        <v>2200</v>
      </c>
      <c r="G1482" s="8" t="s">
        <v>2201</v>
      </c>
      <c r="H1482" s="8" t="s">
        <v>2519</v>
      </c>
    </row>
    <row r="1483" customFormat="false" ht="15" hidden="false" customHeight="false" outlineLevel="0" collapsed="false">
      <c r="A1483" s="7" t="n">
        <v>45665</v>
      </c>
      <c r="B1483" s="7" t="n">
        <v>45708</v>
      </c>
      <c r="C1483" s="8" t="n">
        <v>6368</v>
      </c>
      <c r="D1483" s="8" t="n">
        <v>3870</v>
      </c>
      <c r="E1483" s="8" t="n">
        <v>13230</v>
      </c>
      <c r="F1483" s="8" t="s">
        <v>2200</v>
      </c>
      <c r="G1483" s="8" t="s">
        <v>2201</v>
      </c>
      <c r="H1483" s="8" t="s">
        <v>2519</v>
      </c>
    </row>
    <row r="1484" customFormat="false" ht="15" hidden="false" customHeight="false" outlineLevel="0" collapsed="false">
      <c r="A1484" s="7" t="n">
        <v>45665</v>
      </c>
      <c r="B1484" s="7" t="n">
        <v>45736</v>
      </c>
      <c r="C1484" s="8" t="n">
        <v>6371</v>
      </c>
      <c r="D1484" s="8" t="n">
        <v>995</v>
      </c>
      <c r="E1484" s="8" t="n">
        <v>1625</v>
      </c>
      <c r="F1484" s="8" t="s">
        <v>2200</v>
      </c>
      <c r="G1484" s="8" t="s">
        <v>2201</v>
      </c>
      <c r="H1484" s="8" t="s">
        <v>2519</v>
      </c>
    </row>
    <row r="1485" customFormat="false" ht="15" hidden="false" customHeight="false" outlineLevel="0" collapsed="false">
      <c r="A1485" s="7" t="n">
        <v>45665</v>
      </c>
      <c r="B1485" s="7" t="n">
        <v>45764</v>
      </c>
      <c r="C1485" s="8" t="n">
        <v>6374</v>
      </c>
      <c r="D1485" s="8" t="n">
        <v>0</v>
      </c>
      <c r="E1485" s="8" t="n">
        <v>0</v>
      </c>
      <c r="F1485" s="8" t="s">
        <v>2200</v>
      </c>
      <c r="G1485" s="8" t="s">
        <v>2201</v>
      </c>
      <c r="H1485" s="8" t="s">
        <v>2519</v>
      </c>
    </row>
    <row r="1486" customFormat="false" ht="15" hidden="false" customHeight="false" outlineLevel="0" collapsed="false">
      <c r="A1486" s="7" t="n">
        <v>45665</v>
      </c>
      <c r="B1486" s="7" t="n">
        <v>45797</v>
      </c>
      <c r="C1486" s="8" t="n">
        <v>6377</v>
      </c>
      <c r="D1486" s="8" t="n">
        <v>0</v>
      </c>
      <c r="E1486" s="8" t="n">
        <v>0</v>
      </c>
      <c r="F1486" s="8" t="s">
        <v>2200</v>
      </c>
      <c r="G1486" s="8" t="s">
        <v>2201</v>
      </c>
      <c r="H1486" s="8" t="s">
        <v>2519</v>
      </c>
    </row>
    <row r="1487" customFormat="false" ht="15" hidden="false" customHeight="false" outlineLevel="0" collapsed="false">
      <c r="A1487" s="7" t="n">
        <v>45666</v>
      </c>
      <c r="B1487" s="7" t="n">
        <v>45677</v>
      </c>
      <c r="C1487" s="8" t="n">
        <v>6318</v>
      </c>
      <c r="D1487" s="8" t="n">
        <v>2500</v>
      </c>
      <c r="E1487" s="8" t="n">
        <v>11775</v>
      </c>
      <c r="F1487" s="8" t="s">
        <v>2200</v>
      </c>
      <c r="G1487" s="8" t="s">
        <v>2201</v>
      </c>
      <c r="H1487" s="8" t="s">
        <v>2520</v>
      </c>
    </row>
    <row r="1488" customFormat="false" ht="15" hidden="false" customHeight="false" outlineLevel="0" collapsed="false">
      <c r="A1488" s="7" t="n">
        <v>45666</v>
      </c>
      <c r="B1488" s="7" t="n">
        <v>45708</v>
      </c>
      <c r="C1488" s="8" t="n">
        <v>6368</v>
      </c>
      <c r="D1488" s="8" t="n">
        <v>3170</v>
      </c>
      <c r="E1488" s="8" t="n">
        <v>14785</v>
      </c>
      <c r="F1488" s="8" t="s">
        <v>2200</v>
      </c>
      <c r="G1488" s="8" t="s">
        <v>2201</v>
      </c>
      <c r="H1488" s="8" t="s">
        <v>2520</v>
      </c>
    </row>
    <row r="1489" customFormat="false" ht="15" hidden="false" customHeight="false" outlineLevel="0" collapsed="false">
      <c r="A1489" s="7" t="n">
        <v>45666</v>
      </c>
      <c r="B1489" s="7" t="n">
        <v>45736</v>
      </c>
      <c r="C1489" s="8" t="n">
        <v>6367</v>
      </c>
      <c r="D1489" s="8" t="n">
        <v>240</v>
      </c>
      <c r="E1489" s="8" t="n">
        <v>1760</v>
      </c>
      <c r="F1489" s="8" t="s">
        <v>2200</v>
      </c>
      <c r="G1489" s="8" t="s">
        <v>2201</v>
      </c>
      <c r="H1489" s="8" t="s">
        <v>2520</v>
      </c>
    </row>
    <row r="1490" customFormat="false" ht="15" hidden="false" customHeight="false" outlineLevel="0" collapsed="false">
      <c r="A1490" s="7" t="n">
        <v>45666</v>
      </c>
      <c r="B1490" s="7" t="n">
        <v>45764</v>
      </c>
      <c r="C1490" s="8" t="n">
        <v>6367</v>
      </c>
      <c r="D1490" s="8" t="n">
        <v>0</v>
      </c>
      <c r="E1490" s="8" t="n">
        <v>0</v>
      </c>
      <c r="F1490" s="8" t="s">
        <v>2200</v>
      </c>
      <c r="G1490" s="8" t="s">
        <v>2201</v>
      </c>
      <c r="H1490" s="8" t="s">
        <v>2520</v>
      </c>
    </row>
    <row r="1491" customFormat="false" ht="15" hidden="false" customHeight="false" outlineLevel="0" collapsed="false">
      <c r="A1491" s="7" t="n">
        <v>45666</v>
      </c>
      <c r="B1491" s="7" t="n">
        <v>45797</v>
      </c>
      <c r="C1491" s="8" t="n">
        <v>6367</v>
      </c>
      <c r="D1491" s="8" t="n">
        <v>0</v>
      </c>
      <c r="E1491" s="8" t="n">
        <v>0</v>
      </c>
      <c r="F1491" s="8" t="s">
        <v>2200</v>
      </c>
      <c r="G1491" s="8" t="s">
        <v>2201</v>
      </c>
      <c r="H1491" s="8" t="s">
        <v>2520</v>
      </c>
    </row>
    <row r="1492" customFormat="false" ht="15" hidden="false" customHeight="false" outlineLevel="0" collapsed="false">
      <c r="A1492" s="7" t="n">
        <v>45667</v>
      </c>
      <c r="B1492" s="7" t="n">
        <v>45677</v>
      </c>
      <c r="C1492" s="8" t="n">
        <v>6334</v>
      </c>
      <c r="D1492" s="8" t="n">
        <v>3245</v>
      </c>
      <c r="E1492" s="8" t="n">
        <v>10165</v>
      </c>
      <c r="F1492" s="8" t="s">
        <v>2200</v>
      </c>
      <c r="G1492" s="8" t="s">
        <v>2201</v>
      </c>
      <c r="H1492" s="8" t="s">
        <v>2521</v>
      </c>
    </row>
    <row r="1493" customFormat="false" ht="15" hidden="false" customHeight="false" outlineLevel="0" collapsed="false">
      <c r="A1493" s="7" t="n">
        <v>45667</v>
      </c>
      <c r="B1493" s="7" t="n">
        <v>45708</v>
      </c>
      <c r="C1493" s="8" t="n">
        <v>6389</v>
      </c>
      <c r="D1493" s="8" t="n">
        <v>3660</v>
      </c>
      <c r="E1493" s="8" t="n">
        <v>16640</v>
      </c>
      <c r="F1493" s="8" t="s">
        <v>2200</v>
      </c>
      <c r="G1493" s="8" t="s">
        <v>2201</v>
      </c>
      <c r="H1493" s="8" t="s">
        <v>2521</v>
      </c>
    </row>
    <row r="1494" customFormat="false" ht="15" hidden="false" customHeight="false" outlineLevel="0" collapsed="false">
      <c r="A1494" s="7" t="n">
        <v>45667</v>
      </c>
      <c r="B1494" s="7" t="n">
        <v>45736</v>
      </c>
      <c r="C1494" s="8" t="n">
        <v>6399</v>
      </c>
      <c r="D1494" s="8" t="n">
        <v>60</v>
      </c>
      <c r="E1494" s="8" t="n">
        <v>1760</v>
      </c>
      <c r="F1494" s="8" t="s">
        <v>2200</v>
      </c>
      <c r="G1494" s="8" t="s">
        <v>2201</v>
      </c>
      <c r="H1494" s="8" t="s">
        <v>2521</v>
      </c>
    </row>
    <row r="1495" customFormat="false" ht="15" hidden="false" customHeight="false" outlineLevel="0" collapsed="false">
      <c r="A1495" s="7" t="n">
        <v>45667</v>
      </c>
      <c r="B1495" s="7" t="n">
        <v>45764</v>
      </c>
      <c r="C1495" s="8" t="n">
        <v>6409</v>
      </c>
      <c r="D1495" s="8" t="n">
        <v>0</v>
      </c>
      <c r="E1495" s="8" t="n">
        <v>0</v>
      </c>
      <c r="F1495" s="8" t="s">
        <v>2200</v>
      </c>
      <c r="G1495" s="8" t="s">
        <v>2201</v>
      </c>
      <c r="H1495" s="8" t="s">
        <v>2521</v>
      </c>
    </row>
    <row r="1496" customFormat="false" ht="15" hidden="false" customHeight="false" outlineLevel="0" collapsed="false">
      <c r="A1496" s="7" t="n">
        <v>45667</v>
      </c>
      <c r="B1496" s="7" t="n">
        <v>45797</v>
      </c>
      <c r="C1496" s="8" t="n">
        <v>6419</v>
      </c>
      <c r="D1496" s="8" t="n">
        <v>0</v>
      </c>
      <c r="E1496" s="8" t="n">
        <v>0</v>
      </c>
      <c r="F1496" s="8" t="s">
        <v>2200</v>
      </c>
      <c r="G1496" s="8" t="s">
        <v>2201</v>
      </c>
      <c r="H1496" s="8" t="s">
        <v>2521</v>
      </c>
    </row>
    <row r="1497" customFormat="false" ht="15" hidden="false" customHeight="false" outlineLevel="0" collapsed="false">
      <c r="A1497" s="7" t="n">
        <v>45670</v>
      </c>
      <c r="B1497" s="7" t="n">
        <v>45677</v>
      </c>
      <c r="C1497" s="8" t="n">
        <v>6328</v>
      </c>
      <c r="D1497" s="8" t="n">
        <v>4695</v>
      </c>
      <c r="E1497" s="8" t="n">
        <v>7570</v>
      </c>
      <c r="F1497" s="8" t="s">
        <v>2200</v>
      </c>
      <c r="G1497" s="8" t="s">
        <v>2201</v>
      </c>
      <c r="H1497" s="8" t="s">
        <v>2522</v>
      </c>
    </row>
    <row r="1498" customFormat="false" ht="15" hidden="false" customHeight="false" outlineLevel="0" collapsed="false">
      <c r="A1498" s="7" t="n">
        <v>45670</v>
      </c>
      <c r="B1498" s="7" t="n">
        <v>45708</v>
      </c>
      <c r="C1498" s="8" t="n">
        <v>6384</v>
      </c>
      <c r="D1498" s="8" t="n">
        <v>6215</v>
      </c>
      <c r="E1498" s="8" t="n">
        <v>18785</v>
      </c>
      <c r="F1498" s="8" t="s">
        <v>2200</v>
      </c>
      <c r="G1498" s="8" t="s">
        <v>2201</v>
      </c>
      <c r="H1498" s="8" t="s">
        <v>2522</v>
      </c>
    </row>
    <row r="1499" customFormat="false" ht="15" hidden="false" customHeight="false" outlineLevel="0" collapsed="false">
      <c r="A1499" s="7" t="n">
        <v>45670</v>
      </c>
      <c r="B1499" s="7" t="n">
        <v>45736</v>
      </c>
      <c r="C1499" s="8" t="n">
        <v>6408</v>
      </c>
      <c r="D1499" s="8" t="n">
        <v>340</v>
      </c>
      <c r="E1499" s="8" t="n">
        <v>2070</v>
      </c>
      <c r="F1499" s="8" t="s">
        <v>2200</v>
      </c>
      <c r="G1499" s="8" t="s">
        <v>2201</v>
      </c>
      <c r="H1499" s="8" t="s">
        <v>2522</v>
      </c>
    </row>
    <row r="1500" customFormat="false" ht="15" hidden="false" customHeight="false" outlineLevel="0" collapsed="false">
      <c r="A1500" s="7" t="n">
        <v>45670</v>
      </c>
      <c r="B1500" s="7" t="n">
        <v>45764</v>
      </c>
      <c r="C1500" s="8" t="n">
        <v>6411</v>
      </c>
      <c r="D1500" s="8" t="n">
        <v>80</v>
      </c>
      <c r="E1500" s="8" t="n">
        <v>80</v>
      </c>
      <c r="F1500" s="8" t="s">
        <v>2200</v>
      </c>
      <c r="G1500" s="8" t="s">
        <v>2201</v>
      </c>
      <c r="H1500" s="8" t="s">
        <v>2522</v>
      </c>
    </row>
    <row r="1501" customFormat="false" ht="15" hidden="false" customHeight="false" outlineLevel="0" collapsed="false">
      <c r="A1501" s="7" t="n">
        <v>45670</v>
      </c>
      <c r="B1501" s="7" t="n">
        <v>45797</v>
      </c>
      <c r="C1501" s="8" t="n">
        <v>6414</v>
      </c>
      <c r="D1501" s="8" t="n">
        <v>0</v>
      </c>
      <c r="E1501" s="8" t="n">
        <v>0</v>
      </c>
      <c r="F1501" s="8" t="s">
        <v>2200</v>
      </c>
      <c r="G1501" s="8" t="s">
        <v>2201</v>
      </c>
      <c r="H1501" s="8" t="s">
        <v>2522</v>
      </c>
    </row>
    <row r="1502" customFormat="false" ht="15" hidden="false" customHeight="false" outlineLevel="0" collapsed="false">
      <c r="A1502" s="7" t="n">
        <v>45671</v>
      </c>
      <c r="B1502" s="7" t="n">
        <v>45677</v>
      </c>
      <c r="C1502" s="8" t="n">
        <v>6342</v>
      </c>
      <c r="D1502" s="8" t="n">
        <v>3130</v>
      </c>
      <c r="E1502" s="8" t="n">
        <v>6715</v>
      </c>
      <c r="F1502" s="8" t="s">
        <v>2200</v>
      </c>
      <c r="G1502" s="8" t="s">
        <v>2201</v>
      </c>
      <c r="H1502" s="8" t="s">
        <v>2523</v>
      </c>
    </row>
    <row r="1503" customFormat="false" ht="15" hidden="false" customHeight="false" outlineLevel="0" collapsed="false">
      <c r="A1503" s="7" t="n">
        <v>45671</v>
      </c>
      <c r="B1503" s="7" t="n">
        <v>45708</v>
      </c>
      <c r="C1503" s="8" t="n">
        <v>6403</v>
      </c>
      <c r="D1503" s="8" t="n">
        <v>4455</v>
      </c>
      <c r="E1503" s="8" t="n">
        <v>20945</v>
      </c>
      <c r="F1503" s="8" t="s">
        <v>2200</v>
      </c>
      <c r="G1503" s="8" t="s">
        <v>2201</v>
      </c>
      <c r="H1503" s="8" t="s">
        <v>2523</v>
      </c>
    </row>
    <row r="1504" customFormat="false" ht="15" hidden="false" customHeight="false" outlineLevel="0" collapsed="false">
      <c r="A1504" s="7" t="n">
        <v>45671</v>
      </c>
      <c r="B1504" s="7" t="n">
        <v>45736</v>
      </c>
      <c r="C1504" s="8" t="n">
        <v>6399</v>
      </c>
      <c r="D1504" s="8" t="n">
        <v>315</v>
      </c>
      <c r="E1504" s="8" t="n">
        <v>2300</v>
      </c>
      <c r="F1504" s="8" t="s">
        <v>2200</v>
      </c>
      <c r="G1504" s="8" t="s">
        <v>2201</v>
      </c>
      <c r="H1504" s="8" t="s">
        <v>2523</v>
      </c>
    </row>
    <row r="1505" customFormat="false" ht="15" hidden="false" customHeight="false" outlineLevel="0" collapsed="false">
      <c r="A1505" s="7" t="n">
        <v>45671</v>
      </c>
      <c r="B1505" s="7" t="n">
        <v>45764</v>
      </c>
      <c r="C1505" s="8" t="n">
        <v>6411</v>
      </c>
      <c r="D1505" s="8" t="n">
        <v>5</v>
      </c>
      <c r="E1505" s="8" t="n">
        <v>85</v>
      </c>
      <c r="F1505" s="8" t="s">
        <v>2200</v>
      </c>
      <c r="G1505" s="8" t="s">
        <v>2201</v>
      </c>
      <c r="H1505" s="8" t="s">
        <v>2523</v>
      </c>
    </row>
    <row r="1506" customFormat="false" ht="15" hidden="false" customHeight="false" outlineLevel="0" collapsed="false">
      <c r="A1506" s="7" t="n">
        <v>45671</v>
      </c>
      <c r="B1506" s="7" t="n">
        <v>45797</v>
      </c>
      <c r="C1506" s="8" t="n">
        <v>6423</v>
      </c>
      <c r="D1506" s="8" t="n">
        <v>0</v>
      </c>
      <c r="E1506" s="8" t="n">
        <v>0</v>
      </c>
      <c r="F1506" s="8" t="s">
        <v>2200</v>
      </c>
      <c r="G1506" s="8" t="s">
        <v>2201</v>
      </c>
      <c r="H1506" s="8" t="s">
        <v>2523</v>
      </c>
    </row>
    <row r="1507" customFormat="false" ht="15" hidden="false" customHeight="false" outlineLevel="0" collapsed="false">
      <c r="A1507" s="7" t="n">
        <v>45672</v>
      </c>
      <c r="B1507" s="7" t="n">
        <v>45677</v>
      </c>
      <c r="C1507" s="8" t="n">
        <v>6320</v>
      </c>
      <c r="D1507" s="8" t="n">
        <v>2070</v>
      </c>
      <c r="E1507" s="8" t="n">
        <v>5975</v>
      </c>
      <c r="F1507" s="8" t="s">
        <v>2200</v>
      </c>
      <c r="G1507" s="8" t="s">
        <v>2201</v>
      </c>
      <c r="H1507" s="8" t="s">
        <v>2524</v>
      </c>
    </row>
    <row r="1508" customFormat="false" ht="15" hidden="false" customHeight="false" outlineLevel="0" collapsed="false">
      <c r="A1508" s="7" t="n">
        <v>45672</v>
      </c>
      <c r="B1508" s="7" t="n">
        <v>45708</v>
      </c>
      <c r="C1508" s="8" t="n">
        <v>6382</v>
      </c>
      <c r="D1508" s="8" t="n">
        <v>4350</v>
      </c>
      <c r="E1508" s="8" t="n">
        <v>22015</v>
      </c>
      <c r="F1508" s="8" t="s">
        <v>2200</v>
      </c>
      <c r="G1508" s="8" t="s">
        <v>2201</v>
      </c>
      <c r="H1508" s="8" t="s">
        <v>2524</v>
      </c>
    </row>
    <row r="1509" customFormat="false" ht="15" hidden="false" customHeight="false" outlineLevel="0" collapsed="false">
      <c r="A1509" s="7" t="n">
        <v>45672</v>
      </c>
      <c r="B1509" s="7" t="n">
        <v>45736</v>
      </c>
      <c r="C1509" s="8" t="n">
        <v>6387</v>
      </c>
      <c r="D1509" s="8" t="n">
        <v>150</v>
      </c>
      <c r="E1509" s="8" t="n">
        <v>2375</v>
      </c>
      <c r="F1509" s="8" t="s">
        <v>2200</v>
      </c>
      <c r="G1509" s="8" t="s">
        <v>2201</v>
      </c>
      <c r="H1509" s="8" t="s">
        <v>2524</v>
      </c>
    </row>
    <row r="1510" customFormat="false" ht="15" hidden="false" customHeight="false" outlineLevel="0" collapsed="false">
      <c r="A1510" s="7" t="n">
        <v>45672</v>
      </c>
      <c r="B1510" s="7" t="n">
        <v>45764</v>
      </c>
      <c r="C1510" s="8" t="n">
        <v>6380</v>
      </c>
      <c r="D1510" s="8" t="n">
        <v>10</v>
      </c>
      <c r="E1510" s="8" t="n">
        <v>95</v>
      </c>
      <c r="F1510" s="8" t="s">
        <v>2200</v>
      </c>
      <c r="G1510" s="8" t="s">
        <v>2201</v>
      </c>
      <c r="H1510" s="8" t="s">
        <v>2524</v>
      </c>
    </row>
    <row r="1511" customFormat="false" ht="15" hidden="false" customHeight="false" outlineLevel="0" collapsed="false">
      <c r="A1511" s="7" t="n">
        <v>45672</v>
      </c>
      <c r="B1511" s="7" t="n">
        <v>45797</v>
      </c>
      <c r="C1511" s="8" t="n">
        <v>6380</v>
      </c>
      <c r="D1511" s="8" t="n">
        <v>0</v>
      </c>
      <c r="E1511" s="8" t="n">
        <v>0</v>
      </c>
      <c r="F1511" s="8" t="s">
        <v>2200</v>
      </c>
      <c r="G1511" s="8" t="s">
        <v>2201</v>
      </c>
      <c r="H1511" s="8" t="s">
        <v>2524</v>
      </c>
    </row>
    <row r="1512" customFormat="false" ht="15" hidden="false" customHeight="false" outlineLevel="0" collapsed="false">
      <c r="A1512" s="7" t="n">
        <v>45673</v>
      </c>
      <c r="B1512" s="7" t="n">
        <v>45677</v>
      </c>
      <c r="C1512" s="8" t="n">
        <v>6380</v>
      </c>
      <c r="D1512" s="8" t="n">
        <v>3760</v>
      </c>
      <c r="E1512" s="8" t="n">
        <v>5070</v>
      </c>
      <c r="F1512" s="8" t="s">
        <v>2200</v>
      </c>
      <c r="G1512" s="8" t="s">
        <v>2201</v>
      </c>
      <c r="H1512" s="8" t="s">
        <v>2525</v>
      </c>
    </row>
    <row r="1513" customFormat="false" ht="15" hidden="false" customHeight="false" outlineLevel="0" collapsed="false">
      <c r="A1513" s="7" t="n">
        <v>45673</v>
      </c>
      <c r="B1513" s="7" t="n">
        <v>45708</v>
      </c>
      <c r="C1513" s="8" t="n">
        <v>6428</v>
      </c>
      <c r="D1513" s="8" t="n">
        <v>3390</v>
      </c>
      <c r="E1513" s="8" t="n">
        <v>22335</v>
      </c>
      <c r="F1513" s="8" t="s">
        <v>2200</v>
      </c>
      <c r="G1513" s="8" t="s">
        <v>2201</v>
      </c>
      <c r="H1513" s="8" t="s">
        <v>2525</v>
      </c>
    </row>
    <row r="1514" customFormat="false" ht="15" hidden="false" customHeight="false" outlineLevel="0" collapsed="false">
      <c r="A1514" s="7" t="n">
        <v>45673</v>
      </c>
      <c r="B1514" s="7" t="n">
        <v>45736</v>
      </c>
      <c r="C1514" s="8" t="n">
        <v>6421</v>
      </c>
      <c r="D1514" s="8" t="n">
        <v>650</v>
      </c>
      <c r="E1514" s="8" t="n">
        <v>2785</v>
      </c>
      <c r="F1514" s="8" t="s">
        <v>2200</v>
      </c>
      <c r="G1514" s="8" t="s">
        <v>2201</v>
      </c>
      <c r="H1514" s="8" t="s">
        <v>2525</v>
      </c>
    </row>
    <row r="1515" customFormat="false" ht="15" hidden="false" customHeight="false" outlineLevel="0" collapsed="false">
      <c r="A1515" s="7" t="n">
        <v>45673</v>
      </c>
      <c r="B1515" s="7" t="n">
        <v>45764</v>
      </c>
      <c r="C1515" s="8" t="n">
        <v>6421</v>
      </c>
      <c r="D1515" s="8" t="n">
        <v>0</v>
      </c>
      <c r="E1515" s="8" t="n">
        <v>95</v>
      </c>
      <c r="F1515" s="8" t="s">
        <v>2200</v>
      </c>
      <c r="G1515" s="8" t="s">
        <v>2201</v>
      </c>
      <c r="H1515" s="8" t="s">
        <v>2525</v>
      </c>
    </row>
    <row r="1516" customFormat="false" ht="15" hidden="false" customHeight="false" outlineLevel="0" collapsed="false">
      <c r="A1516" s="7" t="n">
        <v>45673</v>
      </c>
      <c r="B1516" s="7" t="n">
        <v>45797</v>
      </c>
      <c r="C1516" s="8" t="n">
        <v>6421</v>
      </c>
      <c r="D1516" s="8" t="n">
        <v>0</v>
      </c>
      <c r="E1516" s="8" t="n">
        <v>0</v>
      </c>
      <c r="F1516" s="8" t="s">
        <v>2200</v>
      </c>
      <c r="G1516" s="8" t="s">
        <v>2201</v>
      </c>
      <c r="H1516" s="8" t="s">
        <v>2525</v>
      </c>
    </row>
    <row r="1517" customFormat="false" ht="15" hidden="false" customHeight="false" outlineLevel="0" collapsed="false">
      <c r="A1517" s="7" t="n">
        <v>45674</v>
      </c>
      <c r="B1517" s="7" t="n">
        <v>45677</v>
      </c>
      <c r="C1517" s="8" t="n">
        <v>6421</v>
      </c>
      <c r="D1517" s="8" t="n">
        <v>220</v>
      </c>
      <c r="E1517" s="8" t="n">
        <v>3375</v>
      </c>
      <c r="F1517" s="8" t="s">
        <v>2200</v>
      </c>
      <c r="G1517" s="8" t="s">
        <v>2201</v>
      </c>
      <c r="H1517" s="8" t="s">
        <v>2526</v>
      </c>
    </row>
    <row r="1518" customFormat="false" ht="15" hidden="false" customHeight="false" outlineLevel="0" collapsed="false">
      <c r="A1518" s="7" t="n">
        <v>45674</v>
      </c>
      <c r="B1518" s="7" t="n">
        <v>45708</v>
      </c>
      <c r="C1518" s="8" t="n">
        <v>6428</v>
      </c>
      <c r="D1518" s="8" t="n">
        <v>2690</v>
      </c>
      <c r="E1518" s="8" t="n">
        <v>22585</v>
      </c>
      <c r="F1518" s="8" t="s">
        <v>2200</v>
      </c>
      <c r="G1518" s="8" t="s">
        <v>2201</v>
      </c>
      <c r="H1518" s="8" t="s">
        <v>2526</v>
      </c>
    </row>
    <row r="1519" customFormat="false" ht="15" hidden="false" customHeight="false" outlineLevel="0" collapsed="false">
      <c r="A1519" s="7" t="n">
        <v>45674</v>
      </c>
      <c r="B1519" s="7" t="n">
        <v>45736</v>
      </c>
      <c r="C1519" s="8" t="n">
        <v>6420</v>
      </c>
      <c r="D1519" s="8" t="n">
        <v>530</v>
      </c>
      <c r="E1519" s="8" t="n">
        <v>3015</v>
      </c>
      <c r="F1519" s="8" t="s">
        <v>2200</v>
      </c>
      <c r="G1519" s="8" t="s">
        <v>2201</v>
      </c>
      <c r="H1519" s="8" t="s">
        <v>2526</v>
      </c>
    </row>
    <row r="1520" customFormat="false" ht="15" hidden="false" customHeight="false" outlineLevel="0" collapsed="false">
      <c r="A1520" s="7" t="n">
        <v>45674</v>
      </c>
      <c r="B1520" s="7" t="n">
        <v>45764</v>
      </c>
      <c r="C1520" s="8" t="n">
        <v>6414</v>
      </c>
      <c r="D1520" s="8" t="n">
        <v>345</v>
      </c>
      <c r="E1520" s="8" t="n">
        <v>325</v>
      </c>
      <c r="F1520" s="8" t="s">
        <v>2200</v>
      </c>
      <c r="G1520" s="8" t="s">
        <v>2201</v>
      </c>
      <c r="H1520" s="8" t="s">
        <v>2526</v>
      </c>
    </row>
    <row r="1521" customFormat="false" ht="15" hidden="false" customHeight="false" outlineLevel="0" collapsed="false">
      <c r="A1521" s="7" t="n">
        <v>45674</v>
      </c>
      <c r="B1521" s="7" t="n">
        <v>45797</v>
      </c>
      <c r="C1521" s="8" t="n">
        <v>6414</v>
      </c>
      <c r="D1521" s="8" t="n">
        <v>0</v>
      </c>
      <c r="E1521" s="8" t="n">
        <v>0</v>
      </c>
      <c r="F1521" s="8" t="s">
        <v>2200</v>
      </c>
      <c r="G1521" s="8" t="s">
        <v>2201</v>
      </c>
      <c r="H1521" s="8" t="s">
        <v>2526</v>
      </c>
    </row>
    <row r="1522" customFormat="false" ht="15" hidden="false" customHeight="false" outlineLevel="0" collapsed="false">
      <c r="A1522" s="7" t="n">
        <v>45677</v>
      </c>
      <c r="B1522" s="7" t="n">
        <v>45677</v>
      </c>
      <c r="C1522" s="8" t="n">
        <v>6405</v>
      </c>
      <c r="D1522" s="8" t="n">
        <v>25</v>
      </c>
      <c r="E1522" s="8" t="n">
        <v>535</v>
      </c>
      <c r="F1522" s="8" t="s">
        <v>2200</v>
      </c>
      <c r="G1522" s="8" t="s">
        <v>2201</v>
      </c>
      <c r="H1522" s="8" t="s">
        <v>2527</v>
      </c>
    </row>
    <row r="1523" customFormat="false" ht="15" hidden="false" customHeight="false" outlineLevel="0" collapsed="false">
      <c r="A1523" s="7" t="n">
        <v>45677</v>
      </c>
      <c r="B1523" s="7" t="n">
        <v>45708</v>
      </c>
      <c r="C1523" s="8" t="n">
        <v>6461</v>
      </c>
      <c r="D1523" s="8" t="n">
        <v>2860</v>
      </c>
      <c r="E1523" s="8" t="n">
        <v>22275</v>
      </c>
      <c r="F1523" s="8" t="s">
        <v>2200</v>
      </c>
      <c r="G1523" s="8" t="s">
        <v>2201</v>
      </c>
      <c r="H1523" s="8" t="s">
        <v>2527</v>
      </c>
    </row>
    <row r="1524" customFormat="false" ht="15" hidden="false" customHeight="false" outlineLevel="0" collapsed="false">
      <c r="A1524" s="7" t="n">
        <v>45677</v>
      </c>
      <c r="B1524" s="7" t="n">
        <v>45736</v>
      </c>
      <c r="C1524" s="8" t="n">
        <v>6438</v>
      </c>
      <c r="D1524" s="8" t="n">
        <v>445</v>
      </c>
      <c r="E1524" s="8" t="n">
        <v>3345</v>
      </c>
      <c r="F1524" s="8" t="s">
        <v>2200</v>
      </c>
      <c r="G1524" s="8" t="s">
        <v>2201</v>
      </c>
      <c r="H1524" s="8" t="s">
        <v>2527</v>
      </c>
    </row>
    <row r="1525" customFormat="false" ht="15" hidden="false" customHeight="false" outlineLevel="0" collapsed="false">
      <c r="A1525" s="7" t="n">
        <v>45677</v>
      </c>
      <c r="B1525" s="7" t="n">
        <v>45764</v>
      </c>
      <c r="C1525" s="8" t="n">
        <v>6432</v>
      </c>
      <c r="D1525" s="8" t="n">
        <v>260</v>
      </c>
      <c r="E1525" s="8" t="n">
        <v>575</v>
      </c>
      <c r="F1525" s="8" t="s">
        <v>2200</v>
      </c>
      <c r="G1525" s="8" t="s">
        <v>2201</v>
      </c>
      <c r="H1525" s="8" t="s">
        <v>2527</v>
      </c>
    </row>
    <row r="1526" customFormat="false" ht="15" hidden="false" customHeight="false" outlineLevel="0" collapsed="false">
      <c r="A1526" s="7" t="n">
        <v>45677</v>
      </c>
      <c r="B1526" s="7" t="n">
        <v>45797</v>
      </c>
      <c r="C1526" s="8" t="n">
        <v>6432</v>
      </c>
      <c r="D1526" s="8" t="n">
        <v>0</v>
      </c>
      <c r="E1526" s="8" t="n">
        <v>0</v>
      </c>
      <c r="F1526" s="8" t="s">
        <v>2200</v>
      </c>
      <c r="G1526" s="8" t="s">
        <v>2201</v>
      </c>
      <c r="H1526" s="8" t="s">
        <v>2527</v>
      </c>
    </row>
    <row r="1527" customFormat="false" ht="15" hidden="false" customHeight="false" outlineLevel="0" collapsed="false">
      <c r="A1527" s="7" t="n">
        <v>45678</v>
      </c>
      <c r="B1527" s="7" t="n">
        <v>45708</v>
      </c>
      <c r="C1527" s="8" t="n">
        <v>6467</v>
      </c>
      <c r="D1527" s="8" t="n">
        <v>2055</v>
      </c>
      <c r="E1527" s="8" t="n">
        <v>21950</v>
      </c>
      <c r="F1527" s="8" t="s">
        <v>2200</v>
      </c>
      <c r="G1527" s="8" t="s">
        <v>2201</v>
      </c>
      <c r="H1527" s="8" t="s">
        <v>2528</v>
      </c>
    </row>
    <row r="1528" customFormat="false" ht="15" hidden="false" customHeight="false" outlineLevel="0" collapsed="false">
      <c r="A1528" s="7" t="n">
        <v>45678</v>
      </c>
      <c r="B1528" s="7" t="n">
        <v>45736</v>
      </c>
      <c r="C1528" s="8" t="n">
        <v>6453</v>
      </c>
      <c r="D1528" s="8" t="n">
        <v>360</v>
      </c>
      <c r="E1528" s="8" t="n">
        <v>3395</v>
      </c>
      <c r="F1528" s="8" t="s">
        <v>2200</v>
      </c>
      <c r="G1528" s="8" t="s">
        <v>2201</v>
      </c>
      <c r="H1528" s="8" t="s">
        <v>2528</v>
      </c>
    </row>
    <row r="1529" customFormat="false" ht="15" hidden="false" customHeight="false" outlineLevel="0" collapsed="false">
      <c r="A1529" s="7" t="n">
        <v>45678</v>
      </c>
      <c r="B1529" s="7" t="n">
        <v>45764</v>
      </c>
      <c r="C1529" s="8" t="n">
        <v>6435</v>
      </c>
      <c r="D1529" s="8" t="n">
        <v>70</v>
      </c>
      <c r="E1529" s="8" t="n">
        <v>640</v>
      </c>
      <c r="F1529" s="8" t="s">
        <v>2200</v>
      </c>
      <c r="G1529" s="8" t="s">
        <v>2201</v>
      </c>
      <c r="H1529" s="8" t="s">
        <v>2528</v>
      </c>
    </row>
    <row r="1530" customFormat="false" ht="15" hidden="false" customHeight="false" outlineLevel="0" collapsed="false">
      <c r="A1530" s="7" t="n">
        <v>45678</v>
      </c>
      <c r="B1530" s="7" t="n">
        <v>45797</v>
      </c>
      <c r="C1530" s="8" t="n">
        <v>6435</v>
      </c>
      <c r="D1530" s="8" t="n">
        <v>0</v>
      </c>
      <c r="E1530" s="8" t="n">
        <v>0</v>
      </c>
      <c r="F1530" s="8" t="s">
        <v>2200</v>
      </c>
      <c r="G1530" s="8" t="s">
        <v>2201</v>
      </c>
      <c r="H1530" s="8" t="s">
        <v>2528</v>
      </c>
    </row>
    <row r="1531" customFormat="false" ht="15" hidden="false" customHeight="false" outlineLevel="0" collapsed="false">
      <c r="A1531" s="7" t="n">
        <v>45679</v>
      </c>
      <c r="B1531" s="7" t="n">
        <v>45708</v>
      </c>
      <c r="C1531" s="8" t="n">
        <v>6510</v>
      </c>
      <c r="D1531" s="8" t="n">
        <v>1900</v>
      </c>
      <c r="E1531" s="8" t="n">
        <v>21910</v>
      </c>
      <c r="F1531" s="8" t="s">
        <v>2200</v>
      </c>
      <c r="G1531" s="8" t="s">
        <v>2201</v>
      </c>
      <c r="H1531" s="8" t="s">
        <v>2529</v>
      </c>
    </row>
    <row r="1532" customFormat="false" ht="15" hidden="false" customHeight="false" outlineLevel="0" collapsed="false">
      <c r="A1532" s="7" t="n">
        <v>45679</v>
      </c>
      <c r="B1532" s="7" t="n">
        <v>45736</v>
      </c>
      <c r="C1532" s="8" t="n">
        <v>6498</v>
      </c>
      <c r="D1532" s="8" t="n">
        <v>355</v>
      </c>
      <c r="E1532" s="8" t="n">
        <v>3425</v>
      </c>
      <c r="F1532" s="8" t="s">
        <v>2200</v>
      </c>
      <c r="G1532" s="8" t="s">
        <v>2201</v>
      </c>
      <c r="H1532" s="8" t="s">
        <v>2529</v>
      </c>
    </row>
    <row r="1533" customFormat="false" ht="15" hidden="false" customHeight="false" outlineLevel="0" collapsed="false">
      <c r="A1533" s="7" t="n">
        <v>45679</v>
      </c>
      <c r="B1533" s="7" t="n">
        <v>45764</v>
      </c>
      <c r="C1533" s="8" t="n">
        <v>6480</v>
      </c>
      <c r="D1533" s="8" t="n">
        <v>20</v>
      </c>
      <c r="E1533" s="8" t="n">
        <v>640</v>
      </c>
      <c r="F1533" s="8" t="s">
        <v>2200</v>
      </c>
      <c r="G1533" s="8" t="s">
        <v>2201</v>
      </c>
      <c r="H1533" s="8" t="s">
        <v>2529</v>
      </c>
    </row>
    <row r="1534" customFormat="false" ht="15" hidden="false" customHeight="false" outlineLevel="0" collapsed="false">
      <c r="A1534" s="7" t="n">
        <v>45679</v>
      </c>
      <c r="B1534" s="7" t="n">
        <v>45797</v>
      </c>
      <c r="C1534" s="8" t="n">
        <v>6480</v>
      </c>
      <c r="D1534" s="8" t="n">
        <v>0</v>
      </c>
      <c r="E1534" s="8" t="n">
        <v>0</v>
      </c>
      <c r="F1534" s="8" t="s">
        <v>2200</v>
      </c>
      <c r="G1534" s="8" t="s">
        <v>2201</v>
      </c>
      <c r="H1534" s="8" t="s">
        <v>2529</v>
      </c>
    </row>
    <row r="1535" customFormat="false" ht="15" hidden="false" customHeight="false" outlineLevel="0" collapsed="false">
      <c r="A1535" s="7" t="n">
        <v>45680</v>
      </c>
      <c r="B1535" s="7" t="n">
        <v>45708</v>
      </c>
      <c r="C1535" s="8" t="n">
        <v>6481</v>
      </c>
      <c r="D1535" s="8" t="n">
        <v>5765</v>
      </c>
      <c r="E1535" s="8" t="n">
        <v>19650</v>
      </c>
      <c r="F1535" s="8" t="s">
        <v>2200</v>
      </c>
      <c r="G1535" s="8" t="s">
        <v>2201</v>
      </c>
      <c r="H1535" s="8" t="s">
        <v>2530</v>
      </c>
    </row>
    <row r="1536" customFormat="false" ht="15" hidden="false" customHeight="false" outlineLevel="0" collapsed="false">
      <c r="A1536" s="7" t="n">
        <v>45680</v>
      </c>
      <c r="B1536" s="7" t="n">
        <v>45736</v>
      </c>
      <c r="C1536" s="8" t="n">
        <v>6484</v>
      </c>
      <c r="D1536" s="8" t="n">
        <v>1620</v>
      </c>
      <c r="E1536" s="8" t="n">
        <v>3855</v>
      </c>
      <c r="F1536" s="8" t="s">
        <v>2200</v>
      </c>
      <c r="G1536" s="8" t="s">
        <v>2201</v>
      </c>
      <c r="H1536" s="8" t="s">
        <v>2530</v>
      </c>
    </row>
    <row r="1537" customFormat="false" ht="15" hidden="false" customHeight="false" outlineLevel="0" collapsed="false">
      <c r="A1537" s="7" t="n">
        <v>45680</v>
      </c>
      <c r="B1537" s="7" t="n">
        <v>45764</v>
      </c>
      <c r="C1537" s="8" t="n">
        <v>6459</v>
      </c>
      <c r="D1537" s="8" t="n">
        <v>605</v>
      </c>
      <c r="E1537" s="8" t="n">
        <v>930</v>
      </c>
      <c r="F1537" s="8" t="s">
        <v>2200</v>
      </c>
      <c r="G1537" s="8" t="s">
        <v>2201</v>
      </c>
      <c r="H1537" s="8" t="s">
        <v>2530</v>
      </c>
    </row>
    <row r="1538" customFormat="false" ht="15" hidden="false" customHeight="false" outlineLevel="0" collapsed="false">
      <c r="A1538" s="7" t="n">
        <v>45680</v>
      </c>
      <c r="B1538" s="7" t="n">
        <v>45797</v>
      </c>
      <c r="C1538" s="8" t="n">
        <v>6459</v>
      </c>
      <c r="D1538" s="8" t="n">
        <v>0</v>
      </c>
      <c r="E1538" s="8" t="n">
        <v>0</v>
      </c>
      <c r="F1538" s="8" t="s">
        <v>2200</v>
      </c>
      <c r="G1538" s="8" t="s">
        <v>2201</v>
      </c>
      <c r="H1538" s="8" t="s">
        <v>2530</v>
      </c>
    </row>
    <row r="1539" customFormat="false" ht="15" hidden="false" customHeight="false" outlineLevel="0" collapsed="false">
      <c r="A1539" s="7" t="n">
        <v>45681</v>
      </c>
      <c r="B1539" s="7" t="n">
        <v>45708</v>
      </c>
      <c r="C1539" s="8" t="n">
        <v>6416</v>
      </c>
      <c r="D1539" s="8" t="n">
        <v>4315</v>
      </c>
      <c r="E1539" s="8" t="n">
        <v>19655</v>
      </c>
      <c r="F1539" s="8" t="s">
        <v>2200</v>
      </c>
      <c r="G1539" s="8" t="s">
        <v>2201</v>
      </c>
      <c r="H1539" s="8" t="s">
        <v>2531</v>
      </c>
    </row>
    <row r="1540" customFormat="false" ht="15" hidden="false" customHeight="false" outlineLevel="0" collapsed="false">
      <c r="A1540" s="7" t="n">
        <v>45681</v>
      </c>
      <c r="B1540" s="7" t="n">
        <v>45736</v>
      </c>
      <c r="C1540" s="8" t="n">
        <v>6404</v>
      </c>
      <c r="D1540" s="8" t="n">
        <v>1545</v>
      </c>
      <c r="E1540" s="8" t="n">
        <v>4555</v>
      </c>
      <c r="F1540" s="8" t="s">
        <v>2200</v>
      </c>
      <c r="G1540" s="8" t="s">
        <v>2201</v>
      </c>
      <c r="H1540" s="8" t="s">
        <v>2531</v>
      </c>
    </row>
    <row r="1541" customFormat="false" ht="15" hidden="false" customHeight="false" outlineLevel="0" collapsed="false">
      <c r="A1541" s="7" t="n">
        <v>45681</v>
      </c>
      <c r="B1541" s="7" t="n">
        <v>45764</v>
      </c>
      <c r="C1541" s="8" t="n">
        <v>6364</v>
      </c>
      <c r="D1541" s="8" t="n">
        <v>275</v>
      </c>
      <c r="E1541" s="8" t="n">
        <v>1100</v>
      </c>
      <c r="F1541" s="8" t="s">
        <v>2200</v>
      </c>
      <c r="G1541" s="8" t="s">
        <v>2201</v>
      </c>
      <c r="H1541" s="8" t="s">
        <v>2531</v>
      </c>
    </row>
    <row r="1542" customFormat="false" ht="15" hidden="false" customHeight="false" outlineLevel="0" collapsed="false">
      <c r="A1542" s="7" t="n">
        <v>45681</v>
      </c>
      <c r="B1542" s="7" t="n">
        <v>45797</v>
      </c>
      <c r="C1542" s="8" t="n">
        <v>6364</v>
      </c>
      <c r="D1542" s="8" t="n">
        <v>0</v>
      </c>
      <c r="E1542" s="8" t="n">
        <v>0</v>
      </c>
      <c r="F1542" s="8" t="s">
        <v>2200</v>
      </c>
      <c r="G1542" s="8" t="s">
        <v>2201</v>
      </c>
      <c r="H1542" s="8" t="s">
        <v>2531</v>
      </c>
    </row>
    <row r="1543" customFormat="false" ht="15" hidden="false" customHeight="false" outlineLevel="0" collapsed="false">
      <c r="A1543" s="7" t="n">
        <v>45684</v>
      </c>
      <c r="B1543" s="7" t="n">
        <v>45708</v>
      </c>
      <c r="C1543" s="8" t="n">
        <v>6407</v>
      </c>
      <c r="D1543" s="8" t="n">
        <v>3090</v>
      </c>
      <c r="E1543" s="8" t="n">
        <v>19370</v>
      </c>
      <c r="F1543" s="8" t="s">
        <v>2200</v>
      </c>
      <c r="G1543" s="8" t="s">
        <v>2201</v>
      </c>
      <c r="H1543" s="8" t="s">
        <v>2532</v>
      </c>
    </row>
    <row r="1544" customFormat="false" ht="15" hidden="false" customHeight="false" outlineLevel="0" collapsed="false">
      <c r="A1544" s="7" t="n">
        <v>45684</v>
      </c>
      <c r="B1544" s="7" t="n">
        <v>45736</v>
      </c>
      <c r="C1544" s="8" t="n">
        <v>6391</v>
      </c>
      <c r="D1544" s="8" t="n">
        <v>1320</v>
      </c>
      <c r="E1544" s="8" t="n">
        <v>5080</v>
      </c>
      <c r="F1544" s="8" t="s">
        <v>2200</v>
      </c>
      <c r="G1544" s="8" t="s">
        <v>2201</v>
      </c>
      <c r="H1544" s="8" t="s">
        <v>2532</v>
      </c>
    </row>
    <row r="1545" customFormat="false" ht="15" hidden="false" customHeight="false" outlineLevel="0" collapsed="false">
      <c r="A1545" s="7" t="n">
        <v>45684</v>
      </c>
      <c r="B1545" s="7" t="n">
        <v>45764</v>
      </c>
      <c r="C1545" s="8" t="n">
        <v>6358</v>
      </c>
      <c r="D1545" s="8" t="n">
        <v>50</v>
      </c>
      <c r="E1545" s="8" t="n">
        <v>1145</v>
      </c>
      <c r="F1545" s="8" t="s">
        <v>2200</v>
      </c>
      <c r="G1545" s="8" t="s">
        <v>2201</v>
      </c>
      <c r="H1545" s="8" t="s">
        <v>2532</v>
      </c>
    </row>
    <row r="1546" customFormat="false" ht="15" hidden="false" customHeight="false" outlineLevel="0" collapsed="false">
      <c r="A1546" s="7" t="n">
        <v>45684</v>
      </c>
      <c r="B1546" s="7" t="n">
        <v>45797</v>
      </c>
      <c r="C1546" s="8" t="n">
        <v>6358</v>
      </c>
      <c r="D1546" s="8" t="n">
        <v>0</v>
      </c>
      <c r="E1546" s="8" t="n">
        <v>0</v>
      </c>
      <c r="F1546" s="8" t="s">
        <v>2200</v>
      </c>
      <c r="G1546" s="8" t="s">
        <v>2201</v>
      </c>
      <c r="H1546" s="8" t="s">
        <v>2532</v>
      </c>
    </row>
    <row r="1547" customFormat="false" ht="15" hidden="false" customHeight="false" outlineLevel="0" collapsed="false">
      <c r="A1547" s="7" t="n">
        <v>45685</v>
      </c>
      <c r="B1547" s="7" t="n">
        <v>45708</v>
      </c>
      <c r="C1547" s="8" t="n">
        <v>6379</v>
      </c>
      <c r="D1547" s="8" t="n">
        <v>3590</v>
      </c>
      <c r="E1547" s="8" t="n">
        <v>19165</v>
      </c>
      <c r="F1547" s="8" t="s">
        <v>2200</v>
      </c>
      <c r="G1547" s="8" t="s">
        <v>2201</v>
      </c>
      <c r="H1547" s="8" t="s">
        <v>2533</v>
      </c>
    </row>
    <row r="1548" customFormat="false" ht="15" hidden="false" customHeight="false" outlineLevel="0" collapsed="false">
      <c r="A1548" s="7" t="n">
        <v>45685</v>
      </c>
      <c r="B1548" s="7" t="n">
        <v>45736</v>
      </c>
      <c r="C1548" s="8" t="n">
        <v>6336</v>
      </c>
      <c r="D1548" s="8" t="n">
        <v>985</v>
      </c>
      <c r="E1548" s="8" t="n">
        <v>5425</v>
      </c>
      <c r="F1548" s="8" t="s">
        <v>2200</v>
      </c>
      <c r="G1548" s="8" t="s">
        <v>2201</v>
      </c>
      <c r="H1548" s="8" t="s">
        <v>2533</v>
      </c>
    </row>
    <row r="1549" customFormat="false" ht="15" hidden="false" customHeight="false" outlineLevel="0" collapsed="false">
      <c r="A1549" s="7" t="n">
        <v>45685</v>
      </c>
      <c r="B1549" s="7" t="n">
        <v>45764</v>
      </c>
      <c r="C1549" s="8" t="n">
        <v>6327</v>
      </c>
      <c r="D1549" s="8" t="n">
        <v>135</v>
      </c>
      <c r="E1549" s="8" t="n">
        <v>1235</v>
      </c>
      <c r="F1549" s="8" t="s">
        <v>2200</v>
      </c>
      <c r="G1549" s="8" t="s">
        <v>2201</v>
      </c>
      <c r="H1549" s="8" t="s">
        <v>2533</v>
      </c>
    </row>
    <row r="1550" customFormat="false" ht="15" hidden="false" customHeight="false" outlineLevel="0" collapsed="false">
      <c r="A1550" s="7" t="n">
        <v>45685</v>
      </c>
      <c r="B1550" s="7" t="n">
        <v>45797</v>
      </c>
      <c r="C1550" s="8" t="n">
        <v>6327</v>
      </c>
      <c r="D1550" s="8" t="n">
        <v>0</v>
      </c>
      <c r="E1550" s="8" t="n">
        <v>0</v>
      </c>
      <c r="F1550" s="8" t="s">
        <v>2200</v>
      </c>
      <c r="G1550" s="8" t="s">
        <v>2201</v>
      </c>
      <c r="H1550" s="8" t="s">
        <v>2533</v>
      </c>
    </row>
    <row r="1551" customFormat="false" ht="15" hidden="false" customHeight="false" outlineLevel="0" collapsed="false">
      <c r="A1551" s="7" t="n">
        <v>45686</v>
      </c>
      <c r="B1551" s="7" t="n">
        <v>45708</v>
      </c>
      <c r="C1551" s="8" t="n">
        <v>6390</v>
      </c>
      <c r="D1551" s="8" t="n">
        <v>2935</v>
      </c>
      <c r="E1551" s="8" t="n">
        <v>19520</v>
      </c>
      <c r="F1551" s="8" t="s">
        <v>2200</v>
      </c>
      <c r="G1551" s="8" t="s">
        <v>2201</v>
      </c>
      <c r="H1551" s="8" t="s">
        <v>2534</v>
      </c>
    </row>
    <row r="1552" customFormat="false" ht="15" hidden="false" customHeight="false" outlineLevel="0" collapsed="false">
      <c r="A1552" s="7" t="n">
        <v>45686</v>
      </c>
      <c r="B1552" s="7" t="n">
        <v>45736</v>
      </c>
      <c r="C1552" s="8" t="n">
        <v>6332</v>
      </c>
      <c r="D1552" s="8" t="n">
        <v>1960</v>
      </c>
      <c r="E1552" s="8" t="n">
        <v>6130</v>
      </c>
      <c r="F1552" s="8" t="s">
        <v>2200</v>
      </c>
      <c r="G1552" s="8" t="s">
        <v>2201</v>
      </c>
      <c r="H1552" s="8" t="s">
        <v>2534</v>
      </c>
    </row>
    <row r="1553" customFormat="false" ht="15" hidden="false" customHeight="false" outlineLevel="0" collapsed="false">
      <c r="A1553" s="7" t="n">
        <v>45686</v>
      </c>
      <c r="B1553" s="7" t="n">
        <v>45764</v>
      </c>
      <c r="C1553" s="8" t="n">
        <v>6277</v>
      </c>
      <c r="D1553" s="8" t="n">
        <v>305</v>
      </c>
      <c r="E1553" s="8" t="n">
        <v>1495</v>
      </c>
      <c r="F1553" s="8" t="s">
        <v>2200</v>
      </c>
      <c r="G1553" s="8" t="s">
        <v>2201</v>
      </c>
      <c r="H1553" s="8" t="s">
        <v>2534</v>
      </c>
    </row>
    <row r="1554" customFormat="false" ht="15" hidden="false" customHeight="false" outlineLevel="0" collapsed="false">
      <c r="A1554" s="7" t="n">
        <v>45686</v>
      </c>
      <c r="B1554" s="7" t="n">
        <v>45797</v>
      </c>
      <c r="C1554" s="8" t="n">
        <v>6277</v>
      </c>
      <c r="D1554" s="8" t="n">
        <v>0</v>
      </c>
      <c r="E1554" s="8" t="n">
        <v>0</v>
      </c>
      <c r="F1554" s="8" t="s">
        <v>2200</v>
      </c>
      <c r="G1554" s="8" t="s">
        <v>2201</v>
      </c>
      <c r="H1554" s="8" t="s">
        <v>2534</v>
      </c>
    </row>
    <row r="1555" customFormat="false" ht="15" hidden="false" customHeight="false" outlineLevel="0" collapsed="false">
      <c r="A1555" s="7" t="n">
        <v>45687</v>
      </c>
      <c r="B1555" s="7" t="n">
        <v>45708</v>
      </c>
      <c r="C1555" s="8" t="n">
        <v>6325</v>
      </c>
      <c r="D1555" s="8" t="n">
        <v>6020</v>
      </c>
      <c r="E1555" s="8" t="n">
        <v>19725</v>
      </c>
      <c r="F1555" s="8" t="s">
        <v>2200</v>
      </c>
      <c r="G1555" s="8" t="s">
        <v>2201</v>
      </c>
      <c r="H1555" s="8" t="s">
        <v>2535</v>
      </c>
    </row>
    <row r="1556" customFormat="false" ht="15" hidden="false" customHeight="false" outlineLevel="0" collapsed="false">
      <c r="A1556" s="7" t="n">
        <v>45687</v>
      </c>
      <c r="B1556" s="7" t="n">
        <v>45736</v>
      </c>
      <c r="C1556" s="8" t="n">
        <v>6266</v>
      </c>
      <c r="D1556" s="8" t="n">
        <v>4260</v>
      </c>
      <c r="E1556" s="8" t="n">
        <v>7310</v>
      </c>
      <c r="F1556" s="8" t="s">
        <v>2200</v>
      </c>
      <c r="G1556" s="8" t="s">
        <v>2201</v>
      </c>
      <c r="H1556" s="8" t="s">
        <v>2535</v>
      </c>
    </row>
    <row r="1557" customFormat="false" ht="15" hidden="false" customHeight="false" outlineLevel="0" collapsed="false">
      <c r="A1557" s="7" t="n">
        <v>45687</v>
      </c>
      <c r="B1557" s="7" t="n">
        <v>45764</v>
      </c>
      <c r="C1557" s="8" t="n">
        <v>6226</v>
      </c>
      <c r="D1557" s="8" t="n">
        <v>775</v>
      </c>
      <c r="E1557" s="8" t="n">
        <v>2100</v>
      </c>
      <c r="F1557" s="8" t="s">
        <v>2200</v>
      </c>
      <c r="G1557" s="8" t="s">
        <v>2201</v>
      </c>
      <c r="H1557" s="8" t="s">
        <v>2535</v>
      </c>
    </row>
    <row r="1558" customFormat="false" ht="15" hidden="false" customHeight="false" outlineLevel="0" collapsed="false">
      <c r="A1558" s="7" t="n">
        <v>45687</v>
      </c>
      <c r="B1558" s="7" t="n">
        <v>45797</v>
      </c>
      <c r="C1558" s="8" t="n">
        <v>6226</v>
      </c>
      <c r="D1558" s="8" t="n">
        <v>0</v>
      </c>
      <c r="E1558" s="8" t="n">
        <v>0</v>
      </c>
      <c r="F1558" s="8" t="s">
        <v>2200</v>
      </c>
      <c r="G1558" s="8" t="s">
        <v>2201</v>
      </c>
      <c r="H1558" s="8" t="s">
        <v>2535</v>
      </c>
    </row>
    <row r="1559" customFormat="false" ht="15" hidden="false" customHeight="false" outlineLevel="0" collapsed="false">
      <c r="A1559" s="7" t="n">
        <v>45688</v>
      </c>
      <c r="B1559" s="7" t="n">
        <v>45708</v>
      </c>
      <c r="C1559" s="8" t="n">
        <v>6341</v>
      </c>
      <c r="D1559" s="8" t="n">
        <v>6325</v>
      </c>
      <c r="E1559" s="8" t="n">
        <v>19305</v>
      </c>
      <c r="F1559" s="8" t="s">
        <v>2200</v>
      </c>
      <c r="G1559" s="8" t="s">
        <v>2201</v>
      </c>
      <c r="H1559" s="8" t="s">
        <v>2536</v>
      </c>
    </row>
    <row r="1560" customFormat="false" ht="15" hidden="false" customHeight="false" outlineLevel="0" collapsed="false">
      <c r="A1560" s="7" t="n">
        <v>45688</v>
      </c>
      <c r="B1560" s="7" t="n">
        <v>45736</v>
      </c>
      <c r="C1560" s="8" t="n">
        <v>6260</v>
      </c>
      <c r="D1560" s="8" t="n">
        <v>3460</v>
      </c>
      <c r="E1560" s="8" t="n">
        <v>7945</v>
      </c>
      <c r="F1560" s="8" t="s">
        <v>2200</v>
      </c>
      <c r="G1560" s="8" t="s">
        <v>2201</v>
      </c>
      <c r="H1560" s="8" t="s">
        <v>2536</v>
      </c>
    </row>
    <row r="1561" customFormat="false" ht="15" hidden="false" customHeight="false" outlineLevel="0" collapsed="false">
      <c r="A1561" s="7" t="n">
        <v>45688</v>
      </c>
      <c r="B1561" s="7" t="n">
        <v>45764</v>
      </c>
      <c r="C1561" s="8" t="n">
        <v>6208</v>
      </c>
      <c r="D1561" s="8" t="n">
        <v>20</v>
      </c>
      <c r="E1561" s="8" t="n">
        <v>2110</v>
      </c>
      <c r="F1561" s="8" t="s">
        <v>2200</v>
      </c>
      <c r="G1561" s="8" t="s">
        <v>2201</v>
      </c>
      <c r="H1561" s="8" t="s">
        <v>2536</v>
      </c>
    </row>
    <row r="1562" customFormat="false" ht="15" hidden="false" customHeight="false" outlineLevel="0" collapsed="false">
      <c r="A1562" s="7" t="n">
        <v>45688</v>
      </c>
      <c r="B1562" s="7" t="n">
        <v>45797</v>
      </c>
      <c r="C1562" s="8" t="n">
        <v>6208</v>
      </c>
      <c r="D1562" s="8" t="n">
        <v>0</v>
      </c>
      <c r="E1562" s="8" t="n">
        <v>0</v>
      </c>
      <c r="F1562" s="8" t="s">
        <v>2200</v>
      </c>
      <c r="G1562" s="8" t="s">
        <v>2201</v>
      </c>
      <c r="H1562" s="8" t="s">
        <v>2536</v>
      </c>
    </row>
    <row r="1563" customFormat="false" ht="15" hidden="false" customHeight="false" outlineLevel="0" collapsed="false">
      <c r="A1563" s="7" t="n">
        <v>45689</v>
      </c>
      <c r="B1563" s="7" t="n">
        <v>45708</v>
      </c>
      <c r="C1563" s="8" t="n">
        <v>6360</v>
      </c>
      <c r="D1563" s="8" t="n">
        <v>2095</v>
      </c>
      <c r="E1563" s="8" t="n">
        <v>19670</v>
      </c>
      <c r="F1563" s="8" t="s">
        <v>2200</v>
      </c>
      <c r="G1563" s="8" t="s">
        <v>2201</v>
      </c>
      <c r="H1563" s="8" t="s">
        <v>2537</v>
      </c>
    </row>
    <row r="1564" customFormat="false" ht="15" hidden="false" customHeight="false" outlineLevel="0" collapsed="false">
      <c r="A1564" s="7" t="n">
        <v>45689</v>
      </c>
      <c r="B1564" s="7" t="n">
        <v>45736</v>
      </c>
      <c r="C1564" s="8" t="n">
        <v>6272</v>
      </c>
      <c r="D1564" s="8" t="n">
        <v>1520</v>
      </c>
      <c r="E1564" s="8" t="n">
        <v>8425</v>
      </c>
      <c r="F1564" s="8" t="s">
        <v>2200</v>
      </c>
      <c r="G1564" s="8" t="s">
        <v>2201</v>
      </c>
      <c r="H1564" s="8" t="s">
        <v>2537</v>
      </c>
    </row>
    <row r="1565" customFormat="false" ht="15" hidden="false" customHeight="false" outlineLevel="0" collapsed="false">
      <c r="A1565" s="7" t="n">
        <v>45689</v>
      </c>
      <c r="B1565" s="7" t="n">
        <v>45764</v>
      </c>
      <c r="C1565" s="8" t="n">
        <v>6272</v>
      </c>
      <c r="D1565" s="8" t="n">
        <v>0</v>
      </c>
      <c r="E1565" s="8" t="n">
        <v>2110</v>
      </c>
      <c r="F1565" s="8" t="s">
        <v>2200</v>
      </c>
      <c r="G1565" s="8" t="s">
        <v>2201</v>
      </c>
      <c r="H1565" s="8" t="s">
        <v>2537</v>
      </c>
    </row>
    <row r="1566" customFormat="false" ht="15" hidden="false" customHeight="false" outlineLevel="0" collapsed="false">
      <c r="A1566" s="7" t="n">
        <v>45689</v>
      </c>
      <c r="B1566" s="7" t="n">
        <v>45797</v>
      </c>
      <c r="C1566" s="8" t="n">
        <v>6272</v>
      </c>
      <c r="D1566" s="8" t="n">
        <v>0</v>
      </c>
      <c r="E1566" s="8" t="n">
        <v>0</v>
      </c>
      <c r="F1566" s="8" t="s">
        <v>2200</v>
      </c>
      <c r="G1566" s="8" t="s">
        <v>2201</v>
      </c>
      <c r="H1566" s="8" t="s">
        <v>2537</v>
      </c>
    </row>
    <row r="1567" customFormat="false" ht="15" hidden="false" customHeight="false" outlineLevel="0" collapsed="false">
      <c r="A1567" s="7" t="n">
        <v>45689</v>
      </c>
      <c r="B1567" s="7" t="n">
        <v>45828</v>
      </c>
      <c r="C1567" s="8" t="n">
        <v>6272</v>
      </c>
      <c r="D1567" s="8" t="n">
        <v>0</v>
      </c>
      <c r="E1567" s="8" t="n">
        <v>0</v>
      </c>
      <c r="F1567" s="8" t="s">
        <v>2200</v>
      </c>
      <c r="G1567" s="8" t="s">
        <v>2201</v>
      </c>
      <c r="H1567" s="8" t="s">
        <v>2537</v>
      </c>
    </row>
    <row r="1568" customFormat="false" ht="15" hidden="false" customHeight="false" outlineLevel="0" collapsed="false">
      <c r="A1568" s="7" t="n">
        <v>45691</v>
      </c>
      <c r="B1568" s="7" t="n">
        <v>45708</v>
      </c>
      <c r="C1568" s="8" t="n">
        <v>6405</v>
      </c>
      <c r="D1568" s="8" t="n">
        <v>2815</v>
      </c>
      <c r="E1568" s="8" t="n">
        <v>19090</v>
      </c>
      <c r="F1568" s="8" t="s">
        <v>2200</v>
      </c>
      <c r="G1568" s="8" t="s">
        <v>2201</v>
      </c>
      <c r="H1568" s="8" t="s">
        <v>2538</v>
      </c>
    </row>
    <row r="1569" customFormat="false" ht="15" hidden="false" customHeight="false" outlineLevel="0" collapsed="false">
      <c r="A1569" s="7" t="n">
        <v>45691</v>
      </c>
      <c r="B1569" s="7" t="n">
        <v>45736</v>
      </c>
      <c r="C1569" s="8" t="n">
        <v>6305</v>
      </c>
      <c r="D1569" s="8" t="n">
        <v>2970</v>
      </c>
      <c r="E1569" s="8" t="n">
        <v>8215</v>
      </c>
      <c r="F1569" s="8" t="s">
        <v>2200</v>
      </c>
      <c r="G1569" s="8" t="s">
        <v>2201</v>
      </c>
      <c r="H1569" s="8" t="s">
        <v>2538</v>
      </c>
    </row>
    <row r="1570" customFormat="false" ht="15" hidden="false" customHeight="false" outlineLevel="0" collapsed="false">
      <c r="A1570" s="7" t="n">
        <v>45691</v>
      </c>
      <c r="B1570" s="7" t="n">
        <v>45764</v>
      </c>
      <c r="C1570" s="8" t="n">
        <v>6280</v>
      </c>
      <c r="D1570" s="8" t="n">
        <v>25</v>
      </c>
      <c r="E1570" s="8" t="n">
        <v>2135</v>
      </c>
      <c r="F1570" s="8" t="s">
        <v>2200</v>
      </c>
      <c r="G1570" s="8" t="s">
        <v>2201</v>
      </c>
      <c r="H1570" s="8" t="s">
        <v>2538</v>
      </c>
    </row>
    <row r="1571" customFormat="false" ht="15" hidden="false" customHeight="false" outlineLevel="0" collapsed="false">
      <c r="A1571" s="7" t="n">
        <v>45691</v>
      </c>
      <c r="B1571" s="7" t="n">
        <v>45797</v>
      </c>
      <c r="C1571" s="8" t="n">
        <v>6280</v>
      </c>
      <c r="D1571" s="8" t="n">
        <v>0</v>
      </c>
      <c r="E1571" s="8" t="n">
        <v>0</v>
      </c>
      <c r="F1571" s="8" t="s">
        <v>2200</v>
      </c>
      <c r="G1571" s="8" t="s">
        <v>2201</v>
      </c>
      <c r="H1571" s="8" t="s">
        <v>2538</v>
      </c>
    </row>
    <row r="1572" customFormat="false" ht="15" hidden="false" customHeight="false" outlineLevel="0" collapsed="false">
      <c r="A1572" s="7" t="n">
        <v>45691</v>
      </c>
      <c r="B1572" s="7" t="n">
        <v>45828</v>
      </c>
      <c r="C1572" s="8" t="n">
        <v>6280</v>
      </c>
      <c r="D1572" s="8" t="n">
        <v>0</v>
      </c>
      <c r="E1572" s="8" t="n">
        <v>0</v>
      </c>
      <c r="F1572" s="8" t="s">
        <v>2200</v>
      </c>
      <c r="G1572" s="8" t="s">
        <v>2201</v>
      </c>
      <c r="H1572" s="8" t="s">
        <v>2538</v>
      </c>
    </row>
    <row r="1573" customFormat="false" ht="15" hidden="false" customHeight="false" outlineLevel="0" collapsed="false">
      <c r="A1573" s="7" t="n">
        <v>45692</v>
      </c>
      <c r="B1573" s="7" t="n">
        <v>45708</v>
      </c>
      <c r="C1573" s="8" t="n">
        <v>6438</v>
      </c>
      <c r="D1573" s="8" t="n">
        <v>5600</v>
      </c>
      <c r="E1573" s="8" t="n">
        <v>18550</v>
      </c>
      <c r="F1573" s="8" t="s">
        <v>2200</v>
      </c>
      <c r="G1573" s="8" t="s">
        <v>2201</v>
      </c>
      <c r="H1573" s="8" t="s">
        <v>2539</v>
      </c>
    </row>
    <row r="1574" customFormat="false" ht="15" hidden="false" customHeight="false" outlineLevel="0" collapsed="false">
      <c r="A1574" s="7" t="n">
        <v>45692</v>
      </c>
      <c r="B1574" s="7" t="n">
        <v>45736</v>
      </c>
      <c r="C1574" s="8" t="n">
        <v>6306</v>
      </c>
      <c r="D1574" s="8" t="n">
        <v>3960</v>
      </c>
      <c r="E1574" s="8" t="n">
        <v>9490</v>
      </c>
      <c r="F1574" s="8" t="s">
        <v>2200</v>
      </c>
      <c r="G1574" s="8" t="s">
        <v>2201</v>
      </c>
      <c r="H1574" s="8" t="s">
        <v>2539</v>
      </c>
    </row>
    <row r="1575" customFormat="false" ht="15" hidden="false" customHeight="false" outlineLevel="0" collapsed="false">
      <c r="A1575" s="7" t="n">
        <v>45692</v>
      </c>
      <c r="B1575" s="7" t="n">
        <v>45764</v>
      </c>
      <c r="C1575" s="8" t="n">
        <v>6257</v>
      </c>
      <c r="D1575" s="8" t="n">
        <v>500</v>
      </c>
      <c r="E1575" s="8" t="n">
        <v>2530</v>
      </c>
      <c r="F1575" s="8" t="s">
        <v>2200</v>
      </c>
      <c r="G1575" s="8" t="s">
        <v>2201</v>
      </c>
      <c r="H1575" s="8" t="s">
        <v>2539</v>
      </c>
    </row>
    <row r="1576" customFormat="false" ht="15" hidden="false" customHeight="false" outlineLevel="0" collapsed="false">
      <c r="A1576" s="7" t="n">
        <v>45692</v>
      </c>
      <c r="B1576" s="7" t="n">
        <v>45797</v>
      </c>
      <c r="C1576" s="8" t="n">
        <v>6257</v>
      </c>
      <c r="D1576" s="8" t="n">
        <v>0</v>
      </c>
      <c r="E1576" s="8" t="n">
        <v>0</v>
      </c>
      <c r="F1576" s="8" t="s">
        <v>2200</v>
      </c>
      <c r="G1576" s="8" t="s">
        <v>2201</v>
      </c>
      <c r="H1576" s="8" t="s">
        <v>2539</v>
      </c>
    </row>
    <row r="1577" customFormat="false" ht="15" hidden="false" customHeight="false" outlineLevel="0" collapsed="false">
      <c r="A1577" s="7" t="n">
        <v>45692</v>
      </c>
      <c r="B1577" s="7" t="n">
        <v>45828</v>
      </c>
      <c r="C1577" s="8" t="n">
        <v>6257</v>
      </c>
      <c r="D1577" s="8" t="n">
        <v>0</v>
      </c>
      <c r="E1577" s="8" t="n">
        <v>0</v>
      </c>
      <c r="F1577" s="8" t="s">
        <v>2200</v>
      </c>
      <c r="G1577" s="8" t="s">
        <v>2201</v>
      </c>
      <c r="H1577" s="8" t="s">
        <v>2539</v>
      </c>
    </row>
    <row r="1578" customFormat="false" ht="15" hidden="false" customHeight="false" outlineLevel="0" collapsed="false">
      <c r="A1578" s="7" t="n">
        <v>45693</v>
      </c>
      <c r="B1578" s="7" t="n">
        <v>45708</v>
      </c>
      <c r="C1578" s="8" t="n">
        <v>6460</v>
      </c>
      <c r="D1578" s="8" t="n">
        <v>7130</v>
      </c>
      <c r="E1578" s="8" t="n">
        <v>17155</v>
      </c>
      <c r="F1578" s="8" t="s">
        <v>2200</v>
      </c>
      <c r="G1578" s="8" t="s">
        <v>2201</v>
      </c>
      <c r="H1578" s="8" t="s">
        <v>2540</v>
      </c>
    </row>
    <row r="1579" customFormat="false" ht="15" hidden="false" customHeight="false" outlineLevel="0" collapsed="false">
      <c r="A1579" s="7" t="n">
        <v>45693</v>
      </c>
      <c r="B1579" s="7" t="n">
        <v>45736</v>
      </c>
      <c r="C1579" s="8" t="n">
        <v>6327</v>
      </c>
      <c r="D1579" s="8" t="n">
        <v>7405</v>
      </c>
      <c r="E1579" s="8" t="n">
        <v>12890</v>
      </c>
      <c r="F1579" s="8" t="s">
        <v>2200</v>
      </c>
      <c r="G1579" s="8" t="s">
        <v>2201</v>
      </c>
      <c r="H1579" s="8" t="s">
        <v>2540</v>
      </c>
    </row>
    <row r="1580" customFormat="false" ht="15" hidden="false" customHeight="false" outlineLevel="0" collapsed="false">
      <c r="A1580" s="7" t="n">
        <v>45693</v>
      </c>
      <c r="B1580" s="7" t="n">
        <v>45764</v>
      </c>
      <c r="C1580" s="8" t="n">
        <v>6265</v>
      </c>
      <c r="D1580" s="8" t="n">
        <v>300</v>
      </c>
      <c r="E1580" s="8" t="n">
        <v>2710</v>
      </c>
      <c r="F1580" s="8" t="s">
        <v>2200</v>
      </c>
      <c r="G1580" s="8" t="s">
        <v>2201</v>
      </c>
      <c r="H1580" s="8" t="s">
        <v>2540</v>
      </c>
    </row>
    <row r="1581" customFormat="false" ht="15" hidden="false" customHeight="false" outlineLevel="0" collapsed="false">
      <c r="A1581" s="7" t="n">
        <v>45693</v>
      </c>
      <c r="B1581" s="7" t="n">
        <v>45797</v>
      </c>
      <c r="C1581" s="8" t="n">
        <v>6265</v>
      </c>
      <c r="D1581" s="8" t="n">
        <v>0</v>
      </c>
      <c r="E1581" s="8" t="n">
        <v>0</v>
      </c>
      <c r="F1581" s="8" t="s">
        <v>2200</v>
      </c>
      <c r="G1581" s="8" t="s">
        <v>2201</v>
      </c>
      <c r="H1581" s="8" t="s">
        <v>2540</v>
      </c>
    </row>
    <row r="1582" customFormat="false" ht="15" hidden="false" customHeight="false" outlineLevel="0" collapsed="false">
      <c r="A1582" s="7" t="n">
        <v>45693</v>
      </c>
      <c r="B1582" s="7" t="n">
        <v>45828</v>
      </c>
      <c r="C1582" s="8" t="n">
        <v>6265</v>
      </c>
      <c r="D1582" s="8" t="n">
        <v>0</v>
      </c>
      <c r="E1582" s="8" t="n">
        <v>0</v>
      </c>
      <c r="F1582" s="8" t="s">
        <v>2200</v>
      </c>
      <c r="G1582" s="8" t="s">
        <v>2201</v>
      </c>
      <c r="H1582" s="8" t="s">
        <v>2540</v>
      </c>
    </row>
    <row r="1583" customFormat="false" ht="15" hidden="false" customHeight="false" outlineLevel="0" collapsed="false">
      <c r="A1583" s="7" t="n">
        <v>45694</v>
      </c>
      <c r="B1583" s="7" t="n">
        <v>45708</v>
      </c>
      <c r="C1583" s="8" t="n">
        <v>6498</v>
      </c>
      <c r="D1583" s="8" t="n">
        <v>4555</v>
      </c>
      <c r="E1583" s="8" t="n">
        <v>16930</v>
      </c>
      <c r="F1583" s="8" t="s">
        <v>2200</v>
      </c>
      <c r="G1583" s="8" t="s">
        <v>2201</v>
      </c>
      <c r="H1583" s="8" t="s">
        <v>2541</v>
      </c>
    </row>
    <row r="1584" customFormat="false" ht="15" hidden="false" customHeight="false" outlineLevel="0" collapsed="false">
      <c r="A1584" s="7" t="n">
        <v>45694</v>
      </c>
      <c r="B1584" s="7" t="n">
        <v>45736</v>
      </c>
      <c r="C1584" s="8" t="n">
        <v>6352</v>
      </c>
      <c r="D1584" s="8" t="n">
        <v>4735</v>
      </c>
      <c r="E1584" s="8" t="n">
        <v>14695</v>
      </c>
      <c r="F1584" s="8" t="s">
        <v>2200</v>
      </c>
      <c r="G1584" s="8" t="s">
        <v>2201</v>
      </c>
      <c r="H1584" s="8" t="s">
        <v>2541</v>
      </c>
    </row>
    <row r="1585" customFormat="false" ht="15" hidden="false" customHeight="false" outlineLevel="0" collapsed="false">
      <c r="A1585" s="7" t="n">
        <v>45694</v>
      </c>
      <c r="B1585" s="7" t="n">
        <v>45764</v>
      </c>
      <c r="C1585" s="8" t="n">
        <v>6287</v>
      </c>
      <c r="D1585" s="8" t="n">
        <v>445</v>
      </c>
      <c r="E1585" s="8" t="n">
        <v>3055</v>
      </c>
      <c r="F1585" s="8" t="s">
        <v>2200</v>
      </c>
      <c r="G1585" s="8" t="s">
        <v>2201</v>
      </c>
      <c r="H1585" s="8" t="s">
        <v>2541</v>
      </c>
    </row>
    <row r="1586" customFormat="false" ht="15" hidden="false" customHeight="false" outlineLevel="0" collapsed="false">
      <c r="A1586" s="7" t="n">
        <v>45694</v>
      </c>
      <c r="B1586" s="7" t="n">
        <v>45797</v>
      </c>
      <c r="C1586" s="8" t="n">
        <v>6287</v>
      </c>
      <c r="D1586" s="8" t="n">
        <v>0</v>
      </c>
      <c r="E1586" s="8" t="n">
        <v>0</v>
      </c>
      <c r="F1586" s="8" t="s">
        <v>2200</v>
      </c>
      <c r="G1586" s="8" t="s">
        <v>2201</v>
      </c>
      <c r="H1586" s="8" t="s">
        <v>2541</v>
      </c>
    </row>
    <row r="1587" customFormat="false" ht="15" hidden="false" customHeight="false" outlineLevel="0" collapsed="false">
      <c r="A1587" s="7" t="n">
        <v>45694</v>
      </c>
      <c r="B1587" s="7" t="n">
        <v>45828</v>
      </c>
      <c r="C1587" s="8" t="n">
        <v>6287</v>
      </c>
      <c r="D1587" s="8" t="n">
        <v>0</v>
      </c>
      <c r="E1587" s="8" t="n">
        <v>0</v>
      </c>
      <c r="F1587" s="8" t="s">
        <v>2200</v>
      </c>
      <c r="G1587" s="8" t="s">
        <v>2201</v>
      </c>
      <c r="H1587" s="8" t="s">
        <v>2541</v>
      </c>
    </row>
    <row r="1588" customFormat="false" ht="15" hidden="false" customHeight="false" outlineLevel="0" collapsed="false">
      <c r="A1588" s="7" t="n">
        <v>45695</v>
      </c>
      <c r="B1588" s="7" t="n">
        <v>45708</v>
      </c>
      <c r="C1588" s="8" t="n">
        <v>6570</v>
      </c>
      <c r="D1588" s="8" t="n">
        <v>2645</v>
      </c>
      <c r="E1588" s="8" t="n">
        <v>15935</v>
      </c>
      <c r="F1588" s="8" t="s">
        <v>2200</v>
      </c>
      <c r="G1588" s="8" t="s">
        <v>2201</v>
      </c>
      <c r="H1588" s="8" t="s">
        <v>2542</v>
      </c>
    </row>
    <row r="1589" customFormat="false" ht="15" hidden="false" customHeight="false" outlineLevel="0" collapsed="false">
      <c r="A1589" s="7" t="n">
        <v>45695</v>
      </c>
      <c r="B1589" s="7" t="n">
        <v>45736</v>
      </c>
      <c r="C1589" s="8" t="n">
        <v>6370</v>
      </c>
      <c r="D1589" s="8" t="n">
        <v>2380</v>
      </c>
      <c r="E1589" s="8" t="n">
        <v>15740</v>
      </c>
      <c r="F1589" s="8" t="s">
        <v>2200</v>
      </c>
      <c r="G1589" s="8" t="s">
        <v>2201</v>
      </c>
      <c r="H1589" s="8" t="s">
        <v>2542</v>
      </c>
    </row>
    <row r="1590" customFormat="false" ht="15" hidden="false" customHeight="false" outlineLevel="0" collapsed="false">
      <c r="A1590" s="7" t="n">
        <v>45695</v>
      </c>
      <c r="B1590" s="7" t="n">
        <v>45764</v>
      </c>
      <c r="C1590" s="8" t="n">
        <v>6310</v>
      </c>
      <c r="D1590" s="8" t="n">
        <v>185</v>
      </c>
      <c r="E1590" s="8" t="n">
        <v>3160</v>
      </c>
      <c r="F1590" s="8" t="s">
        <v>2200</v>
      </c>
      <c r="G1590" s="8" t="s">
        <v>2201</v>
      </c>
      <c r="H1590" s="8" t="s">
        <v>2542</v>
      </c>
    </row>
    <row r="1591" customFormat="false" ht="15" hidden="false" customHeight="false" outlineLevel="0" collapsed="false">
      <c r="A1591" s="7" t="n">
        <v>45695</v>
      </c>
      <c r="B1591" s="7" t="n">
        <v>45797</v>
      </c>
      <c r="C1591" s="8" t="n">
        <v>6310</v>
      </c>
      <c r="D1591" s="8" t="n">
        <v>0</v>
      </c>
      <c r="E1591" s="8" t="n">
        <v>0</v>
      </c>
      <c r="F1591" s="8" t="s">
        <v>2200</v>
      </c>
      <c r="G1591" s="8" t="s">
        <v>2201</v>
      </c>
      <c r="H1591" s="8" t="s">
        <v>2542</v>
      </c>
    </row>
    <row r="1592" customFormat="false" ht="15" hidden="false" customHeight="false" outlineLevel="0" collapsed="false">
      <c r="A1592" s="7" t="n">
        <v>45695</v>
      </c>
      <c r="B1592" s="7" t="n">
        <v>45828</v>
      </c>
      <c r="C1592" s="8" t="n">
        <v>6310</v>
      </c>
      <c r="D1592" s="8" t="n">
        <v>0</v>
      </c>
      <c r="E1592" s="8" t="n">
        <v>0</v>
      </c>
      <c r="F1592" s="8" t="s">
        <v>2200</v>
      </c>
      <c r="G1592" s="8" t="s">
        <v>2201</v>
      </c>
      <c r="H1592" s="8" t="s">
        <v>2542</v>
      </c>
    </row>
    <row r="1593" customFormat="false" ht="15" hidden="false" customHeight="false" outlineLevel="0" collapsed="false">
      <c r="A1593" s="7" t="n">
        <v>45698</v>
      </c>
      <c r="B1593" s="7" t="n">
        <v>45708</v>
      </c>
      <c r="C1593" s="8" t="n">
        <v>6593</v>
      </c>
      <c r="D1593" s="8" t="n">
        <v>4270</v>
      </c>
      <c r="E1593" s="8" t="n">
        <v>15180</v>
      </c>
      <c r="F1593" s="8" t="s">
        <v>2200</v>
      </c>
      <c r="G1593" s="8" t="s">
        <v>2201</v>
      </c>
      <c r="H1593" s="8" t="s">
        <v>2543</v>
      </c>
    </row>
    <row r="1594" customFormat="false" ht="15" hidden="false" customHeight="false" outlineLevel="0" collapsed="false">
      <c r="A1594" s="7" t="n">
        <v>45698</v>
      </c>
      <c r="B1594" s="7" t="n">
        <v>45736</v>
      </c>
      <c r="C1594" s="8" t="n">
        <v>6341</v>
      </c>
      <c r="D1594" s="8" t="n">
        <v>2615</v>
      </c>
      <c r="E1594" s="8" t="n">
        <v>16360</v>
      </c>
      <c r="F1594" s="8" t="s">
        <v>2200</v>
      </c>
      <c r="G1594" s="8" t="s">
        <v>2201</v>
      </c>
      <c r="H1594" s="8" t="s">
        <v>2543</v>
      </c>
    </row>
    <row r="1595" customFormat="false" ht="15" hidden="false" customHeight="false" outlineLevel="0" collapsed="false">
      <c r="A1595" s="7" t="n">
        <v>45698</v>
      </c>
      <c r="B1595" s="7" t="n">
        <v>45764</v>
      </c>
      <c r="C1595" s="8" t="n">
        <v>6284</v>
      </c>
      <c r="D1595" s="8" t="n">
        <v>455</v>
      </c>
      <c r="E1595" s="8" t="n">
        <v>3610</v>
      </c>
      <c r="F1595" s="8" t="s">
        <v>2200</v>
      </c>
      <c r="G1595" s="8" t="s">
        <v>2201</v>
      </c>
      <c r="H1595" s="8" t="s">
        <v>2543</v>
      </c>
    </row>
    <row r="1596" customFormat="false" ht="15" hidden="false" customHeight="false" outlineLevel="0" collapsed="false">
      <c r="A1596" s="7" t="n">
        <v>45698</v>
      </c>
      <c r="B1596" s="7" t="n">
        <v>45797</v>
      </c>
      <c r="C1596" s="8" t="n">
        <v>6284</v>
      </c>
      <c r="D1596" s="8" t="n">
        <v>0</v>
      </c>
      <c r="E1596" s="8" t="n">
        <v>0</v>
      </c>
      <c r="F1596" s="8" t="s">
        <v>2200</v>
      </c>
      <c r="G1596" s="8" t="s">
        <v>2201</v>
      </c>
      <c r="H1596" s="8" t="s">
        <v>2543</v>
      </c>
    </row>
    <row r="1597" customFormat="false" ht="15" hidden="false" customHeight="false" outlineLevel="0" collapsed="false">
      <c r="A1597" s="7" t="n">
        <v>45698</v>
      </c>
      <c r="B1597" s="7" t="n">
        <v>45828</v>
      </c>
      <c r="C1597" s="8" t="n">
        <v>6284</v>
      </c>
      <c r="D1597" s="8" t="n">
        <v>0</v>
      </c>
      <c r="E1597" s="8" t="n">
        <v>0</v>
      </c>
      <c r="F1597" s="8" t="s">
        <v>2200</v>
      </c>
      <c r="G1597" s="8" t="s">
        <v>2201</v>
      </c>
      <c r="H1597" s="8" t="s">
        <v>2543</v>
      </c>
    </row>
    <row r="1598" customFormat="false" ht="15" hidden="false" customHeight="false" outlineLevel="0" collapsed="false">
      <c r="A1598" s="7" t="n">
        <v>45699</v>
      </c>
      <c r="B1598" s="7" t="n">
        <v>45708</v>
      </c>
      <c r="C1598" s="8" t="n">
        <v>6543</v>
      </c>
      <c r="D1598" s="8" t="n">
        <v>4170</v>
      </c>
      <c r="E1598" s="8" t="n">
        <v>13990</v>
      </c>
      <c r="F1598" s="8" t="s">
        <v>2200</v>
      </c>
      <c r="G1598" s="8" t="s">
        <v>2201</v>
      </c>
      <c r="H1598" s="8" t="s">
        <v>2544</v>
      </c>
    </row>
    <row r="1599" customFormat="false" ht="15" hidden="false" customHeight="false" outlineLevel="0" collapsed="false">
      <c r="A1599" s="7" t="n">
        <v>45699</v>
      </c>
      <c r="B1599" s="7" t="n">
        <v>45736</v>
      </c>
      <c r="C1599" s="8" t="n">
        <v>6290</v>
      </c>
      <c r="D1599" s="8" t="n">
        <v>4840</v>
      </c>
      <c r="E1599" s="8" t="n">
        <v>17705</v>
      </c>
      <c r="F1599" s="8" t="s">
        <v>2200</v>
      </c>
      <c r="G1599" s="8" t="s">
        <v>2201</v>
      </c>
      <c r="H1599" s="8" t="s">
        <v>2544</v>
      </c>
    </row>
    <row r="1600" customFormat="false" ht="15" hidden="false" customHeight="false" outlineLevel="0" collapsed="false">
      <c r="A1600" s="7" t="n">
        <v>45699</v>
      </c>
      <c r="B1600" s="7" t="n">
        <v>45764</v>
      </c>
      <c r="C1600" s="8" t="n">
        <v>6246</v>
      </c>
      <c r="D1600" s="8" t="n">
        <v>240</v>
      </c>
      <c r="E1600" s="8" t="n">
        <v>3790</v>
      </c>
      <c r="F1600" s="8" t="s">
        <v>2200</v>
      </c>
      <c r="G1600" s="8" t="s">
        <v>2201</v>
      </c>
      <c r="H1600" s="8" t="s">
        <v>2544</v>
      </c>
    </row>
    <row r="1601" customFormat="false" ht="15" hidden="false" customHeight="false" outlineLevel="0" collapsed="false">
      <c r="A1601" s="7" t="n">
        <v>45699</v>
      </c>
      <c r="B1601" s="7" t="n">
        <v>45797</v>
      </c>
      <c r="C1601" s="8" t="n">
        <v>6246</v>
      </c>
      <c r="D1601" s="8" t="n">
        <v>0</v>
      </c>
      <c r="E1601" s="8" t="n">
        <v>0</v>
      </c>
      <c r="F1601" s="8" t="s">
        <v>2200</v>
      </c>
      <c r="G1601" s="8" t="s">
        <v>2201</v>
      </c>
      <c r="H1601" s="8" t="s">
        <v>2544</v>
      </c>
    </row>
    <row r="1602" customFormat="false" ht="15" hidden="false" customHeight="false" outlineLevel="0" collapsed="false">
      <c r="A1602" s="7" t="n">
        <v>45699</v>
      </c>
      <c r="B1602" s="7" t="n">
        <v>45828</v>
      </c>
      <c r="C1602" s="8" t="n">
        <v>6246</v>
      </c>
      <c r="D1602" s="8" t="n">
        <v>0</v>
      </c>
      <c r="E1602" s="8" t="n">
        <v>0</v>
      </c>
      <c r="F1602" s="8" t="s">
        <v>2200</v>
      </c>
      <c r="G1602" s="8" t="s">
        <v>2201</v>
      </c>
      <c r="H1602" s="8" t="s">
        <v>2544</v>
      </c>
    </row>
    <row r="1603" customFormat="false" ht="15" hidden="false" customHeight="false" outlineLevel="0" collapsed="false">
      <c r="A1603" s="7" t="n">
        <v>45700</v>
      </c>
      <c r="B1603" s="7" t="n">
        <v>45708</v>
      </c>
      <c r="C1603" s="8" t="n">
        <v>6576</v>
      </c>
      <c r="D1603" s="8" t="n">
        <v>1250</v>
      </c>
      <c r="E1603" s="8" t="n">
        <v>13380</v>
      </c>
      <c r="F1603" s="8" t="s">
        <v>2200</v>
      </c>
      <c r="G1603" s="8" t="s">
        <v>2201</v>
      </c>
      <c r="H1603" s="8" t="s">
        <v>2545</v>
      </c>
    </row>
    <row r="1604" customFormat="false" ht="15" hidden="false" customHeight="false" outlineLevel="0" collapsed="false">
      <c r="A1604" s="7" t="n">
        <v>45700</v>
      </c>
      <c r="B1604" s="7" t="n">
        <v>45736</v>
      </c>
      <c r="C1604" s="8" t="n">
        <v>6318</v>
      </c>
      <c r="D1604" s="8" t="n">
        <v>3290</v>
      </c>
      <c r="E1604" s="8" t="n">
        <v>19090</v>
      </c>
      <c r="F1604" s="8" t="s">
        <v>2200</v>
      </c>
      <c r="G1604" s="8" t="s">
        <v>2201</v>
      </c>
      <c r="H1604" s="8" t="s">
        <v>2545</v>
      </c>
    </row>
    <row r="1605" customFormat="false" ht="15" hidden="false" customHeight="false" outlineLevel="0" collapsed="false">
      <c r="A1605" s="7" t="n">
        <v>45700</v>
      </c>
      <c r="B1605" s="7" t="n">
        <v>45764</v>
      </c>
      <c r="C1605" s="8" t="n">
        <v>6268</v>
      </c>
      <c r="D1605" s="8" t="n">
        <v>60</v>
      </c>
      <c r="E1605" s="8" t="n">
        <v>3845</v>
      </c>
      <c r="F1605" s="8" t="s">
        <v>2200</v>
      </c>
      <c r="G1605" s="8" t="s">
        <v>2201</v>
      </c>
      <c r="H1605" s="8" t="s">
        <v>2545</v>
      </c>
    </row>
    <row r="1606" customFormat="false" ht="15" hidden="false" customHeight="false" outlineLevel="0" collapsed="false">
      <c r="A1606" s="7" t="n">
        <v>45700</v>
      </c>
      <c r="B1606" s="7" t="n">
        <v>45797</v>
      </c>
      <c r="C1606" s="8" t="n">
        <v>6268</v>
      </c>
      <c r="D1606" s="8" t="n">
        <v>0</v>
      </c>
      <c r="E1606" s="8" t="n">
        <v>0</v>
      </c>
      <c r="F1606" s="8" t="s">
        <v>2200</v>
      </c>
      <c r="G1606" s="8" t="s">
        <v>2201</v>
      </c>
      <c r="H1606" s="8" t="s">
        <v>2545</v>
      </c>
    </row>
    <row r="1607" customFormat="false" ht="15" hidden="false" customHeight="false" outlineLevel="0" collapsed="false">
      <c r="A1607" s="7" t="n">
        <v>45700</v>
      </c>
      <c r="B1607" s="7" t="n">
        <v>45828</v>
      </c>
      <c r="C1607" s="8" t="n">
        <v>6268</v>
      </c>
      <c r="D1607" s="8" t="n">
        <v>0</v>
      </c>
      <c r="E1607" s="8" t="n">
        <v>0</v>
      </c>
      <c r="F1607" s="8" t="s">
        <v>2200</v>
      </c>
      <c r="G1607" s="8" t="s">
        <v>2201</v>
      </c>
      <c r="H1607" s="8" t="s">
        <v>2545</v>
      </c>
    </row>
    <row r="1608" customFormat="false" ht="15" hidden="false" customHeight="false" outlineLevel="0" collapsed="false">
      <c r="A1608" s="7" t="n">
        <v>45701</v>
      </c>
      <c r="B1608" s="7" t="n">
        <v>45708</v>
      </c>
      <c r="C1608" s="8" t="n">
        <v>6617</v>
      </c>
      <c r="D1608" s="8" t="n">
        <v>2280</v>
      </c>
      <c r="E1608" s="8" t="n">
        <v>13025</v>
      </c>
      <c r="F1608" s="8" t="s">
        <v>2200</v>
      </c>
      <c r="G1608" s="8" t="s">
        <v>2201</v>
      </c>
      <c r="H1608" s="8" t="s">
        <v>2546</v>
      </c>
    </row>
    <row r="1609" customFormat="false" ht="15" hidden="false" customHeight="false" outlineLevel="0" collapsed="false">
      <c r="A1609" s="7" t="n">
        <v>45701</v>
      </c>
      <c r="B1609" s="7" t="n">
        <v>45736</v>
      </c>
      <c r="C1609" s="8" t="n">
        <v>6315</v>
      </c>
      <c r="D1609" s="8" t="n">
        <v>1590</v>
      </c>
      <c r="E1609" s="8" t="n">
        <v>19175</v>
      </c>
      <c r="F1609" s="8" t="s">
        <v>2200</v>
      </c>
      <c r="G1609" s="8" t="s">
        <v>2201</v>
      </c>
      <c r="H1609" s="8" t="s">
        <v>2546</v>
      </c>
    </row>
    <row r="1610" customFormat="false" ht="15" hidden="false" customHeight="false" outlineLevel="0" collapsed="false">
      <c r="A1610" s="7" t="n">
        <v>45701</v>
      </c>
      <c r="B1610" s="7" t="n">
        <v>45764</v>
      </c>
      <c r="C1610" s="8" t="n">
        <v>6268</v>
      </c>
      <c r="D1610" s="8" t="n">
        <v>50</v>
      </c>
      <c r="E1610" s="8" t="n">
        <v>3880</v>
      </c>
      <c r="F1610" s="8" t="s">
        <v>2200</v>
      </c>
      <c r="G1610" s="8" t="s">
        <v>2201</v>
      </c>
      <c r="H1610" s="8" t="s">
        <v>2546</v>
      </c>
    </row>
    <row r="1611" customFormat="false" ht="15" hidden="false" customHeight="false" outlineLevel="0" collapsed="false">
      <c r="A1611" s="7" t="n">
        <v>45701</v>
      </c>
      <c r="B1611" s="7" t="n">
        <v>45797</v>
      </c>
      <c r="C1611" s="8" t="n">
        <v>6268</v>
      </c>
      <c r="D1611" s="8" t="n">
        <v>0</v>
      </c>
      <c r="E1611" s="8" t="n">
        <v>0</v>
      </c>
      <c r="F1611" s="8" t="s">
        <v>2200</v>
      </c>
      <c r="G1611" s="8" t="s">
        <v>2201</v>
      </c>
      <c r="H1611" s="8" t="s">
        <v>2546</v>
      </c>
    </row>
    <row r="1612" customFormat="false" ht="15" hidden="false" customHeight="false" outlineLevel="0" collapsed="false">
      <c r="A1612" s="7" t="n">
        <v>45701</v>
      </c>
      <c r="B1612" s="7" t="n">
        <v>45828</v>
      </c>
      <c r="C1612" s="8" t="n">
        <v>6268</v>
      </c>
      <c r="D1612" s="8" t="n">
        <v>0</v>
      </c>
      <c r="E1612" s="8" t="n">
        <v>0</v>
      </c>
      <c r="F1612" s="8" t="s">
        <v>2200</v>
      </c>
      <c r="G1612" s="8" t="s">
        <v>2201</v>
      </c>
      <c r="H1612" s="8" t="s">
        <v>2546</v>
      </c>
    </row>
    <row r="1613" customFormat="false" ht="15" hidden="false" customHeight="false" outlineLevel="0" collapsed="false">
      <c r="A1613" s="7" t="n">
        <v>45702</v>
      </c>
      <c r="B1613" s="7" t="n">
        <v>45708</v>
      </c>
      <c r="C1613" s="8" t="n">
        <v>6569</v>
      </c>
      <c r="D1613" s="8" t="n">
        <v>4250</v>
      </c>
      <c r="E1613" s="8" t="n">
        <v>9720</v>
      </c>
      <c r="F1613" s="8" t="s">
        <v>2200</v>
      </c>
      <c r="G1613" s="8" t="s">
        <v>2201</v>
      </c>
      <c r="H1613" s="8" t="s">
        <v>2547</v>
      </c>
    </row>
    <row r="1614" customFormat="false" ht="15" hidden="false" customHeight="false" outlineLevel="0" collapsed="false">
      <c r="A1614" s="7" t="n">
        <v>45702</v>
      </c>
      <c r="B1614" s="7" t="n">
        <v>45736</v>
      </c>
      <c r="C1614" s="8" t="n">
        <v>6273</v>
      </c>
      <c r="D1614" s="8" t="n">
        <v>2050</v>
      </c>
      <c r="E1614" s="8" t="n">
        <v>19285</v>
      </c>
      <c r="F1614" s="8" t="s">
        <v>2200</v>
      </c>
      <c r="G1614" s="8" t="s">
        <v>2201</v>
      </c>
      <c r="H1614" s="8" t="s">
        <v>2547</v>
      </c>
    </row>
    <row r="1615" customFormat="false" ht="15" hidden="false" customHeight="false" outlineLevel="0" collapsed="false">
      <c r="A1615" s="7" t="n">
        <v>45702</v>
      </c>
      <c r="B1615" s="7" t="n">
        <v>45764</v>
      </c>
      <c r="C1615" s="8" t="n">
        <v>6229</v>
      </c>
      <c r="D1615" s="8" t="n">
        <v>345</v>
      </c>
      <c r="E1615" s="8" t="n">
        <v>4185</v>
      </c>
      <c r="F1615" s="8" t="s">
        <v>2200</v>
      </c>
      <c r="G1615" s="8" t="s">
        <v>2201</v>
      </c>
      <c r="H1615" s="8" t="s">
        <v>2547</v>
      </c>
    </row>
    <row r="1616" customFormat="false" ht="15" hidden="false" customHeight="false" outlineLevel="0" collapsed="false">
      <c r="A1616" s="7" t="n">
        <v>45702</v>
      </c>
      <c r="B1616" s="7" t="n">
        <v>45797</v>
      </c>
      <c r="C1616" s="8" t="n">
        <v>6229</v>
      </c>
      <c r="D1616" s="8" t="n">
        <v>0</v>
      </c>
      <c r="E1616" s="8" t="n">
        <v>0</v>
      </c>
      <c r="F1616" s="8" t="s">
        <v>2200</v>
      </c>
      <c r="G1616" s="8" t="s">
        <v>2201</v>
      </c>
      <c r="H1616" s="8" t="s">
        <v>2547</v>
      </c>
    </row>
    <row r="1617" customFormat="false" ht="15" hidden="false" customHeight="false" outlineLevel="0" collapsed="false">
      <c r="A1617" s="7" t="n">
        <v>45702</v>
      </c>
      <c r="B1617" s="7" t="n">
        <v>45828</v>
      </c>
      <c r="C1617" s="8" t="n">
        <v>6229</v>
      </c>
      <c r="D1617" s="8" t="n">
        <v>0</v>
      </c>
      <c r="E1617" s="8" t="n">
        <v>0</v>
      </c>
      <c r="F1617" s="8" t="s">
        <v>2200</v>
      </c>
      <c r="G1617" s="8" t="s">
        <v>2201</v>
      </c>
      <c r="H1617" s="8" t="s">
        <v>2547</v>
      </c>
    </row>
    <row r="1618" customFormat="false" ht="15" hidden="false" customHeight="false" outlineLevel="0" collapsed="false">
      <c r="A1618" s="7" t="n">
        <v>45705</v>
      </c>
      <c r="B1618" s="7" t="n">
        <v>45708</v>
      </c>
      <c r="C1618" s="8" t="n">
        <v>6626</v>
      </c>
      <c r="D1618" s="8" t="n">
        <v>6070</v>
      </c>
      <c r="E1618" s="8" t="n">
        <v>4525</v>
      </c>
      <c r="F1618" s="8" t="s">
        <v>2200</v>
      </c>
      <c r="G1618" s="8" t="s">
        <v>2201</v>
      </c>
      <c r="H1618" s="8" t="s">
        <v>2548</v>
      </c>
    </row>
    <row r="1619" customFormat="false" ht="15" hidden="false" customHeight="false" outlineLevel="0" collapsed="false">
      <c r="A1619" s="7" t="n">
        <v>45705</v>
      </c>
      <c r="B1619" s="7" t="n">
        <v>45736</v>
      </c>
      <c r="C1619" s="8" t="n">
        <v>6290</v>
      </c>
      <c r="D1619" s="8" t="n">
        <v>2115</v>
      </c>
      <c r="E1619" s="8" t="n">
        <v>19515</v>
      </c>
      <c r="F1619" s="8" t="s">
        <v>2200</v>
      </c>
      <c r="G1619" s="8" t="s">
        <v>2201</v>
      </c>
      <c r="H1619" s="8" t="s">
        <v>2548</v>
      </c>
    </row>
    <row r="1620" customFormat="false" ht="15" hidden="false" customHeight="false" outlineLevel="0" collapsed="false">
      <c r="A1620" s="7" t="n">
        <v>45705</v>
      </c>
      <c r="B1620" s="7" t="n">
        <v>45764</v>
      </c>
      <c r="C1620" s="8" t="n">
        <v>6290</v>
      </c>
      <c r="D1620" s="8" t="n">
        <v>0</v>
      </c>
      <c r="E1620" s="8" t="n">
        <v>4185</v>
      </c>
      <c r="F1620" s="8" t="s">
        <v>2200</v>
      </c>
      <c r="G1620" s="8" t="s">
        <v>2201</v>
      </c>
      <c r="H1620" s="8" t="s">
        <v>2548</v>
      </c>
    </row>
    <row r="1621" customFormat="false" ht="15" hidden="false" customHeight="false" outlineLevel="0" collapsed="false">
      <c r="A1621" s="7" t="n">
        <v>45705</v>
      </c>
      <c r="B1621" s="7" t="n">
        <v>45797</v>
      </c>
      <c r="C1621" s="8" t="n">
        <v>6290</v>
      </c>
      <c r="D1621" s="8" t="n">
        <v>0</v>
      </c>
      <c r="E1621" s="8" t="n">
        <v>0</v>
      </c>
      <c r="F1621" s="8" t="s">
        <v>2200</v>
      </c>
      <c r="G1621" s="8" t="s">
        <v>2201</v>
      </c>
      <c r="H1621" s="8" t="s">
        <v>2548</v>
      </c>
    </row>
    <row r="1622" customFormat="false" ht="15" hidden="false" customHeight="false" outlineLevel="0" collapsed="false">
      <c r="A1622" s="7" t="n">
        <v>45705</v>
      </c>
      <c r="B1622" s="7" t="n">
        <v>45828</v>
      </c>
      <c r="C1622" s="8" t="n">
        <v>6290</v>
      </c>
      <c r="D1622" s="8" t="n">
        <v>0</v>
      </c>
      <c r="E1622" s="8" t="n">
        <v>0</v>
      </c>
      <c r="F1622" s="8" t="s">
        <v>2200</v>
      </c>
      <c r="G1622" s="8" t="s">
        <v>2201</v>
      </c>
      <c r="H1622" s="8" t="s">
        <v>2548</v>
      </c>
    </row>
    <row r="1623" customFormat="false" ht="15" hidden="false" customHeight="false" outlineLevel="0" collapsed="false">
      <c r="A1623" s="7" t="n">
        <v>45706</v>
      </c>
      <c r="B1623" s="7" t="n">
        <v>45708</v>
      </c>
      <c r="C1623" s="8" t="n">
        <v>6658</v>
      </c>
      <c r="D1623" s="8" t="n">
        <v>3620</v>
      </c>
      <c r="E1623" s="8" t="n">
        <v>3115</v>
      </c>
      <c r="F1623" s="8" t="s">
        <v>2200</v>
      </c>
      <c r="G1623" s="8" t="s">
        <v>2201</v>
      </c>
      <c r="H1623" s="8" t="s">
        <v>2549</v>
      </c>
    </row>
    <row r="1624" customFormat="false" ht="15" hidden="false" customHeight="false" outlineLevel="0" collapsed="false">
      <c r="A1624" s="7" t="n">
        <v>45706</v>
      </c>
      <c r="B1624" s="7" t="n">
        <v>45736</v>
      </c>
      <c r="C1624" s="8" t="n">
        <v>6313</v>
      </c>
      <c r="D1624" s="8" t="n">
        <v>2855</v>
      </c>
      <c r="E1624" s="8" t="n">
        <v>19895</v>
      </c>
      <c r="F1624" s="8" t="s">
        <v>2200</v>
      </c>
      <c r="G1624" s="8" t="s">
        <v>2201</v>
      </c>
      <c r="H1624" s="8" t="s">
        <v>2549</v>
      </c>
    </row>
    <row r="1625" customFormat="false" ht="15" hidden="false" customHeight="false" outlineLevel="0" collapsed="false">
      <c r="A1625" s="7" t="n">
        <v>45706</v>
      </c>
      <c r="B1625" s="7" t="n">
        <v>45764</v>
      </c>
      <c r="C1625" s="8" t="n">
        <v>6260</v>
      </c>
      <c r="D1625" s="8" t="n">
        <v>385</v>
      </c>
      <c r="E1625" s="8" t="n">
        <v>4520</v>
      </c>
      <c r="F1625" s="8" t="s">
        <v>2200</v>
      </c>
      <c r="G1625" s="8" t="s">
        <v>2201</v>
      </c>
      <c r="H1625" s="8" t="s">
        <v>2549</v>
      </c>
    </row>
    <row r="1626" customFormat="false" ht="15" hidden="false" customHeight="false" outlineLevel="0" collapsed="false">
      <c r="A1626" s="7" t="n">
        <v>45706</v>
      </c>
      <c r="B1626" s="7" t="n">
        <v>45797</v>
      </c>
      <c r="C1626" s="8" t="n">
        <v>6260</v>
      </c>
      <c r="D1626" s="8" t="n">
        <v>0</v>
      </c>
      <c r="E1626" s="8" t="n">
        <v>0</v>
      </c>
      <c r="F1626" s="8" t="s">
        <v>2200</v>
      </c>
      <c r="G1626" s="8" t="s">
        <v>2201</v>
      </c>
      <c r="H1626" s="8" t="s">
        <v>2549</v>
      </c>
    </row>
    <row r="1627" customFormat="false" ht="15" hidden="false" customHeight="false" outlineLevel="0" collapsed="false">
      <c r="A1627" s="7" t="n">
        <v>45706</v>
      </c>
      <c r="B1627" s="7" t="n">
        <v>45828</v>
      </c>
      <c r="C1627" s="8" t="n">
        <v>6260</v>
      </c>
      <c r="D1627" s="8" t="n">
        <v>0</v>
      </c>
      <c r="E1627" s="8" t="n">
        <v>0</v>
      </c>
      <c r="F1627" s="8" t="s">
        <v>2200</v>
      </c>
      <c r="G1627" s="8" t="s">
        <v>2201</v>
      </c>
      <c r="H1627" s="8" t="s">
        <v>2549</v>
      </c>
    </row>
    <row r="1628" customFormat="false" ht="15" hidden="false" customHeight="false" outlineLevel="0" collapsed="false">
      <c r="A1628" s="7" t="n">
        <v>45707</v>
      </c>
      <c r="B1628" s="7" t="n">
        <v>45708</v>
      </c>
      <c r="C1628" s="8" t="n">
        <v>6705</v>
      </c>
      <c r="D1628" s="8" t="n">
        <v>830</v>
      </c>
      <c r="E1628" s="8" t="n">
        <v>1615</v>
      </c>
      <c r="F1628" s="8" t="s">
        <v>2200</v>
      </c>
      <c r="G1628" s="8" t="s">
        <v>2201</v>
      </c>
      <c r="H1628" s="8" t="s">
        <v>2550</v>
      </c>
    </row>
    <row r="1629" customFormat="false" ht="15" hidden="false" customHeight="false" outlineLevel="0" collapsed="false">
      <c r="A1629" s="7" t="n">
        <v>45707</v>
      </c>
      <c r="B1629" s="7" t="n">
        <v>45736</v>
      </c>
      <c r="C1629" s="8" t="n">
        <v>6335</v>
      </c>
      <c r="D1629" s="8" t="n">
        <v>2655</v>
      </c>
      <c r="E1629" s="8" t="n">
        <v>21265</v>
      </c>
      <c r="F1629" s="8" t="s">
        <v>2200</v>
      </c>
      <c r="G1629" s="8" t="s">
        <v>2201</v>
      </c>
      <c r="H1629" s="8" t="s">
        <v>2550</v>
      </c>
    </row>
    <row r="1630" customFormat="false" ht="15" hidden="false" customHeight="false" outlineLevel="0" collapsed="false">
      <c r="A1630" s="7" t="n">
        <v>45707</v>
      </c>
      <c r="B1630" s="7" t="n">
        <v>45764</v>
      </c>
      <c r="C1630" s="8" t="n">
        <v>6295</v>
      </c>
      <c r="D1630" s="8" t="n">
        <v>1305</v>
      </c>
      <c r="E1630" s="8" t="n">
        <v>5490</v>
      </c>
      <c r="F1630" s="8" t="s">
        <v>2200</v>
      </c>
      <c r="G1630" s="8" t="s">
        <v>2201</v>
      </c>
      <c r="H1630" s="8" t="s">
        <v>2550</v>
      </c>
    </row>
    <row r="1631" customFormat="false" ht="15" hidden="false" customHeight="false" outlineLevel="0" collapsed="false">
      <c r="A1631" s="7" t="n">
        <v>45707</v>
      </c>
      <c r="B1631" s="7" t="n">
        <v>45797</v>
      </c>
      <c r="C1631" s="8" t="n">
        <v>6295</v>
      </c>
      <c r="D1631" s="8" t="n">
        <v>0</v>
      </c>
      <c r="E1631" s="8" t="n">
        <v>0</v>
      </c>
      <c r="F1631" s="8" t="s">
        <v>2200</v>
      </c>
      <c r="G1631" s="8" t="s">
        <v>2201</v>
      </c>
      <c r="H1631" s="8" t="s">
        <v>2550</v>
      </c>
    </row>
    <row r="1632" customFormat="false" ht="15" hidden="false" customHeight="false" outlineLevel="0" collapsed="false">
      <c r="A1632" s="7" t="n">
        <v>45707</v>
      </c>
      <c r="B1632" s="7" t="n">
        <v>45828</v>
      </c>
      <c r="C1632" s="8" t="n">
        <v>6295</v>
      </c>
      <c r="D1632" s="8" t="n">
        <v>0</v>
      </c>
      <c r="E1632" s="8" t="n">
        <v>0</v>
      </c>
      <c r="F1632" s="8" t="s">
        <v>2200</v>
      </c>
      <c r="G1632" s="8" t="s">
        <v>2201</v>
      </c>
      <c r="H1632" s="8" t="s">
        <v>2550</v>
      </c>
    </row>
    <row r="1633" customFormat="false" ht="15" hidden="false" customHeight="false" outlineLevel="0" collapsed="false">
      <c r="A1633" s="7" t="n">
        <v>45708</v>
      </c>
      <c r="B1633" s="7" t="n">
        <v>45708</v>
      </c>
      <c r="C1633" s="8" t="n">
        <v>6656</v>
      </c>
      <c r="D1633" s="8" t="n">
        <v>1415</v>
      </c>
      <c r="E1633" s="8" t="n">
        <v>165</v>
      </c>
      <c r="F1633" s="8" t="s">
        <v>2200</v>
      </c>
      <c r="G1633" s="8" t="s">
        <v>2201</v>
      </c>
      <c r="H1633" s="8" t="s">
        <v>2551</v>
      </c>
    </row>
    <row r="1634" customFormat="false" ht="15" hidden="false" customHeight="false" outlineLevel="0" collapsed="false">
      <c r="A1634" s="7" t="n">
        <v>45708</v>
      </c>
      <c r="B1634" s="7" t="n">
        <v>45736</v>
      </c>
      <c r="C1634" s="8" t="n">
        <v>6307</v>
      </c>
      <c r="D1634" s="8" t="n">
        <v>3020</v>
      </c>
      <c r="E1634" s="8" t="n">
        <v>21345</v>
      </c>
      <c r="F1634" s="8" t="s">
        <v>2200</v>
      </c>
      <c r="G1634" s="8" t="s">
        <v>2201</v>
      </c>
      <c r="H1634" s="8" t="s">
        <v>2551</v>
      </c>
    </row>
    <row r="1635" customFormat="false" ht="15" hidden="false" customHeight="false" outlineLevel="0" collapsed="false">
      <c r="A1635" s="7" t="n">
        <v>45708</v>
      </c>
      <c r="B1635" s="7" t="n">
        <v>45764</v>
      </c>
      <c r="C1635" s="8" t="n">
        <v>6271</v>
      </c>
      <c r="D1635" s="8" t="n">
        <v>1210</v>
      </c>
      <c r="E1635" s="8" t="n">
        <v>6565</v>
      </c>
      <c r="F1635" s="8" t="s">
        <v>2200</v>
      </c>
      <c r="G1635" s="8" t="s">
        <v>2201</v>
      </c>
      <c r="H1635" s="8" t="s">
        <v>2551</v>
      </c>
    </row>
    <row r="1636" customFormat="false" ht="15" hidden="false" customHeight="false" outlineLevel="0" collapsed="false">
      <c r="A1636" s="7" t="n">
        <v>45708</v>
      </c>
      <c r="B1636" s="7" t="n">
        <v>45797</v>
      </c>
      <c r="C1636" s="8" t="n">
        <v>6271</v>
      </c>
      <c r="D1636" s="8" t="n">
        <v>0</v>
      </c>
      <c r="E1636" s="8" t="n">
        <v>0</v>
      </c>
      <c r="F1636" s="8" t="s">
        <v>2200</v>
      </c>
      <c r="G1636" s="8" t="s">
        <v>2201</v>
      </c>
      <c r="H1636" s="8" t="s">
        <v>2551</v>
      </c>
    </row>
    <row r="1637" customFormat="false" ht="15" hidden="false" customHeight="false" outlineLevel="0" collapsed="false">
      <c r="A1637" s="7" t="n">
        <v>45708</v>
      </c>
      <c r="B1637" s="7" t="n">
        <v>45828</v>
      </c>
      <c r="C1637" s="8" t="n">
        <v>6271</v>
      </c>
      <c r="D1637" s="8" t="n">
        <v>0</v>
      </c>
      <c r="E1637" s="8" t="n">
        <v>0</v>
      </c>
      <c r="F1637" s="8" t="s">
        <v>2200</v>
      </c>
      <c r="G1637" s="8" t="s">
        <v>2201</v>
      </c>
      <c r="H1637" s="8" t="s">
        <v>2551</v>
      </c>
    </row>
    <row r="1638" customFormat="false" ht="15" hidden="false" customHeight="false" outlineLevel="0" collapsed="false">
      <c r="A1638" s="7" t="n">
        <v>45709</v>
      </c>
      <c r="B1638" s="7" t="n">
        <v>45736</v>
      </c>
      <c r="C1638" s="8" t="n">
        <v>6355</v>
      </c>
      <c r="D1638" s="8" t="n">
        <v>6555</v>
      </c>
      <c r="E1638" s="8" t="n">
        <v>22080</v>
      </c>
      <c r="F1638" s="8" t="s">
        <v>2200</v>
      </c>
      <c r="G1638" s="8" t="s">
        <v>2201</v>
      </c>
      <c r="H1638" s="8" t="s">
        <v>2552</v>
      </c>
    </row>
    <row r="1639" customFormat="false" ht="15" hidden="false" customHeight="false" outlineLevel="0" collapsed="false">
      <c r="A1639" s="7" t="n">
        <v>45709</v>
      </c>
      <c r="B1639" s="7" t="n">
        <v>45764</v>
      </c>
      <c r="C1639" s="8" t="n">
        <v>6376</v>
      </c>
      <c r="D1639" s="8" t="n">
        <v>3785</v>
      </c>
      <c r="E1639" s="8" t="n">
        <v>9445</v>
      </c>
      <c r="F1639" s="8" t="s">
        <v>2200</v>
      </c>
      <c r="G1639" s="8" t="s">
        <v>2201</v>
      </c>
      <c r="H1639" s="8" t="s">
        <v>2552</v>
      </c>
    </row>
    <row r="1640" customFormat="false" ht="15" hidden="false" customHeight="false" outlineLevel="0" collapsed="false">
      <c r="A1640" s="7" t="n">
        <v>45709</v>
      </c>
      <c r="B1640" s="7" t="n">
        <v>45797</v>
      </c>
      <c r="C1640" s="8" t="n">
        <v>6410</v>
      </c>
      <c r="D1640" s="8" t="n">
        <v>25</v>
      </c>
      <c r="E1640" s="8" t="n">
        <v>25</v>
      </c>
      <c r="F1640" s="8" t="s">
        <v>2200</v>
      </c>
      <c r="G1640" s="8" t="s">
        <v>2201</v>
      </c>
      <c r="H1640" s="8" t="s">
        <v>2552</v>
      </c>
    </row>
    <row r="1641" customFormat="false" ht="15" hidden="false" customHeight="false" outlineLevel="0" collapsed="false">
      <c r="A1641" s="7" t="n">
        <v>45709</v>
      </c>
      <c r="B1641" s="7" t="n">
        <v>45828</v>
      </c>
      <c r="C1641" s="8" t="n">
        <v>6444</v>
      </c>
      <c r="D1641" s="8" t="n">
        <v>0</v>
      </c>
      <c r="E1641" s="8" t="n">
        <v>0</v>
      </c>
      <c r="F1641" s="8" t="s">
        <v>2200</v>
      </c>
      <c r="G1641" s="8" t="s">
        <v>2201</v>
      </c>
      <c r="H1641" s="8" t="s">
        <v>2552</v>
      </c>
    </row>
    <row r="1642" customFormat="false" ht="15" hidden="false" customHeight="false" outlineLevel="0" collapsed="false">
      <c r="A1642" s="7" t="n">
        <v>45712</v>
      </c>
      <c r="B1642" s="7" t="n">
        <v>45736</v>
      </c>
      <c r="C1642" s="8" t="n">
        <v>6386</v>
      </c>
      <c r="D1642" s="8" t="n">
        <v>3795</v>
      </c>
      <c r="E1642" s="8" t="n">
        <v>21920</v>
      </c>
      <c r="F1642" s="8" t="s">
        <v>2200</v>
      </c>
      <c r="G1642" s="8" t="s">
        <v>2201</v>
      </c>
      <c r="H1642" s="8" t="s">
        <v>2553</v>
      </c>
    </row>
    <row r="1643" customFormat="false" ht="15" hidden="false" customHeight="false" outlineLevel="0" collapsed="false">
      <c r="A1643" s="7" t="n">
        <v>45712</v>
      </c>
      <c r="B1643" s="7" t="n">
        <v>45764</v>
      </c>
      <c r="C1643" s="8" t="n">
        <v>6369</v>
      </c>
      <c r="D1643" s="8" t="n">
        <v>1675</v>
      </c>
      <c r="E1643" s="8" t="n">
        <v>9275</v>
      </c>
      <c r="F1643" s="8" t="s">
        <v>2200</v>
      </c>
      <c r="G1643" s="8" t="s">
        <v>2201</v>
      </c>
      <c r="H1643" s="8" t="s">
        <v>2553</v>
      </c>
    </row>
    <row r="1644" customFormat="false" ht="15" hidden="false" customHeight="false" outlineLevel="0" collapsed="false">
      <c r="A1644" s="7" t="n">
        <v>45712</v>
      </c>
      <c r="B1644" s="7" t="n">
        <v>45797</v>
      </c>
      <c r="C1644" s="8" t="n">
        <v>6410</v>
      </c>
      <c r="D1644" s="8" t="n">
        <v>315</v>
      </c>
      <c r="E1644" s="8" t="n">
        <v>335</v>
      </c>
      <c r="F1644" s="8" t="s">
        <v>2200</v>
      </c>
      <c r="G1644" s="8" t="s">
        <v>2201</v>
      </c>
      <c r="H1644" s="8" t="s">
        <v>2553</v>
      </c>
    </row>
    <row r="1645" customFormat="false" ht="15" hidden="false" customHeight="false" outlineLevel="0" collapsed="false">
      <c r="A1645" s="7" t="n">
        <v>45712</v>
      </c>
      <c r="B1645" s="7" t="n">
        <v>45828</v>
      </c>
      <c r="C1645" s="8" t="n">
        <v>6451</v>
      </c>
      <c r="D1645" s="8" t="n">
        <v>0</v>
      </c>
      <c r="E1645" s="8" t="n">
        <v>0</v>
      </c>
      <c r="F1645" s="8" t="s">
        <v>2200</v>
      </c>
      <c r="G1645" s="8" t="s">
        <v>2201</v>
      </c>
      <c r="H1645" s="8" t="s">
        <v>2553</v>
      </c>
    </row>
    <row r="1646" customFormat="false" ht="15" hidden="false" customHeight="false" outlineLevel="0" collapsed="false">
      <c r="A1646" s="7" t="n">
        <v>45713</v>
      </c>
      <c r="B1646" s="7" t="n">
        <v>45736</v>
      </c>
      <c r="C1646" s="8" t="n">
        <v>6350</v>
      </c>
      <c r="D1646" s="8" t="n">
        <v>5305</v>
      </c>
      <c r="E1646" s="8" t="n">
        <v>21900</v>
      </c>
      <c r="F1646" s="8" t="s">
        <v>2200</v>
      </c>
      <c r="G1646" s="8" t="s">
        <v>2201</v>
      </c>
      <c r="H1646" s="8" t="s">
        <v>2554</v>
      </c>
    </row>
    <row r="1647" customFormat="false" ht="15" hidden="false" customHeight="false" outlineLevel="0" collapsed="false">
      <c r="A1647" s="7" t="n">
        <v>45713</v>
      </c>
      <c r="B1647" s="7" t="n">
        <v>45764</v>
      </c>
      <c r="C1647" s="8" t="n">
        <v>6331</v>
      </c>
      <c r="D1647" s="8" t="n">
        <v>3075</v>
      </c>
      <c r="E1647" s="8" t="n">
        <v>10970</v>
      </c>
      <c r="F1647" s="8" t="s">
        <v>2200</v>
      </c>
      <c r="G1647" s="8" t="s">
        <v>2201</v>
      </c>
      <c r="H1647" s="8" t="s">
        <v>2554</v>
      </c>
    </row>
    <row r="1648" customFormat="false" ht="15" hidden="false" customHeight="false" outlineLevel="0" collapsed="false">
      <c r="A1648" s="7" t="n">
        <v>45713</v>
      </c>
      <c r="B1648" s="7" t="n">
        <v>45797</v>
      </c>
      <c r="C1648" s="8" t="n">
        <v>6420</v>
      </c>
      <c r="D1648" s="8" t="n">
        <v>320</v>
      </c>
      <c r="E1648" s="8" t="n">
        <v>655</v>
      </c>
      <c r="F1648" s="8" t="s">
        <v>2200</v>
      </c>
      <c r="G1648" s="8" t="s">
        <v>2201</v>
      </c>
      <c r="H1648" s="8" t="s">
        <v>2554</v>
      </c>
    </row>
    <row r="1649" customFormat="false" ht="15" hidden="false" customHeight="false" outlineLevel="0" collapsed="false">
      <c r="A1649" s="7" t="n">
        <v>45713</v>
      </c>
      <c r="B1649" s="7" t="n">
        <v>45828</v>
      </c>
      <c r="C1649" s="8" t="n">
        <v>6509</v>
      </c>
      <c r="D1649" s="8" t="n">
        <v>0</v>
      </c>
      <c r="E1649" s="8" t="n">
        <v>0</v>
      </c>
      <c r="F1649" s="8" t="s">
        <v>2200</v>
      </c>
      <c r="G1649" s="8" t="s">
        <v>2201</v>
      </c>
      <c r="H1649" s="8" t="s">
        <v>2554</v>
      </c>
    </row>
    <row r="1650" customFormat="false" ht="15" hidden="false" customHeight="false" outlineLevel="0" collapsed="false">
      <c r="A1650" s="7" t="n">
        <v>45715</v>
      </c>
      <c r="B1650" s="7" t="n">
        <v>45736</v>
      </c>
      <c r="C1650" s="8" t="n">
        <v>6357</v>
      </c>
      <c r="D1650" s="8" t="n">
        <v>2110</v>
      </c>
      <c r="E1650" s="8" t="n">
        <v>21830</v>
      </c>
      <c r="F1650" s="8" t="s">
        <v>2200</v>
      </c>
      <c r="G1650" s="8" t="s">
        <v>2201</v>
      </c>
      <c r="H1650" s="8" t="s">
        <v>2555</v>
      </c>
    </row>
    <row r="1651" customFormat="false" ht="15" hidden="false" customHeight="false" outlineLevel="0" collapsed="false">
      <c r="A1651" s="7" t="n">
        <v>45715</v>
      </c>
      <c r="B1651" s="7" t="n">
        <v>45764</v>
      </c>
      <c r="C1651" s="8" t="n">
        <v>6352</v>
      </c>
      <c r="D1651" s="8" t="n">
        <v>500</v>
      </c>
      <c r="E1651" s="8" t="n">
        <v>11055</v>
      </c>
      <c r="F1651" s="8" t="s">
        <v>2200</v>
      </c>
      <c r="G1651" s="8" t="s">
        <v>2201</v>
      </c>
      <c r="H1651" s="8" t="s">
        <v>2555</v>
      </c>
    </row>
    <row r="1652" customFormat="false" ht="15" hidden="false" customHeight="false" outlineLevel="0" collapsed="false">
      <c r="A1652" s="7" t="n">
        <v>45715</v>
      </c>
      <c r="B1652" s="7" t="n">
        <v>45797</v>
      </c>
      <c r="C1652" s="8" t="n">
        <v>6416</v>
      </c>
      <c r="D1652" s="8" t="n">
        <v>100</v>
      </c>
      <c r="E1652" s="8" t="n">
        <v>755</v>
      </c>
      <c r="F1652" s="8" t="s">
        <v>2200</v>
      </c>
      <c r="G1652" s="8" t="s">
        <v>2201</v>
      </c>
      <c r="H1652" s="8" t="s">
        <v>2555</v>
      </c>
    </row>
    <row r="1653" customFormat="false" ht="15" hidden="false" customHeight="false" outlineLevel="0" collapsed="false">
      <c r="A1653" s="7" t="n">
        <v>45715</v>
      </c>
      <c r="B1653" s="7" t="n">
        <v>45828</v>
      </c>
      <c r="C1653" s="8" t="n">
        <v>6480</v>
      </c>
      <c r="D1653" s="8" t="n">
        <v>0</v>
      </c>
      <c r="E1653" s="8" t="n">
        <v>0</v>
      </c>
      <c r="F1653" s="8" t="s">
        <v>2200</v>
      </c>
      <c r="G1653" s="8" t="s">
        <v>2201</v>
      </c>
      <c r="H1653" s="8" t="s">
        <v>2555</v>
      </c>
    </row>
    <row r="1654" customFormat="false" ht="15" hidden="false" customHeight="false" outlineLevel="0" collapsed="false">
      <c r="A1654" s="7" t="n">
        <v>45716</v>
      </c>
      <c r="B1654" s="7" t="n">
        <v>45736</v>
      </c>
      <c r="C1654" s="8" t="n">
        <v>6336</v>
      </c>
      <c r="D1654" s="8" t="n">
        <v>1080</v>
      </c>
      <c r="E1654" s="8" t="n">
        <v>22165</v>
      </c>
      <c r="F1654" s="8" t="s">
        <v>2200</v>
      </c>
      <c r="G1654" s="8" t="s">
        <v>2201</v>
      </c>
      <c r="H1654" s="8" t="s">
        <v>2556</v>
      </c>
    </row>
    <row r="1655" customFormat="false" ht="15" hidden="false" customHeight="false" outlineLevel="0" collapsed="false">
      <c r="A1655" s="7" t="n">
        <v>45716</v>
      </c>
      <c r="B1655" s="7" t="n">
        <v>45764</v>
      </c>
      <c r="C1655" s="8" t="n">
        <v>6327</v>
      </c>
      <c r="D1655" s="8" t="n">
        <v>640</v>
      </c>
      <c r="E1655" s="8" t="n">
        <v>10850</v>
      </c>
      <c r="F1655" s="8" t="s">
        <v>2200</v>
      </c>
      <c r="G1655" s="8" t="s">
        <v>2201</v>
      </c>
      <c r="H1655" s="8" t="s">
        <v>2556</v>
      </c>
    </row>
    <row r="1656" customFormat="false" ht="15" hidden="false" customHeight="false" outlineLevel="0" collapsed="false">
      <c r="A1656" s="7" t="n">
        <v>45716</v>
      </c>
      <c r="B1656" s="7" t="n">
        <v>45797</v>
      </c>
      <c r="C1656" s="8" t="n">
        <v>6398</v>
      </c>
      <c r="D1656" s="8" t="n">
        <v>495</v>
      </c>
      <c r="E1656" s="8" t="n">
        <v>1220</v>
      </c>
      <c r="F1656" s="8" t="s">
        <v>2200</v>
      </c>
      <c r="G1656" s="8" t="s">
        <v>2201</v>
      </c>
      <c r="H1656" s="8" t="s">
        <v>2556</v>
      </c>
    </row>
    <row r="1657" customFormat="false" ht="15" hidden="false" customHeight="false" outlineLevel="0" collapsed="false">
      <c r="A1657" s="7" t="n">
        <v>45716</v>
      </c>
      <c r="B1657" s="7" t="n">
        <v>45828</v>
      </c>
      <c r="C1657" s="8" t="n">
        <v>6469</v>
      </c>
      <c r="D1657" s="8" t="n">
        <v>0</v>
      </c>
      <c r="E1657" s="8" t="n">
        <v>0</v>
      </c>
      <c r="F1657" s="8" t="s">
        <v>2200</v>
      </c>
      <c r="G1657" s="8" t="s">
        <v>2201</v>
      </c>
      <c r="H1657" s="8" t="s">
        <v>2556</v>
      </c>
    </row>
    <row r="1658" customFormat="false" ht="15" hidden="false" customHeight="false" outlineLevel="0" collapsed="false">
      <c r="A1658" s="7" t="n">
        <v>45719</v>
      </c>
      <c r="B1658" s="7" t="n">
        <v>45736</v>
      </c>
      <c r="C1658" s="8" t="n">
        <v>6271</v>
      </c>
      <c r="D1658" s="8" t="n">
        <v>3955</v>
      </c>
      <c r="E1658" s="8" t="n">
        <v>21850</v>
      </c>
      <c r="F1658" s="8" t="s">
        <v>2200</v>
      </c>
      <c r="G1658" s="8" t="s">
        <v>2201</v>
      </c>
      <c r="H1658" s="8" t="s">
        <v>2557</v>
      </c>
    </row>
    <row r="1659" customFormat="false" ht="15" hidden="false" customHeight="false" outlineLevel="0" collapsed="false">
      <c r="A1659" s="7" t="n">
        <v>45719</v>
      </c>
      <c r="B1659" s="7" t="n">
        <v>45764</v>
      </c>
      <c r="C1659" s="8" t="n">
        <v>6301</v>
      </c>
      <c r="D1659" s="8" t="n">
        <v>2595</v>
      </c>
      <c r="E1659" s="8" t="n">
        <v>11550</v>
      </c>
      <c r="F1659" s="8" t="s">
        <v>2200</v>
      </c>
      <c r="G1659" s="8" t="s">
        <v>2201</v>
      </c>
      <c r="H1659" s="8" t="s">
        <v>2557</v>
      </c>
    </row>
    <row r="1660" customFormat="false" ht="15" hidden="false" customHeight="false" outlineLevel="0" collapsed="false">
      <c r="A1660" s="7" t="n">
        <v>45719</v>
      </c>
      <c r="B1660" s="7" t="n">
        <v>45797</v>
      </c>
      <c r="C1660" s="8" t="n">
        <v>6350</v>
      </c>
      <c r="D1660" s="8" t="n">
        <v>460</v>
      </c>
      <c r="E1660" s="8" t="n">
        <v>1600</v>
      </c>
      <c r="F1660" s="8" t="s">
        <v>2200</v>
      </c>
      <c r="G1660" s="8" t="s">
        <v>2201</v>
      </c>
      <c r="H1660" s="8" t="s">
        <v>2557</v>
      </c>
    </row>
    <row r="1661" customFormat="false" ht="15" hidden="false" customHeight="false" outlineLevel="0" collapsed="false">
      <c r="A1661" s="7" t="n">
        <v>45719</v>
      </c>
      <c r="B1661" s="7" t="n">
        <v>45828</v>
      </c>
      <c r="C1661" s="8" t="n">
        <v>6399</v>
      </c>
      <c r="D1661" s="8" t="n">
        <v>0</v>
      </c>
      <c r="E1661" s="8" t="n">
        <v>0</v>
      </c>
      <c r="F1661" s="8" t="s">
        <v>2200</v>
      </c>
      <c r="G1661" s="8" t="s">
        <v>2201</v>
      </c>
      <c r="H1661" s="8" t="s">
        <v>2557</v>
      </c>
    </row>
    <row r="1662" customFormat="false" ht="15" hidden="false" customHeight="false" outlineLevel="0" collapsed="false">
      <c r="A1662" s="7" t="n">
        <v>45719</v>
      </c>
      <c r="B1662" s="7" t="n">
        <v>45856</v>
      </c>
      <c r="C1662" s="8" t="n">
        <v>6448</v>
      </c>
      <c r="D1662" s="8" t="n">
        <v>0</v>
      </c>
      <c r="E1662" s="8" t="n">
        <v>0</v>
      </c>
      <c r="F1662" s="8" t="s">
        <v>2200</v>
      </c>
      <c r="G1662" s="8" t="s">
        <v>2201</v>
      </c>
      <c r="H1662" s="8" t="s">
        <v>2557</v>
      </c>
    </row>
    <row r="1663" customFormat="false" ht="15" hidden="false" customHeight="false" outlineLevel="0" collapsed="false">
      <c r="A1663" s="7" t="n">
        <v>45720</v>
      </c>
      <c r="B1663" s="7" t="n">
        <v>45736</v>
      </c>
      <c r="C1663" s="8" t="n">
        <v>6267</v>
      </c>
      <c r="D1663" s="8" t="n">
        <v>3840</v>
      </c>
      <c r="E1663" s="8" t="n">
        <v>21465</v>
      </c>
      <c r="F1663" s="8" t="s">
        <v>2200</v>
      </c>
      <c r="G1663" s="8" t="s">
        <v>2201</v>
      </c>
      <c r="H1663" s="8" t="s">
        <v>2558</v>
      </c>
    </row>
    <row r="1664" customFormat="false" ht="15" hidden="false" customHeight="false" outlineLevel="0" collapsed="false">
      <c r="A1664" s="7" t="n">
        <v>45720</v>
      </c>
      <c r="B1664" s="7" t="n">
        <v>45764</v>
      </c>
      <c r="C1664" s="8" t="n">
        <v>6292</v>
      </c>
      <c r="D1664" s="8" t="n">
        <v>3230</v>
      </c>
      <c r="E1664" s="8" t="n">
        <v>12030</v>
      </c>
      <c r="F1664" s="8" t="s">
        <v>2200</v>
      </c>
      <c r="G1664" s="8" t="s">
        <v>2201</v>
      </c>
      <c r="H1664" s="8" t="s">
        <v>2558</v>
      </c>
    </row>
    <row r="1665" customFormat="false" ht="15" hidden="false" customHeight="false" outlineLevel="0" collapsed="false">
      <c r="A1665" s="7" t="n">
        <v>45720</v>
      </c>
      <c r="B1665" s="7" t="n">
        <v>45797</v>
      </c>
      <c r="C1665" s="8" t="n">
        <v>6320</v>
      </c>
      <c r="D1665" s="8" t="n">
        <v>210</v>
      </c>
      <c r="E1665" s="8" t="n">
        <v>1800</v>
      </c>
      <c r="F1665" s="8" t="s">
        <v>2200</v>
      </c>
      <c r="G1665" s="8" t="s">
        <v>2201</v>
      </c>
      <c r="H1665" s="8" t="s">
        <v>2558</v>
      </c>
    </row>
    <row r="1666" customFormat="false" ht="15" hidden="false" customHeight="false" outlineLevel="0" collapsed="false">
      <c r="A1666" s="7" t="n">
        <v>45720</v>
      </c>
      <c r="B1666" s="7" t="n">
        <v>45828</v>
      </c>
      <c r="C1666" s="8" t="n">
        <v>6348</v>
      </c>
      <c r="D1666" s="8" t="n">
        <v>0</v>
      </c>
      <c r="E1666" s="8" t="n">
        <v>0</v>
      </c>
      <c r="F1666" s="8" t="s">
        <v>2200</v>
      </c>
      <c r="G1666" s="8" t="s">
        <v>2201</v>
      </c>
      <c r="H1666" s="8" t="s">
        <v>2558</v>
      </c>
    </row>
    <row r="1667" customFormat="false" ht="15" hidden="false" customHeight="false" outlineLevel="0" collapsed="false">
      <c r="A1667" s="7" t="n">
        <v>45720</v>
      </c>
      <c r="B1667" s="7" t="n">
        <v>45856</v>
      </c>
      <c r="C1667" s="8" t="n">
        <v>6376</v>
      </c>
      <c r="D1667" s="8" t="n">
        <v>0</v>
      </c>
      <c r="E1667" s="8" t="n">
        <v>0</v>
      </c>
      <c r="F1667" s="8" t="s">
        <v>2200</v>
      </c>
      <c r="G1667" s="8" t="s">
        <v>2201</v>
      </c>
      <c r="H1667" s="8" t="s">
        <v>2558</v>
      </c>
    </row>
    <row r="1668" customFormat="false" ht="15" hidden="false" customHeight="false" outlineLevel="0" collapsed="false">
      <c r="A1668" s="7" t="n">
        <v>45721</v>
      </c>
      <c r="B1668" s="7" t="n">
        <v>45736</v>
      </c>
      <c r="C1668" s="8" t="n">
        <v>6288</v>
      </c>
      <c r="D1668" s="8" t="n">
        <v>1930</v>
      </c>
      <c r="E1668" s="8" t="n">
        <v>21770</v>
      </c>
      <c r="F1668" s="8" t="s">
        <v>2200</v>
      </c>
      <c r="G1668" s="8" t="s">
        <v>2201</v>
      </c>
      <c r="H1668" s="8" t="s">
        <v>2559</v>
      </c>
    </row>
    <row r="1669" customFormat="false" ht="15" hidden="false" customHeight="false" outlineLevel="0" collapsed="false">
      <c r="A1669" s="7" t="n">
        <v>45721</v>
      </c>
      <c r="B1669" s="7" t="n">
        <v>45764</v>
      </c>
      <c r="C1669" s="8" t="n">
        <v>6303</v>
      </c>
      <c r="D1669" s="8" t="n">
        <v>1875</v>
      </c>
      <c r="E1669" s="8" t="n">
        <v>12640</v>
      </c>
      <c r="F1669" s="8" t="s">
        <v>2200</v>
      </c>
      <c r="G1669" s="8" t="s">
        <v>2201</v>
      </c>
      <c r="H1669" s="8" t="s">
        <v>2559</v>
      </c>
    </row>
    <row r="1670" customFormat="false" ht="15" hidden="false" customHeight="false" outlineLevel="0" collapsed="false">
      <c r="A1670" s="7" t="n">
        <v>45721</v>
      </c>
      <c r="B1670" s="7" t="n">
        <v>45797</v>
      </c>
      <c r="C1670" s="8" t="n">
        <v>6383</v>
      </c>
      <c r="D1670" s="8" t="n">
        <v>10</v>
      </c>
      <c r="E1670" s="8" t="n">
        <v>1805</v>
      </c>
      <c r="F1670" s="8" t="s">
        <v>2200</v>
      </c>
      <c r="G1670" s="8" t="s">
        <v>2201</v>
      </c>
      <c r="H1670" s="8" t="s">
        <v>2559</v>
      </c>
    </row>
    <row r="1671" customFormat="false" ht="15" hidden="false" customHeight="false" outlineLevel="0" collapsed="false">
      <c r="A1671" s="7" t="n">
        <v>45721</v>
      </c>
      <c r="B1671" s="7" t="n">
        <v>45828</v>
      </c>
      <c r="C1671" s="8" t="n">
        <v>6463</v>
      </c>
      <c r="D1671" s="8" t="n">
        <v>0</v>
      </c>
      <c r="E1671" s="8" t="n">
        <v>0</v>
      </c>
      <c r="F1671" s="8" t="s">
        <v>2200</v>
      </c>
      <c r="G1671" s="8" t="s">
        <v>2201</v>
      </c>
      <c r="H1671" s="8" t="s">
        <v>2559</v>
      </c>
    </row>
    <row r="1672" customFormat="false" ht="15" hidden="false" customHeight="false" outlineLevel="0" collapsed="false">
      <c r="A1672" s="7" t="n">
        <v>45721</v>
      </c>
      <c r="B1672" s="7" t="n">
        <v>45856</v>
      </c>
      <c r="C1672" s="8" t="n">
        <v>6543</v>
      </c>
      <c r="D1672" s="8" t="n">
        <v>0</v>
      </c>
      <c r="E1672" s="8" t="n">
        <v>0</v>
      </c>
      <c r="F1672" s="8" t="s">
        <v>2200</v>
      </c>
      <c r="G1672" s="8" t="s">
        <v>2201</v>
      </c>
      <c r="H1672" s="8" t="s">
        <v>2559</v>
      </c>
    </row>
    <row r="1673" customFormat="false" ht="15" hidden="false" customHeight="false" outlineLevel="0" collapsed="false">
      <c r="A1673" s="7" t="n">
        <v>45722</v>
      </c>
      <c r="B1673" s="7" t="n">
        <v>45736</v>
      </c>
      <c r="C1673" s="8" t="n">
        <v>6319</v>
      </c>
      <c r="D1673" s="8" t="n">
        <v>1840</v>
      </c>
      <c r="E1673" s="8" t="n">
        <v>21510</v>
      </c>
      <c r="F1673" s="8" t="s">
        <v>2200</v>
      </c>
      <c r="G1673" s="8" t="s">
        <v>2201</v>
      </c>
      <c r="H1673" s="8" t="s">
        <v>2560</v>
      </c>
    </row>
    <row r="1674" customFormat="false" ht="15" hidden="false" customHeight="false" outlineLevel="0" collapsed="false">
      <c r="A1674" s="7" t="n">
        <v>45722</v>
      </c>
      <c r="B1674" s="7" t="n">
        <v>45764</v>
      </c>
      <c r="C1674" s="8" t="n">
        <v>6325</v>
      </c>
      <c r="D1674" s="8" t="n">
        <v>2185</v>
      </c>
      <c r="E1674" s="8" t="n">
        <v>12740</v>
      </c>
      <c r="F1674" s="8" t="s">
        <v>2200</v>
      </c>
      <c r="G1674" s="8" t="s">
        <v>2201</v>
      </c>
      <c r="H1674" s="8" t="s">
        <v>2560</v>
      </c>
    </row>
    <row r="1675" customFormat="false" ht="15" hidden="false" customHeight="false" outlineLevel="0" collapsed="false">
      <c r="A1675" s="7" t="n">
        <v>45722</v>
      </c>
      <c r="B1675" s="7" t="n">
        <v>45797</v>
      </c>
      <c r="C1675" s="8" t="n">
        <v>6363</v>
      </c>
      <c r="D1675" s="8" t="n">
        <v>5</v>
      </c>
      <c r="E1675" s="8" t="n">
        <v>1800</v>
      </c>
      <c r="F1675" s="8" t="s">
        <v>2200</v>
      </c>
      <c r="G1675" s="8" t="s">
        <v>2201</v>
      </c>
      <c r="H1675" s="8" t="s">
        <v>2560</v>
      </c>
    </row>
    <row r="1676" customFormat="false" ht="15" hidden="false" customHeight="false" outlineLevel="0" collapsed="false">
      <c r="A1676" s="7" t="n">
        <v>45722</v>
      </c>
      <c r="B1676" s="7" t="n">
        <v>45828</v>
      </c>
      <c r="C1676" s="8" t="n">
        <v>6401</v>
      </c>
      <c r="D1676" s="8" t="n">
        <v>0</v>
      </c>
      <c r="E1676" s="8" t="n">
        <v>0</v>
      </c>
      <c r="F1676" s="8" t="s">
        <v>2200</v>
      </c>
      <c r="G1676" s="8" t="s">
        <v>2201</v>
      </c>
      <c r="H1676" s="8" t="s">
        <v>2560</v>
      </c>
    </row>
    <row r="1677" customFormat="false" ht="15" hidden="false" customHeight="false" outlineLevel="0" collapsed="false">
      <c r="A1677" s="7" t="n">
        <v>45722</v>
      </c>
      <c r="B1677" s="7" t="n">
        <v>45856</v>
      </c>
      <c r="C1677" s="8" t="n">
        <v>6439</v>
      </c>
      <c r="D1677" s="8" t="n">
        <v>0</v>
      </c>
      <c r="E1677" s="8" t="n">
        <v>0</v>
      </c>
      <c r="F1677" s="8" t="s">
        <v>2200</v>
      </c>
      <c r="G1677" s="8" t="s">
        <v>2201</v>
      </c>
      <c r="H1677" s="8" t="s">
        <v>2560</v>
      </c>
    </row>
    <row r="1678" customFormat="false" ht="15" hidden="false" customHeight="false" outlineLevel="0" collapsed="false">
      <c r="A1678" s="7" t="n">
        <v>45723</v>
      </c>
      <c r="B1678" s="7" t="n">
        <v>45736</v>
      </c>
      <c r="C1678" s="8" t="n">
        <v>6346</v>
      </c>
      <c r="D1678" s="8" t="n">
        <v>1970</v>
      </c>
      <c r="E1678" s="8" t="n">
        <v>20990</v>
      </c>
      <c r="F1678" s="8" t="s">
        <v>2200</v>
      </c>
      <c r="G1678" s="8" t="s">
        <v>2201</v>
      </c>
      <c r="H1678" s="8" t="s">
        <v>2561</v>
      </c>
    </row>
    <row r="1679" customFormat="false" ht="15" hidden="false" customHeight="false" outlineLevel="0" collapsed="false">
      <c r="A1679" s="7" t="n">
        <v>45723</v>
      </c>
      <c r="B1679" s="7" t="n">
        <v>45764</v>
      </c>
      <c r="C1679" s="8" t="n">
        <v>6342</v>
      </c>
      <c r="D1679" s="8" t="n">
        <v>1595</v>
      </c>
      <c r="E1679" s="8" t="n">
        <v>13030</v>
      </c>
      <c r="F1679" s="8" t="s">
        <v>2200</v>
      </c>
      <c r="G1679" s="8" t="s">
        <v>2201</v>
      </c>
      <c r="H1679" s="8" t="s">
        <v>2561</v>
      </c>
    </row>
    <row r="1680" customFormat="false" ht="15" hidden="false" customHeight="false" outlineLevel="0" collapsed="false">
      <c r="A1680" s="7" t="n">
        <v>45723</v>
      </c>
      <c r="B1680" s="7" t="n">
        <v>45797</v>
      </c>
      <c r="C1680" s="8" t="n">
        <v>6399</v>
      </c>
      <c r="D1680" s="8" t="n">
        <v>430</v>
      </c>
      <c r="E1680" s="8" t="n">
        <v>2230</v>
      </c>
      <c r="F1680" s="8" t="s">
        <v>2200</v>
      </c>
      <c r="G1680" s="8" t="s">
        <v>2201</v>
      </c>
      <c r="H1680" s="8" t="s">
        <v>2561</v>
      </c>
    </row>
    <row r="1681" customFormat="false" ht="15" hidden="false" customHeight="false" outlineLevel="0" collapsed="false">
      <c r="A1681" s="7" t="n">
        <v>45723</v>
      </c>
      <c r="B1681" s="7" t="n">
        <v>45828</v>
      </c>
      <c r="C1681" s="8" t="n">
        <v>6456</v>
      </c>
      <c r="D1681" s="8" t="n">
        <v>0</v>
      </c>
      <c r="E1681" s="8" t="n">
        <v>0</v>
      </c>
      <c r="F1681" s="8" t="s">
        <v>2200</v>
      </c>
      <c r="G1681" s="8" t="s">
        <v>2201</v>
      </c>
      <c r="H1681" s="8" t="s">
        <v>2561</v>
      </c>
    </row>
    <row r="1682" customFormat="false" ht="15" hidden="false" customHeight="false" outlineLevel="0" collapsed="false">
      <c r="A1682" s="7" t="n">
        <v>45723</v>
      </c>
      <c r="B1682" s="7" t="n">
        <v>45856</v>
      </c>
      <c r="C1682" s="8" t="n">
        <v>6513</v>
      </c>
      <c r="D1682" s="8" t="n">
        <v>0</v>
      </c>
      <c r="E1682" s="8" t="n">
        <v>0</v>
      </c>
      <c r="F1682" s="8" t="s">
        <v>2200</v>
      </c>
      <c r="G1682" s="8" t="s">
        <v>2201</v>
      </c>
      <c r="H1682" s="8" t="s">
        <v>2561</v>
      </c>
    </row>
    <row r="1683" customFormat="false" ht="15" hidden="false" customHeight="false" outlineLevel="0" collapsed="false">
      <c r="A1683" s="7" t="n">
        <v>45726</v>
      </c>
      <c r="B1683" s="7" t="n">
        <v>45736</v>
      </c>
      <c r="C1683" s="8" t="n">
        <v>6256</v>
      </c>
      <c r="D1683" s="8" t="n">
        <v>2985</v>
      </c>
      <c r="E1683" s="8" t="n">
        <v>20320</v>
      </c>
      <c r="F1683" s="8" t="s">
        <v>2200</v>
      </c>
      <c r="G1683" s="8" t="s">
        <v>2201</v>
      </c>
      <c r="H1683" s="8" t="s">
        <v>2562</v>
      </c>
    </row>
    <row r="1684" customFormat="false" ht="15" hidden="false" customHeight="false" outlineLevel="0" collapsed="false">
      <c r="A1684" s="7" t="n">
        <v>45726</v>
      </c>
      <c r="B1684" s="7" t="n">
        <v>45764</v>
      </c>
      <c r="C1684" s="8" t="n">
        <v>6264</v>
      </c>
      <c r="D1684" s="8" t="n">
        <v>3195</v>
      </c>
      <c r="E1684" s="8" t="n">
        <v>13095</v>
      </c>
      <c r="F1684" s="8" t="s">
        <v>2200</v>
      </c>
      <c r="G1684" s="8" t="s">
        <v>2201</v>
      </c>
      <c r="H1684" s="8" t="s">
        <v>2562</v>
      </c>
    </row>
    <row r="1685" customFormat="false" ht="15" hidden="false" customHeight="false" outlineLevel="0" collapsed="false">
      <c r="A1685" s="7" t="n">
        <v>45726</v>
      </c>
      <c r="B1685" s="7" t="n">
        <v>45797</v>
      </c>
      <c r="C1685" s="8" t="n">
        <v>6302</v>
      </c>
      <c r="D1685" s="8" t="n">
        <v>395</v>
      </c>
      <c r="E1685" s="8" t="n">
        <v>2600</v>
      </c>
      <c r="F1685" s="8" t="s">
        <v>2200</v>
      </c>
      <c r="G1685" s="8" t="s">
        <v>2201</v>
      </c>
      <c r="H1685" s="8" t="s">
        <v>2562</v>
      </c>
    </row>
    <row r="1686" customFormat="false" ht="15" hidden="false" customHeight="false" outlineLevel="0" collapsed="false">
      <c r="A1686" s="7" t="n">
        <v>45726</v>
      </c>
      <c r="B1686" s="7" t="n">
        <v>45828</v>
      </c>
      <c r="C1686" s="8" t="n">
        <v>6340</v>
      </c>
      <c r="D1686" s="8" t="n">
        <v>0</v>
      </c>
      <c r="E1686" s="8" t="n">
        <v>0</v>
      </c>
      <c r="F1686" s="8" t="s">
        <v>2200</v>
      </c>
      <c r="G1686" s="8" t="s">
        <v>2201</v>
      </c>
      <c r="H1686" s="8" t="s">
        <v>2562</v>
      </c>
    </row>
    <row r="1687" customFormat="false" ht="15" hidden="false" customHeight="false" outlineLevel="0" collapsed="false">
      <c r="A1687" s="7" t="n">
        <v>45726</v>
      </c>
      <c r="B1687" s="7" t="n">
        <v>45856</v>
      </c>
      <c r="C1687" s="8" t="n">
        <v>6378</v>
      </c>
      <c r="D1687" s="8" t="n">
        <v>0</v>
      </c>
      <c r="E1687" s="8" t="n">
        <v>0</v>
      </c>
      <c r="F1687" s="8" t="s">
        <v>2200</v>
      </c>
      <c r="G1687" s="8" t="s">
        <v>2201</v>
      </c>
      <c r="H1687" s="8" t="s">
        <v>2562</v>
      </c>
    </row>
    <row r="1688" customFormat="false" ht="15" hidden="false" customHeight="false" outlineLevel="0" collapsed="false">
      <c r="A1688" s="7" t="n">
        <v>45727</v>
      </c>
      <c r="B1688" s="7" t="n">
        <v>45736</v>
      </c>
      <c r="C1688" s="8" t="n">
        <v>6262</v>
      </c>
      <c r="D1688" s="8" t="n">
        <v>2140</v>
      </c>
      <c r="E1688" s="8" t="n">
        <v>19585</v>
      </c>
      <c r="F1688" s="8" t="s">
        <v>2200</v>
      </c>
      <c r="G1688" s="8" t="s">
        <v>2201</v>
      </c>
      <c r="H1688" s="8" t="s">
        <v>2563</v>
      </c>
    </row>
    <row r="1689" customFormat="false" ht="15" hidden="false" customHeight="false" outlineLevel="0" collapsed="false">
      <c r="A1689" s="7" t="n">
        <v>45727</v>
      </c>
      <c r="B1689" s="7" t="n">
        <v>45764</v>
      </c>
      <c r="C1689" s="8" t="n">
        <v>6286</v>
      </c>
      <c r="D1689" s="8" t="n">
        <v>2965</v>
      </c>
      <c r="E1689" s="8" t="n">
        <v>13675</v>
      </c>
      <c r="F1689" s="8" t="s">
        <v>2200</v>
      </c>
      <c r="G1689" s="8" t="s">
        <v>2201</v>
      </c>
      <c r="H1689" s="8" t="s">
        <v>2563</v>
      </c>
    </row>
    <row r="1690" customFormat="false" ht="15" hidden="false" customHeight="false" outlineLevel="0" collapsed="false">
      <c r="A1690" s="7" t="n">
        <v>45727</v>
      </c>
      <c r="B1690" s="7" t="n">
        <v>45797</v>
      </c>
      <c r="C1690" s="8" t="n">
        <v>6346</v>
      </c>
      <c r="D1690" s="8" t="n">
        <v>410</v>
      </c>
      <c r="E1690" s="8" t="n">
        <v>2855</v>
      </c>
      <c r="F1690" s="8" t="s">
        <v>2200</v>
      </c>
      <c r="G1690" s="8" t="s">
        <v>2201</v>
      </c>
      <c r="H1690" s="8" t="s">
        <v>2563</v>
      </c>
    </row>
    <row r="1691" customFormat="false" ht="15" hidden="false" customHeight="false" outlineLevel="0" collapsed="false">
      <c r="A1691" s="7" t="n">
        <v>45727</v>
      </c>
      <c r="B1691" s="7" t="n">
        <v>45828</v>
      </c>
      <c r="C1691" s="8" t="n">
        <v>6406</v>
      </c>
      <c r="D1691" s="8" t="n">
        <v>0</v>
      </c>
      <c r="E1691" s="8" t="n">
        <v>0</v>
      </c>
      <c r="F1691" s="8" t="s">
        <v>2200</v>
      </c>
      <c r="G1691" s="8" t="s">
        <v>2201</v>
      </c>
      <c r="H1691" s="8" t="s">
        <v>2563</v>
      </c>
    </row>
    <row r="1692" customFormat="false" ht="15" hidden="false" customHeight="false" outlineLevel="0" collapsed="false">
      <c r="A1692" s="7" t="n">
        <v>45727</v>
      </c>
      <c r="B1692" s="7" t="n">
        <v>45856</v>
      </c>
      <c r="C1692" s="8" t="n">
        <v>6466</v>
      </c>
      <c r="D1692" s="8" t="n">
        <v>0</v>
      </c>
      <c r="E1692" s="8" t="n">
        <v>0</v>
      </c>
      <c r="F1692" s="8" t="s">
        <v>2200</v>
      </c>
      <c r="G1692" s="8" t="s">
        <v>2201</v>
      </c>
      <c r="H1692" s="8" t="s">
        <v>2563</v>
      </c>
    </row>
    <row r="1693" customFormat="false" ht="15" hidden="false" customHeight="false" outlineLevel="0" collapsed="false">
      <c r="A1693" s="7" t="n">
        <v>45728</v>
      </c>
      <c r="B1693" s="7" t="n">
        <v>45736</v>
      </c>
      <c r="C1693" s="8" t="n">
        <v>6259</v>
      </c>
      <c r="D1693" s="8" t="n">
        <v>2180</v>
      </c>
      <c r="E1693" s="8" t="n">
        <v>19135</v>
      </c>
      <c r="F1693" s="8" t="s">
        <v>2200</v>
      </c>
      <c r="G1693" s="8" t="s">
        <v>2201</v>
      </c>
      <c r="H1693" s="8" t="s">
        <v>2564</v>
      </c>
    </row>
    <row r="1694" customFormat="false" ht="15" hidden="false" customHeight="false" outlineLevel="0" collapsed="false">
      <c r="A1694" s="7" t="n">
        <v>45728</v>
      </c>
      <c r="B1694" s="7" t="n">
        <v>45764</v>
      </c>
      <c r="C1694" s="8" t="n">
        <v>6281</v>
      </c>
      <c r="D1694" s="8" t="n">
        <v>1845</v>
      </c>
      <c r="E1694" s="8" t="n">
        <v>14005</v>
      </c>
      <c r="F1694" s="8" t="s">
        <v>2200</v>
      </c>
      <c r="G1694" s="8" t="s">
        <v>2201</v>
      </c>
      <c r="H1694" s="8" t="s">
        <v>2564</v>
      </c>
    </row>
    <row r="1695" customFormat="false" ht="15" hidden="false" customHeight="false" outlineLevel="0" collapsed="false">
      <c r="A1695" s="7" t="n">
        <v>45728</v>
      </c>
      <c r="B1695" s="7" t="n">
        <v>45797</v>
      </c>
      <c r="C1695" s="8" t="n">
        <v>6303</v>
      </c>
      <c r="D1695" s="8" t="n">
        <v>50</v>
      </c>
      <c r="E1695" s="8" t="n">
        <v>2905</v>
      </c>
      <c r="F1695" s="8" t="s">
        <v>2200</v>
      </c>
      <c r="G1695" s="8" t="s">
        <v>2201</v>
      </c>
      <c r="H1695" s="8" t="s">
        <v>2564</v>
      </c>
    </row>
    <row r="1696" customFormat="false" ht="15" hidden="false" customHeight="false" outlineLevel="0" collapsed="false">
      <c r="A1696" s="7" t="n">
        <v>45728</v>
      </c>
      <c r="B1696" s="7" t="n">
        <v>45828</v>
      </c>
      <c r="C1696" s="8" t="n">
        <v>6325</v>
      </c>
      <c r="D1696" s="8" t="n">
        <v>0</v>
      </c>
      <c r="E1696" s="8" t="n">
        <v>0</v>
      </c>
      <c r="F1696" s="8" t="s">
        <v>2200</v>
      </c>
      <c r="G1696" s="8" t="s">
        <v>2201</v>
      </c>
      <c r="H1696" s="8" t="s">
        <v>2564</v>
      </c>
    </row>
    <row r="1697" customFormat="false" ht="15" hidden="false" customHeight="false" outlineLevel="0" collapsed="false">
      <c r="A1697" s="7" t="n">
        <v>45728</v>
      </c>
      <c r="B1697" s="7" t="n">
        <v>45856</v>
      </c>
      <c r="C1697" s="8" t="n">
        <v>6347</v>
      </c>
      <c r="D1697" s="8" t="n">
        <v>0</v>
      </c>
      <c r="E1697" s="8" t="n">
        <v>0</v>
      </c>
      <c r="F1697" s="8" t="s">
        <v>2200</v>
      </c>
      <c r="G1697" s="8" t="s">
        <v>2201</v>
      </c>
      <c r="H1697" s="8" t="s">
        <v>2564</v>
      </c>
    </row>
    <row r="1698" customFormat="false" ht="15" hidden="false" customHeight="false" outlineLevel="0" collapsed="false">
      <c r="A1698" s="7" t="n">
        <v>45729</v>
      </c>
      <c r="B1698" s="7" t="n">
        <v>45736</v>
      </c>
      <c r="C1698" s="8" t="n">
        <v>6121</v>
      </c>
      <c r="D1698" s="8" t="n">
        <v>12850</v>
      </c>
      <c r="E1698" s="8" t="n">
        <v>11730</v>
      </c>
      <c r="F1698" s="8" t="s">
        <v>2200</v>
      </c>
      <c r="G1698" s="8" t="s">
        <v>2201</v>
      </c>
      <c r="H1698" s="8" t="s">
        <v>2565</v>
      </c>
    </row>
    <row r="1699" customFormat="false" ht="15" hidden="false" customHeight="false" outlineLevel="0" collapsed="false">
      <c r="A1699" s="7" t="n">
        <v>45729</v>
      </c>
      <c r="B1699" s="7" t="n">
        <v>45764</v>
      </c>
      <c r="C1699" s="8" t="n">
        <v>6209</v>
      </c>
      <c r="D1699" s="8" t="n">
        <v>14980</v>
      </c>
      <c r="E1699" s="8" t="n">
        <v>19075</v>
      </c>
      <c r="F1699" s="8" t="s">
        <v>2200</v>
      </c>
      <c r="G1699" s="8" t="s">
        <v>2201</v>
      </c>
      <c r="H1699" s="8" t="s">
        <v>2565</v>
      </c>
    </row>
    <row r="1700" customFormat="false" ht="15" hidden="false" customHeight="false" outlineLevel="0" collapsed="false">
      <c r="A1700" s="7" t="n">
        <v>45729</v>
      </c>
      <c r="B1700" s="7" t="n">
        <v>45797</v>
      </c>
      <c r="C1700" s="8" t="n">
        <v>6238</v>
      </c>
      <c r="D1700" s="8" t="n">
        <v>810</v>
      </c>
      <c r="E1700" s="8" t="n">
        <v>3325</v>
      </c>
      <c r="F1700" s="8" t="s">
        <v>2200</v>
      </c>
      <c r="G1700" s="8" t="s">
        <v>2201</v>
      </c>
      <c r="H1700" s="8" t="s">
        <v>2565</v>
      </c>
    </row>
    <row r="1701" customFormat="false" ht="15" hidden="false" customHeight="false" outlineLevel="0" collapsed="false">
      <c r="A1701" s="7" t="n">
        <v>45729</v>
      </c>
      <c r="B1701" s="7" t="n">
        <v>45828</v>
      </c>
      <c r="C1701" s="8" t="n">
        <v>6267</v>
      </c>
      <c r="D1701" s="8" t="n">
        <v>0</v>
      </c>
      <c r="E1701" s="8" t="n">
        <v>0</v>
      </c>
      <c r="F1701" s="8" t="s">
        <v>2200</v>
      </c>
      <c r="G1701" s="8" t="s">
        <v>2201</v>
      </c>
      <c r="H1701" s="8" t="s">
        <v>2565</v>
      </c>
    </row>
    <row r="1702" customFormat="false" ht="15" hidden="false" customHeight="false" outlineLevel="0" collapsed="false">
      <c r="A1702" s="7" t="n">
        <v>45729</v>
      </c>
      <c r="B1702" s="7" t="n">
        <v>45856</v>
      </c>
      <c r="C1702" s="8" t="n">
        <v>6296</v>
      </c>
      <c r="D1702" s="8" t="n">
        <v>0</v>
      </c>
      <c r="E1702" s="8" t="n">
        <v>0</v>
      </c>
      <c r="F1702" s="8" t="s">
        <v>2200</v>
      </c>
      <c r="G1702" s="8" t="s">
        <v>2201</v>
      </c>
      <c r="H1702" s="8" t="s">
        <v>2565</v>
      </c>
    </row>
    <row r="1703" customFormat="false" ht="15" hidden="false" customHeight="false" outlineLevel="0" collapsed="false">
      <c r="A1703" s="7" t="n">
        <v>45733</v>
      </c>
      <c r="B1703" s="7" t="n">
        <v>45736</v>
      </c>
      <c r="C1703" s="8" t="n">
        <v>6148</v>
      </c>
      <c r="D1703" s="8" t="n">
        <v>5445</v>
      </c>
      <c r="E1703" s="8" t="n">
        <v>9265</v>
      </c>
      <c r="F1703" s="8" t="s">
        <v>2200</v>
      </c>
      <c r="G1703" s="8" t="s">
        <v>2201</v>
      </c>
      <c r="H1703" s="8" t="s">
        <v>2566</v>
      </c>
    </row>
    <row r="1704" customFormat="false" ht="15" hidden="false" customHeight="false" outlineLevel="0" collapsed="false">
      <c r="A1704" s="7" t="n">
        <v>45733</v>
      </c>
      <c r="B1704" s="7" t="n">
        <v>45764</v>
      </c>
      <c r="C1704" s="8" t="n">
        <v>6224</v>
      </c>
      <c r="D1704" s="8" t="n">
        <v>6885</v>
      </c>
      <c r="E1704" s="8" t="n">
        <v>20735</v>
      </c>
      <c r="F1704" s="8" t="s">
        <v>2200</v>
      </c>
      <c r="G1704" s="8" t="s">
        <v>2201</v>
      </c>
      <c r="H1704" s="8" t="s">
        <v>2566</v>
      </c>
    </row>
    <row r="1705" customFormat="false" ht="15" hidden="false" customHeight="false" outlineLevel="0" collapsed="false">
      <c r="A1705" s="7" t="n">
        <v>45733</v>
      </c>
      <c r="B1705" s="7" t="n">
        <v>45797</v>
      </c>
      <c r="C1705" s="8" t="n">
        <v>6259</v>
      </c>
      <c r="D1705" s="8" t="n">
        <v>565</v>
      </c>
      <c r="E1705" s="8" t="n">
        <v>3665</v>
      </c>
      <c r="F1705" s="8" t="s">
        <v>2200</v>
      </c>
      <c r="G1705" s="8" t="s">
        <v>2201</v>
      </c>
      <c r="H1705" s="8" t="s">
        <v>2566</v>
      </c>
    </row>
    <row r="1706" customFormat="false" ht="15" hidden="false" customHeight="false" outlineLevel="0" collapsed="false">
      <c r="A1706" s="7" t="n">
        <v>45733</v>
      </c>
      <c r="B1706" s="7" t="n">
        <v>45828</v>
      </c>
      <c r="C1706" s="8" t="n">
        <v>6294</v>
      </c>
      <c r="D1706" s="8" t="n">
        <v>0</v>
      </c>
      <c r="E1706" s="8" t="n">
        <v>0</v>
      </c>
      <c r="F1706" s="8" t="s">
        <v>2200</v>
      </c>
      <c r="G1706" s="8" t="s">
        <v>2201</v>
      </c>
      <c r="H1706" s="8" t="s">
        <v>2566</v>
      </c>
    </row>
    <row r="1707" customFormat="false" ht="15" hidden="false" customHeight="false" outlineLevel="0" collapsed="false">
      <c r="A1707" s="7" t="n">
        <v>45733</v>
      </c>
      <c r="B1707" s="7" t="n">
        <v>45856</v>
      </c>
      <c r="C1707" s="8" t="n">
        <v>6329</v>
      </c>
      <c r="D1707" s="8" t="n">
        <v>0</v>
      </c>
      <c r="E1707" s="8" t="n">
        <v>0</v>
      </c>
      <c r="F1707" s="8" t="s">
        <v>2200</v>
      </c>
      <c r="G1707" s="8" t="s">
        <v>2201</v>
      </c>
      <c r="H1707" s="8" t="s">
        <v>2566</v>
      </c>
    </row>
    <row r="1708" customFormat="false" ht="15" hidden="false" customHeight="false" outlineLevel="0" collapsed="false">
      <c r="A1708" s="7" t="n">
        <v>45734</v>
      </c>
      <c r="B1708" s="7" t="n">
        <v>45736</v>
      </c>
      <c r="C1708" s="8" t="n">
        <v>6183</v>
      </c>
      <c r="D1708" s="8" t="n">
        <v>12490</v>
      </c>
      <c r="E1708" s="8" t="n">
        <v>5565</v>
      </c>
      <c r="F1708" s="8" t="s">
        <v>2200</v>
      </c>
      <c r="G1708" s="8" t="s">
        <v>2201</v>
      </c>
      <c r="H1708" s="8" t="s">
        <v>2567</v>
      </c>
    </row>
    <row r="1709" customFormat="false" ht="15" hidden="false" customHeight="false" outlineLevel="0" collapsed="false">
      <c r="A1709" s="7" t="n">
        <v>45734</v>
      </c>
      <c r="B1709" s="7" t="n">
        <v>45764</v>
      </c>
      <c r="C1709" s="8" t="n">
        <v>6245</v>
      </c>
      <c r="D1709" s="8" t="n">
        <v>5655</v>
      </c>
      <c r="E1709" s="8" t="n">
        <v>23075</v>
      </c>
      <c r="F1709" s="8" t="s">
        <v>2200</v>
      </c>
      <c r="G1709" s="8" t="s">
        <v>2201</v>
      </c>
      <c r="H1709" s="8" t="s">
        <v>2567</v>
      </c>
    </row>
    <row r="1710" customFormat="false" ht="15" hidden="false" customHeight="false" outlineLevel="0" collapsed="false">
      <c r="A1710" s="7" t="n">
        <v>45734</v>
      </c>
      <c r="B1710" s="7" t="n">
        <v>45797</v>
      </c>
      <c r="C1710" s="8" t="n">
        <v>6266</v>
      </c>
      <c r="D1710" s="8" t="n">
        <v>1160</v>
      </c>
      <c r="E1710" s="8" t="n">
        <v>4165</v>
      </c>
      <c r="F1710" s="8" t="s">
        <v>2200</v>
      </c>
      <c r="G1710" s="8" t="s">
        <v>2201</v>
      </c>
      <c r="H1710" s="8" t="s">
        <v>2567</v>
      </c>
    </row>
    <row r="1711" customFormat="false" ht="15" hidden="false" customHeight="false" outlineLevel="0" collapsed="false">
      <c r="A1711" s="7" t="n">
        <v>45734</v>
      </c>
      <c r="B1711" s="7" t="n">
        <v>45828</v>
      </c>
      <c r="C1711" s="8" t="n">
        <v>6287</v>
      </c>
      <c r="D1711" s="8" t="n">
        <v>0</v>
      </c>
      <c r="E1711" s="8" t="n">
        <v>0</v>
      </c>
      <c r="F1711" s="8" t="s">
        <v>2200</v>
      </c>
      <c r="G1711" s="8" t="s">
        <v>2201</v>
      </c>
      <c r="H1711" s="8" t="s">
        <v>2567</v>
      </c>
    </row>
    <row r="1712" customFormat="false" ht="15" hidden="false" customHeight="false" outlineLevel="0" collapsed="false">
      <c r="A1712" s="7" t="n">
        <v>45734</v>
      </c>
      <c r="B1712" s="7" t="n">
        <v>45856</v>
      </c>
      <c r="C1712" s="8" t="n">
        <v>6308</v>
      </c>
      <c r="D1712" s="8" t="n">
        <v>0</v>
      </c>
      <c r="E1712" s="8" t="n">
        <v>0</v>
      </c>
      <c r="F1712" s="8" t="s">
        <v>2200</v>
      </c>
      <c r="G1712" s="8" t="s">
        <v>2201</v>
      </c>
      <c r="H1712" s="8" t="s">
        <v>2567</v>
      </c>
    </row>
    <row r="1713" customFormat="false" ht="15" hidden="false" customHeight="false" outlineLevel="0" collapsed="false">
      <c r="A1713" s="7" t="n">
        <v>45735</v>
      </c>
      <c r="B1713" s="7" t="n">
        <v>45736</v>
      </c>
      <c r="C1713" s="8" t="n">
        <v>6242</v>
      </c>
      <c r="D1713" s="8" t="n">
        <v>160</v>
      </c>
      <c r="E1713" s="8" t="n">
        <v>555</v>
      </c>
      <c r="F1713" s="8" t="s">
        <v>2200</v>
      </c>
      <c r="G1713" s="8" t="s">
        <v>2201</v>
      </c>
      <c r="H1713" s="8" t="s">
        <v>2568</v>
      </c>
    </row>
    <row r="1714" customFormat="false" ht="15" hidden="false" customHeight="false" outlineLevel="0" collapsed="false">
      <c r="A1714" s="7" t="n">
        <v>45735</v>
      </c>
      <c r="B1714" s="7" t="n">
        <v>45764</v>
      </c>
      <c r="C1714" s="8" t="n">
        <v>6292</v>
      </c>
      <c r="D1714" s="8" t="n">
        <v>3975</v>
      </c>
      <c r="E1714" s="8" t="n">
        <v>22205</v>
      </c>
      <c r="F1714" s="8" t="s">
        <v>2200</v>
      </c>
      <c r="G1714" s="8" t="s">
        <v>2201</v>
      </c>
      <c r="H1714" s="8" t="s">
        <v>2568</v>
      </c>
    </row>
    <row r="1715" customFormat="false" ht="15" hidden="false" customHeight="false" outlineLevel="0" collapsed="false">
      <c r="A1715" s="7" t="n">
        <v>45735</v>
      </c>
      <c r="B1715" s="7" t="n">
        <v>45797</v>
      </c>
      <c r="C1715" s="8" t="n">
        <v>6304</v>
      </c>
      <c r="D1715" s="8" t="n">
        <v>1860</v>
      </c>
      <c r="E1715" s="8" t="n">
        <v>5150</v>
      </c>
      <c r="F1715" s="8" t="s">
        <v>2200</v>
      </c>
      <c r="G1715" s="8" t="s">
        <v>2201</v>
      </c>
      <c r="H1715" s="8" t="s">
        <v>2568</v>
      </c>
    </row>
    <row r="1716" customFormat="false" ht="15" hidden="false" customHeight="false" outlineLevel="0" collapsed="false">
      <c r="A1716" s="7" t="n">
        <v>45735</v>
      </c>
      <c r="B1716" s="7" t="n">
        <v>45828</v>
      </c>
      <c r="C1716" s="8" t="n">
        <v>6316</v>
      </c>
      <c r="D1716" s="8" t="n">
        <v>0</v>
      </c>
      <c r="E1716" s="8" t="n">
        <v>0</v>
      </c>
      <c r="F1716" s="8" t="s">
        <v>2200</v>
      </c>
      <c r="G1716" s="8" t="s">
        <v>2201</v>
      </c>
      <c r="H1716" s="8" t="s">
        <v>2568</v>
      </c>
    </row>
    <row r="1717" customFormat="false" ht="15" hidden="false" customHeight="false" outlineLevel="0" collapsed="false">
      <c r="A1717" s="7" t="n">
        <v>45735</v>
      </c>
      <c r="B1717" s="7" t="n">
        <v>45856</v>
      </c>
      <c r="C1717" s="8" t="n">
        <v>6328</v>
      </c>
      <c r="D1717" s="8" t="n">
        <v>0</v>
      </c>
      <c r="E1717" s="8" t="n">
        <v>0</v>
      </c>
      <c r="F1717" s="8" t="s">
        <v>2200</v>
      </c>
      <c r="G1717" s="8" t="s">
        <v>2201</v>
      </c>
      <c r="H1717" s="8" t="s">
        <v>2568</v>
      </c>
    </row>
    <row r="1718" customFormat="false" ht="15" hidden="false" customHeight="false" outlineLevel="0" collapsed="false">
      <c r="A1718" s="7" t="n">
        <v>45736</v>
      </c>
      <c r="B1718" s="7" t="n">
        <v>45736</v>
      </c>
      <c r="C1718" s="8" t="n">
        <v>6242</v>
      </c>
      <c r="D1718" s="8" t="n">
        <v>10</v>
      </c>
      <c r="E1718" s="8" t="n">
        <v>150</v>
      </c>
      <c r="F1718" s="8" t="s">
        <v>2200</v>
      </c>
      <c r="G1718" s="8" t="s">
        <v>2201</v>
      </c>
      <c r="H1718" s="8" t="s">
        <v>2569</v>
      </c>
    </row>
    <row r="1719" customFormat="false" ht="15" hidden="false" customHeight="false" outlineLevel="0" collapsed="false">
      <c r="A1719" s="7" t="n">
        <v>45736</v>
      </c>
      <c r="B1719" s="7" t="n">
        <v>45764</v>
      </c>
      <c r="C1719" s="8" t="n">
        <v>6297</v>
      </c>
      <c r="D1719" s="8" t="n">
        <v>4815</v>
      </c>
      <c r="E1719" s="8" t="n">
        <v>21365</v>
      </c>
      <c r="F1719" s="8" t="s">
        <v>2200</v>
      </c>
      <c r="G1719" s="8" t="s">
        <v>2201</v>
      </c>
      <c r="H1719" s="8" t="s">
        <v>2569</v>
      </c>
    </row>
    <row r="1720" customFormat="false" ht="15" hidden="false" customHeight="false" outlineLevel="0" collapsed="false">
      <c r="A1720" s="7" t="n">
        <v>45736</v>
      </c>
      <c r="B1720" s="7" t="n">
        <v>45797</v>
      </c>
      <c r="C1720" s="8" t="n">
        <v>6309</v>
      </c>
      <c r="D1720" s="8" t="n">
        <v>2400</v>
      </c>
      <c r="E1720" s="8" t="n">
        <v>6380</v>
      </c>
      <c r="F1720" s="8" t="s">
        <v>2200</v>
      </c>
      <c r="G1720" s="8" t="s">
        <v>2201</v>
      </c>
      <c r="H1720" s="8" t="s">
        <v>2569</v>
      </c>
    </row>
    <row r="1721" customFormat="false" ht="15" hidden="false" customHeight="false" outlineLevel="0" collapsed="false">
      <c r="A1721" s="7" t="n">
        <v>45736</v>
      </c>
      <c r="B1721" s="7" t="n">
        <v>45828</v>
      </c>
      <c r="C1721" s="8" t="n">
        <v>6321</v>
      </c>
      <c r="D1721" s="8" t="n">
        <v>0</v>
      </c>
      <c r="E1721" s="8" t="n">
        <v>0</v>
      </c>
      <c r="F1721" s="8" t="s">
        <v>2200</v>
      </c>
      <c r="G1721" s="8" t="s">
        <v>2201</v>
      </c>
      <c r="H1721" s="8" t="s">
        <v>2569</v>
      </c>
    </row>
    <row r="1722" customFormat="false" ht="15" hidden="false" customHeight="false" outlineLevel="0" collapsed="false">
      <c r="A1722" s="7" t="n">
        <v>45736</v>
      </c>
      <c r="B1722" s="7" t="n">
        <v>45856</v>
      </c>
      <c r="C1722" s="8" t="n">
        <v>6333</v>
      </c>
      <c r="D1722" s="8" t="n">
        <v>0</v>
      </c>
      <c r="E1722" s="8" t="n">
        <v>0</v>
      </c>
      <c r="F1722" s="8" t="s">
        <v>2200</v>
      </c>
      <c r="G1722" s="8" t="s">
        <v>2201</v>
      </c>
      <c r="H1722" s="8" t="s">
        <v>2569</v>
      </c>
    </row>
    <row r="1723" customFormat="false" ht="15" hidden="false" customHeight="false" outlineLevel="0" collapsed="false">
      <c r="A1723" s="7" t="n">
        <v>45737</v>
      </c>
      <c r="B1723" s="7" t="n">
        <v>45764</v>
      </c>
      <c r="C1723" s="8" t="n">
        <v>6307</v>
      </c>
      <c r="D1723" s="8" t="n">
        <v>4065</v>
      </c>
      <c r="E1723" s="8" t="n">
        <v>19775</v>
      </c>
      <c r="F1723" s="8" t="s">
        <v>2200</v>
      </c>
      <c r="G1723" s="8" t="s">
        <v>2201</v>
      </c>
      <c r="H1723" s="8" t="s">
        <v>2570</v>
      </c>
    </row>
    <row r="1724" customFormat="false" ht="15" hidden="false" customHeight="false" outlineLevel="0" collapsed="false">
      <c r="A1724" s="7" t="n">
        <v>45737</v>
      </c>
      <c r="B1724" s="7" t="n">
        <v>45797</v>
      </c>
      <c r="C1724" s="8" t="n">
        <v>6331</v>
      </c>
      <c r="D1724" s="8" t="n">
        <v>2505</v>
      </c>
      <c r="E1724" s="8" t="n">
        <v>8415</v>
      </c>
      <c r="F1724" s="8" t="s">
        <v>2200</v>
      </c>
      <c r="G1724" s="8" t="s">
        <v>2201</v>
      </c>
      <c r="H1724" s="8" t="s">
        <v>2570</v>
      </c>
    </row>
    <row r="1725" customFormat="false" ht="15" hidden="false" customHeight="false" outlineLevel="0" collapsed="false">
      <c r="A1725" s="7" t="n">
        <v>45737</v>
      </c>
      <c r="B1725" s="7" t="n">
        <v>45828</v>
      </c>
      <c r="C1725" s="8" t="n">
        <v>6355</v>
      </c>
      <c r="D1725" s="8" t="n">
        <v>0</v>
      </c>
      <c r="E1725" s="8" t="n">
        <v>0</v>
      </c>
      <c r="F1725" s="8" t="s">
        <v>2200</v>
      </c>
      <c r="G1725" s="8" t="s">
        <v>2201</v>
      </c>
      <c r="H1725" s="8" t="s">
        <v>2570</v>
      </c>
    </row>
    <row r="1726" customFormat="false" ht="15" hidden="false" customHeight="false" outlineLevel="0" collapsed="false">
      <c r="A1726" s="7" t="n">
        <v>45737</v>
      </c>
      <c r="B1726" s="7" t="n">
        <v>45856</v>
      </c>
      <c r="C1726" s="8" t="n">
        <v>6379</v>
      </c>
      <c r="D1726" s="8" t="n">
        <v>0</v>
      </c>
      <c r="E1726" s="8" t="n">
        <v>0</v>
      </c>
      <c r="F1726" s="8" t="s">
        <v>2200</v>
      </c>
      <c r="G1726" s="8" t="s">
        <v>2201</v>
      </c>
      <c r="H1726" s="8" t="s">
        <v>2570</v>
      </c>
    </row>
    <row r="1727" customFormat="false" ht="15" hidden="false" customHeight="false" outlineLevel="0" collapsed="false">
      <c r="A1727" s="7" t="n">
        <v>45740</v>
      </c>
      <c r="B1727" s="7" t="n">
        <v>45764</v>
      </c>
      <c r="C1727" s="8" t="n">
        <v>6339</v>
      </c>
      <c r="D1727" s="8" t="n">
        <v>8585</v>
      </c>
      <c r="E1727" s="8" t="n">
        <v>15180</v>
      </c>
      <c r="F1727" s="8" t="s">
        <v>2200</v>
      </c>
      <c r="G1727" s="8" t="s">
        <v>2201</v>
      </c>
      <c r="H1727" s="8" t="s">
        <v>2571</v>
      </c>
    </row>
    <row r="1728" customFormat="false" ht="15" hidden="false" customHeight="false" outlineLevel="0" collapsed="false">
      <c r="A1728" s="7" t="n">
        <v>45740</v>
      </c>
      <c r="B1728" s="7" t="n">
        <v>45797</v>
      </c>
      <c r="C1728" s="8" t="n">
        <v>6383</v>
      </c>
      <c r="D1728" s="8" t="n">
        <v>6440</v>
      </c>
      <c r="E1728" s="8" t="n">
        <v>13575</v>
      </c>
      <c r="F1728" s="8" t="s">
        <v>2200</v>
      </c>
      <c r="G1728" s="8" t="s">
        <v>2201</v>
      </c>
      <c r="H1728" s="8" t="s">
        <v>2571</v>
      </c>
    </row>
    <row r="1729" customFormat="false" ht="15" hidden="false" customHeight="false" outlineLevel="0" collapsed="false">
      <c r="A1729" s="7" t="n">
        <v>45740</v>
      </c>
      <c r="B1729" s="7" t="n">
        <v>45828</v>
      </c>
      <c r="C1729" s="8" t="n">
        <v>6427</v>
      </c>
      <c r="D1729" s="8" t="n">
        <v>0</v>
      </c>
      <c r="E1729" s="8" t="n">
        <v>0</v>
      </c>
      <c r="F1729" s="8" t="s">
        <v>2200</v>
      </c>
      <c r="G1729" s="8" t="s">
        <v>2201</v>
      </c>
      <c r="H1729" s="8" t="s">
        <v>2571</v>
      </c>
    </row>
    <row r="1730" customFormat="false" ht="15" hidden="false" customHeight="false" outlineLevel="0" collapsed="false">
      <c r="A1730" s="7" t="n">
        <v>45740</v>
      </c>
      <c r="B1730" s="7" t="n">
        <v>45856</v>
      </c>
      <c r="C1730" s="8" t="n">
        <v>6471</v>
      </c>
      <c r="D1730" s="8" t="n">
        <v>0</v>
      </c>
      <c r="E1730" s="8" t="n">
        <v>0</v>
      </c>
      <c r="F1730" s="8" t="s">
        <v>2200</v>
      </c>
      <c r="G1730" s="8" t="s">
        <v>2201</v>
      </c>
      <c r="H1730" s="8" t="s">
        <v>2571</v>
      </c>
    </row>
    <row r="1731" customFormat="false" ht="15" hidden="false" customHeight="false" outlineLevel="0" collapsed="false">
      <c r="A1731" s="7" t="n">
        <v>45741</v>
      </c>
      <c r="B1731" s="7" t="n">
        <v>45764</v>
      </c>
      <c r="C1731" s="8" t="n">
        <v>6304</v>
      </c>
      <c r="D1731" s="8" t="n">
        <v>3305</v>
      </c>
      <c r="E1731" s="8" t="n">
        <v>13800</v>
      </c>
      <c r="F1731" s="8" t="s">
        <v>2200</v>
      </c>
      <c r="G1731" s="8" t="s">
        <v>2201</v>
      </c>
      <c r="H1731" s="8" t="s">
        <v>2572</v>
      </c>
    </row>
    <row r="1732" customFormat="false" ht="15" hidden="false" customHeight="false" outlineLevel="0" collapsed="false">
      <c r="A1732" s="7" t="n">
        <v>45741</v>
      </c>
      <c r="B1732" s="7" t="n">
        <v>45797</v>
      </c>
      <c r="C1732" s="8" t="n">
        <v>6368</v>
      </c>
      <c r="D1732" s="8" t="n">
        <v>2480</v>
      </c>
      <c r="E1732" s="8" t="n">
        <v>14885</v>
      </c>
      <c r="F1732" s="8" t="s">
        <v>2200</v>
      </c>
      <c r="G1732" s="8" t="s">
        <v>2201</v>
      </c>
      <c r="H1732" s="8" t="s">
        <v>2572</v>
      </c>
    </row>
    <row r="1733" customFormat="false" ht="15" hidden="false" customHeight="false" outlineLevel="0" collapsed="false">
      <c r="A1733" s="7" t="n">
        <v>45741</v>
      </c>
      <c r="B1733" s="7" t="n">
        <v>45828</v>
      </c>
      <c r="C1733" s="8" t="n">
        <v>6432</v>
      </c>
      <c r="D1733" s="8" t="n">
        <v>0</v>
      </c>
      <c r="E1733" s="8" t="n">
        <v>0</v>
      </c>
      <c r="F1733" s="8" t="s">
        <v>2200</v>
      </c>
      <c r="G1733" s="8" t="s">
        <v>2201</v>
      </c>
      <c r="H1733" s="8" t="s">
        <v>2572</v>
      </c>
    </row>
    <row r="1734" customFormat="false" ht="15" hidden="false" customHeight="false" outlineLevel="0" collapsed="false">
      <c r="A1734" s="7" t="n">
        <v>45741</v>
      </c>
      <c r="B1734" s="7" t="n">
        <v>45856</v>
      </c>
      <c r="C1734" s="8" t="n">
        <v>6496</v>
      </c>
      <c r="D1734" s="8" t="n">
        <v>0</v>
      </c>
      <c r="E1734" s="8" t="n">
        <v>0</v>
      </c>
      <c r="F1734" s="8" t="s">
        <v>2200</v>
      </c>
      <c r="G1734" s="8" t="s">
        <v>2201</v>
      </c>
      <c r="H1734" s="8" t="s">
        <v>2572</v>
      </c>
    </row>
    <row r="1735" customFormat="false" ht="15" hidden="false" customHeight="false" outlineLevel="0" collapsed="false">
      <c r="A1735" s="7" t="n">
        <v>45742</v>
      </c>
      <c r="B1735" s="7" t="n">
        <v>45764</v>
      </c>
      <c r="C1735" s="8" t="n">
        <v>6272</v>
      </c>
      <c r="D1735" s="8" t="n">
        <v>3675</v>
      </c>
      <c r="E1735" s="8" t="n">
        <v>12430</v>
      </c>
      <c r="F1735" s="8" t="s">
        <v>2200</v>
      </c>
      <c r="G1735" s="8" t="s">
        <v>2201</v>
      </c>
      <c r="H1735" s="8" t="s">
        <v>2573</v>
      </c>
    </row>
    <row r="1736" customFormat="false" ht="15" hidden="false" customHeight="false" outlineLevel="0" collapsed="false">
      <c r="A1736" s="7" t="n">
        <v>45742</v>
      </c>
      <c r="B1736" s="7" t="n">
        <v>45797</v>
      </c>
      <c r="C1736" s="8" t="n">
        <v>6340</v>
      </c>
      <c r="D1736" s="8" t="n">
        <v>2075</v>
      </c>
      <c r="E1736" s="8" t="n">
        <v>15910</v>
      </c>
      <c r="F1736" s="8" t="s">
        <v>2200</v>
      </c>
      <c r="G1736" s="8" t="s">
        <v>2201</v>
      </c>
      <c r="H1736" s="8" t="s">
        <v>2573</v>
      </c>
    </row>
    <row r="1737" customFormat="false" ht="15" hidden="false" customHeight="false" outlineLevel="0" collapsed="false">
      <c r="A1737" s="7" t="n">
        <v>45742</v>
      </c>
      <c r="B1737" s="7" t="n">
        <v>45828</v>
      </c>
      <c r="C1737" s="8" t="n">
        <v>6408</v>
      </c>
      <c r="D1737" s="8" t="n">
        <v>0</v>
      </c>
      <c r="E1737" s="8" t="n">
        <v>0</v>
      </c>
      <c r="F1737" s="8" t="s">
        <v>2200</v>
      </c>
      <c r="G1737" s="8" t="s">
        <v>2201</v>
      </c>
      <c r="H1737" s="8" t="s">
        <v>2573</v>
      </c>
    </row>
    <row r="1738" customFormat="false" ht="15" hidden="false" customHeight="false" outlineLevel="0" collapsed="false">
      <c r="A1738" s="7" t="n">
        <v>45742</v>
      </c>
      <c r="B1738" s="7" t="n">
        <v>45856</v>
      </c>
      <c r="C1738" s="8" t="n">
        <v>6476</v>
      </c>
      <c r="D1738" s="8" t="n">
        <v>0</v>
      </c>
      <c r="E1738" s="8" t="n">
        <v>0</v>
      </c>
      <c r="F1738" s="8" t="s">
        <v>2200</v>
      </c>
      <c r="G1738" s="8" t="s">
        <v>2201</v>
      </c>
      <c r="H1738" s="8" t="s">
        <v>2573</v>
      </c>
    </row>
    <row r="1739" customFormat="false" ht="15" hidden="false" customHeight="false" outlineLevel="0" collapsed="false">
      <c r="A1739" s="7" t="n">
        <v>45743</v>
      </c>
      <c r="B1739" s="7" t="n">
        <v>45764</v>
      </c>
      <c r="C1739" s="8" t="n">
        <v>6261</v>
      </c>
      <c r="D1739" s="8" t="n">
        <v>3385</v>
      </c>
      <c r="E1739" s="8" t="n">
        <v>10815</v>
      </c>
      <c r="F1739" s="8" t="s">
        <v>2200</v>
      </c>
      <c r="G1739" s="8" t="s">
        <v>2201</v>
      </c>
      <c r="H1739" s="8" t="s">
        <v>2574</v>
      </c>
    </row>
    <row r="1740" customFormat="false" ht="15" hidden="false" customHeight="false" outlineLevel="0" collapsed="false">
      <c r="A1740" s="7" t="n">
        <v>45743</v>
      </c>
      <c r="B1740" s="7" t="n">
        <v>45797</v>
      </c>
      <c r="C1740" s="8" t="n">
        <v>6322</v>
      </c>
      <c r="D1740" s="8" t="n">
        <v>2715</v>
      </c>
      <c r="E1740" s="8" t="n">
        <v>17100</v>
      </c>
      <c r="F1740" s="8" t="s">
        <v>2200</v>
      </c>
      <c r="G1740" s="8" t="s">
        <v>2201</v>
      </c>
      <c r="H1740" s="8" t="s">
        <v>2574</v>
      </c>
    </row>
    <row r="1741" customFormat="false" ht="15" hidden="false" customHeight="false" outlineLevel="0" collapsed="false">
      <c r="A1741" s="7" t="n">
        <v>45743</v>
      </c>
      <c r="B1741" s="7" t="n">
        <v>45828</v>
      </c>
      <c r="C1741" s="8" t="n">
        <v>6383</v>
      </c>
      <c r="D1741" s="8" t="n">
        <v>0</v>
      </c>
      <c r="E1741" s="8" t="n">
        <v>0</v>
      </c>
      <c r="F1741" s="8" t="s">
        <v>2200</v>
      </c>
      <c r="G1741" s="8" t="s">
        <v>2201</v>
      </c>
      <c r="H1741" s="8" t="s">
        <v>2574</v>
      </c>
    </row>
    <row r="1742" customFormat="false" ht="15" hidden="false" customHeight="false" outlineLevel="0" collapsed="false">
      <c r="A1742" s="7" t="n">
        <v>45743</v>
      </c>
      <c r="B1742" s="7" t="n">
        <v>45856</v>
      </c>
      <c r="C1742" s="8" t="n">
        <v>6444</v>
      </c>
      <c r="D1742" s="8" t="n">
        <v>0</v>
      </c>
      <c r="E1742" s="8" t="n">
        <v>0</v>
      </c>
      <c r="F1742" s="8" t="s">
        <v>2200</v>
      </c>
      <c r="G1742" s="8" t="s">
        <v>2201</v>
      </c>
      <c r="H1742" s="8" t="s">
        <v>2574</v>
      </c>
    </row>
    <row r="1743" customFormat="false" ht="15" hidden="false" customHeight="false" outlineLevel="0" collapsed="false">
      <c r="A1743" s="7" t="n">
        <v>45744</v>
      </c>
      <c r="B1743" s="7" t="n">
        <v>45764</v>
      </c>
      <c r="C1743" s="8" t="n">
        <v>6277</v>
      </c>
      <c r="D1743" s="8" t="n">
        <v>2225</v>
      </c>
      <c r="E1743" s="8" t="n">
        <v>10385</v>
      </c>
      <c r="F1743" s="8" t="s">
        <v>2200</v>
      </c>
      <c r="G1743" s="8" t="s">
        <v>2201</v>
      </c>
      <c r="H1743" s="8" t="s">
        <v>2575</v>
      </c>
    </row>
    <row r="1744" customFormat="false" ht="15" hidden="false" customHeight="false" outlineLevel="0" collapsed="false">
      <c r="A1744" s="7" t="n">
        <v>45744</v>
      </c>
      <c r="B1744" s="7" t="n">
        <v>45797</v>
      </c>
      <c r="C1744" s="8" t="n">
        <v>6337</v>
      </c>
      <c r="D1744" s="8" t="n">
        <v>1255</v>
      </c>
      <c r="E1744" s="8" t="n">
        <v>17220</v>
      </c>
      <c r="F1744" s="8" t="s">
        <v>2200</v>
      </c>
      <c r="G1744" s="8" t="s">
        <v>2201</v>
      </c>
      <c r="H1744" s="8" t="s">
        <v>2575</v>
      </c>
    </row>
    <row r="1745" customFormat="false" ht="15" hidden="false" customHeight="false" outlineLevel="0" collapsed="false">
      <c r="A1745" s="7" t="n">
        <v>45744</v>
      </c>
      <c r="B1745" s="7" t="n">
        <v>45828</v>
      </c>
      <c r="C1745" s="8" t="n">
        <v>6397</v>
      </c>
      <c r="D1745" s="8" t="n">
        <v>0</v>
      </c>
      <c r="E1745" s="8" t="n">
        <v>0</v>
      </c>
      <c r="F1745" s="8" t="s">
        <v>2200</v>
      </c>
      <c r="G1745" s="8" t="s">
        <v>2201</v>
      </c>
      <c r="H1745" s="8" t="s">
        <v>2575</v>
      </c>
    </row>
    <row r="1746" customFormat="false" ht="15" hidden="false" customHeight="false" outlineLevel="0" collapsed="false">
      <c r="A1746" s="7" t="n">
        <v>45744</v>
      </c>
      <c r="B1746" s="7" t="n">
        <v>45856</v>
      </c>
      <c r="C1746" s="8" t="n">
        <v>6457</v>
      </c>
      <c r="D1746" s="8" t="n">
        <v>0</v>
      </c>
      <c r="E1746" s="8" t="n">
        <v>0</v>
      </c>
      <c r="F1746" s="8" t="s">
        <v>2200</v>
      </c>
      <c r="G1746" s="8" t="s">
        <v>2201</v>
      </c>
      <c r="H1746" s="8" t="s">
        <v>2575</v>
      </c>
    </row>
    <row r="1747" customFormat="false" ht="15" hidden="false" customHeight="false" outlineLevel="0" collapsed="false">
      <c r="A1747" s="7" t="n">
        <v>45748</v>
      </c>
      <c r="B1747" s="7" t="n">
        <v>45764</v>
      </c>
      <c r="C1747" s="8" t="n">
        <v>6264</v>
      </c>
      <c r="D1747" s="8" t="n">
        <v>2080</v>
      </c>
      <c r="E1747" s="8" t="n">
        <v>9930</v>
      </c>
      <c r="F1747" s="8" t="s">
        <v>2200</v>
      </c>
      <c r="G1747" s="8" t="s">
        <v>2201</v>
      </c>
      <c r="H1747" s="8" t="s">
        <v>2576</v>
      </c>
    </row>
    <row r="1748" customFormat="false" ht="15" hidden="false" customHeight="false" outlineLevel="0" collapsed="false">
      <c r="A1748" s="7" t="n">
        <v>45748</v>
      </c>
      <c r="B1748" s="7" t="n">
        <v>45797</v>
      </c>
      <c r="C1748" s="8" t="n">
        <v>6333</v>
      </c>
      <c r="D1748" s="8" t="n">
        <v>2645</v>
      </c>
      <c r="E1748" s="8" t="n">
        <v>17280</v>
      </c>
      <c r="F1748" s="8" t="s">
        <v>2200</v>
      </c>
      <c r="G1748" s="8" t="s">
        <v>2201</v>
      </c>
      <c r="H1748" s="8" t="s">
        <v>2576</v>
      </c>
    </row>
    <row r="1749" customFormat="false" ht="15" hidden="false" customHeight="false" outlineLevel="0" collapsed="false">
      <c r="A1749" s="7" t="n">
        <v>45748</v>
      </c>
      <c r="B1749" s="7" t="n">
        <v>45828</v>
      </c>
      <c r="C1749" s="8" t="n">
        <v>6402</v>
      </c>
      <c r="D1749" s="8" t="n">
        <v>0</v>
      </c>
      <c r="E1749" s="8" t="n">
        <v>0</v>
      </c>
      <c r="F1749" s="8" t="s">
        <v>2200</v>
      </c>
      <c r="G1749" s="8" t="s">
        <v>2201</v>
      </c>
      <c r="H1749" s="8" t="s">
        <v>2576</v>
      </c>
    </row>
    <row r="1750" customFormat="false" ht="15" hidden="false" customHeight="false" outlineLevel="0" collapsed="false">
      <c r="A1750" s="7" t="n">
        <v>45748</v>
      </c>
      <c r="B1750" s="7" t="n">
        <v>45856</v>
      </c>
      <c r="C1750" s="8" t="n">
        <v>6471</v>
      </c>
      <c r="D1750" s="8" t="n">
        <v>0</v>
      </c>
      <c r="E1750" s="8" t="n">
        <v>0</v>
      </c>
      <c r="F1750" s="8" t="s">
        <v>2200</v>
      </c>
      <c r="G1750" s="8" t="s">
        <v>2201</v>
      </c>
      <c r="H1750" s="8" t="s">
        <v>2576</v>
      </c>
    </row>
    <row r="1751" customFormat="false" ht="15" hidden="false" customHeight="false" outlineLevel="0" collapsed="false">
      <c r="A1751" s="7" t="n">
        <v>45748</v>
      </c>
      <c r="B1751" s="7" t="n">
        <v>45889</v>
      </c>
      <c r="C1751" s="8" t="n">
        <v>6540</v>
      </c>
      <c r="D1751" s="8" t="n">
        <v>0</v>
      </c>
      <c r="E1751" s="8" t="n">
        <v>0</v>
      </c>
      <c r="F1751" s="8" t="s">
        <v>2200</v>
      </c>
      <c r="G1751" s="8" t="s">
        <v>2201</v>
      </c>
      <c r="H1751" s="8" t="s">
        <v>2576</v>
      </c>
    </row>
    <row r="1752" customFormat="false" ht="15" hidden="false" customHeight="false" outlineLevel="0" collapsed="false">
      <c r="A1752" s="7" t="n">
        <v>45749</v>
      </c>
      <c r="B1752" s="7" t="n">
        <v>45764</v>
      </c>
      <c r="C1752" s="8" t="n">
        <v>6267</v>
      </c>
      <c r="D1752" s="8" t="n">
        <v>4115</v>
      </c>
      <c r="E1752" s="8" t="n">
        <v>8680</v>
      </c>
      <c r="F1752" s="8" t="s">
        <v>2200</v>
      </c>
      <c r="G1752" s="8" t="s">
        <v>2201</v>
      </c>
      <c r="H1752" s="8" t="s">
        <v>2577</v>
      </c>
    </row>
    <row r="1753" customFormat="false" ht="15" hidden="false" customHeight="false" outlineLevel="0" collapsed="false">
      <c r="A1753" s="7" t="n">
        <v>45749</v>
      </c>
      <c r="B1753" s="7" t="n">
        <v>45797</v>
      </c>
      <c r="C1753" s="8" t="n">
        <v>6354</v>
      </c>
      <c r="D1753" s="8" t="n">
        <v>4680</v>
      </c>
      <c r="E1753" s="8" t="n">
        <v>18925</v>
      </c>
      <c r="F1753" s="8" t="s">
        <v>2200</v>
      </c>
      <c r="G1753" s="8" t="s">
        <v>2201</v>
      </c>
      <c r="H1753" s="8" t="s">
        <v>2577</v>
      </c>
    </row>
    <row r="1754" customFormat="false" ht="15" hidden="false" customHeight="false" outlineLevel="0" collapsed="false">
      <c r="A1754" s="7" t="n">
        <v>45749</v>
      </c>
      <c r="B1754" s="7" t="n">
        <v>45828</v>
      </c>
      <c r="C1754" s="8" t="n">
        <v>6441</v>
      </c>
      <c r="D1754" s="8" t="n">
        <v>0</v>
      </c>
      <c r="E1754" s="8" t="n">
        <v>0</v>
      </c>
      <c r="F1754" s="8" t="s">
        <v>2200</v>
      </c>
      <c r="G1754" s="8" t="s">
        <v>2201</v>
      </c>
      <c r="H1754" s="8" t="s">
        <v>2577</v>
      </c>
    </row>
    <row r="1755" customFormat="false" ht="15" hidden="false" customHeight="false" outlineLevel="0" collapsed="false">
      <c r="A1755" s="7" t="n">
        <v>45749</v>
      </c>
      <c r="B1755" s="7" t="n">
        <v>45856</v>
      </c>
      <c r="C1755" s="8" t="n">
        <v>6528</v>
      </c>
      <c r="D1755" s="8" t="n">
        <v>0</v>
      </c>
      <c r="E1755" s="8" t="n">
        <v>0</v>
      </c>
      <c r="F1755" s="8" t="s">
        <v>2200</v>
      </c>
      <c r="G1755" s="8" t="s">
        <v>2201</v>
      </c>
      <c r="H1755" s="8" t="s">
        <v>2577</v>
      </c>
    </row>
    <row r="1756" customFormat="false" ht="15" hidden="false" customHeight="false" outlineLevel="0" collapsed="false">
      <c r="A1756" s="7" t="n">
        <v>45749</v>
      </c>
      <c r="B1756" s="7" t="n">
        <v>45889</v>
      </c>
      <c r="C1756" s="8" t="n">
        <v>6615</v>
      </c>
      <c r="D1756" s="8" t="n">
        <v>0</v>
      </c>
      <c r="E1756" s="8" t="n">
        <v>0</v>
      </c>
      <c r="F1756" s="8" t="s">
        <v>2200</v>
      </c>
      <c r="G1756" s="8" t="s">
        <v>2201</v>
      </c>
      <c r="H1756" s="8" t="s">
        <v>2577</v>
      </c>
    </row>
    <row r="1757" customFormat="false" ht="15" hidden="false" customHeight="false" outlineLevel="0" collapsed="false">
      <c r="A1757" s="7" t="n">
        <v>45750</v>
      </c>
      <c r="B1757" s="7" t="n">
        <v>45764</v>
      </c>
      <c r="C1757" s="8" t="n">
        <v>6252</v>
      </c>
      <c r="D1757" s="8" t="n">
        <v>2120</v>
      </c>
      <c r="E1757" s="8" t="n">
        <v>7830</v>
      </c>
      <c r="F1757" s="8" t="s">
        <v>2200</v>
      </c>
      <c r="G1757" s="8" t="s">
        <v>2201</v>
      </c>
      <c r="H1757" s="8" t="s">
        <v>2578</v>
      </c>
    </row>
    <row r="1758" customFormat="false" ht="15" hidden="false" customHeight="false" outlineLevel="0" collapsed="false">
      <c r="A1758" s="7" t="n">
        <v>45750</v>
      </c>
      <c r="B1758" s="7" t="n">
        <v>45797</v>
      </c>
      <c r="C1758" s="8" t="n">
        <v>6350</v>
      </c>
      <c r="D1758" s="8" t="n">
        <v>2635</v>
      </c>
      <c r="E1758" s="8" t="n">
        <v>19885</v>
      </c>
      <c r="F1758" s="8" t="s">
        <v>2200</v>
      </c>
      <c r="G1758" s="8" t="s">
        <v>2201</v>
      </c>
      <c r="H1758" s="8" t="s">
        <v>2578</v>
      </c>
    </row>
    <row r="1759" customFormat="false" ht="15" hidden="false" customHeight="false" outlineLevel="0" collapsed="false">
      <c r="A1759" s="7" t="n">
        <v>45750</v>
      </c>
      <c r="B1759" s="7" t="n">
        <v>45828</v>
      </c>
      <c r="C1759" s="8" t="n">
        <v>6448</v>
      </c>
      <c r="D1759" s="8" t="n">
        <v>5</v>
      </c>
      <c r="E1759" s="8" t="n">
        <v>5</v>
      </c>
      <c r="F1759" s="8" t="s">
        <v>2200</v>
      </c>
      <c r="G1759" s="8" t="s">
        <v>2201</v>
      </c>
      <c r="H1759" s="8" t="s">
        <v>2578</v>
      </c>
    </row>
    <row r="1760" customFormat="false" ht="15" hidden="false" customHeight="false" outlineLevel="0" collapsed="false">
      <c r="A1760" s="7" t="n">
        <v>45750</v>
      </c>
      <c r="B1760" s="7" t="n">
        <v>45856</v>
      </c>
      <c r="C1760" s="8" t="n">
        <v>6546</v>
      </c>
      <c r="D1760" s="8" t="n">
        <v>0</v>
      </c>
      <c r="E1760" s="8" t="n">
        <v>0</v>
      </c>
      <c r="F1760" s="8" t="s">
        <v>2200</v>
      </c>
      <c r="G1760" s="8" t="s">
        <v>2201</v>
      </c>
      <c r="H1760" s="8" t="s">
        <v>2578</v>
      </c>
    </row>
    <row r="1761" customFormat="false" ht="15" hidden="false" customHeight="false" outlineLevel="0" collapsed="false">
      <c r="A1761" s="7" t="n">
        <v>45750</v>
      </c>
      <c r="B1761" s="7" t="n">
        <v>45889</v>
      </c>
      <c r="C1761" s="8" t="n">
        <v>6644</v>
      </c>
      <c r="D1761" s="8" t="n">
        <v>0</v>
      </c>
      <c r="E1761" s="8" t="n">
        <v>0</v>
      </c>
      <c r="F1761" s="8" t="s">
        <v>2200</v>
      </c>
      <c r="G1761" s="8" t="s">
        <v>2201</v>
      </c>
      <c r="H1761" s="8" t="s">
        <v>2578</v>
      </c>
    </row>
    <row r="1762" customFormat="false" ht="15" hidden="false" customHeight="false" outlineLevel="0" collapsed="false">
      <c r="A1762" s="7" t="n">
        <v>45751</v>
      </c>
      <c r="B1762" s="7" t="n">
        <v>45764</v>
      </c>
      <c r="C1762" s="8" t="n">
        <v>6190</v>
      </c>
      <c r="D1762" s="8" t="n">
        <v>3190</v>
      </c>
      <c r="E1762" s="8" t="n">
        <v>6460</v>
      </c>
      <c r="F1762" s="8" t="s">
        <v>2200</v>
      </c>
      <c r="G1762" s="8" t="s">
        <v>2201</v>
      </c>
      <c r="H1762" s="8" t="s">
        <v>2579</v>
      </c>
    </row>
    <row r="1763" customFormat="false" ht="15" hidden="false" customHeight="false" outlineLevel="0" collapsed="false">
      <c r="A1763" s="7" t="n">
        <v>45751</v>
      </c>
      <c r="B1763" s="7" t="n">
        <v>45797</v>
      </c>
      <c r="C1763" s="8" t="n">
        <v>6300</v>
      </c>
      <c r="D1763" s="8" t="n">
        <v>5170</v>
      </c>
      <c r="E1763" s="8" t="n">
        <v>20465</v>
      </c>
      <c r="F1763" s="8" t="s">
        <v>2200</v>
      </c>
      <c r="G1763" s="8" t="s">
        <v>2201</v>
      </c>
      <c r="H1763" s="8" t="s">
        <v>2579</v>
      </c>
    </row>
    <row r="1764" customFormat="false" ht="15" hidden="false" customHeight="false" outlineLevel="0" collapsed="false">
      <c r="A1764" s="7" t="n">
        <v>45751</v>
      </c>
      <c r="B1764" s="7" t="n">
        <v>45828</v>
      </c>
      <c r="C1764" s="8" t="n">
        <v>6360</v>
      </c>
      <c r="D1764" s="8" t="n">
        <v>790</v>
      </c>
      <c r="E1764" s="8" t="n">
        <v>465</v>
      </c>
      <c r="F1764" s="8" t="s">
        <v>2200</v>
      </c>
      <c r="G1764" s="8" t="s">
        <v>2201</v>
      </c>
      <c r="H1764" s="8" t="s">
        <v>2579</v>
      </c>
    </row>
    <row r="1765" customFormat="false" ht="15" hidden="false" customHeight="false" outlineLevel="0" collapsed="false">
      <c r="A1765" s="7" t="n">
        <v>45751</v>
      </c>
      <c r="B1765" s="7" t="n">
        <v>45856</v>
      </c>
      <c r="C1765" s="8" t="n">
        <v>6420</v>
      </c>
      <c r="D1765" s="8" t="n">
        <v>0</v>
      </c>
      <c r="E1765" s="8" t="n">
        <v>0</v>
      </c>
      <c r="F1765" s="8" t="s">
        <v>2200</v>
      </c>
      <c r="G1765" s="8" t="s">
        <v>2201</v>
      </c>
      <c r="H1765" s="8" t="s">
        <v>2579</v>
      </c>
    </row>
    <row r="1766" customFormat="false" ht="15" hidden="false" customHeight="false" outlineLevel="0" collapsed="false">
      <c r="A1766" s="7" t="n">
        <v>45751</v>
      </c>
      <c r="B1766" s="7" t="n">
        <v>45889</v>
      </c>
      <c r="C1766" s="8" t="n">
        <v>6480</v>
      </c>
      <c r="D1766" s="8" t="n">
        <v>0</v>
      </c>
      <c r="E1766" s="8" t="n">
        <v>0</v>
      </c>
      <c r="F1766" s="8" t="s">
        <v>2200</v>
      </c>
      <c r="G1766" s="8" t="s">
        <v>2201</v>
      </c>
      <c r="H1766" s="8" t="s">
        <v>2579</v>
      </c>
    </row>
    <row r="1767" customFormat="false" ht="15" hidden="false" customHeight="false" outlineLevel="0" collapsed="false">
      <c r="A1767" s="7" t="n">
        <v>45754</v>
      </c>
      <c r="B1767" s="7" t="n">
        <v>45764</v>
      </c>
      <c r="C1767" s="8" t="n">
        <v>6195</v>
      </c>
      <c r="D1767" s="8" t="n">
        <v>2675</v>
      </c>
      <c r="E1767" s="8" t="n">
        <v>4850</v>
      </c>
      <c r="F1767" s="8" t="s">
        <v>2200</v>
      </c>
      <c r="G1767" s="8" t="s">
        <v>2201</v>
      </c>
      <c r="H1767" s="8" t="s">
        <v>2580</v>
      </c>
    </row>
    <row r="1768" customFormat="false" ht="15" hidden="false" customHeight="false" outlineLevel="0" collapsed="false">
      <c r="A1768" s="7" t="n">
        <v>45754</v>
      </c>
      <c r="B1768" s="7" t="n">
        <v>45797</v>
      </c>
      <c r="C1768" s="8" t="n">
        <v>6325</v>
      </c>
      <c r="D1768" s="8" t="n">
        <v>8435</v>
      </c>
      <c r="E1768" s="8" t="n">
        <v>21380</v>
      </c>
      <c r="F1768" s="8" t="s">
        <v>2200</v>
      </c>
      <c r="G1768" s="8" t="s">
        <v>2201</v>
      </c>
      <c r="H1768" s="8" t="s">
        <v>2580</v>
      </c>
    </row>
    <row r="1769" customFormat="false" ht="15" hidden="false" customHeight="false" outlineLevel="0" collapsed="false">
      <c r="A1769" s="7" t="n">
        <v>45754</v>
      </c>
      <c r="B1769" s="7" t="n">
        <v>45828</v>
      </c>
      <c r="C1769" s="8" t="n">
        <v>6318</v>
      </c>
      <c r="D1769" s="8" t="n">
        <v>1820</v>
      </c>
      <c r="E1769" s="8" t="n">
        <v>2025</v>
      </c>
      <c r="F1769" s="8" t="s">
        <v>2200</v>
      </c>
      <c r="G1769" s="8" t="s">
        <v>2201</v>
      </c>
      <c r="H1769" s="8" t="s">
        <v>2580</v>
      </c>
    </row>
    <row r="1770" customFormat="false" ht="15" hidden="false" customHeight="false" outlineLevel="0" collapsed="false">
      <c r="A1770" s="7" t="n">
        <v>45754</v>
      </c>
      <c r="B1770" s="7" t="n">
        <v>45856</v>
      </c>
      <c r="C1770" s="8" t="n">
        <v>6370</v>
      </c>
      <c r="D1770" s="8" t="n">
        <v>0</v>
      </c>
      <c r="E1770" s="8" t="n">
        <v>0</v>
      </c>
      <c r="F1770" s="8" t="s">
        <v>2200</v>
      </c>
      <c r="G1770" s="8" t="s">
        <v>2201</v>
      </c>
      <c r="H1770" s="8" t="s">
        <v>2580</v>
      </c>
    </row>
    <row r="1771" customFormat="false" ht="15" hidden="false" customHeight="false" outlineLevel="0" collapsed="false">
      <c r="A1771" s="7" t="n">
        <v>45754</v>
      </c>
      <c r="B1771" s="7" t="n">
        <v>45889</v>
      </c>
      <c r="C1771" s="8" t="n">
        <v>6422</v>
      </c>
      <c r="D1771" s="8" t="n">
        <v>0</v>
      </c>
      <c r="E1771" s="8" t="n">
        <v>0</v>
      </c>
      <c r="F1771" s="8" t="s">
        <v>2200</v>
      </c>
      <c r="G1771" s="8" t="s">
        <v>2201</v>
      </c>
      <c r="H1771" s="8" t="s">
        <v>2580</v>
      </c>
    </row>
    <row r="1772" customFormat="false" ht="15" hidden="false" customHeight="false" outlineLevel="0" collapsed="false">
      <c r="A1772" s="7" t="n">
        <v>45755</v>
      </c>
      <c r="B1772" s="7" t="n">
        <v>45764</v>
      </c>
      <c r="C1772" s="8" t="n">
        <v>6291</v>
      </c>
      <c r="D1772" s="8" t="n">
        <v>4610</v>
      </c>
      <c r="E1772" s="8" t="n">
        <v>2655</v>
      </c>
      <c r="F1772" s="8" t="s">
        <v>2200</v>
      </c>
      <c r="G1772" s="8" t="s">
        <v>2201</v>
      </c>
      <c r="H1772" s="8" t="s">
        <v>2581</v>
      </c>
    </row>
    <row r="1773" customFormat="false" ht="15" hidden="false" customHeight="false" outlineLevel="0" collapsed="false">
      <c r="A1773" s="7" t="n">
        <v>45755</v>
      </c>
      <c r="B1773" s="7" t="n">
        <v>45797</v>
      </c>
      <c r="C1773" s="8" t="n">
        <v>6419</v>
      </c>
      <c r="D1773" s="8" t="n">
        <v>18375</v>
      </c>
      <c r="E1773" s="8" t="n">
        <v>20125</v>
      </c>
      <c r="F1773" s="8" t="s">
        <v>2200</v>
      </c>
      <c r="G1773" s="8" t="s">
        <v>2201</v>
      </c>
      <c r="H1773" s="8" t="s">
        <v>2581</v>
      </c>
    </row>
    <row r="1774" customFormat="false" ht="15" hidden="false" customHeight="false" outlineLevel="0" collapsed="false">
      <c r="A1774" s="7" t="n">
        <v>45755</v>
      </c>
      <c r="B1774" s="7" t="n">
        <v>45828</v>
      </c>
      <c r="C1774" s="8" t="n">
        <v>6428</v>
      </c>
      <c r="D1774" s="8" t="n">
        <v>11005</v>
      </c>
      <c r="E1774" s="8" t="n">
        <v>11290</v>
      </c>
      <c r="F1774" s="8" t="s">
        <v>2200</v>
      </c>
      <c r="G1774" s="8" t="s">
        <v>2201</v>
      </c>
      <c r="H1774" s="8" t="s">
        <v>2581</v>
      </c>
    </row>
    <row r="1775" customFormat="false" ht="15" hidden="false" customHeight="false" outlineLevel="0" collapsed="false">
      <c r="A1775" s="7" t="n">
        <v>45755</v>
      </c>
      <c r="B1775" s="7" t="n">
        <v>45856</v>
      </c>
      <c r="C1775" s="8" t="n">
        <v>6437</v>
      </c>
      <c r="D1775" s="8" t="n">
        <v>0</v>
      </c>
      <c r="E1775" s="8" t="n">
        <v>0</v>
      </c>
      <c r="F1775" s="8" t="s">
        <v>2200</v>
      </c>
      <c r="G1775" s="8" t="s">
        <v>2201</v>
      </c>
      <c r="H1775" s="8" t="s">
        <v>2581</v>
      </c>
    </row>
    <row r="1776" customFormat="false" ht="15" hidden="false" customHeight="false" outlineLevel="0" collapsed="false">
      <c r="A1776" s="7" t="n">
        <v>45755</v>
      </c>
      <c r="B1776" s="7" t="n">
        <v>45889</v>
      </c>
      <c r="C1776" s="8" t="n">
        <v>6446</v>
      </c>
      <c r="D1776" s="8" t="n">
        <v>0</v>
      </c>
      <c r="E1776" s="8" t="n">
        <v>0</v>
      </c>
      <c r="F1776" s="8" t="s">
        <v>2200</v>
      </c>
      <c r="G1776" s="8" t="s">
        <v>2201</v>
      </c>
      <c r="H1776" s="8" t="s">
        <v>2581</v>
      </c>
    </row>
    <row r="1777" customFormat="false" ht="15" hidden="false" customHeight="false" outlineLevel="0" collapsed="false">
      <c r="A1777" s="7" t="n">
        <v>45756</v>
      </c>
      <c r="B1777" s="7" t="n">
        <v>45764</v>
      </c>
      <c r="C1777" s="8" t="n">
        <v>6367</v>
      </c>
      <c r="D1777" s="8" t="n">
        <v>3055</v>
      </c>
      <c r="E1777" s="8" t="n">
        <v>1100</v>
      </c>
      <c r="F1777" s="8" t="s">
        <v>2200</v>
      </c>
      <c r="G1777" s="8" t="s">
        <v>2201</v>
      </c>
      <c r="H1777" s="8" t="s">
        <v>2582</v>
      </c>
    </row>
    <row r="1778" customFormat="false" ht="15" hidden="false" customHeight="false" outlineLevel="0" collapsed="false">
      <c r="A1778" s="7" t="n">
        <v>45756</v>
      </c>
      <c r="B1778" s="7" t="n">
        <v>45797</v>
      </c>
      <c r="C1778" s="8" t="n">
        <v>6452</v>
      </c>
      <c r="D1778" s="8" t="n">
        <v>10895</v>
      </c>
      <c r="E1778" s="8" t="n">
        <v>20795</v>
      </c>
      <c r="F1778" s="8" t="s">
        <v>2200</v>
      </c>
      <c r="G1778" s="8" t="s">
        <v>2201</v>
      </c>
      <c r="H1778" s="8" t="s">
        <v>2582</v>
      </c>
    </row>
    <row r="1779" customFormat="false" ht="15" hidden="false" customHeight="false" outlineLevel="0" collapsed="false">
      <c r="A1779" s="7" t="n">
        <v>45756</v>
      </c>
      <c r="B1779" s="7" t="n">
        <v>45828</v>
      </c>
      <c r="C1779" s="8" t="n">
        <v>6493</v>
      </c>
      <c r="D1779" s="8" t="n">
        <v>2785</v>
      </c>
      <c r="E1779" s="8" t="n">
        <v>12600</v>
      </c>
      <c r="F1779" s="8" t="s">
        <v>2200</v>
      </c>
      <c r="G1779" s="8" t="s">
        <v>2201</v>
      </c>
      <c r="H1779" s="8" t="s">
        <v>2582</v>
      </c>
    </row>
    <row r="1780" customFormat="false" ht="15" hidden="false" customHeight="false" outlineLevel="0" collapsed="false">
      <c r="A1780" s="7" t="n">
        <v>45756</v>
      </c>
      <c r="B1780" s="7" t="n">
        <v>45856</v>
      </c>
      <c r="C1780" s="8" t="n">
        <v>6534</v>
      </c>
      <c r="D1780" s="8" t="n">
        <v>0</v>
      </c>
      <c r="E1780" s="8" t="n">
        <v>0</v>
      </c>
      <c r="F1780" s="8" t="s">
        <v>2200</v>
      </c>
      <c r="G1780" s="8" t="s">
        <v>2201</v>
      </c>
      <c r="H1780" s="8" t="s">
        <v>2582</v>
      </c>
    </row>
    <row r="1781" customFormat="false" ht="15" hidden="false" customHeight="false" outlineLevel="0" collapsed="false">
      <c r="A1781" s="7" t="n">
        <v>45756</v>
      </c>
      <c r="B1781" s="7" t="n">
        <v>45889</v>
      </c>
      <c r="C1781" s="8" t="n">
        <v>6575</v>
      </c>
      <c r="D1781" s="8" t="n">
        <v>0</v>
      </c>
      <c r="E1781" s="8" t="n">
        <v>0</v>
      </c>
      <c r="F1781" s="8" t="s">
        <v>2200</v>
      </c>
      <c r="G1781" s="8" t="s">
        <v>2201</v>
      </c>
      <c r="H1781" s="8" t="s">
        <v>2582</v>
      </c>
    </row>
    <row r="1782" customFormat="false" ht="15" hidden="false" customHeight="false" outlineLevel="0" collapsed="false">
      <c r="A1782" s="7" t="n">
        <v>45758</v>
      </c>
      <c r="B1782" s="7" t="n">
        <v>45764</v>
      </c>
      <c r="C1782" s="8" t="n">
        <v>6350</v>
      </c>
      <c r="D1782" s="8" t="n">
        <v>545</v>
      </c>
      <c r="E1782" s="8" t="n">
        <v>725</v>
      </c>
      <c r="F1782" s="8" t="s">
        <v>2200</v>
      </c>
      <c r="G1782" s="8" t="s">
        <v>2201</v>
      </c>
      <c r="H1782" s="8" t="s">
        <v>2583</v>
      </c>
    </row>
    <row r="1783" customFormat="false" ht="15" hidden="false" customHeight="false" outlineLevel="0" collapsed="false">
      <c r="A1783" s="7" t="n">
        <v>45758</v>
      </c>
      <c r="B1783" s="7" t="n">
        <v>45797</v>
      </c>
      <c r="C1783" s="8" t="n">
        <v>6432</v>
      </c>
      <c r="D1783" s="8" t="n">
        <v>5130</v>
      </c>
      <c r="E1783" s="8" t="n">
        <v>20360</v>
      </c>
      <c r="F1783" s="8" t="s">
        <v>2200</v>
      </c>
      <c r="G1783" s="8" t="s">
        <v>2201</v>
      </c>
      <c r="H1783" s="8" t="s">
        <v>2583</v>
      </c>
    </row>
    <row r="1784" customFormat="false" ht="15" hidden="false" customHeight="false" outlineLevel="0" collapsed="false">
      <c r="A1784" s="7" t="n">
        <v>45758</v>
      </c>
      <c r="B1784" s="7" t="n">
        <v>45828</v>
      </c>
      <c r="C1784" s="8" t="n">
        <v>6487</v>
      </c>
      <c r="D1784" s="8" t="n">
        <v>935</v>
      </c>
      <c r="E1784" s="8" t="n">
        <v>13405</v>
      </c>
      <c r="F1784" s="8" t="s">
        <v>2200</v>
      </c>
      <c r="G1784" s="8" t="s">
        <v>2201</v>
      </c>
      <c r="H1784" s="8" t="s">
        <v>2583</v>
      </c>
    </row>
    <row r="1785" customFormat="false" ht="15" hidden="false" customHeight="false" outlineLevel="0" collapsed="false">
      <c r="A1785" s="7" t="n">
        <v>45758</v>
      </c>
      <c r="B1785" s="7" t="n">
        <v>45856</v>
      </c>
      <c r="C1785" s="8" t="n">
        <v>6542</v>
      </c>
      <c r="D1785" s="8" t="n">
        <v>0</v>
      </c>
      <c r="E1785" s="8" t="n">
        <v>0</v>
      </c>
      <c r="F1785" s="8" t="s">
        <v>2200</v>
      </c>
      <c r="G1785" s="8" t="s">
        <v>2201</v>
      </c>
      <c r="H1785" s="8" t="s">
        <v>2583</v>
      </c>
    </row>
    <row r="1786" customFormat="false" ht="15" hidden="false" customHeight="false" outlineLevel="0" collapsed="false">
      <c r="A1786" s="7" t="n">
        <v>45758</v>
      </c>
      <c r="B1786" s="7" t="n">
        <v>45889</v>
      </c>
      <c r="C1786" s="8" t="n">
        <v>6597</v>
      </c>
      <c r="D1786" s="8" t="n">
        <v>0</v>
      </c>
      <c r="E1786" s="8" t="n">
        <v>0</v>
      </c>
      <c r="F1786" s="8" t="s">
        <v>2200</v>
      </c>
      <c r="G1786" s="8" t="s">
        <v>2201</v>
      </c>
      <c r="H1786" s="8" t="s">
        <v>2583</v>
      </c>
    </row>
    <row r="1787" customFormat="false" ht="15" hidden="false" customHeight="false" outlineLevel="0" collapsed="false">
      <c r="A1787" s="7" t="n">
        <v>45762</v>
      </c>
      <c r="B1787" s="7" t="n">
        <v>45764</v>
      </c>
      <c r="C1787" s="8" t="n">
        <v>6125</v>
      </c>
      <c r="D1787" s="8" t="n">
        <v>895</v>
      </c>
      <c r="E1787" s="8" t="n">
        <v>565</v>
      </c>
      <c r="F1787" s="8" t="s">
        <v>2200</v>
      </c>
      <c r="G1787" s="8" t="s">
        <v>2201</v>
      </c>
      <c r="H1787" s="8" t="s">
        <v>2584</v>
      </c>
    </row>
    <row r="1788" customFormat="false" ht="15" hidden="false" customHeight="false" outlineLevel="0" collapsed="false">
      <c r="A1788" s="7" t="n">
        <v>45762</v>
      </c>
      <c r="B1788" s="7" t="n">
        <v>45797</v>
      </c>
      <c r="C1788" s="8" t="n">
        <v>6355</v>
      </c>
      <c r="D1788" s="8" t="n">
        <v>5725</v>
      </c>
      <c r="E1788" s="8" t="n">
        <v>21040</v>
      </c>
      <c r="F1788" s="8" t="s">
        <v>2200</v>
      </c>
      <c r="G1788" s="8" t="s">
        <v>2201</v>
      </c>
      <c r="H1788" s="8" t="s">
        <v>2584</v>
      </c>
    </row>
    <row r="1789" customFormat="false" ht="15" hidden="false" customHeight="false" outlineLevel="0" collapsed="false">
      <c r="A1789" s="7" t="n">
        <v>45762</v>
      </c>
      <c r="B1789" s="7" t="n">
        <v>45828</v>
      </c>
      <c r="C1789" s="8" t="n">
        <v>6402</v>
      </c>
      <c r="D1789" s="8" t="n">
        <v>1275</v>
      </c>
      <c r="E1789" s="8" t="n">
        <v>14130</v>
      </c>
      <c r="F1789" s="8" t="s">
        <v>2200</v>
      </c>
      <c r="G1789" s="8" t="s">
        <v>2201</v>
      </c>
      <c r="H1789" s="8" t="s">
        <v>2584</v>
      </c>
    </row>
    <row r="1790" customFormat="false" ht="15" hidden="false" customHeight="false" outlineLevel="0" collapsed="false">
      <c r="A1790" s="7" t="n">
        <v>45762</v>
      </c>
      <c r="B1790" s="7" t="n">
        <v>45856</v>
      </c>
      <c r="C1790" s="8" t="n">
        <v>6449</v>
      </c>
      <c r="D1790" s="8" t="n">
        <v>0</v>
      </c>
      <c r="E1790" s="8" t="n">
        <v>0</v>
      </c>
      <c r="F1790" s="8" t="s">
        <v>2200</v>
      </c>
      <c r="G1790" s="8" t="s">
        <v>2201</v>
      </c>
      <c r="H1790" s="8" t="s">
        <v>2584</v>
      </c>
    </row>
    <row r="1791" customFormat="false" ht="15" hidden="false" customHeight="false" outlineLevel="0" collapsed="false">
      <c r="A1791" s="7" t="n">
        <v>45762</v>
      </c>
      <c r="B1791" s="7" t="n">
        <v>45889</v>
      </c>
      <c r="C1791" s="8" t="n">
        <v>6496</v>
      </c>
      <c r="D1791" s="8" t="n">
        <v>0</v>
      </c>
      <c r="E1791" s="8" t="n">
        <v>0</v>
      </c>
      <c r="F1791" s="8" t="s">
        <v>2200</v>
      </c>
      <c r="G1791" s="8" t="s">
        <v>2201</v>
      </c>
      <c r="H1791" s="8" t="s">
        <v>2584</v>
      </c>
    </row>
    <row r="1792" customFormat="false" ht="15" hidden="false" customHeight="false" outlineLevel="0" collapsed="false">
      <c r="A1792" s="7" t="n">
        <v>45763</v>
      </c>
      <c r="B1792" s="7" t="n">
        <v>45764</v>
      </c>
      <c r="C1792" s="8" t="n">
        <v>6205</v>
      </c>
      <c r="D1792" s="8" t="n">
        <v>5</v>
      </c>
      <c r="E1792" s="8" t="n">
        <v>15</v>
      </c>
      <c r="F1792" s="8" t="s">
        <v>2200</v>
      </c>
      <c r="G1792" s="8" t="s">
        <v>2201</v>
      </c>
      <c r="H1792" s="8" t="s">
        <v>2585</v>
      </c>
    </row>
    <row r="1793" customFormat="false" ht="15" hidden="false" customHeight="false" outlineLevel="0" collapsed="false">
      <c r="A1793" s="7" t="n">
        <v>45763</v>
      </c>
      <c r="B1793" s="7" t="n">
        <v>45797</v>
      </c>
      <c r="C1793" s="8" t="n">
        <v>6372</v>
      </c>
      <c r="D1793" s="8" t="n">
        <v>1960</v>
      </c>
      <c r="E1793" s="8" t="n">
        <v>21220</v>
      </c>
      <c r="F1793" s="8" t="s">
        <v>2200</v>
      </c>
      <c r="G1793" s="8" t="s">
        <v>2201</v>
      </c>
      <c r="H1793" s="8" t="s">
        <v>2585</v>
      </c>
    </row>
    <row r="1794" customFormat="false" ht="15" hidden="false" customHeight="false" outlineLevel="0" collapsed="false">
      <c r="A1794" s="7" t="n">
        <v>45763</v>
      </c>
      <c r="B1794" s="7" t="n">
        <v>45828</v>
      </c>
      <c r="C1794" s="8" t="n">
        <v>6416</v>
      </c>
      <c r="D1794" s="8" t="n">
        <v>520</v>
      </c>
      <c r="E1794" s="8" t="n">
        <v>14410</v>
      </c>
      <c r="F1794" s="8" t="s">
        <v>2200</v>
      </c>
      <c r="G1794" s="8" t="s">
        <v>2201</v>
      </c>
      <c r="H1794" s="8" t="s">
        <v>2585</v>
      </c>
    </row>
    <row r="1795" customFormat="false" ht="15" hidden="false" customHeight="false" outlineLevel="0" collapsed="false">
      <c r="A1795" s="7" t="n">
        <v>45763</v>
      </c>
      <c r="B1795" s="7" t="n">
        <v>45856</v>
      </c>
      <c r="C1795" s="8" t="n">
        <v>6460</v>
      </c>
      <c r="D1795" s="8" t="n">
        <v>0</v>
      </c>
      <c r="E1795" s="8" t="n">
        <v>0</v>
      </c>
      <c r="F1795" s="8" t="s">
        <v>2200</v>
      </c>
      <c r="G1795" s="8" t="s">
        <v>2201</v>
      </c>
      <c r="H1795" s="8" t="s">
        <v>2585</v>
      </c>
    </row>
    <row r="1796" customFormat="false" ht="15" hidden="false" customHeight="false" outlineLevel="0" collapsed="false">
      <c r="A1796" s="7" t="n">
        <v>45763</v>
      </c>
      <c r="B1796" s="7" t="n">
        <v>45889</v>
      </c>
      <c r="C1796" s="8" t="n">
        <v>6504</v>
      </c>
      <c r="D1796" s="8" t="n">
        <v>0</v>
      </c>
      <c r="E1796" s="8" t="n">
        <v>0</v>
      </c>
      <c r="F1796" s="8" t="s">
        <v>2200</v>
      </c>
      <c r="G1796" s="8" t="s">
        <v>2201</v>
      </c>
      <c r="H1796" s="8" t="s">
        <v>2585</v>
      </c>
    </row>
    <row r="1797" customFormat="false" ht="15" hidden="false" customHeight="false" outlineLevel="0" collapsed="false">
      <c r="A1797" s="7" t="n">
        <v>45764</v>
      </c>
      <c r="B1797" s="7" t="n">
        <v>45764</v>
      </c>
      <c r="C1797" s="8" t="n">
        <v>6174</v>
      </c>
      <c r="D1797" s="8" t="n">
        <v>60</v>
      </c>
      <c r="E1797" s="8" t="n">
        <v>50</v>
      </c>
      <c r="F1797" s="8" t="s">
        <v>2200</v>
      </c>
      <c r="G1797" s="8" t="s">
        <v>2201</v>
      </c>
      <c r="H1797" s="8" t="s">
        <v>2586</v>
      </c>
    </row>
    <row r="1798" customFormat="false" ht="15" hidden="false" customHeight="false" outlineLevel="0" collapsed="false">
      <c r="A1798" s="7" t="n">
        <v>45764</v>
      </c>
      <c r="B1798" s="7" t="n">
        <v>45797</v>
      </c>
      <c r="C1798" s="8" t="n">
        <v>6402</v>
      </c>
      <c r="D1798" s="8" t="n">
        <v>5600</v>
      </c>
      <c r="E1798" s="8" t="n">
        <v>21265</v>
      </c>
      <c r="F1798" s="8" t="s">
        <v>2200</v>
      </c>
      <c r="G1798" s="8" t="s">
        <v>2201</v>
      </c>
      <c r="H1798" s="8" t="s">
        <v>2586</v>
      </c>
    </row>
    <row r="1799" customFormat="false" ht="15" hidden="false" customHeight="false" outlineLevel="0" collapsed="false">
      <c r="A1799" s="7" t="n">
        <v>45764</v>
      </c>
      <c r="B1799" s="7" t="n">
        <v>45828</v>
      </c>
      <c r="C1799" s="8" t="n">
        <v>6451</v>
      </c>
      <c r="D1799" s="8" t="n">
        <v>1360</v>
      </c>
      <c r="E1799" s="8" t="n">
        <v>15265</v>
      </c>
      <c r="F1799" s="8" t="s">
        <v>2200</v>
      </c>
      <c r="G1799" s="8" t="s">
        <v>2201</v>
      </c>
      <c r="H1799" s="8" t="s">
        <v>2586</v>
      </c>
    </row>
    <row r="1800" customFormat="false" ht="15" hidden="false" customHeight="false" outlineLevel="0" collapsed="false">
      <c r="A1800" s="7" t="n">
        <v>45764</v>
      </c>
      <c r="B1800" s="7" t="n">
        <v>45856</v>
      </c>
      <c r="C1800" s="8" t="n">
        <v>6500</v>
      </c>
      <c r="D1800" s="8" t="n">
        <v>0</v>
      </c>
      <c r="E1800" s="8" t="n">
        <v>0</v>
      </c>
      <c r="F1800" s="8" t="s">
        <v>2200</v>
      </c>
      <c r="G1800" s="8" t="s">
        <v>2201</v>
      </c>
      <c r="H1800" s="8" t="s">
        <v>2586</v>
      </c>
    </row>
    <row r="1801" customFormat="false" ht="15" hidden="false" customHeight="false" outlineLevel="0" collapsed="false">
      <c r="A1801" s="7" t="n">
        <v>45764</v>
      </c>
      <c r="B1801" s="7" t="n">
        <v>45889</v>
      </c>
      <c r="C1801" s="8" t="n">
        <v>6549</v>
      </c>
      <c r="D1801" s="8" t="n">
        <v>0</v>
      </c>
      <c r="E1801" s="8" t="n">
        <v>0</v>
      </c>
      <c r="F1801" s="8" t="s">
        <v>2200</v>
      </c>
      <c r="G1801" s="8" t="s">
        <v>2201</v>
      </c>
      <c r="H1801" s="8" t="s">
        <v>2586</v>
      </c>
    </row>
    <row r="1802" customFormat="false" ht="15" hidden="false" customHeight="false" outlineLevel="0" collapsed="false">
      <c r="A1802" s="7" t="n">
        <v>45768</v>
      </c>
      <c r="B1802" s="7" t="n">
        <v>45797</v>
      </c>
      <c r="C1802" s="8" t="n">
        <v>6360</v>
      </c>
      <c r="D1802" s="8" t="n">
        <v>5510</v>
      </c>
      <c r="E1802" s="8" t="n">
        <v>20230</v>
      </c>
      <c r="F1802" s="8" t="s">
        <v>2200</v>
      </c>
      <c r="G1802" s="8" t="s">
        <v>2201</v>
      </c>
      <c r="H1802" s="8" t="s">
        <v>2587</v>
      </c>
    </row>
    <row r="1803" customFormat="false" ht="15" hidden="false" customHeight="false" outlineLevel="0" collapsed="false">
      <c r="A1803" s="7" t="n">
        <v>45768</v>
      </c>
      <c r="B1803" s="7" t="n">
        <v>45828</v>
      </c>
      <c r="C1803" s="8" t="n">
        <v>6416</v>
      </c>
      <c r="D1803" s="8" t="n">
        <v>3100</v>
      </c>
      <c r="E1803" s="8" t="n">
        <v>15985</v>
      </c>
      <c r="F1803" s="8" t="s">
        <v>2200</v>
      </c>
      <c r="G1803" s="8" t="s">
        <v>2201</v>
      </c>
      <c r="H1803" s="8" t="s">
        <v>2587</v>
      </c>
    </row>
    <row r="1804" customFormat="false" ht="15" hidden="false" customHeight="false" outlineLevel="0" collapsed="false">
      <c r="A1804" s="7" t="n">
        <v>45768</v>
      </c>
      <c r="B1804" s="7" t="n">
        <v>45856</v>
      </c>
      <c r="C1804" s="8" t="n">
        <v>6472</v>
      </c>
      <c r="D1804" s="8" t="n">
        <v>0</v>
      </c>
      <c r="E1804" s="8" t="n">
        <v>0</v>
      </c>
      <c r="F1804" s="8" t="s">
        <v>2200</v>
      </c>
      <c r="G1804" s="8" t="s">
        <v>2201</v>
      </c>
      <c r="H1804" s="8" t="s">
        <v>2587</v>
      </c>
    </row>
    <row r="1805" customFormat="false" ht="15" hidden="false" customHeight="false" outlineLevel="0" collapsed="false">
      <c r="A1805" s="7" t="n">
        <v>45768</v>
      </c>
      <c r="B1805" s="7" t="n">
        <v>45889</v>
      </c>
      <c r="C1805" s="8" t="n">
        <v>6528</v>
      </c>
      <c r="D1805" s="8" t="n">
        <v>0</v>
      </c>
      <c r="E1805" s="8" t="n">
        <v>0</v>
      </c>
      <c r="F1805" s="8" t="s">
        <v>2200</v>
      </c>
      <c r="G1805" s="8" t="s">
        <v>2201</v>
      </c>
      <c r="H1805" s="8" t="s">
        <v>2587</v>
      </c>
    </row>
    <row r="1806" customFormat="false" ht="15" hidden="false" customHeight="false" outlineLevel="0" collapsed="false">
      <c r="A1806" s="7" t="n">
        <v>45769</v>
      </c>
      <c r="B1806" s="7" t="n">
        <v>45797</v>
      </c>
      <c r="C1806" s="8" t="n">
        <v>6313</v>
      </c>
      <c r="D1806" s="8" t="n">
        <v>6630</v>
      </c>
      <c r="E1806" s="8" t="n">
        <v>18405</v>
      </c>
      <c r="F1806" s="8" t="s">
        <v>2200</v>
      </c>
      <c r="G1806" s="8" t="s">
        <v>2201</v>
      </c>
      <c r="H1806" s="8" t="s">
        <v>2588</v>
      </c>
    </row>
    <row r="1807" customFormat="false" ht="15" hidden="false" customHeight="false" outlineLevel="0" collapsed="false">
      <c r="A1807" s="7" t="n">
        <v>45769</v>
      </c>
      <c r="B1807" s="7" t="n">
        <v>45828</v>
      </c>
      <c r="C1807" s="8" t="n">
        <v>6367</v>
      </c>
      <c r="D1807" s="8" t="n">
        <v>2850</v>
      </c>
      <c r="E1807" s="8" t="n">
        <v>16285</v>
      </c>
      <c r="F1807" s="8" t="s">
        <v>2200</v>
      </c>
      <c r="G1807" s="8" t="s">
        <v>2201</v>
      </c>
      <c r="H1807" s="8" t="s">
        <v>2588</v>
      </c>
    </row>
    <row r="1808" customFormat="false" ht="15" hidden="false" customHeight="false" outlineLevel="0" collapsed="false">
      <c r="A1808" s="7" t="n">
        <v>45769</v>
      </c>
      <c r="B1808" s="7" t="n">
        <v>45856</v>
      </c>
      <c r="C1808" s="8" t="n">
        <v>6421</v>
      </c>
      <c r="D1808" s="8" t="n">
        <v>0</v>
      </c>
      <c r="E1808" s="8" t="n">
        <v>0</v>
      </c>
      <c r="F1808" s="8" t="s">
        <v>2200</v>
      </c>
      <c r="G1808" s="8" t="s">
        <v>2201</v>
      </c>
      <c r="H1808" s="8" t="s">
        <v>2588</v>
      </c>
    </row>
    <row r="1809" customFormat="false" ht="15" hidden="false" customHeight="false" outlineLevel="0" collapsed="false">
      <c r="A1809" s="7" t="n">
        <v>45769</v>
      </c>
      <c r="B1809" s="7" t="n">
        <v>45889</v>
      </c>
      <c r="C1809" s="8" t="n">
        <v>6475</v>
      </c>
      <c r="D1809" s="8" t="n">
        <v>0</v>
      </c>
      <c r="E1809" s="8" t="n">
        <v>0</v>
      </c>
      <c r="F1809" s="8" t="s">
        <v>2200</v>
      </c>
      <c r="G1809" s="8" t="s">
        <v>2201</v>
      </c>
      <c r="H1809" s="8" t="s">
        <v>2588</v>
      </c>
    </row>
    <row r="1810" customFormat="false" ht="15" hidden="false" customHeight="false" outlineLevel="0" collapsed="false">
      <c r="A1810" s="7" t="n">
        <v>45770</v>
      </c>
      <c r="B1810" s="7" t="n">
        <v>45797</v>
      </c>
      <c r="C1810" s="8" t="n">
        <v>6249</v>
      </c>
      <c r="D1810" s="8" t="n">
        <v>4455</v>
      </c>
      <c r="E1810" s="8" t="n">
        <v>17885</v>
      </c>
      <c r="F1810" s="8" t="s">
        <v>2200</v>
      </c>
      <c r="G1810" s="8" t="s">
        <v>2201</v>
      </c>
      <c r="H1810" s="8" t="s">
        <v>2589</v>
      </c>
    </row>
    <row r="1811" customFormat="false" ht="15" hidden="false" customHeight="false" outlineLevel="0" collapsed="false">
      <c r="A1811" s="7" t="n">
        <v>45770</v>
      </c>
      <c r="B1811" s="7" t="n">
        <v>45828</v>
      </c>
      <c r="C1811" s="8" t="n">
        <v>6301</v>
      </c>
      <c r="D1811" s="8" t="n">
        <v>2465</v>
      </c>
      <c r="E1811" s="8" t="n">
        <v>16705</v>
      </c>
      <c r="F1811" s="8" t="s">
        <v>2200</v>
      </c>
      <c r="G1811" s="8" t="s">
        <v>2201</v>
      </c>
      <c r="H1811" s="8" t="s">
        <v>2589</v>
      </c>
    </row>
    <row r="1812" customFormat="false" ht="15" hidden="false" customHeight="false" outlineLevel="0" collapsed="false">
      <c r="A1812" s="7" t="n">
        <v>45770</v>
      </c>
      <c r="B1812" s="7" t="n">
        <v>45856</v>
      </c>
      <c r="C1812" s="8" t="n">
        <v>6353</v>
      </c>
      <c r="D1812" s="8" t="n">
        <v>0</v>
      </c>
      <c r="E1812" s="8" t="n">
        <v>0</v>
      </c>
      <c r="F1812" s="8" t="s">
        <v>2200</v>
      </c>
      <c r="G1812" s="8" t="s">
        <v>2201</v>
      </c>
      <c r="H1812" s="8" t="s">
        <v>2589</v>
      </c>
    </row>
    <row r="1813" customFormat="false" ht="15" hidden="false" customHeight="false" outlineLevel="0" collapsed="false">
      <c r="A1813" s="7" t="n">
        <v>45770</v>
      </c>
      <c r="B1813" s="7" t="n">
        <v>45889</v>
      </c>
      <c r="C1813" s="8" t="n">
        <v>6405</v>
      </c>
      <c r="D1813" s="8" t="n">
        <v>0</v>
      </c>
      <c r="E1813" s="8" t="n">
        <v>0</v>
      </c>
      <c r="F1813" s="8" t="s">
        <v>2200</v>
      </c>
      <c r="G1813" s="8" t="s">
        <v>2201</v>
      </c>
      <c r="H1813" s="8" t="s">
        <v>2589</v>
      </c>
    </row>
    <row r="1814" customFormat="false" ht="15" hidden="false" customHeight="false" outlineLevel="0" collapsed="false">
      <c r="A1814" s="7" t="n">
        <v>45771</v>
      </c>
      <c r="B1814" s="7" t="n">
        <v>45797</v>
      </c>
      <c r="C1814" s="8" t="n">
        <v>6249</v>
      </c>
      <c r="D1814" s="8" t="n">
        <v>2805</v>
      </c>
      <c r="E1814" s="8" t="n">
        <v>17650</v>
      </c>
      <c r="F1814" s="8" t="s">
        <v>2200</v>
      </c>
      <c r="G1814" s="8" t="s">
        <v>2201</v>
      </c>
      <c r="H1814" s="8" t="s">
        <v>2590</v>
      </c>
    </row>
    <row r="1815" customFormat="false" ht="15" hidden="false" customHeight="false" outlineLevel="0" collapsed="false">
      <c r="A1815" s="7" t="n">
        <v>45771</v>
      </c>
      <c r="B1815" s="7" t="n">
        <v>45828</v>
      </c>
      <c r="C1815" s="8" t="n">
        <v>6305</v>
      </c>
      <c r="D1815" s="8" t="n">
        <v>850</v>
      </c>
      <c r="E1815" s="8" t="n">
        <v>16925</v>
      </c>
      <c r="F1815" s="8" t="s">
        <v>2200</v>
      </c>
      <c r="G1815" s="8" t="s">
        <v>2201</v>
      </c>
      <c r="H1815" s="8" t="s">
        <v>2590</v>
      </c>
    </row>
    <row r="1816" customFormat="false" ht="15" hidden="false" customHeight="false" outlineLevel="0" collapsed="false">
      <c r="A1816" s="7" t="n">
        <v>45771</v>
      </c>
      <c r="B1816" s="7" t="n">
        <v>45856</v>
      </c>
      <c r="C1816" s="8" t="n">
        <v>6361</v>
      </c>
      <c r="D1816" s="8" t="n">
        <v>5</v>
      </c>
      <c r="E1816" s="8" t="n">
        <v>5</v>
      </c>
      <c r="F1816" s="8" t="s">
        <v>2200</v>
      </c>
      <c r="G1816" s="8" t="s">
        <v>2201</v>
      </c>
      <c r="H1816" s="8" t="s">
        <v>2590</v>
      </c>
    </row>
    <row r="1817" customFormat="false" ht="15" hidden="false" customHeight="false" outlineLevel="0" collapsed="false">
      <c r="A1817" s="7" t="n">
        <v>45771</v>
      </c>
      <c r="B1817" s="7" t="n">
        <v>45889</v>
      </c>
      <c r="C1817" s="8" t="n">
        <v>6417</v>
      </c>
      <c r="D1817" s="8" t="n">
        <v>0</v>
      </c>
      <c r="E1817" s="8" t="n">
        <v>0</v>
      </c>
      <c r="F1817" s="8" t="s">
        <v>2200</v>
      </c>
      <c r="G1817" s="8" t="s">
        <v>2201</v>
      </c>
      <c r="H1817" s="8" t="s">
        <v>2590</v>
      </c>
    </row>
    <row r="1818" customFormat="false" ht="15" hidden="false" customHeight="false" outlineLevel="0" collapsed="false">
      <c r="A1818" s="7" t="n">
        <v>45772</v>
      </c>
      <c r="B1818" s="7" t="n">
        <v>45797</v>
      </c>
      <c r="C1818" s="8" t="n">
        <v>6288</v>
      </c>
      <c r="D1818" s="8" t="n">
        <v>3355</v>
      </c>
      <c r="E1818" s="8" t="n">
        <v>17690</v>
      </c>
      <c r="F1818" s="8" t="s">
        <v>2200</v>
      </c>
      <c r="G1818" s="8" t="s">
        <v>2201</v>
      </c>
      <c r="H1818" s="8" t="s">
        <v>2591</v>
      </c>
    </row>
    <row r="1819" customFormat="false" ht="15" hidden="false" customHeight="false" outlineLevel="0" collapsed="false">
      <c r="A1819" s="7" t="n">
        <v>45772</v>
      </c>
      <c r="B1819" s="7" t="n">
        <v>45828</v>
      </c>
      <c r="C1819" s="8" t="n">
        <v>6356</v>
      </c>
      <c r="D1819" s="8" t="n">
        <v>1690</v>
      </c>
      <c r="E1819" s="8" t="n">
        <v>17465</v>
      </c>
      <c r="F1819" s="8" t="s">
        <v>2200</v>
      </c>
      <c r="G1819" s="8" t="s">
        <v>2201</v>
      </c>
      <c r="H1819" s="8" t="s">
        <v>2591</v>
      </c>
    </row>
    <row r="1820" customFormat="false" ht="15" hidden="false" customHeight="false" outlineLevel="0" collapsed="false">
      <c r="A1820" s="7" t="n">
        <v>45772</v>
      </c>
      <c r="B1820" s="7" t="n">
        <v>45856</v>
      </c>
      <c r="C1820" s="8" t="n">
        <v>6424</v>
      </c>
      <c r="D1820" s="8" t="n">
        <v>0</v>
      </c>
      <c r="E1820" s="8" t="n">
        <v>5</v>
      </c>
      <c r="F1820" s="8" t="s">
        <v>2200</v>
      </c>
      <c r="G1820" s="8" t="s">
        <v>2201</v>
      </c>
      <c r="H1820" s="8" t="s">
        <v>2591</v>
      </c>
    </row>
    <row r="1821" customFormat="false" ht="15" hidden="false" customHeight="false" outlineLevel="0" collapsed="false">
      <c r="A1821" s="7" t="n">
        <v>45772</v>
      </c>
      <c r="B1821" s="7" t="n">
        <v>45889</v>
      </c>
      <c r="C1821" s="8" t="n">
        <v>6492</v>
      </c>
      <c r="D1821" s="8" t="n">
        <v>0</v>
      </c>
      <c r="E1821" s="8" t="n">
        <v>0</v>
      </c>
      <c r="F1821" s="8" t="s">
        <v>2200</v>
      </c>
      <c r="G1821" s="8" t="s">
        <v>2201</v>
      </c>
      <c r="H1821" s="8" t="s">
        <v>2591</v>
      </c>
    </row>
    <row r="1822" customFormat="false" ht="15" hidden="false" customHeight="false" outlineLevel="0" collapsed="false">
      <c r="A1822" s="7" t="n">
        <v>45775</v>
      </c>
      <c r="B1822" s="7" t="n">
        <v>45797</v>
      </c>
      <c r="C1822" s="8" t="n">
        <v>6252</v>
      </c>
      <c r="D1822" s="8" t="n">
        <v>3790</v>
      </c>
      <c r="E1822" s="8" t="n">
        <v>17560</v>
      </c>
      <c r="F1822" s="8" t="s">
        <v>2200</v>
      </c>
      <c r="G1822" s="8" t="s">
        <v>2201</v>
      </c>
      <c r="H1822" s="8" t="s">
        <v>2592</v>
      </c>
    </row>
    <row r="1823" customFormat="false" ht="15" hidden="false" customHeight="false" outlineLevel="0" collapsed="false">
      <c r="A1823" s="7" t="n">
        <v>45775</v>
      </c>
      <c r="B1823" s="7" t="n">
        <v>45828</v>
      </c>
      <c r="C1823" s="8" t="n">
        <v>6309</v>
      </c>
      <c r="D1823" s="8" t="n">
        <v>2950</v>
      </c>
      <c r="E1823" s="8" t="n">
        <v>18605</v>
      </c>
      <c r="F1823" s="8" t="s">
        <v>2200</v>
      </c>
      <c r="G1823" s="8" t="s">
        <v>2201</v>
      </c>
      <c r="H1823" s="8" t="s">
        <v>2592</v>
      </c>
    </row>
    <row r="1824" customFormat="false" ht="15" hidden="false" customHeight="false" outlineLevel="0" collapsed="false">
      <c r="A1824" s="7" t="n">
        <v>45775</v>
      </c>
      <c r="B1824" s="7" t="n">
        <v>45856</v>
      </c>
      <c r="C1824" s="8" t="n">
        <v>6431</v>
      </c>
      <c r="D1824" s="8" t="n">
        <v>10</v>
      </c>
      <c r="E1824" s="8" t="n">
        <v>10</v>
      </c>
      <c r="F1824" s="8" t="s">
        <v>2200</v>
      </c>
      <c r="G1824" s="8" t="s">
        <v>2201</v>
      </c>
      <c r="H1824" s="8" t="s">
        <v>2592</v>
      </c>
    </row>
    <row r="1825" customFormat="false" ht="15" hidden="false" customHeight="false" outlineLevel="0" collapsed="false">
      <c r="A1825" s="7" t="n">
        <v>45775</v>
      </c>
      <c r="B1825" s="7" t="n">
        <v>45889</v>
      </c>
      <c r="C1825" s="8" t="n">
        <v>6553</v>
      </c>
      <c r="D1825" s="8" t="n">
        <v>0</v>
      </c>
      <c r="E1825" s="8" t="n">
        <v>0</v>
      </c>
      <c r="F1825" s="8" t="s">
        <v>2200</v>
      </c>
      <c r="G1825" s="8" t="s">
        <v>2201</v>
      </c>
      <c r="H1825" s="8" t="s">
        <v>2592</v>
      </c>
    </row>
    <row r="1826" customFormat="false" ht="15" hidden="false" customHeight="false" outlineLevel="0" collapsed="false">
      <c r="A1826" s="7" t="n">
        <v>45776</v>
      </c>
      <c r="B1826" s="7" t="n">
        <v>45797</v>
      </c>
      <c r="C1826" s="8" t="n">
        <v>6261</v>
      </c>
      <c r="D1826" s="8" t="n">
        <v>2340</v>
      </c>
      <c r="E1826" s="8" t="n">
        <v>17000</v>
      </c>
      <c r="F1826" s="8" t="s">
        <v>2200</v>
      </c>
      <c r="G1826" s="8" t="s">
        <v>2201</v>
      </c>
      <c r="H1826" s="8" t="s">
        <v>2593</v>
      </c>
    </row>
    <row r="1827" customFormat="false" ht="15" hidden="false" customHeight="false" outlineLevel="0" collapsed="false">
      <c r="A1827" s="7" t="n">
        <v>45776</v>
      </c>
      <c r="B1827" s="7" t="n">
        <v>45828</v>
      </c>
      <c r="C1827" s="8" t="n">
        <v>6326</v>
      </c>
      <c r="D1827" s="8" t="n">
        <v>1970</v>
      </c>
      <c r="E1827" s="8" t="n">
        <v>18820</v>
      </c>
      <c r="F1827" s="8" t="s">
        <v>2200</v>
      </c>
      <c r="G1827" s="8" t="s">
        <v>2201</v>
      </c>
      <c r="H1827" s="8" t="s">
        <v>2593</v>
      </c>
    </row>
    <row r="1828" customFormat="false" ht="15" hidden="false" customHeight="false" outlineLevel="0" collapsed="false">
      <c r="A1828" s="7" t="n">
        <v>45776</v>
      </c>
      <c r="B1828" s="7" t="n">
        <v>45856</v>
      </c>
      <c r="C1828" s="8" t="n">
        <v>6391</v>
      </c>
      <c r="D1828" s="8" t="n">
        <v>0</v>
      </c>
      <c r="E1828" s="8" t="n">
        <v>10</v>
      </c>
      <c r="F1828" s="8" t="s">
        <v>2200</v>
      </c>
      <c r="G1828" s="8" t="s">
        <v>2201</v>
      </c>
      <c r="H1828" s="8" t="s">
        <v>2593</v>
      </c>
    </row>
    <row r="1829" customFormat="false" ht="15" hidden="false" customHeight="false" outlineLevel="0" collapsed="false">
      <c r="A1829" s="7" t="n">
        <v>45776</v>
      </c>
      <c r="B1829" s="7" t="n">
        <v>45889</v>
      </c>
      <c r="C1829" s="8" t="n">
        <v>6456</v>
      </c>
      <c r="D1829" s="8" t="n">
        <v>0</v>
      </c>
      <c r="E1829" s="8" t="n">
        <v>0</v>
      </c>
      <c r="F1829" s="8" t="s">
        <v>2200</v>
      </c>
      <c r="G1829" s="8" t="s">
        <v>2201</v>
      </c>
      <c r="H1829" s="8" t="s">
        <v>2593</v>
      </c>
    </row>
    <row r="1830" customFormat="false" ht="15" hidden="false" customHeight="false" outlineLevel="0" collapsed="false">
      <c r="A1830" s="7" t="n">
        <v>45777</v>
      </c>
      <c r="B1830" s="7" t="n">
        <v>45797</v>
      </c>
      <c r="C1830" s="8" t="n">
        <v>6236</v>
      </c>
      <c r="D1830" s="8" t="n">
        <v>3435</v>
      </c>
      <c r="E1830" s="8" t="n">
        <v>16785</v>
      </c>
      <c r="F1830" s="8" t="s">
        <v>2200</v>
      </c>
      <c r="G1830" s="8" t="s">
        <v>2201</v>
      </c>
      <c r="H1830" s="8" t="s">
        <v>2594</v>
      </c>
    </row>
    <row r="1831" customFormat="false" ht="15" hidden="false" customHeight="false" outlineLevel="0" collapsed="false">
      <c r="A1831" s="7" t="n">
        <v>45777</v>
      </c>
      <c r="B1831" s="7" t="n">
        <v>45828</v>
      </c>
      <c r="C1831" s="8" t="n">
        <v>6293</v>
      </c>
      <c r="D1831" s="8" t="n">
        <v>3535</v>
      </c>
      <c r="E1831" s="8" t="n">
        <v>19120</v>
      </c>
      <c r="F1831" s="8" t="s">
        <v>2200</v>
      </c>
      <c r="G1831" s="8" t="s">
        <v>2201</v>
      </c>
      <c r="H1831" s="8" t="s">
        <v>2594</v>
      </c>
    </row>
    <row r="1832" customFormat="false" ht="15" hidden="false" customHeight="false" outlineLevel="0" collapsed="false">
      <c r="A1832" s="7" t="n">
        <v>45777</v>
      </c>
      <c r="B1832" s="7" t="n">
        <v>45856</v>
      </c>
      <c r="C1832" s="8" t="n">
        <v>6357</v>
      </c>
      <c r="D1832" s="8" t="n">
        <v>25</v>
      </c>
      <c r="E1832" s="8" t="n">
        <v>30</v>
      </c>
      <c r="F1832" s="8" t="s">
        <v>2200</v>
      </c>
      <c r="G1832" s="8" t="s">
        <v>2201</v>
      </c>
      <c r="H1832" s="8" t="s">
        <v>2594</v>
      </c>
    </row>
    <row r="1833" customFormat="false" ht="15" hidden="false" customHeight="false" outlineLevel="0" collapsed="false">
      <c r="A1833" s="7" t="n">
        <v>45777</v>
      </c>
      <c r="B1833" s="7" t="n">
        <v>45889</v>
      </c>
      <c r="C1833" s="8" t="n">
        <v>6421</v>
      </c>
      <c r="D1833" s="8" t="n">
        <v>0</v>
      </c>
      <c r="E1833" s="8" t="n">
        <v>0</v>
      </c>
      <c r="F1833" s="8" t="s">
        <v>2200</v>
      </c>
      <c r="G1833" s="8" t="s">
        <v>2201</v>
      </c>
      <c r="H1833" s="8" t="s">
        <v>2594</v>
      </c>
    </row>
    <row r="1834" customFormat="false" ht="15" hidden="false" customHeight="false" outlineLevel="0" collapsed="false">
      <c r="A1834" s="7" t="n">
        <v>45779</v>
      </c>
      <c r="B1834" s="7" t="n">
        <v>45797</v>
      </c>
      <c r="C1834" s="8" t="n">
        <v>6246</v>
      </c>
      <c r="D1834" s="8" t="n">
        <v>2590</v>
      </c>
      <c r="E1834" s="8" t="n">
        <v>16345</v>
      </c>
      <c r="F1834" s="8" t="s">
        <v>2200</v>
      </c>
      <c r="G1834" s="8" t="s">
        <v>2201</v>
      </c>
      <c r="H1834" s="8" t="s">
        <v>2595</v>
      </c>
    </row>
    <row r="1835" customFormat="false" ht="15" hidden="false" customHeight="false" outlineLevel="0" collapsed="false">
      <c r="A1835" s="7" t="n">
        <v>45779</v>
      </c>
      <c r="B1835" s="7" t="n">
        <v>45828</v>
      </c>
      <c r="C1835" s="8" t="n">
        <v>6311</v>
      </c>
      <c r="D1835" s="8" t="n">
        <v>2505</v>
      </c>
      <c r="E1835" s="8" t="n">
        <v>19750</v>
      </c>
      <c r="F1835" s="8" t="s">
        <v>2200</v>
      </c>
      <c r="G1835" s="8" t="s">
        <v>2201</v>
      </c>
      <c r="H1835" s="8" t="s">
        <v>2595</v>
      </c>
    </row>
    <row r="1836" customFormat="false" ht="15" hidden="false" customHeight="false" outlineLevel="0" collapsed="false">
      <c r="A1836" s="7" t="n">
        <v>45779</v>
      </c>
      <c r="B1836" s="7" t="n">
        <v>45856</v>
      </c>
      <c r="C1836" s="8" t="n">
        <v>6376</v>
      </c>
      <c r="D1836" s="8" t="n">
        <v>0</v>
      </c>
      <c r="E1836" s="8" t="n">
        <v>30</v>
      </c>
      <c r="F1836" s="8" t="s">
        <v>2200</v>
      </c>
      <c r="G1836" s="8" t="s">
        <v>2201</v>
      </c>
      <c r="H1836" s="8" t="s">
        <v>2595</v>
      </c>
    </row>
    <row r="1837" customFormat="false" ht="15" hidden="false" customHeight="false" outlineLevel="0" collapsed="false">
      <c r="A1837" s="7" t="n">
        <v>45779</v>
      </c>
      <c r="B1837" s="7" t="n">
        <v>45889</v>
      </c>
      <c r="C1837" s="8" t="n">
        <v>6441</v>
      </c>
      <c r="D1837" s="8" t="n">
        <v>0</v>
      </c>
      <c r="E1837" s="8" t="n">
        <v>0</v>
      </c>
      <c r="F1837" s="8" t="s">
        <v>2200</v>
      </c>
      <c r="G1837" s="8" t="s">
        <v>2201</v>
      </c>
      <c r="H1837" s="8" t="s">
        <v>2595</v>
      </c>
    </row>
    <row r="1838" customFormat="false" ht="15" hidden="false" customHeight="false" outlineLevel="0" collapsed="false">
      <c r="A1838" s="7" t="n">
        <v>45779</v>
      </c>
      <c r="B1838" s="7" t="n">
        <v>45919</v>
      </c>
      <c r="C1838" s="8" t="n">
        <v>6506</v>
      </c>
      <c r="D1838" s="8" t="n">
        <v>0</v>
      </c>
      <c r="E1838" s="8" t="n">
        <v>0</v>
      </c>
      <c r="F1838" s="8" t="s">
        <v>2200</v>
      </c>
      <c r="G1838" s="8" t="s">
        <v>2201</v>
      </c>
      <c r="H1838" s="8" t="s">
        <v>2595</v>
      </c>
    </row>
    <row r="1839" customFormat="false" ht="15" hidden="false" customHeight="false" outlineLevel="0" collapsed="false">
      <c r="A1839" s="7" t="n">
        <v>45782</v>
      </c>
      <c r="B1839" s="7" t="n">
        <v>45797</v>
      </c>
      <c r="C1839" s="8" t="n">
        <v>6197</v>
      </c>
      <c r="D1839" s="8" t="n">
        <v>3590</v>
      </c>
      <c r="E1839" s="8" t="n">
        <v>14850</v>
      </c>
      <c r="F1839" s="8" t="s">
        <v>2200</v>
      </c>
      <c r="G1839" s="8" t="s">
        <v>2201</v>
      </c>
      <c r="H1839" s="8" t="s">
        <v>2596</v>
      </c>
    </row>
    <row r="1840" customFormat="false" ht="15" hidden="false" customHeight="false" outlineLevel="0" collapsed="false">
      <c r="A1840" s="7" t="n">
        <v>45782</v>
      </c>
      <c r="B1840" s="7" t="n">
        <v>45828</v>
      </c>
      <c r="C1840" s="8" t="n">
        <v>6254</v>
      </c>
      <c r="D1840" s="8" t="n">
        <v>4470</v>
      </c>
      <c r="E1840" s="8" t="n">
        <v>20910</v>
      </c>
      <c r="F1840" s="8" t="s">
        <v>2200</v>
      </c>
      <c r="G1840" s="8" t="s">
        <v>2201</v>
      </c>
      <c r="H1840" s="8" t="s">
        <v>2596</v>
      </c>
    </row>
    <row r="1841" customFormat="false" ht="15" hidden="false" customHeight="false" outlineLevel="0" collapsed="false">
      <c r="A1841" s="7" t="n">
        <v>45782</v>
      </c>
      <c r="B1841" s="7" t="n">
        <v>45856</v>
      </c>
      <c r="C1841" s="8" t="n">
        <v>6310</v>
      </c>
      <c r="D1841" s="8" t="n">
        <v>55</v>
      </c>
      <c r="E1841" s="8" t="n">
        <v>80</v>
      </c>
      <c r="F1841" s="8" t="s">
        <v>2200</v>
      </c>
      <c r="G1841" s="8" t="s">
        <v>2201</v>
      </c>
      <c r="H1841" s="8" t="s">
        <v>2596</v>
      </c>
    </row>
    <row r="1842" customFormat="false" ht="15" hidden="false" customHeight="false" outlineLevel="0" collapsed="false">
      <c r="A1842" s="7" t="n">
        <v>45782</v>
      </c>
      <c r="B1842" s="7" t="n">
        <v>45889</v>
      </c>
      <c r="C1842" s="8" t="n">
        <v>6366</v>
      </c>
      <c r="D1842" s="8" t="n">
        <v>0</v>
      </c>
      <c r="E1842" s="8" t="n">
        <v>0</v>
      </c>
      <c r="F1842" s="8" t="s">
        <v>2200</v>
      </c>
      <c r="G1842" s="8" t="s">
        <v>2201</v>
      </c>
      <c r="H1842" s="8" t="s">
        <v>2596</v>
      </c>
    </row>
    <row r="1843" customFormat="false" ht="15" hidden="false" customHeight="false" outlineLevel="0" collapsed="false">
      <c r="A1843" s="7" t="n">
        <v>45782</v>
      </c>
      <c r="B1843" s="7" t="n">
        <v>45919</v>
      </c>
      <c r="C1843" s="8" t="n">
        <v>6422</v>
      </c>
      <c r="D1843" s="8" t="n">
        <v>0</v>
      </c>
      <c r="E1843" s="8" t="n">
        <v>0</v>
      </c>
      <c r="F1843" s="8" t="s">
        <v>2200</v>
      </c>
      <c r="G1843" s="8" t="s">
        <v>2201</v>
      </c>
      <c r="H1843" s="8" t="s">
        <v>2596</v>
      </c>
    </row>
    <row r="1844" customFormat="false" ht="15" hidden="false" customHeight="false" outlineLevel="0" collapsed="false">
      <c r="A1844" s="7" t="n">
        <v>45783</v>
      </c>
      <c r="B1844" s="7" t="n">
        <v>45797</v>
      </c>
      <c r="C1844" s="8" t="n">
        <v>6152</v>
      </c>
      <c r="D1844" s="8" t="n">
        <v>2285</v>
      </c>
      <c r="E1844" s="8" t="n">
        <v>13720</v>
      </c>
      <c r="F1844" s="8" t="s">
        <v>2200</v>
      </c>
      <c r="G1844" s="8" t="s">
        <v>2201</v>
      </c>
      <c r="H1844" s="8" t="s">
        <v>2597</v>
      </c>
    </row>
    <row r="1845" customFormat="false" ht="15" hidden="false" customHeight="false" outlineLevel="0" collapsed="false">
      <c r="A1845" s="7" t="n">
        <v>45783</v>
      </c>
      <c r="B1845" s="7" t="n">
        <v>45828</v>
      </c>
      <c r="C1845" s="8" t="n">
        <v>6212</v>
      </c>
      <c r="D1845" s="8" t="n">
        <v>3690</v>
      </c>
      <c r="E1845" s="8" t="n">
        <v>21355</v>
      </c>
      <c r="F1845" s="8" t="s">
        <v>2200</v>
      </c>
      <c r="G1845" s="8" t="s">
        <v>2201</v>
      </c>
      <c r="H1845" s="8" t="s">
        <v>2597</v>
      </c>
    </row>
    <row r="1846" customFormat="false" ht="15" hidden="false" customHeight="false" outlineLevel="0" collapsed="false">
      <c r="A1846" s="7" t="n">
        <v>45783</v>
      </c>
      <c r="B1846" s="7" t="n">
        <v>45856</v>
      </c>
      <c r="C1846" s="8" t="n">
        <v>6284</v>
      </c>
      <c r="D1846" s="8" t="n">
        <v>15</v>
      </c>
      <c r="E1846" s="8" t="n">
        <v>95</v>
      </c>
      <c r="F1846" s="8" t="s">
        <v>2200</v>
      </c>
      <c r="G1846" s="8" t="s">
        <v>2201</v>
      </c>
      <c r="H1846" s="8" t="s">
        <v>2597</v>
      </c>
    </row>
    <row r="1847" customFormat="false" ht="15" hidden="false" customHeight="false" outlineLevel="0" collapsed="false">
      <c r="A1847" s="7" t="n">
        <v>45783</v>
      </c>
      <c r="B1847" s="7" t="n">
        <v>45889</v>
      </c>
      <c r="C1847" s="8" t="n">
        <v>6356</v>
      </c>
      <c r="D1847" s="8" t="n">
        <v>0</v>
      </c>
      <c r="E1847" s="8" t="n">
        <v>0</v>
      </c>
      <c r="F1847" s="8" t="s">
        <v>2200</v>
      </c>
      <c r="G1847" s="8" t="s">
        <v>2201</v>
      </c>
      <c r="H1847" s="8" t="s">
        <v>2597</v>
      </c>
    </row>
    <row r="1848" customFormat="false" ht="15" hidden="false" customHeight="false" outlineLevel="0" collapsed="false">
      <c r="A1848" s="7" t="n">
        <v>45783</v>
      </c>
      <c r="B1848" s="7" t="n">
        <v>45919</v>
      </c>
      <c r="C1848" s="8" t="n">
        <v>6428</v>
      </c>
      <c r="D1848" s="8" t="n">
        <v>0</v>
      </c>
      <c r="E1848" s="8" t="n">
        <v>0</v>
      </c>
      <c r="F1848" s="8" t="s">
        <v>2200</v>
      </c>
      <c r="G1848" s="8" t="s">
        <v>2201</v>
      </c>
      <c r="H1848" s="8" t="s">
        <v>2597</v>
      </c>
    </row>
    <row r="1849" customFormat="false" ht="15" hidden="false" customHeight="false" outlineLevel="0" collapsed="false">
      <c r="A1849" s="7" t="n">
        <v>45784</v>
      </c>
      <c r="B1849" s="7" t="n">
        <v>45797</v>
      </c>
      <c r="C1849" s="8" t="n">
        <v>6173</v>
      </c>
      <c r="D1849" s="8" t="n">
        <v>2125</v>
      </c>
      <c r="E1849" s="8" t="n">
        <v>13235</v>
      </c>
      <c r="F1849" s="8" t="s">
        <v>2200</v>
      </c>
      <c r="G1849" s="8" t="s">
        <v>2201</v>
      </c>
      <c r="H1849" s="8" t="s">
        <v>2598</v>
      </c>
    </row>
    <row r="1850" customFormat="false" ht="15" hidden="false" customHeight="false" outlineLevel="0" collapsed="false">
      <c r="A1850" s="7" t="n">
        <v>45784</v>
      </c>
      <c r="B1850" s="7" t="n">
        <v>45828</v>
      </c>
      <c r="C1850" s="8" t="n">
        <v>6231</v>
      </c>
      <c r="D1850" s="8" t="n">
        <v>3260</v>
      </c>
      <c r="E1850" s="8" t="n">
        <v>21750</v>
      </c>
      <c r="F1850" s="8" t="s">
        <v>2200</v>
      </c>
      <c r="G1850" s="8" t="s">
        <v>2201</v>
      </c>
      <c r="H1850" s="8" t="s">
        <v>2598</v>
      </c>
    </row>
    <row r="1851" customFormat="false" ht="15" hidden="false" customHeight="false" outlineLevel="0" collapsed="false">
      <c r="A1851" s="7" t="n">
        <v>45784</v>
      </c>
      <c r="B1851" s="7" t="n">
        <v>45856</v>
      </c>
      <c r="C1851" s="8" t="n">
        <v>6289</v>
      </c>
      <c r="D1851" s="8" t="n">
        <v>0</v>
      </c>
      <c r="E1851" s="8" t="n">
        <v>95</v>
      </c>
      <c r="F1851" s="8" t="s">
        <v>2200</v>
      </c>
      <c r="G1851" s="8" t="s">
        <v>2201</v>
      </c>
      <c r="H1851" s="8" t="s">
        <v>2598</v>
      </c>
    </row>
    <row r="1852" customFormat="false" ht="15" hidden="false" customHeight="false" outlineLevel="0" collapsed="false">
      <c r="A1852" s="7" t="n">
        <v>45784</v>
      </c>
      <c r="B1852" s="7" t="n">
        <v>45889</v>
      </c>
      <c r="C1852" s="8" t="n">
        <v>6347</v>
      </c>
      <c r="D1852" s="8" t="n">
        <v>0</v>
      </c>
      <c r="E1852" s="8" t="n">
        <v>0</v>
      </c>
      <c r="F1852" s="8" t="s">
        <v>2200</v>
      </c>
      <c r="G1852" s="8" t="s">
        <v>2201</v>
      </c>
      <c r="H1852" s="8" t="s">
        <v>2598</v>
      </c>
    </row>
    <row r="1853" customFormat="false" ht="15" hidden="false" customHeight="false" outlineLevel="0" collapsed="false">
      <c r="A1853" s="7" t="n">
        <v>45784</v>
      </c>
      <c r="B1853" s="7" t="n">
        <v>45919</v>
      </c>
      <c r="C1853" s="8" t="n">
        <v>6405</v>
      </c>
      <c r="D1853" s="8" t="n">
        <v>0</v>
      </c>
      <c r="E1853" s="8" t="n">
        <v>0</v>
      </c>
      <c r="F1853" s="8" t="s">
        <v>2200</v>
      </c>
      <c r="G1853" s="8" t="s">
        <v>2201</v>
      </c>
      <c r="H1853" s="8" t="s">
        <v>2598</v>
      </c>
    </row>
    <row r="1854" customFormat="false" ht="15" hidden="false" customHeight="false" outlineLevel="0" collapsed="false">
      <c r="A1854" s="7" t="n">
        <v>45785</v>
      </c>
      <c r="B1854" s="7" t="n">
        <v>45797</v>
      </c>
      <c r="C1854" s="8" t="n">
        <v>6186</v>
      </c>
      <c r="D1854" s="8" t="n">
        <v>5605</v>
      </c>
      <c r="E1854" s="8" t="n">
        <v>9435</v>
      </c>
      <c r="F1854" s="8" t="s">
        <v>2200</v>
      </c>
      <c r="G1854" s="8" t="s">
        <v>2201</v>
      </c>
      <c r="H1854" s="8" t="s">
        <v>2599</v>
      </c>
    </row>
    <row r="1855" customFormat="false" ht="15" hidden="false" customHeight="false" outlineLevel="0" collapsed="false">
      <c r="A1855" s="7" t="n">
        <v>45785</v>
      </c>
      <c r="B1855" s="7" t="n">
        <v>45828</v>
      </c>
      <c r="C1855" s="8" t="n">
        <v>6246</v>
      </c>
      <c r="D1855" s="8" t="n">
        <v>8720</v>
      </c>
      <c r="E1855" s="8" t="n">
        <v>22535</v>
      </c>
      <c r="F1855" s="8" t="s">
        <v>2200</v>
      </c>
      <c r="G1855" s="8" t="s">
        <v>2201</v>
      </c>
      <c r="H1855" s="8" t="s">
        <v>2599</v>
      </c>
    </row>
    <row r="1856" customFormat="false" ht="15" hidden="false" customHeight="false" outlineLevel="0" collapsed="false">
      <c r="A1856" s="7" t="n">
        <v>45785</v>
      </c>
      <c r="B1856" s="7" t="n">
        <v>45856</v>
      </c>
      <c r="C1856" s="8" t="n">
        <v>6306</v>
      </c>
      <c r="D1856" s="8" t="n">
        <v>0</v>
      </c>
      <c r="E1856" s="8" t="n">
        <v>95</v>
      </c>
      <c r="F1856" s="8" t="s">
        <v>2200</v>
      </c>
      <c r="G1856" s="8" t="s">
        <v>2201</v>
      </c>
      <c r="H1856" s="8" t="s">
        <v>2599</v>
      </c>
    </row>
    <row r="1857" customFormat="false" ht="15" hidden="false" customHeight="false" outlineLevel="0" collapsed="false">
      <c r="A1857" s="7" t="n">
        <v>45785</v>
      </c>
      <c r="B1857" s="7" t="n">
        <v>45889</v>
      </c>
      <c r="C1857" s="8" t="n">
        <v>6366</v>
      </c>
      <c r="D1857" s="8" t="n">
        <v>0</v>
      </c>
      <c r="E1857" s="8" t="n">
        <v>0</v>
      </c>
      <c r="F1857" s="8" t="s">
        <v>2200</v>
      </c>
      <c r="G1857" s="8" t="s">
        <v>2201</v>
      </c>
      <c r="H1857" s="8" t="s">
        <v>2599</v>
      </c>
    </row>
    <row r="1858" customFormat="false" ht="15" hidden="false" customHeight="false" outlineLevel="0" collapsed="false">
      <c r="A1858" s="7" t="n">
        <v>45785</v>
      </c>
      <c r="B1858" s="7" t="n">
        <v>45919</v>
      </c>
      <c r="C1858" s="8" t="n">
        <v>6426</v>
      </c>
      <c r="D1858" s="8" t="n">
        <v>0</v>
      </c>
      <c r="E1858" s="8" t="n">
        <v>0</v>
      </c>
      <c r="F1858" s="8" t="s">
        <v>2200</v>
      </c>
      <c r="G1858" s="8" t="s">
        <v>2201</v>
      </c>
      <c r="H1858" s="8" t="s">
        <v>2599</v>
      </c>
    </row>
    <row r="1859" customFormat="false" ht="15" hidden="false" customHeight="false" outlineLevel="0" collapsed="false">
      <c r="A1859" s="7" t="n">
        <v>45786</v>
      </c>
      <c r="B1859" s="7" t="n">
        <v>45797</v>
      </c>
      <c r="C1859" s="8" t="n">
        <v>6234</v>
      </c>
      <c r="D1859" s="8" t="n">
        <v>5300</v>
      </c>
      <c r="E1859" s="8" t="n">
        <v>6480</v>
      </c>
      <c r="F1859" s="8" t="s">
        <v>2200</v>
      </c>
      <c r="G1859" s="8" t="s">
        <v>2201</v>
      </c>
      <c r="H1859" s="8" t="s">
        <v>2600</v>
      </c>
    </row>
    <row r="1860" customFormat="false" ht="15" hidden="false" customHeight="false" outlineLevel="0" collapsed="false">
      <c r="A1860" s="7" t="n">
        <v>45786</v>
      </c>
      <c r="B1860" s="7" t="n">
        <v>45828</v>
      </c>
      <c r="C1860" s="8" t="n">
        <v>6306</v>
      </c>
      <c r="D1860" s="8" t="n">
        <v>9540</v>
      </c>
      <c r="E1860" s="8" t="n">
        <v>22300</v>
      </c>
      <c r="F1860" s="8" t="s">
        <v>2200</v>
      </c>
      <c r="G1860" s="8" t="s">
        <v>2201</v>
      </c>
      <c r="H1860" s="8" t="s">
        <v>2600</v>
      </c>
    </row>
    <row r="1861" customFormat="false" ht="15" hidden="false" customHeight="false" outlineLevel="0" collapsed="false">
      <c r="A1861" s="7" t="n">
        <v>45786</v>
      </c>
      <c r="B1861" s="7" t="n">
        <v>45856</v>
      </c>
      <c r="C1861" s="8" t="n">
        <v>6294</v>
      </c>
      <c r="D1861" s="8" t="n">
        <v>5</v>
      </c>
      <c r="E1861" s="8" t="n">
        <v>95</v>
      </c>
      <c r="F1861" s="8" t="s">
        <v>2200</v>
      </c>
      <c r="G1861" s="8" t="s">
        <v>2201</v>
      </c>
      <c r="H1861" s="8" t="s">
        <v>2600</v>
      </c>
    </row>
    <row r="1862" customFormat="false" ht="15" hidden="false" customHeight="false" outlineLevel="0" collapsed="false">
      <c r="A1862" s="7" t="n">
        <v>45786</v>
      </c>
      <c r="B1862" s="7" t="n">
        <v>45889</v>
      </c>
      <c r="C1862" s="8" t="n">
        <v>6300</v>
      </c>
      <c r="D1862" s="8" t="n">
        <v>0</v>
      </c>
      <c r="E1862" s="8" t="n">
        <v>0</v>
      </c>
      <c r="F1862" s="8" t="s">
        <v>2200</v>
      </c>
      <c r="G1862" s="8" t="s">
        <v>2201</v>
      </c>
      <c r="H1862" s="8" t="s">
        <v>2600</v>
      </c>
    </row>
    <row r="1863" customFormat="false" ht="15" hidden="false" customHeight="false" outlineLevel="0" collapsed="false">
      <c r="A1863" s="7" t="n">
        <v>45786</v>
      </c>
      <c r="B1863" s="7" t="n">
        <v>45919</v>
      </c>
      <c r="C1863" s="8" t="n">
        <v>6306</v>
      </c>
      <c r="D1863" s="8" t="n">
        <v>0</v>
      </c>
      <c r="E1863" s="8" t="n">
        <v>0</v>
      </c>
      <c r="F1863" s="8" t="s">
        <v>2200</v>
      </c>
      <c r="G1863" s="8" t="s">
        <v>2201</v>
      </c>
      <c r="H1863" s="8" t="s">
        <v>2600</v>
      </c>
    </row>
    <row r="1864" customFormat="false" ht="15" hidden="false" customHeight="false" outlineLevel="0" collapsed="false">
      <c r="A1864" s="7" t="n">
        <v>45789</v>
      </c>
      <c r="B1864" s="7" t="n">
        <v>45797</v>
      </c>
      <c r="C1864" s="8" t="n">
        <v>6300</v>
      </c>
      <c r="D1864" s="8" t="n">
        <v>1905</v>
      </c>
      <c r="E1864" s="8" t="n">
        <v>4990</v>
      </c>
      <c r="F1864" s="8" t="s">
        <v>2200</v>
      </c>
      <c r="G1864" s="8" t="s">
        <v>2201</v>
      </c>
      <c r="H1864" s="8" t="s">
        <v>2601</v>
      </c>
    </row>
    <row r="1865" customFormat="false" ht="15" hidden="false" customHeight="false" outlineLevel="0" collapsed="false">
      <c r="A1865" s="7" t="n">
        <v>45789</v>
      </c>
      <c r="B1865" s="7" t="n">
        <v>45828</v>
      </c>
      <c r="C1865" s="8" t="n">
        <v>6367</v>
      </c>
      <c r="D1865" s="8" t="n">
        <v>6305</v>
      </c>
      <c r="E1865" s="8" t="n">
        <v>23405</v>
      </c>
      <c r="F1865" s="8" t="s">
        <v>2200</v>
      </c>
      <c r="G1865" s="8" t="s">
        <v>2201</v>
      </c>
      <c r="H1865" s="8" t="s">
        <v>2601</v>
      </c>
    </row>
    <row r="1866" customFormat="false" ht="15" hidden="false" customHeight="false" outlineLevel="0" collapsed="false">
      <c r="A1866" s="7" t="n">
        <v>45789</v>
      </c>
      <c r="B1866" s="7" t="n">
        <v>45856</v>
      </c>
      <c r="C1866" s="8" t="n">
        <v>6367</v>
      </c>
      <c r="D1866" s="8" t="n">
        <v>0</v>
      </c>
      <c r="E1866" s="8" t="n">
        <v>95</v>
      </c>
      <c r="F1866" s="8" t="s">
        <v>2200</v>
      </c>
      <c r="G1866" s="8" t="s">
        <v>2201</v>
      </c>
      <c r="H1866" s="8" t="s">
        <v>2601</v>
      </c>
    </row>
    <row r="1867" customFormat="false" ht="15" hidden="false" customHeight="false" outlineLevel="0" collapsed="false">
      <c r="A1867" s="7" t="n">
        <v>45789</v>
      </c>
      <c r="B1867" s="7" t="n">
        <v>45889</v>
      </c>
      <c r="C1867" s="8" t="n">
        <v>6367</v>
      </c>
      <c r="D1867" s="8" t="n">
        <v>0</v>
      </c>
      <c r="E1867" s="8" t="n">
        <v>0</v>
      </c>
      <c r="F1867" s="8" t="s">
        <v>2200</v>
      </c>
      <c r="G1867" s="8" t="s">
        <v>2201</v>
      </c>
      <c r="H1867" s="8" t="s">
        <v>2601</v>
      </c>
    </row>
    <row r="1868" customFormat="false" ht="15" hidden="false" customHeight="false" outlineLevel="0" collapsed="false">
      <c r="A1868" s="7" t="n">
        <v>45789</v>
      </c>
      <c r="B1868" s="7" t="n">
        <v>45919</v>
      </c>
      <c r="C1868" s="8" t="n">
        <v>6367</v>
      </c>
      <c r="D1868" s="8" t="n">
        <v>0</v>
      </c>
      <c r="E1868" s="8" t="n">
        <v>0</v>
      </c>
      <c r="F1868" s="8" t="s">
        <v>2200</v>
      </c>
      <c r="G1868" s="8" t="s">
        <v>2201</v>
      </c>
      <c r="H1868" s="8" t="s">
        <v>2601</v>
      </c>
    </row>
    <row r="1869" customFormat="false" ht="15" hidden="false" customHeight="false" outlineLevel="0" collapsed="false">
      <c r="A1869" s="7" t="n">
        <v>45790</v>
      </c>
      <c r="B1869" s="7" t="n">
        <v>45797</v>
      </c>
      <c r="C1869" s="8" t="n">
        <v>6312</v>
      </c>
      <c r="D1869" s="8" t="n">
        <v>810</v>
      </c>
      <c r="E1869" s="8" t="n">
        <v>4405</v>
      </c>
      <c r="F1869" s="8" t="s">
        <v>2200</v>
      </c>
      <c r="G1869" s="8" t="s">
        <v>2201</v>
      </c>
      <c r="H1869" s="8" t="s">
        <v>2602</v>
      </c>
    </row>
    <row r="1870" customFormat="false" ht="15" hidden="false" customHeight="false" outlineLevel="0" collapsed="false">
      <c r="A1870" s="7" t="n">
        <v>45790</v>
      </c>
      <c r="B1870" s="7" t="n">
        <v>45828</v>
      </c>
      <c r="C1870" s="8" t="n">
        <v>6385</v>
      </c>
      <c r="D1870" s="8" t="n">
        <v>4870</v>
      </c>
      <c r="E1870" s="8" t="n">
        <v>24255</v>
      </c>
      <c r="F1870" s="8" t="s">
        <v>2200</v>
      </c>
      <c r="G1870" s="8" t="s">
        <v>2201</v>
      </c>
      <c r="H1870" s="8" t="s">
        <v>2602</v>
      </c>
    </row>
    <row r="1871" customFormat="false" ht="15" hidden="false" customHeight="false" outlineLevel="0" collapsed="false">
      <c r="A1871" s="7" t="n">
        <v>45790</v>
      </c>
      <c r="B1871" s="7" t="n">
        <v>45856</v>
      </c>
      <c r="C1871" s="8" t="n">
        <v>6440</v>
      </c>
      <c r="D1871" s="8" t="n">
        <v>90</v>
      </c>
      <c r="E1871" s="8" t="n">
        <v>95</v>
      </c>
      <c r="F1871" s="8" t="s">
        <v>2200</v>
      </c>
      <c r="G1871" s="8" t="s">
        <v>2201</v>
      </c>
      <c r="H1871" s="8" t="s">
        <v>2602</v>
      </c>
    </row>
    <row r="1872" customFormat="false" ht="15" hidden="false" customHeight="false" outlineLevel="0" collapsed="false">
      <c r="A1872" s="7" t="n">
        <v>45790</v>
      </c>
      <c r="B1872" s="7" t="n">
        <v>45889</v>
      </c>
      <c r="C1872" s="8" t="n">
        <v>6440</v>
      </c>
      <c r="D1872" s="8" t="n">
        <v>0</v>
      </c>
      <c r="E1872" s="8" t="n">
        <v>0</v>
      </c>
      <c r="F1872" s="8" t="s">
        <v>2200</v>
      </c>
      <c r="G1872" s="8" t="s">
        <v>2201</v>
      </c>
      <c r="H1872" s="8" t="s">
        <v>2602</v>
      </c>
    </row>
    <row r="1873" customFormat="false" ht="15" hidden="false" customHeight="false" outlineLevel="0" collapsed="false">
      <c r="A1873" s="7" t="n">
        <v>45790</v>
      </c>
      <c r="B1873" s="7" t="n">
        <v>45919</v>
      </c>
      <c r="C1873" s="8" t="n">
        <v>6440</v>
      </c>
      <c r="D1873" s="8" t="n">
        <v>0</v>
      </c>
      <c r="E1873" s="8" t="n">
        <v>0</v>
      </c>
      <c r="F1873" s="8" t="s">
        <v>2200</v>
      </c>
      <c r="G1873" s="8" t="s">
        <v>2201</v>
      </c>
      <c r="H1873" s="8" t="s">
        <v>2602</v>
      </c>
    </row>
    <row r="1874" customFormat="false" ht="15" hidden="false" customHeight="false" outlineLevel="0" collapsed="false">
      <c r="A1874" s="7" t="n">
        <v>45791</v>
      </c>
      <c r="B1874" s="7" t="n">
        <v>45797</v>
      </c>
      <c r="C1874" s="8" t="n">
        <v>6412</v>
      </c>
      <c r="D1874" s="8" t="n">
        <v>3255</v>
      </c>
      <c r="E1874" s="8" t="n">
        <v>1875</v>
      </c>
      <c r="F1874" s="8" t="s">
        <v>2200</v>
      </c>
      <c r="G1874" s="8" t="s">
        <v>2201</v>
      </c>
      <c r="H1874" s="8" t="s">
        <v>2603</v>
      </c>
    </row>
    <row r="1875" customFormat="false" ht="15" hidden="false" customHeight="false" outlineLevel="0" collapsed="false">
      <c r="A1875" s="7" t="n">
        <v>45791</v>
      </c>
      <c r="B1875" s="7" t="n">
        <v>45828</v>
      </c>
      <c r="C1875" s="8" t="n">
        <v>6478</v>
      </c>
      <c r="D1875" s="8" t="n">
        <v>11325</v>
      </c>
      <c r="E1875" s="8" t="n">
        <v>23825</v>
      </c>
      <c r="F1875" s="8" t="s">
        <v>2200</v>
      </c>
      <c r="G1875" s="8" t="s">
        <v>2201</v>
      </c>
      <c r="H1875" s="8" t="s">
        <v>2603</v>
      </c>
    </row>
    <row r="1876" customFormat="false" ht="15" hidden="false" customHeight="false" outlineLevel="0" collapsed="false">
      <c r="A1876" s="7" t="n">
        <v>45791</v>
      </c>
      <c r="B1876" s="7" t="n">
        <v>45856</v>
      </c>
      <c r="C1876" s="8" t="n">
        <v>6544</v>
      </c>
      <c r="D1876" s="8" t="n">
        <v>815</v>
      </c>
      <c r="E1876" s="8" t="n">
        <v>910</v>
      </c>
      <c r="F1876" s="8" t="s">
        <v>2200</v>
      </c>
      <c r="G1876" s="8" t="s">
        <v>2201</v>
      </c>
      <c r="H1876" s="8" t="s">
        <v>2603</v>
      </c>
    </row>
    <row r="1877" customFormat="false" ht="15" hidden="false" customHeight="false" outlineLevel="0" collapsed="false">
      <c r="A1877" s="7" t="n">
        <v>45791</v>
      </c>
      <c r="B1877" s="7" t="n">
        <v>45889</v>
      </c>
      <c r="C1877" s="8" t="n">
        <v>6610</v>
      </c>
      <c r="D1877" s="8" t="n">
        <v>0</v>
      </c>
      <c r="E1877" s="8" t="n">
        <v>0</v>
      </c>
      <c r="F1877" s="8" t="s">
        <v>2200</v>
      </c>
      <c r="G1877" s="8" t="s">
        <v>2201</v>
      </c>
      <c r="H1877" s="8" t="s">
        <v>2603</v>
      </c>
    </row>
    <row r="1878" customFormat="false" ht="15" hidden="false" customHeight="false" outlineLevel="0" collapsed="false">
      <c r="A1878" s="7" t="n">
        <v>45791</v>
      </c>
      <c r="B1878" s="7" t="n">
        <v>45919</v>
      </c>
      <c r="C1878" s="8" t="n">
        <v>6676</v>
      </c>
      <c r="D1878" s="8" t="n">
        <v>0</v>
      </c>
      <c r="E1878" s="8" t="n">
        <v>0</v>
      </c>
      <c r="F1878" s="8" t="s">
        <v>2200</v>
      </c>
      <c r="G1878" s="8" t="s">
        <v>2201</v>
      </c>
      <c r="H1878" s="8" t="s">
        <v>2603</v>
      </c>
    </row>
    <row r="1879" customFormat="false" ht="15" hidden="false" customHeight="false" outlineLevel="0" collapsed="false">
      <c r="A1879" s="7" t="n">
        <v>45792</v>
      </c>
      <c r="B1879" s="7" t="n">
        <v>45797</v>
      </c>
      <c r="C1879" s="8" t="n">
        <v>6367</v>
      </c>
      <c r="D1879" s="8" t="n">
        <v>725</v>
      </c>
      <c r="E1879" s="8" t="n">
        <v>1325</v>
      </c>
      <c r="F1879" s="8" t="s">
        <v>2200</v>
      </c>
      <c r="G1879" s="8" t="s">
        <v>2201</v>
      </c>
      <c r="H1879" s="8" t="s">
        <v>2604</v>
      </c>
    </row>
    <row r="1880" customFormat="false" ht="15" hidden="false" customHeight="false" outlineLevel="0" collapsed="false">
      <c r="A1880" s="7" t="n">
        <v>45792</v>
      </c>
      <c r="B1880" s="7" t="n">
        <v>45828</v>
      </c>
      <c r="C1880" s="8" t="n">
        <v>6438</v>
      </c>
      <c r="D1880" s="8" t="n">
        <v>6115</v>
      </c>
      <c r="E1880" s="8" t="n">
        <v>24870</v>
      </c>
      <c r="F1880" s="8" t="s">
        <v>2200</v>
      </c>
      <c r="G1880" s="8" t="s">
        <v>2201</v>
      </c>
      <c r="H1880" s="8" t="s">
        <v>2604</v>
      </c>
    </row>
    <row r="1881" customFormat="false" ht="15" hidden="false" customHeight="false" outlineLevel="0" collapsed="false">
      <c r="A1881" s="7" t="n">
        <v>45792</v>
      </c>
      <c r="B1881" s="7" t="n">
        <v>45856</v>
      </c>
      <c r="C1881" s="8" t="n">
        <v>6499</v>
      </c>
      <c r="D1881" s="8" t="n">
        <v>685</v>
      </c>
      <c r="E1881" s="8" t="n">
        <v>1405</v>
      </c>
      <c r="F1881" s="8" t="s">
        <v>2200</v>
      </c>
      <c r="G1881" s="8" t="s">
        <v>2201</v>
      </c>
      <c r="H1881" s="8" t="s">
        <v>2604</v>
      </c>
    </row>
    <row r="1882" customFormat="false" ht="15" hidden="false" customHeight="false" outlineLevel="0" collapsed="false">
      <c r="A1882" s="7" t="n">
        <v>45792</v>
      </c>
      <c r="B1882" s="7" t="n">
        <v>45889</v>
      </c>
      <c r="C1882" s="8" t="n">
        <v>6560</v>
      </c>
      <c r="D1882" s="8" t="n">
        <v>0</v>
      </c>
      <c r="E1882" s="8" t="n">
        <v>0</v>
      </c>
      <c r="F1882" s="8" t="s">
        <v>2200</v>
      </c>
      <c r="G1882" s="8" t="s">
        <v>2201</v>
      </c>
      <c r="H1882" s="8" t="s">
        <v>2604</v>
      </c>
    </row>
    <row r="1883" customFormat="false" ht="15" hidden="false" customHeight="false" outlineLevel="0" collapsed="false">
      <c r="A1883" s="7" t="n">
        <v>45792</v>
      </c>
      <c r="B1883" s="7" t="n">
        <v>45919</v>
      </c>
      <c r="C1883" s="8" t="n">
        <v>6621</v>
      </c>
      <c r="D1883" s="8" t="n">
        <v>0</v>
      </c>
      <c r="E1883" s="8" t="n">
        <v>0</v>
      </c>
      <c r="F1883" s="8" t="s">
        <v>2200</v>
      </c>
      <c r="G1883" s="8" t="s">
        <v>2201</v>
      </c>
      <c r="H1883" s="8" t="s">
        <v>2604</v>
      </c>
    </row>
    <row r="1884" customFormat="false" ht="15" hidden="false" customHeight="false" outlineLevel="0" collapsed="false">
      <c r="A1884" s="7" t="n">
        <v>45793</v>
      </c>
      <c r="B1884" s="7" t="n">
        <v>45797</v>
      </c>
      <c r="C1884" s="8" t="n">
        <v>6381</v>
      </c>
      <c r="D1884" s="8" t="n">
        <v>1300</v>
      </c>
      <c r="E1884" s="8" t="n">
        <v>160</v>
      </c>
      <c r="F1884" s="8" t="s">
        <v>2200</v>
      </c>
      <c r="G1884" s="8" t="s">
        <v>2201</v>
      </c>
      <c r="H1884" s="8" t="s">
        <v>2605</v>
      </c>
    </row>
    <row r="1885" customFormat="false" ht="15" hidden="false" customHeight="false" outlineLevel="0" collapsed="false">
      <c r="A1885" s="7" t="n">
        <v>45793</v>
      </c>
      <c r="B1885" s="7" t="n">
        <v>45828</v>
      </c>
      <c r="C1885" s="8" t="n">
        <v>6440</v>
      </c>
      <c r="D1885" s="8" t="n">
        <v>6090</v>
      </c>
      <c r="E1885" s="8" t="n">
        <v>25375</v>
      </c>
      <c r="F1885" s="8" t="s">
        <v>2200</v>
      </c>
      <c r="G1885" s="8" t="s">
        <v>2201</v>
      </c>
      <c r="H1885" s="8" t="s">
        <v>2605</v>
      </c>
    </row>
    <row r="1886" customFormat="false" ht="15" hidden="false" customHeight="false" outlineLevel="0" collapsed="false">
      <c r="A1886" s="7" t="n">
        <v>45793</v>
      </c>
      <c r="B1886" s="7" t="n">
        <v>45856</v>
      </c>
      <c r="C1886" s="8" t="n">
        <v>6507</v>
      </c>
      <c r="D1886" s="8" t="n">
        <v>350</v>
      </c>
      <c r="E1886" s="8" t="n">
        <v>1585</v>
      </c>
      <c r="F1886" s="8" t="s">
        <v>2200</v>
      </c>
      <c r="G1886" s="8" t="s">
        <v>2201</v>
      </c>
      <c r="H1886" s="8" t="s">
        <v>2605</v>
      </c>
    </row>
    <row r="1887" customFormat="false" ht="15" hidden="false" customHeight="false" outlineLevel="0" collapsed="false">
      <c r="A1887" s="7" t="n">
        <v>45793</v>
      </c>
      <c r="B1887" s="7" t="n">
        <v>45889</v>
      </c>
      <c r="C1887" s="8" t="n">
        <v>6574</v>
      </c>
      <c r="D1887" s="8" t="n">
        <v>0</v>
      </c>
      <c r="E1887" s="8" t="n">
        <v>0</v>
      </c>
      <c r="F1887" s="8" t="s">
        <v>2200</v>
      </c>
      <c r="G1887" s="8" t="s">
        <v>2201</v>
      </c>
      <c r="H1887" s="8" t="s">
        <v>2605</v>
      </c>
    </row>
    <row r="1888" customFormat="false" ht="15" hidden="false" customHeight="false" outlineLevel="0" collapsed="false">
      <c r="A1888" s="7" t="n">
        <v>45793</v>
      </c>
      <c r="B1888" s="7" t="n">
        <v>45919</v>
      </c>
      <c r="C1888" s="8" t="n">
        <v>6641</v>
      </c>
      <c r="D1888" s="8" t="n">
        <v>0</v>
      </c>
      <c r="E1888" s="8" t="n">
        <v>0</v>
      </c>
      <c r="F1888" s="8" t="s">
        <v>2200</v>
      </c>
      <c r="G1888" s="8" t="s">
        <v>2201</v>
      </c>
      <c r="H1888" s="8" t="s">
        <v>2605</v>
      </c>
    </row>
    <row r="1889" customFormat="false" ht="15" hidden="false" customHeight="false" outlineLevel="0" collapsed="false">
      <c r="A1889" s="7" t="n">
        <v>45796</v>
      </c>
      <c r="B1889" s="7" t="n">
        <v>45797</v>
      </c>
      <c r="C1889" s="8" t="n">
        <v>6365</v>
      </c>
      <c r="D1889" s="8" t="n">
        <v>20</v>
      </c>
      <c r="E1889" s="8" t="n">
        <v>30</v>
      </c>
      <c r="F1889" s="8" t="s">
        <v>2200</v>
      </c>
      <c r="G1889" s="8" t="s">
        <v>2201</v>
      </c>
      <c r="H1889" s="8" t="s">
        <v>2606</v>
      </c>
    </row>
    <row r="1890" customFormat="false" ht="15" hidden="false" customHeight="false" outlineLevel="0" collapsed="false">
      <c r="A1890" s="7" t="n">
        <v>45796</v>
      </c>
      <c r="B1890" s="7" t="n">
        <v>45828</v>
      </c>
      <c r="C1890" s="8" t="n">
        <v>6446</v>
      </c>
      <c r="D1890" s="8" t="n">
        <v>5000</v>
      </c>
      <c r="E1890" s="8" t="n">
        <v>26295</v>
      </c>
      <c r="F1890" s="8" t="s">
        <v>2200</v>
      </c>
      <c r="G1890" s="8" t="s">
        <v>2201</v>
      </c>
      <c r="H1890" s="8" t="s">
        <v>2606</v>
      </c>
    </row>
    <row r="1891" customFormat="false" ht="15" hidden="false" customHeight="false" outlineLevel="0" collapsed="false">
      <c r="A1891" s="7" t="n">
        <v>45796</v>
      </c>
      <c r="B1891" s="7" t="n">
        <v>45856</v>
      </c>
      <c r="C1891" s="8" t="n">
        <v>6504</v>
      </c>
      <c r="D1891" s="8" t="n">
        <v>300</v>
      </c>
      <c r="E1891" s="8" t="n">
        <v>1785</v>
      </c>
      <c r="F1891" s="8" t="s">
        <v>2200</v>
      </c>
      <c r="G1891" s="8" t="s">
        <v>2201</v>
      </c>
      <c r="H1891" s="8" t="s">
        <v>2606</v>
      </c>
    </row>
    <row r="1892" customFormat="false" ht="15" hidden="false" customHeight="false" outlineLevel="0" collapsed="false">
      <c r="A1892" s="7" t="n">
        <v>45796</v>
      </c>
      <c r="B1892" s="7" t="n">
        <v>45889</v>
      </c>
      <c r="C1892" s="8" t="n">
        <v>6562</v>
      </c>
      <c r="D1892" s="8" t="n">
        <v>0</v>
      </c>
      <c r="E1892" s="8" t="n">
        <v>0</v>
      </c>
      <c r="F1892" s="8" t="s">
        <v>2200</v>
      </c>
      <c r="G1892" s="8" t="s">
        <v>2201</v>
      </c>
      <c r="H1892" s="8" t="s">
        <v>2606</v>
      </c>
    </row>
    <row r="1893" customFormat="false" ht="15" hidden="false" customHeight="false" outlineLevel="0" collapsed="false">
      <c r="A1893" s="7" t="n">
        <v>45796</v>
      </c>
      <c r="B1893" s="7" t="n">
        <v>45919</v>
      </c>
      <c r="C1893" s="8" t="n">
        <v>6620</v>
      </c>
      <c r="D1893" s="8" t="n">
        <v>0</v>
      </c>
      <c r="E1893" s="8" t="n">
        <v>0</v>
      </c>
      <c r="F1893" s="8" t="s">
        <v>2200</v>
      </c>
      <c r="G1893" s="8" t="s">
        <v>2201</v>
      </c>
      <c r="H1893" s="8" t="s">
        <v>2606</v>
      </c>
    </row>
    <row r="1894" customFormat="false" ht="15" hidden="false" customHeight="false" outlineLevel="0" collapsed="false">
      <c r="A1894" s="7" t="n">
        <v>45797</v>
      </c>
      <c r="B1894" s="7" t="n">
        <v>45797</v>
      </c>
      <c r="C1894" s="8" t="n">
        <v>6365</v>
      </c>
      <c r="D1894" s="8" t="n">
        <v>20</v>
      </c>
      <c r="E1894" s="8" t="n">
        <v>0</v>
      </c>
      <c r="F1894" s="8" t="s">
        <v>2200</v>
      </c>
      <c r="G1894" s="8" t="s">
        <v>2201</v>
      </c>
      <c r="H1894" s="8" t="s">
        <v>2607</v>
      </c>
    </row>
    <row r="1895" customFormat="false" ht="15" hidden="false" customHeight="false" outlineLevel="0" collapsed="false">
      <c r="A1895" s="7" t="n">
        <v>45797</v>
      </c>
      <c r="B1895" s="7" t="n">
        <v>45828</v>
      </c>
      <c r="C1895" s="8" t="n">
        <v>6401</v>
      </c>
      <c r="D1895" s="8" t="n">
        <v>4235</v>
      </c>
      <c r="E1895" s="8" t="n">
        <v>25985</v>
      </c>
      <c r="F1895" s="8" t="s">
        <v>2200</v>
      </c>
      <c r="G1895" s="8" t="s">
        <v>2201</v>
      </c>
      <c r="H1895" s="8" t="s">
        <v>2607</v>
      </c>
    </row>
    <row r="1896" customFormat="false" ht="15" hidden="false" customHeight="false" outlineLevel="0" collapsed="false">
      <c r="A1896" s="7" t="n">
        <v>45797</v>
      </c>
      <c r="B1896" s="7" t="n">
        <v>45856</v>
      </c>
      <c r="C1896" s="8" t="n">
        <v>6463</v>
      </c>
      <c r="D1896" s="8" t="n">
        <v>1080</v>
      </c>
      <c r="E1896" s="8" t="n">
        <v>2515</v>
      </c>
      <c r="F1896" s="8" t="s">
        <v>2200</v>
      </c>
      <c r="G1896" s="8" t="s">
        <v>2201</v>
      </c>
      <c r="H1896" s="8" t="s">
        <v>2607</v>
      </c>
    </row>
    <row r="1897" customFormat="false" ht="15" hidden="false" customHeight="false" outlineLevel="0" collapsed="false">
      <c r="A1897" s="7" t="n">
        <v>45797</v>
      </c>
      <c r="B1897" s="7" t="n">
        <v>45889</v>
      </c>
      <c r="C1897" s="8" t="n">
        <v>6525</v>
      </c>
      <c r="D1897" s="8" t="n">
        <v>0</v>
      </c>
      <c r="E1897" s="8" t="n">
        <v>0</v>
      </c>
      <c r="F1897" s="8" t="s">
        <v>2200</v>
      </c>
      <c r="G1897" s="8" t="s">
        <v>2201</v>
      </c>
      <c r="H1897" s="8" t="s">
        <v>2607</v>
      </c>
    </row>
    <row r="1898" customFormat="false" ht="15" hidden="false" customHeight="false" outlineLevel="0" collapsed="false">
      <c r="A1898" s="7" t="n">
        <v>45797</v>
      </c>
      <c r="B1898" s="7" t="n">
        <v>45919</v>
      </c>
      <c r="C1898" s="8" t="n">
        <v>6587</v>
      </c>
      <c r="D1898" s="8" t="n">
        <v>0</v>
      </c>
      <c r="E1898" s="8" t="n">
        <v>0</v>
      </c>
      <c r="F1898" s="8" t="s">
        <v>2200</v>
      </c>
      <c r="G1898" s="8" t="s">
        <v>2201</v>
      </c>
      <c r="H1898" s="8" t="s">
        <v>2607</v>
      </c>
    </row>
    <row r="1899" customFormat="false" ht="15" hidden="false" customHeight="false" outlineLevel="0" collapsed="false">
      <c r="A1899" s="7" t="n">
        <v>45798</v>
      </c>
      <c r="B1899" s="7" t="n">
        <v>45828</v>
      </c>
      <c r="C1899" s="8" t="n">
        <v>6388</v>
      </c>
      <c r="D1899" s="8" t="n">
        <v>9725</v>
      </c>
      <c r="E1899" s="8" t="n">
        <v>24375</v>
      </c>
      <c r="F1899" s="8" t="s">
        <v>2200</v>
      </c>
      <c r="G1899" s="8" t="s">
        <v>2201</v>
      </c>
      <c r="H1899" s="8" t="s">
        <v>2608</v>
      </c>
    </row>
    <row r="1900" customFormat="false" ht="15" hidden="false" customHeight="false" outlineLevel="0" collapsed="false">
      <c r="A1900" s="7" t="n">
        <v>45798</v>
      </c>
      <c r="B1900" s="7" t="n">
        <v>45856</v>
      </c>
      <c r="C1900" s="8" t="n">
        <v>6441</v>
      </c>
      <c r="D1900" s="8" t="n">
        <v>4750</v>
      </c>
      <c r="E1900" s="8" t="n">
        <v>6615</v>
      </c>
      <c r="F1900" s="8" t="s">
        <v>2200</v>
      </c>
      <c r="G1900" s="8" t="s">
        <v>2201</v>
      </c>
      <c r="H1900" s="8" t="s">
        <v>2608</v>
      </c>
    </row>
    <row r="1901" customFormat="false" ht="15" hidden="false" customHeight="false" outlineLevel="0" collapsed="false">
      <c r="A1901" s="7" t="n">
        <v>45798</v>
      </c>
      <c r="B1901" s="7" t="n">
        <v>45889</v>
      </c>
      <c r="C1901" s="8" t="n">
        <v>6494</v>
      </c>
      <c r="D1901" s="8" t="n">
        <v>0</v>
      </c>
      <c r="E1901" s="8" t="n">
        <v>0</v>
      </c>
      <c r="F1901" s="8" t="s">
        <v>2200</v>
      </c>
      <c r="G1901" s="8" t="s">
        <v>2201</v>
      </c>
      <c r="H1901" s="8" t="s">
        <v>2608</v>
      </c>
    </row>
    <row r="1902" customFormat="false" ht="15" hidden="false" customHeight="false" outlineLevel="0" collapsed="false">
      <c r="A1902" s="7" t="n">
        <v>45798</v>
      </c>
      <c r="B1902" s="7" t="n">
        <v>45919</v>
      </c>
      <c r="C1902" s="8" t="n">
        <v>6547</v>
      </c>
      <c r="D1902" s="8" t="n">
        <v>0</v>
      </c>
      <c r="E1902" s="8" t="n">
        <v>0</v>
      </c>
      <c r="F1902" s="8" t="s">
        <v>2200</v>
      </c>
      <c r="G1902" s="8" t="s">
        <v>2201</v>
      </c>
      <c r="H1902" s="8" t="s">
        <v>2608</v>
      </c>
    </row>
    <row r="1903" customFormat="false" ht="15" hidden="false" customHeight="false" outlineLevel="0" collapsed="false">
      <c r="A1903" s="7" t="n">
        <v>45799</v>
      </c>
      <c r="B1903" s="7" t="n">
        <v>45828</v>
      </c>
      <c r="C1903" s="8" t="n">
        <v>6436</v>
      </c>
      <c r="D1903" s="8" t="n">
        <v>4510</v>
      </c>
      <c r="E1903" s="8" t="n">
        <v>24460</v>
      </c>
      <c r="F1903" s="8" t="s">
        <v>2200</v>
      </c>
      <c r="G1903" s="8" t="s">
        <v>2201</v>
      </c>
      <c r="H1903" s="8" t="s">
        <v>2609</v>
      </c>
    </row>
    <row r="1904" customFormat="false" ht="15" hidden="false" customHeight="false" outlineLevel="0" collapsed="false">
      <c r="A1904" s="7" t="n">
        <v>45799</v>
      </c>
      <c r="B1904" s="7" t="n">
        <v>45856</v>
      </c>
      <c r="C1904" s="8" t="n">
        <v>6482</v>
      </c>
      <c r="D1904" s="8" t="n">
        <v>1375</v>
      </c>
      <c r="E1904" s="8" t="n">
        <v>7695</v>
      </c>
      <c r="F1904" s="8" t="s">
        <v>2200</v>
      </c>
      <c r="G1904" s="8" t="s">
        <v>2201</v>
      </c>
      <c r="H1904" s="8" t="s">
        <v>2609</v>
      </c>
    </row>
    <row r="1905" customFormat="false" ht="15" hidden="false" customHeight="false" outlineLevel="0" collapsed="false">
      <c r="A1905" s="7" t="n">
        <v>45799</v>
      </c>
      <c r="B1905" s="7" t="n">
        <v>45889</v>
      </c>
      <c r="C1905" s="8" t="n">
        <v>6528</v>
      </c>
      <c r="D1905" s="8" t="n">
        <v>0</v>
      </c>
      <c r="E1905" s="8" t="n">
        <v>0</v>
      </c>
      <c r="F1905" s="8" t="s">
        <v>2200</v>
      </c>
      <c r="G1905" s="8" t="s">
        <v>2201</v>
      </c>
      <c r="H1905" s="8" t="s">
        <v>2609</v>
      </c>
    </row>
    <row r="1906" customFormat="false" ht="15" hidden="false" customHeight="false" outlineLevel="0" collapsed="false">
      <c r="A1906" s="7" t="n">
        <v>45799</v>
      </c>
      <c r="B1906" s="7" t="n">
        <v>45919</v>
      </c>
      <c r="C1906" s="8" t="n">
        <v>6574</v>
      </c>
      <c r="D1906" s="8" t="n">
        <v>0</v>
      </c>
      <c r="E1906" s="8" t="n">
        <v>0</v>
      </c>
      <c r="F1906" s="8" t="s">
        <v>2200</v>
      </c>
      <c r="G1906" s="8" t="s">
        <v>2201</v>
      </c>
      <c r="H1906" s="8" t="s">
        <v>2609</v>
      </c>
    </row>
    <row r="1907" customFormat="false" ht="15" hidden="false" customHeight="false" outlineLevel="0" collapsed="false">
      <c r="A1907" s="7" t="n">
        <v>45800</v>
      </c>
      <c r="B1907" s="7" t="n">
        <v>45828</v>
      </c>
      <c r="C1907" s="8" t="n">
        <v>6382</v>
      </c>
      <c r="D1907" s="8" t="n">
        <v>5545</v>
      </c>
      <c r="E1907" s="8" t="n">
        <v>24330</v>
      </c>
      <c r="F1907" s="8" t="s">
        <v>2200</v>
      </c>
      <c r="G1907" s="8" t="s">
        <v>2201</v>
      </c>
      <c r="H1907" s="8" t="s">
        <v>2610</v>
      </c>
    </row>
    <row r="1908" customFormat="false" ht="15" hidden="false" customHeight="false" outlineLevel="0" collapsed="false">
      <c r="A1908" s="7" t="n">
        <v>45800</v>
      </c>
      <c r="B1908" s="7" t="n">
        <v>45856</v>
      </c>
      <c r="C1908" s="8" t="n">
        <v>6453</v>
      </c>
      <c r="D1908" s="8" t="n">
        <v>2985</v>
      </c>
      <c r="E1908" s="8" t="n">
        <v>9415</v>
      </c>
      <c r="F1908" s="8" t="s">
        <v>2200</v>
      </c>
      <c r="G1908" s="8" t="s">
        <v>2201</v>
      </c>
      <c r="H1908" s="8" t="s">
        <v>2610</v>
      </c>
    </row>
    <row r="1909" customFormat="false" ht="15" hidden="false" customHeight="false" outlineLevel="0" collapsed="false">
      <c r="A1909" s="7" t="n">
        <v>45800</v>
      </c>
      <c r="B1909" s="7" t="n">
        <v>45889</v>
      </c>
      <c r="C1909" s="8" t="n">
        <v>6475</v>
      </c>
      <c r="D1909" s="8" t="n">
        <v>20</v>
      </c>
      <c r="E1909" s="8" t="n">
        <v>10</v>
      </c>
      <c r="F1909" s="8" t="s">
        <v>2200</v>
      </c>
      <c r="G1909" s="8" t="s">
        <v>2201</v>
      </c>
      <c r="H1909" s="8" t="s">
        <v>2610</v>
      </c>
    </row>
    <row r="1910" customFormat="false" ht="15" hidden="false" customHeight="false" outlineLevel="0" collapsed="false">
      <c r="A1910" s="7" t="n">
        <v>45800</v>
      </c>
      <c r="B1910" s="7" t="n">
        <v>45919</v>
      </c>
      <c r="C1910" s="8" t="n">
        <v>6497</v>
      </c>
      <c r="D1910" s="8" t="n">
        <v>0</v>
      </c>
      <c r="E1910" s="8" t="n">
        <v>0</v>
      </c>
      <c r="F1910" s="8" t="s">
        <v>2200</v>
      </c>
      <c r="G1910" s="8" t="s">
        <v>2201</v>
      </c>
      <c r="H1910" s="8" t="s">
        <v>2610</v>
      </c>
    </row>
    <row r="1911" customFormat="false" ht="15" hidden="false" customHeight="false" outlineLevel="0" collapsed="false">
      <c r="A1911" s="7" t="n">
        <v>45803</v>
      </c>
      <c r="B1911" s="7" t="n">
        <v>45828</v>
      </c>
      <c r="C1911" s="8" t="n">
        <v>6402</v>
      </c>
      <c r="D1911" s="8" t="n">
        <v>3890</v>
      </c>
      <c r="E1911" s="8" t="n">
        <v>22940</v>
      </c>
      <c r="F1911" s="8" t="s">
        <v>2200</v>
      </c>
      <c r="G1911" s="8" t="s">
        <v>2201</v>
      </c>
      <c r="H1911" s="8" t="s">
        <v>2611</v>
      </c>
    </row>
    <row r="1912" customFormat="false" ht="15" hidden="false" customHeight="false" outlineLevel="0" collapsed="false">
      <c r="A1912" s="7" t="n">
        <v>45803</v>
      </c>
      <c r="B1912" s="7" t="n">
        <v>45856</v>
      </c>
      <c r="C1912" s="8" t="n">
        <v>6475</v>
      </c>
      <c r="D1912" s="8" t="n">
        <v>2165</v>
      </c>
      <c r="E1912" s="8" t="n">
        <v>11080</v>
      </c>
      <c r="F1912" s="8" t="s">
        <v>2200</v>
      </c>
      <c r="G1912" s="8" t="s">
        <v>2201</v>
      </c>
      <c r="H1912" s="8" t="s">
        <v>2611</v>
      </c>
    </row>
    <row r="1913" customFormat="false" ht="15" hidden="false" customHeight="false" outlineLevel="0" collapsed="false">
      <c r="A1913" s="7" t="n">
        <v>45803</v>
      </c>
      <c r="B1913" s="7" t="n">
        <v>45889</v>
      </c>
      <c r="C1913" s="8" t="n">
        <v>6563</v>
      </c>
      <c r="D1913" s="8" t="n">
        <v>5</v>
      </c>
      <c r="E1913" s="8" t="n">
        <v>15</v>
      </c>
      <c r="F1913" s="8" t="s">
        <v>2200</v>
      </c>
      <c r="G1913" s="8" t="s">
        <v>2201</v>
      </c>
      <c r="H1913" s="8" t="s">
        <v>2611</v>
      </c>
    </row>
    <row r="1914" customFormat="false" ht="15" hidden="false" customHeight="false" outlineLevel="0" collapsed="false">
      <c r="A1914" s="7" t="n">
        <v>45803</v>
      </c>
      <c r="B1914" s="7" t="n">
        <v>45919</v>
      </c>
      <c r="C1914" s="8" t="n">
        <v>6651</v>
      </c>
      <c r="D1914" s="8" t="n">
        <v>0</v>
      </c>
      <c r="E1914" s="8" t="n">
        <v>0</v>
      </c>
      <c r="F1914" s="8" t="s">
        <v>2200</v>
      </c>
      <c r="G1914" s="8" t="s">
        <v>2201</v>
      </c>
      <c r="H1914" s="8" t="s">
        <v>2611</v>
      </c>
    </row>
    <row r="1915" customFormat="false" ht="15" hidden="false" customHeight="false" outlineLevel="0" collapsed="false">
      <c r="A1915" s="7" t="n">
        <v>45804</v>
      </c>
      <c r="B1915" s="7" t="n">
        <v>45828</v>
      </c>
      <c r="C1915" s="8" t="n">
        <v>6382</v>
      </c>
      <c r="D1915" s="8" t="n">
        <v>5915</v>
      </c>
      <c r="E1915" s="8" t="n">
        <v>21320</v>
      </c>
      <c r="F1915" s="8" t="s">
        <v>2200</v>
      </c>
      <c r="G1915" s="8" t="s">
        <v>2201</v>
      </c>
      <c r="H1915" s="8" t="s">
        <v>2612</v>
      </c>
    </row>
    <row r="1916" customFormat="false" ht="15" hidden="false" customHeight="false" outlineLevel="0" collapsed="false">
      <c r="A1916" s="7" t="n">
        <v>45804</v>
      </c>
      <c r="B1916" s="7" t="n">
        <v>45856</v>
      </c>
      <c r="C1916" s="8" t="n">
        <v>6456</v>
      </c>
      <c r="D1916" s="8" t="n">
        <v>4250</v>
      </c>
      <c r="E1916" s="8" t="n">
        <v>13890</v>
      </c>
      <c r="F1916" s="8" t="s">
        <v>2200</v>
      </c>
      <c r="G1916" s="8" t="s">
        <v>2201</v>
      </c>
      <c r="H1916" s="8" t="s">
        <v>2612</v>
      </c>
    </row>
    <row r="1917" customFormat="false" ht="15" hidden="false" customHeight="false" outlineLevel="0" collapsed="false">
      <c r="A1917" s="7" t="n">
        <v>45804</v>
      </c>
      <c r="B1917" s="7" t="n">
        <v>45889</v>
      </c>
      <c r="C1917" s="8" t="n">
        <v>6503</v>
      </c>
      <c r="D1917" s="8" t="n">
        <v>25</v>
      </c>
      <c r="E1917" s="8" t="n">
        <v>35</v>
      </c>
      <c r="F1917" s="8" t="s">
        <v>2200</v>
      </c>
      <c r="G1917" s="8" t="s">
        <v>2201</v>
      </c>
      <c r="H1917" s="8" t="s">
        <v>2612</v>
      </c>
    </row>
    <row r="1918" customFormat="false" ht="15" hidden="false" customHeight="false" outlineLevel="0" collapsed="false">
      <c r="A1918" s="7" t="n">
        <v>45804</v>
      </c>
      <c r="B1918" s="7" t="n">
        <v>45919</v>
      </c>
      <c r="C1918" s="8" t="n">
        <v>6550</v>
      </c>
      <c r="D1918" s="8" t="n">
        <v>0</v>
      </c>
      <c r="E1918" s="8" t="n">
        <v>0</v>
      </c>
      <c r="F1918" s="8" t="s">
        <v>2200</v>
      </c>
      <c r="G1918" s="8" t="s">
        <v>2201</v>
      </c>
      <c r="H1918" s="8" t="s">
        <v>2612</v>
      </c>
    </row>
    <row r="1919" customFormat="false" ht="15" hidden="false" customHeight="false" outlineLevel="0" collapsed="false">
      <c r="A1919" s="7" t="n">
        <v>45805</v>
      </c>
      <c r="B1919" s="7" t="n">
        <v>45828</v>
      </c>
      <c r="C1919" s="8" t="n">
        <v>6373</v>
      </c>
      <c r="D1919" s="8" t="n">
        <v>3035</v>
      </c>
      <c r="E1919" s="8" t="n">
        <v>20780</v>
      </c>
      <c r="F1919" s="8" t="s">
        <v>2200</v>
      </c>
      <c r="G1919" s="8" t="s">
        <v>2201</v>
      </c>
      <c r="H1919" s="8" t="s">
        <v>2613</v>
      </c>
    </row>
    <row r="1920" customFormat="false" ht="15" hidden="false" customHeight="false" outlineLevel="0" collapsed="false">
      <c r="A1920" s="7" t="n">
        <v>45805</v>
      </c>
      <c r="B1920" s="7" t="n">
        <v>45856</v>
      </c>
      <c r="C1920" s="8" t="n">
        <v>6451</v>
      </c>
      <c r="D1920" s="8" t="n">
        <v>1910</v>
      </c>
      <c r="E1920" s="8" t="n">
        <v>14975</v>
      </c>
      <c r="F1920" s="8" t="s">
        <v>2200</v>
      </c>
      <c r="G1920" s="8" t="s">
        <v>2201</v>
      </c>
      <c r="H1920" s="8" t="s">
        <v>2613</v>
      </c>
    </row>
    <row r="1921" customFormat="false" ht="15" hidden="false" customHeight="false" outlineLevel="0" collapsed="false">
      <c r="A1921" s="7" t="n">
        <v>45805</v>
      </c>
      <c r="B1921" s="7" t="n">
        <v>45889</v>
      </c>
      <c r="C1921" s="8" t="n">
        <v>6514</v>
      </c>
      <c r="D1921" s="8" t="n">
        <v>10</v>
      </c>
      <c r="E1921" s="8" t="n">
        <v>35</v>
      </c>
      <c r="F1921" s="8" t="s">
        <v>2200</v>
      </c>
      <c r="G1921" s="8" t="s">
        <v>2201</v>
      </c>
      <c r="H1921" s="8" t="s">
        <v>2613</v>
      </c>
    </row>
    <row r="1922" customFormat="false" ht="15" hidden="false" customHeight="false" outlineLevel="0" collapsed="false">
      <c r="A1922" s="7" t="n">
        <v>45805</v>
      </c>
      <c r="B1922" s="7" t="n">
        <v>45919</v>
      </c>
      <c r="C1922" s="8" t="n">
        <v>6577</v>
      </c>
      <c r="D1922" s="8" t="n">
        <v>0</v>
      </c>
      <c r="E1922" s="8" t="n">
        <v>0</v>
      </c>
      <c r="F1922" s="8" t="s">
        <v>2200</v>
      </c>
      <c r="G1922" s="8" t="s">
        <v>2201</v>
      </c>
      <c r="H1922" s="8" t="s">
        <v>2613</v>
      </c>
    </row>
    <row r="1923" customFormat="false" ht="15" hidden="false" customHeight="false" outlineLevel="0" collapsed="false">
      <c r="A1923" s="7" t="n">
        <v>45806</v>
      </c>
      <c r="B1923" s="7" t="n">
        <v>45828</v>
      </c>
      <c r="C1923" s="8" t="n">
        <v>6404</v>
      </c>
      <c r="D1923" s="8" t="n">
        <v>4480</v>
      </c>
      <c r="E1923" s="8" t="n">
        <v>19865</v>
      </c>
      <c r="F1923" s="8" t="s">
        <v>2200</v>
      </c>
      <c r="G1923" s="8" t="s">
        <v>2201</v>
      </c>
      <c r="H1923" s="8" t="s">
        <v>2614</v>
      </c>
    </row>
    <row r="1924" customFormat="false" ht="15" hidden="false" customHeight="false" outlineLevel="0" collapsed="false">
      <c r="A1924" s="7" t="n">
        <v>45806</v>
      </c>
      <c r="B1924" s="7" t="n">
        <v>45856</v>
      </c>
      <c r="C1924" s="8" t="n">
        <v>6479</v>
      </c>
      <c r="D1924" s="8" t="n">
        <v>2420</v>
      </c>
      <c r="E1924" s="8" t="n">
        <v>15975</v>
      </c>
      <c r="F1924" s="8" t="s">
        <v>2200</v>
      </c>
      <c r="G1924" s="8" t="s">
        <v>2201</v>
      </c>
      <c r="H1924" s="8" t="s">
        <v>2614</v>
      </c>
    </row>
    <row r="1925" customFormat="false" ht="15" hidden="false" customHeight="false" outlineLevel="0" collapsed="false">
      <c r="A1925" s="7" t="n">
        <v>45806</v>
      </c>
      <c r="B1925" s="7" t="n">
        <v>45889</v>
      </c>
      <c r="C1925" s="8" t="n">
        <v>6538</v>
      </c>
      <c r="D1925" s="8" t="n">
        <v>70</v>
      </c>
      <c r="E1925" s="8" t="n">
        <v>65</v>
      </c>
      <c r="F1925" s="8" t="s">
        <v>2200</v>
      </c>
      <c r="G1925" s="8" t="s">
        <v>2201</v>
      </c>
      <c r="H1925" s="8" t="s">
        <v>2614</v>
      </c>
    </row>
    <row r="1926" customFormat="false" ht="15" hidden="false" customHeight="false" outlineLevel="0" collapsed="false">
      <c r="A1926" s="7" t="n">
        <v>45806</v>
      </c>
      <c r="B1926" s="7" t="n">
        <v>45919</v>
      </c>
      <c r="C1926" s="8" t="n">
        <v>6597</v>
      </c>
      <c r="D1926" s="8" t="n">
        <v>0</v>
      </c>
      <c r="E1926" s="8" t="n">
        <v>0</v>
      </c>
      <c r="F1926" s="8" t="s">
        <v>2200</v>
      </c>
      <c r="G1926" s="8" t="s">
        <v>2201</v>
      </c>
      <c r="H1926" s="8" t="s">
        <v>2614</v>
      </c>
    </row>
    <row r="1927" customFormat="false" ht="15" hidden="false" customHeight="false" outlineLevel="0" collapsed="false">
      <c r="A1927" s="7" t="n">
        <v>45807</v>
      </c>
      <c r="B1927" s="7" t="n">
        <v>45828</v>
      </c>
      <c r="C1927" s="8" t="n">
        <v>6377</v>
      </c>
      <c r="D1927" s="8" t="n">
        <v>2415</v>
      </c>
      <c r="E1927" s="8" t="n">
        <v>19460</v>
      </c>
      <c r="F1927" s="8" t="s">
        <v>2200</v>
      </c>
      <c r="G1927" s="8" t="s">
        <v>2201</v>
      </c>
      <c r="H1927" s="8" t="s">
        <v>2615</v>
      </c>
    </row>
    <row r="1928" customFormat="false" ht="15" hidden="false" customHeight="false" outlineLevel="0" collapsed="false">
      <c r="A1928" s="7" t="n">
        <v>45807</v>
      </c>
      <c r="B1928" s="7" t="n">
        <v>45856</v>
      </c>
      <c r="C1928" s="8" t="n">
        <v>6450</v>
      </c>
      <c r="D1928" s="8" t="n">
        <v>1680</v>
      </c>
      <c r="E1928" s="8" t="n">
        <v>16765</v>
      </c>
      <c r="F1928" s="8" t="s">
        <v>2200</v>
      </c>
      <c r="G1928" s="8" t="s">
        <v>2201</v>
      </c>
      <c r="H1928" s="8" t="s">
        <v>2615</v>
      </c>
    </row>
    <row r="1929" customFormat="false" ht="15" hidden="false" customHeight="false" outlineLevel="0" collapsed="false">
      <c r="A1929" s="7" t="n">
        <v>45807</v>
      </c>
      <c r="B1929" s="7" t="n">
        <v>45889</v>
      </c>
      <c r="C1929" s="8" t="n">
        <v>6523</v>
      </c>
      <c r="D1929" s="8" t="n">
        <v>0</v>
      </c>
      <c r="E1929" s="8" t="n">
        <v>65</v>
      </c>
      <c r="F1929" s="8" t="s">
        <v>2200</v>
      </c>
      <c r="G1929" s="8" t="s">
        <v>2201</v>
      </c>
      <c r="H1929" s="8" t="s">
        <v>2615</v>
      </c>
    </row>
    <row r="1930" customFormat="false" ht="15" hidden="false" customHeight="false" outlineLevel="0" collapsed="false">
      <c r="A1930" s="7" t="n">
        <v>45807</v>
      </c>
      <c r="B1930" s="7" t="n">
        <v>45919</v>
      </c>
      <c r="C1930" s="8" t="n">
        <v>6596</v>
      </c>
      <c r="D1930" s="8" t="n">
        <v>0</v>
      </c>
      <c r="E1930" s="8" t="n">
        <v>0</v>
      </c>
      <c r="F1930" s="8" t="s">
        <v>2200</v>
      </c>
      <c r="G1930" s="8" t="s">
        <v>2201</v>
      </c>
      <c r="H1930" s="8" t="s">
        <v>2615</v>
      </c>
    </row>
    <row r="1931" customFormat="false" ht="15" hidden="false" customHeight="false" outlineLevel="0" collapsed="false">
      <c r="A1931" s="7" t="n">
        <v>45810</v>
      </c>
      <c r="B1931" s="7" t="n">
        <v>45828</v>
      </c>
      <c r="C1931" s="8" t="n">
        <v>6366</v>
      </c>
      <c r="D1931" s="8" t="n">
        <v>3800</v>
      </c>
      <c r="E1931" s="8" t="n">
        <v>18600</v>
      </c>
      <c r="F1931" s="8" t="s">
        <v>2200</v>
      </c>
      <c r="G1931" s="8" t="s">
        <v>2201</v>
      </c>
      <c r="H1931" s="8" t="s">
        <v>2616</v>
      </c>
    </row>
    <row r="1932" customFormat="false" ht="15" hidden="false" customHeight="false" outlineLevel="0" collapsed="false">
      <c r="A1932" s="7" t="n">
        <v>45810</v>
      </c>
      <c r="B1932" s="7" t="n">
        <v>45856</v>
      </c>
      <c r="C1932" s="8" t="n">
        <v>6446</v>
      </c>
      <c r="D1932" s="8" t="n">
        <v>3325</v>
      </c>
      <c r="E1932" s="8" t="n">
        <v>18515</v>
      </c>
      <c r="F1932" s="8" t="s">
        <v>2200</v>
      </c>
      <c r="G1932" s="8" t="s">
        <v>2201</v>
      </c>
      <c r="H1932" s="8" t="s">
        <v>2616</v>
      </c>
    </row>
    <row r="1933" customFormat="false" ht="15" hidden="false" customHeight="false" outlineLevel="0" collapsed="false">
      <c r="A1933" s="7" t="n">
        <v>45810</v>
      </c>
      <c r="B1933" s="7" t="n">
        <v>45889</v>
      </c>
      <c r="C1933" s="8" t="n">
        <v>6480</v>
      </c>
      <c r="D1933" s="8" t="n">
        <v>15</v>
      </c>
      <c r="E1933" s="8" t="n">
        <v>75</v>
      </c>
      <c r="F1933" s="8" t="s">
        <v>2200</v>
      </c>
      <c r="G1933" s="8" t="s">
        <v>2201</v>
      </c>
      <c r="H1933" s="8" t="s">
        <v>2616</v>
      </c>
    </row>
    <row r="1934" customFormat="false" ht="15" hidden="false" customHeight="false" outlineLevel="0" collapsed="false">
      <c r="A1934" s="7" t="n">
        <v>45810</v>
      </c>
      <c r="B1934" s="7" t="n">
        <v>45919</v>
      </c>
      <c r="C1934" s="8" t="n">
        <v>6514</v>
      </c>
      <c r="D1934" s="8" t="n">
        <v>0</v>
      </c>
      <c r="E1934" s="8" t="n">
        <v>0</v>
      </c>
      <c r="F1934" s="8" t="s">
        <v>2200</v>
      </c>
      <c r="G1934" s="8" t="s">
        <v>2201</v>
      </c>
      <c r="H1934" s="8" t="s">
        <v>2616</v>
      </c>
    </row>
    <row r="1935" customFormat="false" ht="15" hidden="false" customHeight="false" outlineLevel="0" collapsed="false">
      <c r="A1935" s="7" t="n">
        <v>45810</v>
      </c>
      <c r="B1935" s="7" t="n">
        <v>45950</v>
      </c>
      <c r="C1935" s="8" t="n">
        <v>6548</v>
      </c>
      <c r="D1935" s="8" t="n">
        <v>0</v>
      </c>
      <c r="E1935" s="8" t="n">
        <v>0</v>
      </c>
      <c r="F1935" s="8" t="s">
        <v>2200</v>
      </c>
      <c r="G1935" s="8" t="s">
        <v>2201</v>
      </c>
      <c r="H1935" s="8" t="s">
        <v>2616</v>
      </c>
    </row>
    <row r="1936" customFormat="false" ht="15" hidden="false" customHeight="false" outlineLevel="0" collapsed="false">
      <c r="A1936" s="7" t="n">
        <v>45811</v>
      </c>
      <c r="B1936" s="7" t="n">
        <v>45828</v>
      </c>
      <c r="C1936" s="8" t="n">
        <v>6350</v>
      </c>
      <c r="D1936" s="8" t="n">
        <v>2320</v>
      </c>
      <c r="E1936" s="8" t="n">
        <v>18280</v>
      </c>
      <c r="F1936" s="8" t="s">
        <v>2200</v>
      </c>
      <c r="G1936" s="8" t="s">
        <v>2201</v>
      </c>
      <c r="H1936" s="8" t="s">
        <v>2617</v>
      </c>
    </row>
    <row r="1937" customFormat="false" ht="15" hidden="false" customHeight="false" outlineLevel="0" collapsed="false">
      <c r="A1937" s="7" t="n">
        <v>45811</v>
      </c>
      <c r="B1937" s="7" t="n">
        <v>45856</v>
      </c>
      <c r="C1937" s="8" t="n">
        <v>6428</v>
      </c>
      <c r="D1937" s="8" t="n">
        <v>1685</v>
      </c>
      <c r="E1937" s="8" t="n">
        <v>19515</v>
      </c>
      <c r="F1937" s="8" t="s">
        <v>2200</v>
      </c>
      <c r="G1937" s="8" t="s">
        <v>2201</v>
      </c>
      <c r="H1937" s="8" t="s">
        <v>2617</v>
      </c>
    </row>
    <row r="1938" customFormat="false" ht="15" hidden="false" customHeight="false" outlineLevel="0" collapsed="false">
      <c r="A1938" s="7" t="n">
        <v>45811</v>
      </c>
      <c r="B1938" s="7" t="n">
        <v>45889</v>
      </c>
      <c r="C1938" s="8" t="n">
        <v>6501</v>
      </c>
      <c r="D1938" s="8" t="n">
        <v>30</v>
      </c>
      <c r="E1938" s="8" t="n">
        <v>100</v>
      </c>
      <c r="F1938" s="8" t="s">
        <v>2200</v>
      </c>
      <c r="G1938" s="8" t="s">
        <v>2201</v>
      </c>
      <c r="H1938" s="8" t="s">
        <v>2617</v>
      </c>
    </row>
    <row r="1939" customFormat="false" ht="15" hidden="false" customHeight="false" outlineLevel="0" collapsed="false">
      <c r="A1939" s="7" t="n">
        <v>45811</v>
      </c>
      <c r="B1939" s="7" t="n">
        <v>45919</v>
      </c>
      <c r="C1939" s="8" t="n">
        <v>6574</v>
      </c>
      <c r="D1939" s="8" t="n">
        <v>0</v>
      </c>
      <c r="E1939" s="8" t="n">
        <v>0</v>
      </c>
      <c r="F1939" s="8" t="s">
        <v>2200</v>
      </c>
      <c r="G1939" s="8" t="s">
        <v>2201</v>
      </c>
      <c r="H1939" s="8" t="s">
        <v>2617</v>
      </c>
    </row>
    <row r="1940" customFormat="false" ht="15" hidden="false" customHeight="false" outlineLevel="0" collapsed="false">
      <c r="A1940" s="7" t="n">
        <v>45811</v>
      </c>
      <c r="B1940" s="7" t="n">
        <v>45950</v>
      </c>
      <c r="C1940" s="8" t="n">
        <v>6647</v>
      </c>
      <c r="D1940" s="8" t="n">
        <v>0</v>
      </c>
      <c r="E1940" s="8" t="n">
        <v>0</v>
      </c>
      <c r="F1940" s="8" t="s">
        <v>2200</v>
      </c>
      <c r="G1940" s="8" t="s">
        <v>2201</v>
      </c>
      <c r="H1940" s="8" t="s">
        <v>2617</v>
      </c>
    </row>
    <row r="1941" customFormat="false" ht="15" hidden="false" customHeight="false" outlineLevel="0" collapsed="false">
      <c r="A1941" s="7" t="n">
        <v>45812</v>
      </c>
      <c r="B1941" s="7" t="n">
        <v>45828</v>
      </c>
      <c r="C1941" s="8" t="n">
        <v>6392</v>
      </c>
      <c r="D1941" s="8" t="n">
        <v>5000</v>
      </c>
      <c r="E1941" s="8" t="n">
        <v>17110</v>
      </c>
      <c r="F1941" s="8" t="s">
        <v>2200</v>
      </c>
      <c r="G1941" s="8" t="s">
        <v>2201</v>
      </c>
      <c r="H1941" s="8" t="s">
        <v>2618</v>
      </c>
    </row>
    <row r="1942" customFormat="false" ht="15" hidden="false" customHeight="false" outlineLevel="0" collapsed="false">
      <c r="A1942" s="7" t="n">
        <v>45812</v>
      </c>
      <c r="B1942" s="7" t="n">
        <v>45856</v>
      </c>
      <c r="C1942" s="8" t="n">
        <v>6470</v>
      </c>
      <c r="D1942" s="8" t="n">
        <v>6020</v>
      </c>
      <c r="E1942" s="8" t="n">
        <v>22075</v>
      </c>
      <c r="F1942" s="8" t="s">
        <v>2200</v>
      </c>
      <c r="G1942" s="8" t="s">
        <v>2201</v>
      </c>
      <c r="H1942" s="8" t="s">
        <v>2618</v>
      </c>
    </row>
    <row r="1943" customFormat="false" ht="15" hidden="false" customHeight="false" outlineLevel="0" collapsed="false">
      <c r="A1943" s="7" t="n">
        <v>45812</v>
      </c>
      <c r="B1943" s="7" t="n">
        <v>45889</v>
      </c>
      <c r="C1943" s="8" t="n">
        <v>6530</v>
      </c>
      <c r="D1943" s="8" t="n">
        <v>140</v>
      </c>
      <c r="E1943" s="8" t="n">
        <v>200</v>
      </c>
      <c r="F1943" s="8" t="s">
        <v>2200</v>
      </c>
      <c r="G1943" s="8" t="s">
        <v>2201</v>
      </c>
      <c r="H1943" s="8" t="s">
        <v>2618</v>
      </c>
    </row>
    <row r="1944" customFormat="false" ht="15" hidden="false" customHeight="false" outlineLevel="0" collapsed="false">
      <c r="A1944" s="7" t="n">
        <v>45812</v>
      </c>
      <c r="B1944" s="7" t="n">
        <v>45919</v>
      </c>
      <c r="C1944" s="8" t="n">
        <v>6590</v>
      </c>
      <c r="D1944" s="8" t="n">
        <v>0</v>
      </c>
      <c r="E1944" s="8" t="n">
        <v>0</v>
      </c>
      <c r="F1944" s="8" t="s">
        <v>2200</v>
      </c>
      <c r="G1944" s="8" t="s">
        <v>2201</v>
      </c>
      <c r="H1944" s="8" t="s">
        <v>2618</v>
      </c>
    </row>
    <row r="1945" customFormat="false" ht="15" hidden="false" customHeight="false" outlineLevel="0" collapsed="false">
      <c r="A1945" s="7" t="n">
        <v>45812</v>
      </c>
      <c r="B1945" s="7" t="n">
        <v>45950</v>
      </c>
      <c r="C1945" s="8" t="n">
        <v>6650</v>
      </c>
      <c r="D1945" s="8" t="n">
        <v>0</v>
      </c>
      <c r="E1945" s="8" t="n">
        <v>0</v>
      </c>
      <c r="F1945" s="8" t="s">
        <v>2200</v>
      </c>
      <c r="G1945" s="8" t="s">
        <v>2201</v>
      </c>
      <c r="H1945" s="8" t="s">
        <v>2618</v>
      </c>
    </row>
    <row r="1946" customFormat="false" ht="15" hidden="false" customHeight="false" outlineLevel="0" collapsed="false">
      <c r="A1946" s="7" t="n">
        <v>45813</v>
      </c>
      <c r="B1946" s="7" t="n">
        <v>45828</v>
      </c>
      <c r="C1946" s="8" t="n">
        <v>6383</v>
      </c>
      <c r="D1946" s="8" t="n">
        <v>3590</v>
      </c>
      <c r="E1946" s="8" t="n">
        <v>15365</v>
      </c>
      <c r="F1946" s="8" t="s">
        <v>2200</v>
      </c>
      <c r="G1946" s="8" t="s">
        <v>2201</v>
      </c>
      <c r="H1946" s="8" t="s">
        <v>2619</v>
      </c>
    </row>
    <row r="1947" customFormat="false" ht="15" hidden="false" customHeight="false" outlineLevel="0" collapsed="false">
      <c r="A1947" s="7" t="n">
        <v>45813</v>
      </c>
      <c r="B1947" s="7" t="n">
        <v>45856</v>
      </c>
      <c r="C1947" s="8" t="n">
        <v>6464</v>
      </c>
      <c r="D1947" s="8" t="n">
        <v>4260</v>
      </c>
      <c r="E1947" s="8" t="n">
        <v>23865</v>
      </c>
      <c r="F1947" s="8" t="s">
        <v>2200</v>
      </c>
      <c r="G1947" s="8" t="s">
        <v>2201</v>
      </c>
      <c r="H1947" s="8" t="s">
        <v>2619</v>
      </c>
    </row>
    <row r="1948" customFormat="false" ht="15" hidden="false" customHeight="false" outlineLevel="0" collapsed="false">
      <c r="A1948" s="7" t="n">
        <v>45813</v>
      </c>
      <c r="B1948" s="7" t="n">
        <v>45889</v>
      </c>
      <c r="C1948" s="8" t="n">
        <v>6545</v>
      </c>
      <c r="D1948" s="8" t="n">
        <v>40</v>
      </c>
      <c r="E1948" s="8" t="n">
        <v>230</v>
      </c>
      <c r="F1948" s="8" t="s">
        <v>2200</v>
      </c>
      <c r="G1948" s="8" t="s">
        <v>2201</v>
      </c>
      <c r="H1948" s="8" t="s">
        <v>2619</v>
      </c>
    </row>
    <row r="1949" customFormat="false" ht="15" hidden="false" customHeight="false" outlineLevel="0" collapsed="false">
      <c r="A1949" s="7" t="n">
        <v>45813</v>
      </c>
      <c r="B1949" s="7" t="n">
        <v>45919</v>
      </c>
      <c r="C1949" s="8" t="n">
        <v>6626</v>
      </c>
      <c r="D1949" s="8" t="n">
        <v>0</v>
      </c>
      <c r="E1949" s="8" t="n">
        <v>0</v>
      </c>
      <c r="F1949" s="8" t="s">
        <v>2200</v>
      </c>
      <c r="G1949" s="8" t="s">
        <v>2201</v>
      </c>
      <c r="H1949" s="8" t="s">
        <v>2619</v>
      </c>
    </row>
    <row r="1950" customFormat="false" ht="15" hidden="false" customHeight="false" outlineLevel="0" collapsed="false">
      <c r="A1950" s="7" t="n">
        <v>45813</v>
      </c>
      <c r="B1950" s="7" t="n">
        <v>45950</v>
      </c>
      <c r="C1950" s="8" t="n">
        <v>6707</v>
      </c>
      <c r="D1950" s="8" t="n">
        <v>0</v>
      </c>
      <c r="E1950" s="8" t="n">
        <v>0</v>
      </c>
      <c r="F1950" s="8" t="s">
        <v>2200</v>
      </c>
      <c r="G1950" s="8" t="s">
        <v>2201</v>
      </c>
      <c r="H1950" s="8" t="s">
        <v>2619</v>
      </c>
    </row>
    <row r="1951" customFormat="false" ht="15" hidden="false" customHeight="false" outlineLevel="0" collapsed="false">
      <c r="A1951" s="7" t="n">
        <v>45814</v>
      </c>
      <c r="B1951" s="7" t="n">
        <v>45828</v>
      </c>
      <c r="C1951" s="8" t="n">
        <v>6383</v>
      </c>
      <c r="D1951" s="8" t="n">
        <v>2545</v>
      </c>
      <c r="E1951" s="8" t="n">
        <v>14350</v>
      </c>
      <c r="F1951" s="8" t="s">
        <v>2200</v>
      </c>
      <c r="G1951" s="8" t="s">
        <v>2201</v>
      </c>
      <c r="H1951" s="8" t="s">
        <v>2620</v>
      </c>
    </row>
    <row r="1952" customFormat="false" ht="15" hidden="false" customHeight="false" outlineLevel="0" collapsed="false">
      <c r="A1952" s="7" t="n">
        <v>45814</v>
      </c>
      <c r="B1952" s="7" t="n">
        <v>45856</v>
      </c>
      <c r="C1952" s="8" t="n">
        <v>6464</v>
      </c>
      <c r="D1952" s="8" t="n">
        <v>3915</v>
      </c>
      <c r="E1952" s="8" t="n">
        <v>25140</v>
      </c>
      <c r="F1952" s="8" t="s">
        <v>2200</v>
      </c>
      <c r="G1952" s="8" t="s">
        <v>2201</v>
      </c>
      <c r="H1952" s="8" t="s">
        <v>2620</v>
      </c>
    </row>
    <row r="1953" customFormat="false" ht="15" hidden="false" customHeight="false" outlineLevel="0" collapsed="false">
      <c r="A1953" s="7" t="n">
        <v>45814</v>
      </c>
      <c r="B1953" s="7" t="n">
        <v>45889</v>
      </c>
      <c r="C1953" s="8" t="n">
        <v>6530</v>
      </c>
      <c r="D1953" s="8" t="n">
        <v>145</v>
      </c>
      <c r="E1953" s="8" t="n">
        <v>335</v>
      </c>
      <c r="F1953" s="8" t="s">
        <v>2200</v>
      </c>
      <c r="G1953" s="8" t="s">
        <v>2201</v>
      </c>
      <c r="H1953" s="8" t="s">
        <v>2620</v>
      </c>
    </row>
    <row r="1954" customFormat="false" ht="15" hidden="false" customHeight="false" outlineLevel="0" collapsed="false">
      <c r="A1954" s="7" t="n">
        <v>45814</v>
      </c>
      <c r="B1954" s="7" t="n">
        <v>45919</v>
      </c>
      <c r="C1954" s="8" t="n">
        <v>6596</v>
      </c>
      <c r="D1954" s="8" t="n">
        <v>0</v>
      </c>
      <c r="E1954" s="8" t="n">
        <v>0</v>
      </c>
      <c r="F1954" s="8" t="s">
        <v>2200</v>
      </c>
      <c r="G1954" s="8" t="s">
        <v>2201</v>
      </c>
      <c r="H1954" s="8" t="s">
        <v>2620</v>
      </c>
    </row>
    <row r="1955" customFormat="false" ht="15" hidden="false" customHeight="false" outlineLevel="0" collapsed="false">
      <c r="A1955" s="7" t="n">
        <v>45814</v>
      </c>
      <c r="B1955" s="7" t="n">
        <v>45950</v>
      </c>
      <c r="C1955" s="8" t="n">
        <v>6662</v>
      </c>
      <c r="D1955" s="8" t="n">
        <v>0</v>
      </c>
      <c r="E1955" s="8" t="n">
        <v>0</v>
      </c>
      <c r="F1955" s="8" t="s">
        <v>2200</v>
      </c>
      <c r="G1955" s="8" t="s">
        <v>2201</v>
      </c>
      <c r="H1955" s="8" t="s">
        <v>2620</v>
      </c>
    </row>
    <row r="1956" customFormat="false" ht="15" hidden="false" customHeight="false" outlineLevel="0" collapsed="false">
      <c r="A1956" s="7" t="n">
        <v>45817</v>
      </c>
      <c r="B1956" s="7" t="n">
        <v>45828</v>
      </c>
      <c r="C1956" s="8" t="n">
        <v>6446</v>
      </c>
      <c r="D1956" s="8" t="n">
        <v>6365</v>
      </c>
      <c r="E1956" s="8" t="n">
        <v>11665</v>
      </c>
      <c r="F1956" s="8" t="s">
        <v>2200</v>
      </c>
      <c r="G1956" s="8" t="s">
        <v>2201</v>
      </c>
      <c r="H1956" s="8" t="s">
        <v>2621</v>
      </c>
    </row>
    <row r="1957" customFormat="false" ht="15" hidden="false" customHeight="false" outlineLevel="0" collapsed="false">
      <c r="A1957" s="7" t="n">
        <v>45817</v>
      </c>
      <c r="B1957" s="7" t="n">
        <v>45856</v>
      </c>
      <c r="C1957" s="8" t="n">
        <v>6528</v>
      </c>
      <c r="D1957" s="8" t="n">
        <v>9750</v>
      </c>
      <c r="E1957" s="8" t="n">
        <v>28550</v>
      </c>
      <c r="F1957" s="8" t="s">
        <v>2200</v>
      </c>
      <c r="G1957" s="8" t="s">
        <v>2201</v>
      </c>
      <c r="H1957" s="8" t="s">
        <v>2621</v>
      </c>
    </row>
    <row r="1958" customFormat="false" ht="15" hidden="false" customHeight="false" outlineLevel="0" collapsed="false">
      <c r="A1958" s="7" t="n">
        <v>45817</v>
      </c>
      <c r="B1958" s="7" t="n">
        <v>45889</v>
      </c>
      <c r="C1958" s="8" t="n">
        <v>6589</v>
      </c>
      <c r="D1958" s="8" t="n">
        <v>700</v>
      </c>
      <c r="E1958" s="8" t="n">
        <v>990</v>
      </c>
      <c r="F1958" s="8" t="s">
        <v>2200</v>
      </c>
      <c r="G1958" s="8" t="s">
        <v>2201</v>
      </c>
      <c r="H1958" s="8" t="s">
        <v>2621</v>
      </c>
    </row>
    <row r="1959" customFormat="false" ht="15" hidden="false" customHeight="false" outlineLevel="0" collapsed="false">
      <c r="A1959" s="7" t="n">
        <v>45817</v>
      </c>
      <c r="B1959" s="7" t="n">
        <v>45919</v>
      </c>
      <c r="C1959" s="8" t="n">
        <v>6650</v>
      </c>
      <c r="D1959" s="8" t="n">
        <v>0</v>
      </c>
      <c r="E1959" s="8" t="n">
        <v>0</v>
      </c>
      <c r="F1959" s="8" t="s">
        <v>2200</v>
      </c>
      <c r="G1959" s="8" t="s">
        <v>2201</v>
      </c>
      <c r="H1959" s="8" t="s">
        <v>2621</v>
      </c>
    </row>
    <row r="1960" customFormat="false" ht="15" hidden="false" customHeight="false" outlineLevel="0" collapsed="false">
      <c r="A1960" s="7" t="n">
        <v>45817</v>
      </c>
      <c r="B1960" s="7" t="n">
        <v>45950</v>
      </c>
      <c r="C1960" s="8" t="n">
        <v>6711</v>
      </c>
      <c r="D1960" s="8" t="n">
        <v>0</v>
      </c>
      <c r="E1960" s="8" t="n">
        <v>0</v>
      </c>
      <c r="F1960" s="8" t="s">
        <v>2200</v>
      </c>
      <c r="G1960" s="8" t="s">
        <v>2201</v>
      </c>
      <c r="H1960" s="8" t="s">
        <v>2621</v>
      </c>
    </row>
    <row r="1961" customFormat="false" ht="15" hidden="false" customHeight="false" outlineLevel="0" collapsed="false">
      <c r="A1961" s="7" t="n">
        <v>45818</v>
      </c>
      <c r="B1961" s="7" t="n">
        <v>45828</v>
      </c>
      <c r="C1961" s="8" t="n">
        <v>6563</v>
      </c>
      <c r="D1961" s="8" t="n">
        <v>9485</v>
      </c>
      <c r="E1961" s="8" t="n">
        <v>7215</v>
      </c>
      <c r="F1961" s="8" t="s">
        <v>2200</v>
      </c>
      <c r="G1961" s="8" t="s">
        <v>2201</v>
      </c>
      <c r="H1961" s="8" t="s">
        <v>2622</v>
      </c>
    </row>
    <row r="1962" customFormat="false" ht="15" hidden="false" customHeight="false" outlineLevel="0" collapsed="false">
      <c r="A1962" s="7" t="n">
        <v>45818</v>
      </c>
      <c r="B1962" s="7" t="n">
        <v>45856</v>
      </c>
      <c r="C1962" s="8" t="n">
        <v>6637</v>
      </c>
      <c r="D1962" s="8" t="n">
        <v>17345</v>
      </c>
      <c r="E1962" s="8" t="n">
        <v>34735</v>
      </c>
      <c r="F1962" s="8" t="s">
        <v>2200</v>
      </c>
      <c r="G1962" s="8" t="s">
        <v>2201</v>
      </c>
      <c r="H1962" s="8" t="s">
        <v>2622</v>
      </c>
    </row>
    <row r="1963" customFormat="false" ht="15" hidden="false" customHeight="false" outlineLevel="0" collapsed="false">
      <c r="A1963" s="7" t="n">
        <v>45818</v>
      </c>
      <c r="B1963" s="7" t="n">
        <v>45889</v>
      </c>
      <c r="C1963" s="8" t="n">
        <v>6650</v>
      </c>
      <c r="D1963" s="8" t="n">
        <v>735</v>
      </c>
      <c r="E1963" s="8" t="n">
        <v>1640</v>
      </c>
      <c r="F1963" s="8" t="s">
        <v>2200</v>
      </c>
      <c r="G1963" s="8" t="s">
        <v>2201</v>
      </c>
      <c r="H1963" s="8" t="s">
        <v>2622</v>
      </c>
    </row>
    <row r="1964" customFormat="false" ht="15" hidden="false" customHeight="false" outlineLevel="0" collapsed="false">
      <c r="A1964" s="7" t="n">
        <v>45818</v>
      </c>
      <c r="B1964" s="7" t="n">
        <v>45919</v>
      </c>
      <c r="C1964" s="8" t="n">
        <v>6663</v>
      </c>
      <c r="D1964" s="8" t="n">
        <v>0</v>
      </c>
      <c r="E1964" s="8" t="n">
        <v>0</v>
      </c>
      <c r="F1964" s="8" t="s">
        <v>2200</v>
      </c>
      <c r="G1964" s="8" t="s">
        <v>2201</v>
      </c>
      <c r="H1964" s="8" t="s">
        <v>2622</v>
      </c>
    </row>
    <row r="1965" customFormat="false" ht="15" hidden="false" customHeight="false" outlineLevel="0" collapsed="false">
      <c r="A1965" s="7" t="n">
        <v>45818</v>
      </c>
      <c r="B1965" s="7" t="n">
        <v>45950</v>
      </c>
      <c r="C1965" s="8" t="n">
        <v>6676</v>
      </c>
      <c r="D1965" s="8" t="n">
        <v>0</v>
      </c>
      <c r="E1965" s="8" t="n">
        <v>0</v>
      </c>
      <c r="F1965" s="8" t="s">
        <v>2200</v>
      </c>
      <c r="G1965" s="8" t="s">
        <v>2201</v>
      </c>
      <c r="H1965" s="8" t="s">
        <v>2622</v>
      </c>
    </row>
    <row r="1966" customFormat="false" ht="15" hidden="false" customHeight="false" outlineLevel="0" collapsed="false">
      <c r="A1966" s="7" t="n">
        <v>45819</v>
      </c>
      <c r="B1966" s="7" t="n">
        <v>45828</v>
      </c>
      <c r="C1966" s="8" t="n">
        <v>6579</v>
      </c>
      <c r="D1966" s="8" t="n">
        <v>1345</v>
      </c>
      <c r="E1966" s="8" t="n">
        <v>6260</v>
      </c>
      <c r="F1966" s="8" t="s">
        <v>2200</v>
      </c>
      <c r="G1966" s="8" t="s">
        <v>2201</v>
      </c>
      <c r="H1966" s="8" t="s">
        <v>2623</v>
      </c>
    </row>
    <row r="1967" customFormat="false" ht="15" hidden="false" customHeight="false" outlineLevel="0" collapsed="false">
      <c r="A1967" s="7" t="n">
        <v>45819</v>
      </c>
      <c r="B1967" s="7" t="n">
        <v>45856</v>
      </c>
      <c r="C1967" s="8" t="n">
        <v>6649</v>
      </c>
      <c r="D1967" s="8" t="n">
        <v>4950</v>
      </c>
      <c r="E1967" s="8" t="n">
        <v>35405</v>
      </c>
      <c r="F1967" s="8" t="s">
        <v>2200</v>
      </c>
      <c r="G1967" s="8" t="s">
        <v>2201</v>
      </c>
      <c r="H1967" s="8" t="s">
        <v>2623</v>
      </c>
    </row>
    <row r="1968" customFormat="false" ht="15" hidden="false" customHeight="false" outlineLevel="0" collapsed="false">
      <c r="A1968" s="7" t="n">
        <v>45819</v>
      </c>
      <c r="B1968" s="7" t="n">
        <v>45889</v>
      </c>
      <c r="C1968" s="8" t="n">
        <v>6710</v>
      </c>
      <c r="D1968" s="8" t="n">
        <v>125</v>
      </c>
      <c r="E1968" s="8" t="n">
        <v>1765</v>
      </c>
      <c r="F1968" s="8" t="s">
        <v>2200</v>
      </c>
      <c r="G1968" s="8" t="s">
        <v>2201</v>
      </c>
      <c r="H1968" s="8" t="s">
        <v>2623</v>
      </c>
    </row>
    <row r="1969" customFormat="false" ht="15" hidden="false" customHeight="false" outlineLevel="0" collapsed="false">
      <c r="A1969" s="7" t="n">
        <v>45819</v>
      </c>
      <c r="B1969" s="7" t="n">
        <v>45919</v>
      </c>
      <c r="C1969" s="8" t="n">
        <v>6771</v>
      </c>
      <c r="D1969" s="8" t="n">
        <v>0</v>
      </c>
      <c r="E1969" s="8" t="n">
        <v>0</v>
      </c>
      <c r="F1969" s="8" t="s">
        <v>2200</v>
      </c>
      <c r="G1969" s="8" t="s">
        <v>2201</v>
      </c>
      <c r="H1969" s="8" t="s">
        <v>2623</v>
      </c>
    </row>
    <row r="1970" customFormat="false" ht="15" hidden="false" customHeight="false" outlineLevel="0" collapsed="false">
      <c r="A1970" s="7" t="n">
        <v>45819</v>
      </c>
      <c r="B1970" s="7" t="n">
        <v>45950</v>
      </c>
      <c r="C1970" s="8" t="n">
        <v>6832</v>
      </c>
      <c r="D1970" s="8" t="n">
        <v>0</v>
      </c>
      <c r="E1970" s="8" t="n">
        <v>0</v>
      </c>
      <c r="F1970" s="8" t="s">
        <v>2200</v>
      </c>
      <c r="G1970" s="8" t="s">
        <v>2201</v>
      </c>
      <c r="H1970" s="8" t="s">
        <v>2623</v>
      </c>
    </row>
    <row r="1971" customFormat="false" ht="15" hidden="false" customHeight="false" outlineLevel="0" collapsed="false">
      <c r="A1971" s="7" t="n">
        <v>45820</v>
      </c>
      <c r="B1971" s="7" t="n">
        <v>45828</v>
      </c>
      <c r="C1971" s="8" t="n">
        <v>6576</v>
      </c>
      <c r="D1971" s="8" t="n">
        <v>1350</v>
      </c>
      <c r="E1971" s="8" t="n">
        <v>5830</v>
      </c>
      <c r="F1971" s="8" t="s">
        <v>2200</v>
      </c>
      <c r="G1971" s="8" t="s">
        <v>2201</v>
      </c>
      <c r="H1971" s="8" t="s">
        <v>2624</v>
      </c>
    </row>
    <row r="1972" customFormat="false" ht="15" hidden="false" customHeight="false" outlineLevel="0" collapsed="false">
      <c r="A1972" s="7" t="n">
        <v>45820</v>
      </c>
      <c r="B1972" s="7" t="n">
        <v>45856</v>
      </c>
      <c r="C1972" s="8" t="n">
        <v>6646</v>
      </c>
      <c r="D1972" s="8" t="n">
        <v>3930</v>
      </c>
      <c r="E1972" s="8" t="n">
        <v>35425</v>
      </c>
      <c r="F1972" s="8" t="s">
        <v>2200</v>
      </c>
      <c r="G1972" s="8" t="s">
        <v>2201</v>
      </c>
      <c r="H1972" s="8" t="s">
        <v>2624</v>
      </c>
    </row>
    <row r="1973" customFormat="false" ht="15" hidden="false" customHeight="false" outlineLevel="0" collapsed="false">
      <c r="A1973" s="7" t="n">
        <v>45820</v>
      </c>
      <c r="B1973" s="7" t="n">
        <v>45889</v>
      </c>
      <c r="C1973" s="8" t="n">
        <v>6716</v>
      </c>
      <c r="D1973" s="8" t="n">
        <v>610</v>
      </c>
      <c r="E1973" s="8" t="n">
        <v>2375</v>
      </c>
      <c r="F1973" s="8" t="s">
        <v>2200</v>
      </c>
      <c r="G1973" s="8" t="s">
        <v>2201</v>
      </c>
      <c r="H1973" s="8" t="s">
        <v>2624</v>
      </c>
    </row>
    <row r="1974" customFormat="false" ht="15" hidden="false" customHeight="false" outlineLevel="0" collapsed="false">
      <c r="A1974" s="7" t="n">
        <v>45820</v>
      </c>
      <c r="B1974" s="7" t="n">
        <v>45919</v>
      </c>
      <c r="C1974" s="8" t="n">
        <v>6786</v>
      </c>
      <c r="D1974" s="8" t="n">
        <v>0</v>
      </c>
      <c r="E1974" s="8" t="n">
        <v>0</v>
      </c>
      <c r="F1974" s="8" t="s">
        <v>2200</v>
      </c>
      <c r="G1974" s="8" t="s">
        <v>2201</v>
      </c>
      <c r="H1974" s="8" t="s">
        <v>2624</v>
      </c>
    </row>
    <row r="1975" customFormat="false" ht="15" hidden="false" customHeight="false" outlineLevel="0" collapsed="false">
      <c r="A1975" s="7" t="n">
        <v>45820</v>
      </c>
      <c r="B1975" s="7" t="n">
        <v>45950</v>
      </c>
      <c r="C1975" s="8" t="n">
        <v>6856</v>
      </c>
      <c r="D1975" s="8" t="n">
        <v>0</v>
      </c>
      <c r="E1975" s="8" t="n">
        <v>0</v>
      </c>
      <c r="F1975" s="8" t="s">
        <v>2200</v>
      </c>
      <c r="G1975" s="8" t="s">
        <v>2201</v>
      </c>
      <c r="H1975" s="8" t="s">
        <v>2624</v>
      </c>
    </row>
    <row r="1976" customFormat="false" ht="15" hidden="false" customHeight="false" outlineLevel="0" collapsed="false">
      <c r="A1976" s="7" t="n">
        <v>45821</v>
      </c>
      <c r="B1976" s="7" t="n">
        <v>45828</v>
      </c>
      <c r="C1976" s="8" t="n">
        <v>6587</v>
      </c>
      <c r="D1976" s="8" t="n">
        <v>1800</v>
      </c>
      <c r="E1976" s="8" t="n">
        <v>5610</v>
      </c>
      <c r="F1976" s="8" t="s">
        <v>2200</v>
      </c>
      <c r="G1976" s="8" t="s">
        <v>2201</v>
      </c>
      <c r="H1976" s="8" t="s">
        <v>2625</v>
      </c>
    </row>
    <row r="1977" customFormat="false" ht="15" hidden="false" customHeight="false" outlineLevel="0" collapsed="false">
      <c r="A1977" s="7" t="n">
        <v>45821</v>
      </c>
      <c r="B1977" s="7" t="n">
        <v>45856</v>
      </c>
      <c r="C1977" s="8" t="n">
        <v>6629</v>
      </c>
      <c r="D1977" s="8" t="n">
        <v>5125</v>
      </c>
      <c r="E1977" s="8" t="n">
        <v>36485</v>
      </c>
      <c r="F1977" s="8" t="s">
        <v>2200</v>
      </c>
      <c r="G1977" s="8" t="s">
        <v>2201</v>
      </c>
      <c r="H1977" s="8" t="s">
        <v>2625</v>
      </c>
    </row>
    <row r="1978" customFormat="false" ht="15" hidden="false" customHeight="false" outlineLevel="0" collapsed="false">
      <c r="A1978" s="7" t="n">
        <v>45821</v>
      </c>
      <c r="B1978" s="7" t="n">
        <v>45889</v>
      </c>
      <c r="C1978" s="8" t="n">
        <v>6710</v>
      </c>
      <c r="D1978" s="8" t="n">
        <v>260</v>
      </c>
      <c r="E1978" s="8" t="n">
        <v>2555</v>
      </c>
      <c r="F1978" s="8" t="s">
        <v>2200</v>
      </c>
      <c r="G1978" s="8" t="s">
        <v>2201</v>
      </c>
      <c r="H1978" s="8" t="s">
        <v>2625</v>
      </c>
    </row>
    <row r="1979" customFormat="false" ht="15" hidden="false" customHeight="false" outlineLevel="0" collapsed="false">
      <c r="A1979" s="7" t="n">
        <v>45821</v>
      </c>
      <c r="B1979" s="7" t="n">
        <v>45919</v>
      </c>
      <c r="C1979" s="8" t="n">
        <v>6791</v>
      </c>
      <c r="D1979" s="8" t="n">
        <v>0</v>
      </c>
      <c r="E1979" s="8" t="n">
        <v>0</v>
      </c>
      <c r="F1979" s="8" t="s">
        <v>2200</v>
      </c>
      <c r="G1979" s="8" t="s">
        <v>2201</v>
      </c>
      <c r="H1979" s="8" t="s">
        <v>2625</v>
      </c>
    </row>
    <row r="1980" customFormat="false" ht="15" hidden="false" customHeight="false" outlineLevel="0" collapsed="false">
      <c r="A1980" s="7" t="n">
        <v>45821</v>
      </c>
      <c r="B1980" s="7" t="n">
        <v>45950</v>
      </c>
      <c r="C1980" s="8" t="n">
        <v>6872</v>
      </c>
      <c r="D1980" s="8" t="n">
        <v>0</v>
      </c>
      <c r="E1980" s="8" t="n">
        <v>0</v>
      </c>
      <c r="F1980" s="8" t="s">
        <v>2200</v>
      </c>
      <c r="G1980" s="8" t="s">
        <v>2201</v>
      </c>
      <c r="H1980" s="8" t="s">
        <v>2625</v>
      </c>
    </row>
    <row r="1981" customFormat="false" ht="15" hidden="false" customHeight="false" outlineLevel="0" collapsed="false">
      <c r="A1981" s="7" t="n">
        <v>45824</v>
      </c>
      <c r="B1981" s="7" t="n">
        <v>45828</v>
      </c>
      <c r="C1981" s="8" t="n">
        <v>6635</v>
      </c>
      <c r="D1981" s="8" t="n">
        <v>2650</v>
      </c>
      <c r="E1981" s="8" t="n">
        <v>3775</v>
      </c>
      <c r="F1981" s="8" t="s">
        <v>2200</v>
      </c>
      <c r="G1981" s="8" t="s">
        <v>2201</v>
      </c>
      <c r="H1981" s="8" t="s">
        <v>2626</v>
      </c>
    </row>
    <row r="1982" customFormat="false" ht="15" hidden="false" customHeight="false" outlineLevel="0" collapsed="false">
      <c r="A1982" s="7" t="n">
        <v>45824</v>
      </c>
      <c r="B1982" s="7" t="n">
        <v>45856</v>
      </c>
      <c r="C1982" s="8" t="n">
        <v>6703</v>
      </c>
      <c r="D1982" s="8" t="n">
        <v>7560</v>
      </c>
      <c r="E1982" s="8" t="n">
        <v>37905</v>
      </c>
      <c r="F1982" s="8" t="s">
        <v>2200</v>
      </c>
      <c r="G1982" s="8" t="s">
        <v>2201</v>
      </c>
      <c r="H1982" s="8" t="s">
        <v>2626</v>
      </c>
    </row>
    <row r="1983" customFormat="false" ht="15" hidden="false" customHeight="false" outlineLevel="0" collapsed="false">
      <c r="A1983" s="7" t="n">
        <v>45824</v>
      </c>
      <c r="B1983" s="7" t="n">
        <v>45889</v>
      </c>
      <c r="C1983" s="8" t="n">
        <v>6765</v>
      </c>
      <c r="D1983" s="8" t="n">
        <v>1055</v>
      </c>
      <c r="E1983" s="8" t="n">
        <v>3350</v>
      </c>
      <c r="F1983" s="8" t="s">
        <v>2200</v>
      </c>
      <c r="G1983" s="8" t="s">
        <v>2201</v>
      </c>
      <c r="H1983" s="8" t="s">
        <v>2626</v>
      </c>
    </row>
    <row r="1984" customFormat="false" ht="15" hidden="false" customHeight="false" outlineLevel="0" collapsed="false">
      <c r="A1984" s="7" t="n">
        <v>45824</v>
      </c>
      <c r="B1984" s="7" t="n">
        <v>45919</v>
      </c>
      <c r="C1984" s="8" t="n">
        <v>6827</v>
      </c>
      <c r="D1984" s="8" t="n">
        <v>0</v>
      </c>
      <c r="E1984" s="8" t="n">
        <v>0</v>
      </c>
      <c r="F1984" s="8" t="s">
        <v>2200</v>
      </c>
      <c r="G1984" s="8" t="s">
        <v>2201</v>
      </c>
      <c r="H1984" s="8" t="s">
        <v>2626</v>
      </c>
    </row>
    <row r="1985" customFormat="false" ht="15" hidden="false" customHeight="false" outlineLevel="0" collapsed="false">
      <c r="A1985" s="7" t="n">
        <v>45824</v>
      </c>
      <c r="B1985" s="7" t="n">
        <v>45950</v>
      </c>
      <c r="C1985" s="8" t="n">
        <v>6889</v>
      </c>
      <c r="D1985" s="8" t="n">
        <v>0</v>
      </c>
      <c r="E1985" s="8" t="n">
        <v>0</v>
      </c>
      <c r="F1985" s="8" t="s">
        <v>2200</v>
      </c>
      <c r="G1985" s="8" t="s">
        <v>2201</v>
      </c>
      <c r="H1985" s="8" t="s">
        <v>2626</v>
      </c>
    </row>
    <row r="1986" customFormat="false" ht="15" hidden="false" customHeight="false" outlineLevel="0" collapsed="false">
      <c r="A1986" s="7" t="n">
        <v>45825</v>
      </c>
      <c r="B1986" s="7" t="n">
        <v>45828</v>
      </c>
      <c r="C1986" s="8" t="n">
        <v>6609</v>
      </c>
      <c r="D1986" s="8" t="n">
        <v>930</v>
      </c>
      <c r="E1986" s="8" t="n">
        <v>3150</v>
      </c>
      <c r="F1986" s="8" t="s">
        <v>2200</v>
      </c>
      <c r="G1986" s="8" t="s">
        <v>2201</v>
      </c>
      <c r="H1986" s="8" t="s">
        <v>2627</v>
      </c>
    </row>
    <row r="1987" customFormat="false" ht="15" hidden="false" customHeight="false" outlineLevel="0" collapsed="false">
      <c r="A1987" s="7" t="n">
        <v>45825</v>
      </c>
      <c r="B1987" s="7" t="n">
        <v>45856</v>
      </c>
      <c r="C1987" s="8" t="n">
        <v>6669</v>
      </c>
      <c r="D1987" s="8" t="n">
        <v>4670</v>
      </c>
      <c r="E1987" s="8" t="n">
        <v>38050</v>
      </c>
      <c r="F1987" s="8" t="s">
        <v>2200</v>
      </c>
      <c r="G1987" s="8" t="s">
        <v>2201</v>
      </c>
      <c r="H1987" s="8" t="s">
        <v>2627</v>
      </c>
    </row>
    <row r="1988" customFormat="false" ht="15" hidden="false" customHeight="false" outlineLevel="0" collapsed="false">
      <c r="A1988" s="7" t="n">
        <v>45825</v>
      </c>
      <c r="B1988" s="7" t="n">
        <v>45889</v>
      </c>
      <c r="C1988" s="8" t="n">
        <v>6744</v>
      </c>
      <c r="D1988" s="8" t="n">
        <v>960</v>
      </c>
      <c r="E1988" s="8" t="n">
        <v>4125</v>
      </c>
      <c r="F1988" s="8" t="s">
        <v>2200</v>
      </c>
      <c r="G1988" s="8" t="s">
        <v>2201</v>
      </c>
      <c r="H1988" s="8" t="s">
        <v>2627</v>
      </c>
    </row>
    <row r="1989" customFormat="false" ht="15" hidden="false" customHeight="false" outlineLevel="0" collapsed="false">
      <c r="A1989" s="7" t="n">
        <v>45825</v>
      </c>
      <c r="B1989" s="7" t="n">
        <v>45919</v>
      </c>
      <c r="C1989" s="8" t="n">
        <v>6819</v>
      </c>
      <c r="D1989" s="8" t="n">
        <v>0</v>
      </c>
      <c r="E1989" s="8" t="n">
        <v>0</v>
      </c>
      <c r="F1989" s="8" t="s">
        <v>2200</v>
      </c>
      <c r="G1989" s="8" t="s">
        <v>2201</v>
      </c>
      <c r="H1989" s="8" t="s">
        <v>2627</v>
      </c>
    </row>
    <row r="1990" customFormat="false" ht="15" hidden="false" customHeight="false" outlineLevel="0" collapsed="false">
      <c r="A1990" s="7" t="n">
        <v>45825</v>
      </c>
      <c r="B1990" s="7" t="n">
        <v>45950</v>
      </c>
      <c r="C1990" s="8" t="n">
        <v>6894</v>
      </c>
      <c r="D1990" s="8" t="n">
        <v>0</v>
      </c>
      <c r="E1990" s="8" t="n">
        <v>0</v>
      </c>
      <c r="F1990" s="8" t="s">
        <v>2200</v>
      </c>
      <c r="G1990" s="8" t="s">
        <v>2201</v>
      </c>
      <c r="H1990" s="8" t="s">
        <v>2627</v>
      </c>
    </row>
    <row r="1991" customFormat="false" ht="15" hidden="false" customHeight="false" outlineLevel="0" collapsed="false">
      <c r="A1991" s="7" t="n">
        <v>45826</v>
      </c>
      <c r="B1991" s="7" t="n">
        <v>45828</v>
      </c>
      <c r="C1991" s="8" t="n">
        <v>6614</v>
      </c>
      <c r="D1991" s="8" t="n">
        <v>625</v>
      </c>
      <c r="E1991" s="8" t="n">
        <v>2575</v>
      </c>
      <c r="F1991" s="8" t="s">
        <v>2200</v>
      </c>
      <c r="G1991" s="8" t="s">
        <v>2201</v>
      </c>
      <c r="H1991" s="8" t="s">
        <v>2628</v>
      </c>
    </row>
    <row r="1992" customFormat="false" ht="15" hidden="false" customHeight="false" outlineLevel="0" collapsed="false">
      <c r="A1992" s="7" t="n">
        <v>45826</v>
      </c>
      <c r="B1992" s="7" t="n">
        <v>45856</v>
      </c>
      <c r="C1992" s="8" t="n">
        <v>6677</v>
      </c>
      <c r="D1992" s="8" t="n">
        <v>3645</v>
      </c>
      <c r="E1992" s="8" t="n">
        <v>37915</v>
      </c>
      <c r="F1992" s="8" t="s">
        <v>2200</v>
      </c>
      <c r="G1992" s="8" t="s">
        <v>2201</v>
      </c>
      <c r="H1992" s="8" t="s">
        <v>2628</v>
      </c>
    </row>
    <row r="1993" customFormat="false" ht="15" hidden="false" customHeight="false" outlineLevel="0" collapsed="false">
      <c r="A1993" s="7" t="n">
        <v>45826</v>
      </c>
      <c r="B1993" s="7" t="n">
        <v>45889</v>
      </c>
      <c r="C1993" s="8" t="n">
        <v>6749</v>
      </c>
      <c r="D1993" s="8" t="n">
        <v>730</v>
      </c>
      <c r="E1993" s="8" t="n">
        <v>4800</v>
      </c>
      <c r="F1993" s="8" t="s">
        <v>2200</v>
      </c>
      <c r="G1993" s="8" t="s">
        <v>2201</v>
      </c>
      <c r="H1993" s="8" t="s">
        <v>2628</v>
      </c>
    </row>
    <row r="1994" customFormat="false" ht="15" hidden="false" customHeight="false" outlineLevel="0" collapsed="false">
      <c r="A1994" s="7" t="n">
        <v>45826</v>
      </c>
      <c r="B1994" s="7" t="n">
        <v>45919</v>
      </c>
      <c r="C1994" s="8" t="n">
        <v>6821</v>
      </c>
      <c r="D1994" s="8" t="n">
        <v>0</v>
      </c>
      <c r="E1994" s="8" t="n">
        <v>0</v>
      </c>
      <c r="F1994" s="8" t="s">
        <v>2200</v>
      </c>
      <c r="G1994" s="8" t="s">
        <v>2201</v>
      </c>
      <c r="H1994" s="8" t="s">
        <v>2628</v>
      </c>
    </row>
    <row r="1995" customFormat="false" ht="15" hidden="false" customHeight="false" outlineLevel="0" collapsed="false">
      <c r="A1995" s="7" t="n">
        <v>45826</v>
      </c>
      <c r="B1995" s="7" t="n">
        <v>45950</v>
      </c>
      <c r="C1995" s="8" t="n">
        <v>6893</v>
      </c>
      <c r="D1995" s="8" t="n">
        <v>0</v>
      </c>
      <c r="E1995" s="8" t="n">
        <v>0</v>
      </c>
      <c r="F1995" s="8" t="s">
        <v>2200</v>
      </c>
      <c r="G1995" s="8" t="s">
        <v>2201</v>
      </c>
      <c r="H1995" s="8" t="s">
        <v>2628</v>
      </c>
    </row>
    <row r="1996" customFormat="false" ht="15" hidden="false" customHeight="false" outlineLevel="0" collapsed="false">
      <c r="A1996" s="7" t="n">
        <v>45827</v>
      </c>
      <c r="B1996" s="7" t="n">
        <v>45828</v>
      </c>
      <c r="C1996" s="8" t="n">
        <v>6650</v>
      </c>
      <c r="D1996" s="8" t="n">
        <v>90</v>
      </c>
      <c r="E1996" s="8" t="n">
        <v>5</v>
      </c>
      <c r="F1996" s="8" t="s">
        <v>2200</v>
      </c>
      <c r="G1996" s="8" t="s">
        <v>2201</v>
      </c>
      <c r="H1996" s="8" t="s">
        <v>2629</v>
      </c>
    </row>
    <row r="1997" customFormat="false" ht="15" hidden="false" customHeight="false" outlineLevel="0" collapsed="false">
      <c r="A1997" s="7" t="n">
        <v>45827</v>
      </c>
      <c r="B1997" s="7" t="n">
        <v>45856</v>
      </c>
      <c r="C1997" s="8" t="n">
        <v>6701</v>
      </c>
      <c r="D1997" s="8" t="n">
        <v>3800</v>
      </c>
      <c r="E1997" s="8" t="n">
        <v>37120</v>
      </c>
      <c r="F1997" s="8" t="s">
        <v>2200</v>
      </c>
      <c r="G1997" s="8" t="s">
        <v>2201</v>
      </c>
      <c r="H1997" s="8" t="s">
        <v>2629</v>
      </c>
    </row>
    <row r="1998" customFormat="false" ht="15" hidden="false" customHeight="false" outlineLevel="0" collapsed="false">
      <c r="A1998" s="7" t="n">
        <v>45827</v>
      </c>
      <c r="B1998" s="7" t="n">
        <v>45889</v>
      </c>
      <c r="C1998" s="8" t="n">
        <v>6771</v>
      </c>
      <c r="D1998" s="8" t="n">
        <v>1680</v>
      </c>
      <c r="E1998" s="8" t="n">
        <v>6085</v>
      </c>
      <c r="F1998" s="8" t="s">
        <v>2200</v>
      </c>
      <c r="G1998" s="8" t="s">
        <v>2201</v>
      </c>
      <c r="H1998" s="8" t="s">
        <v>2629</v>
      </c>
    </row>
    <row r="1999" customFormat="false" ht="15" hidden="false" customHeight="false" outlineLevel="0" collapsed="false">
      <c r="A1999" s="7" t="n">
        <v>45827</v>
      </c>
      <c r="B1999" s="7" t="n">
        <v>45919</v>
      </c>
      <c r="C1999" s="8" t="n">
        <v>6841</v>
      </c>
      <c r="D1999" s="8" t="n">
        <v>0</v>
      </c>
      <c r="E1999" s="8" t="n">
        <v>0</v>
      </c>
      <c r="F1999" s="8" t="s">
        <v>2200</v>
      </c>
      <c r="G1999" s="8" t="s">
        <v>2201</v>
      </c>
      <c r="H1999" s="8" t="s">
        <v>2629</v>
      </c>
    </row>
    <row r="2000" customFormat="false" ht="15" hidden="false" customHeight="false" outlineLevel="0" collapsed="false">
      <c r="A2000" s="7" t="n">
        <v>45827</v>
      </c>
      <c r="B2000" s="7" t="n">
        <v>45950</v>
      </c>
      <c r="C2000" s="8" t="n">
        <v>6911</v>
      </c>
      <c r="D2000" s="8" t="n">
        <v>0</v>
      </c>
      <c r="E2000" s="8" t="n">
        <v>0</v>
      </c>
      <c r="F2000" s="8" t="s">
        <v>2200</v>
      </c>
      <c r="G2000" s="8" t="s">
        <v>2201</v>
      </c>
      <c r="H2000" s="8" t="s">
        <v>2629</v>
      </c>
    </row>
    <row r="2001" customFormat="false" ht="15" hidden="false" customHeight="false" outlineLevel="0" collapsed="false">
      <c r="A2001" s="7" t="n">
        <v>45828</v>
      </c>
      <c r="B2001" s="7" t="n">
        <v>45828</v>
      </c>
      <c r="C2001" s="8" t="n">
        <v>6700</v>
      </c>
      <c r="D2001" s="8" t="n">
        <v>5</v>
      </c>
      <c r="E2001" s="8" t="n">
        <v>0</v>
      </c>
      <c r="F2001" s="8" t="s">
        <v>2200</v>
      </c>
      <c r="G2001" s="8" t="s">
        <v>2201</v>
      </c>
      <c r="H2001" s="8" t="s">
        <v>2630</v>
      </c>
    </row>
    <row r="2002" customFormat="false" ht="15" hidden="false" customHeight="false" outlineLevel="0" collapsed="false">
      <c r="A2002" s="7" t="n">
        <v>45828</v>
      </c>
      <c r="B2002" s="7" t="n">
        <v>45856</v>
      </c>
      <c r="C2002" s="8" t="n">
        <v>6692</v>
      </c>
      <c r="D2002" s="8" t="n">
        <v>5305</v>
      </c>
      <c r="E2002" s="8" t="n">
        <v>35855</v>
      </c>
      <c r="F2002" s="8" t="s">
        <v>2200</v>
      </c>
      <c r="G2002" s="8" t="s">
        <v>2201</v>
      </c>
      <c r="H2002" s="8" t="s">
        <v>2630</v>
      </c>
    </row>
    <row r="2003" customFormat="false" ht="15" hidden="false" customHeight="false" outlineLevel="0" collapsed="false">
      <c r="A2003" s="7" t="n">
        <v>45828</v>
      </c>
      <c r="B2003" s="7" t="n">
        <v>45889</v>
      </c>
      <c r="C2003" s="8" t="n">
        <v>6769</v>
      </c>
      <c r="D2003" s="8" t="n">
        <v>2260</v>
      </c>
      <c r="E2003" s="8" t="n">
        <v>8090</v>
      </c>
      <c r="F2003" s="8" t="s">
        <v>2200</v>
      </c>
      <c r="G2003" s="8" t="s">
        <v>2201</v>
      </c>
      <c r="H2003" s="8" t="s">
        <v>2630</v>
      </c>
    </row>
    <row r="2004" customFormat="false" ht="15" hidden="false" customHeight="false" outlineLevel="0" collapsed="false">
      <c r="A2004" s="7" t="n">
        <v>45828</v>
      </c>
      <c r="B2004" s="7" t="n">
        <v>45919</v>
      </c>
      <c r="C2004" s="8" t="n">
        <v>6846</v>
      </c>
      <c r="D2004" s="8" t="n">
        <v>0</v>
      </c>
      <c r="E2004" s="8" t="n">
        <v>0</v>
      </c>
      <c r="F2004" s="8" t="s">
        <v>2200</v>
      </c>
      <c r="G2004" s="8" t="s">
        <v>2201</v>
      </c>
      <c r="H2004" s="8" t="s">
        <v>2630</v>
      </c>
    </row>
    <row r="2005" customFormat="false" ht="15" hidden="false" customHeight="false" outlineLevel="0" collapsed="false">
      <c r="A2005" s="7" t="n">
        <v>45828</v>
      </c>
      <c r="B2005" s="7" t="n">
        <v>45950</v>
      </c>
      <c r="C2005" s="8" t="n">
        <v>6923</v>
      </c>
      <c r="D2005" s="8" t="n">
        <v>0</v>
      </c>
      <c r="E2005" s="8" t="n">
        <v>0</v>
      </c>
      <c r="F2005" s="8" t="s">
        <v>2200</v>
      </c>
      <c r="G2005" s="8" t="s">
        <v>2201</v>
      </c>
      <c r="H2005" s="8" t="s">
        <v>2630</v>
      </c>
    </row>
    <row r="2006" customFormat="false" ht="15" hidden="false" customHeight="false" outlineLevel="0" collapsed="false">
      <c r="A2006" s="7" t="n">
        <v>45831</v>
      </c>
      <c r="B2006" s="7" t="n">
        <v>45856</v>
      </c>
      <c r="C2006" s="8" t="n">
        <v>6724</v>
      </c>
      <c r="D2006" s="8" t="n">
        <v>6670</v>
      </c>
      <c r="E2006" s="8" t="n">
        <v>35085</v>
      </c>
      <c r="F2006" s="8" t="s">
        <v>2200</v>
      </c>
      <c r="G2006" s="8" t="s">
        <v>2201</v>
      </c>
      <c r="H2006" s="8" t="s">
        <v>2631</v>
      </c>
    </row>
    <row r="2007" customFormat="false" ht="15" hidden="false" customHeight="false" outlineLevel="0" collapsed="false">
      <c r="A2007" s="7" t="n">
        <v>45831</v>
      </c>
      <c r="B2007" s="7" t="n">
        <v>45889</v>
      </c>
      <c r="C2007" s="8" t="n">
        <v>6794</v>
      </c>
      <c r="D2007" s="8" t="n">
        <v>3665</v>
      </c>
      <c r="E2007" s="8" t="n">
        <v>10385</v>
      </c>
      <c r="F2007" s="8" t="s">
        <v>2200</v>
      </c>
      <c r="G2007" s="8" t="s">
        <v>2201</v>
      </c>
      <c r="H2007" s="8" t="s">
        <v>2631</v>
      </c>
    </row>
    <row r="2008" customFormat="false" ht="15" hidden="false" customHeight="false" outlineLevel="0" collapsed="false">
      <c r="A2008" s="7" t="n">
        <v>45831</v>
      </c>
      <c r="B2008" s="7" t="n">
        <v>45919</v>
      </c>
      <c r="C2008" s="8" t="n">
        <v>6864</v>
      </c>
      <c r="D2008" s="8" t="n">
        <v>0</v>
      </c>
      <c r="E2008" s="8" t="n">
        <v>0</v>
      </c>
      <c r="F2008" s="8" t="s">
        <v>2200</v>
      </c>
      <c r="G2008" s="8" t="s">
        <v>2201</v>
      </c>
      <c r="H2008" s="8" t="s">
        <v>2631</v>
      </c>
    </row>
    <row r="2009" customFormat="false" ht="15" hidden="false" customHeight="false" outlineLevel="0" collapsed="false">
      <c r="A2009" s="7" t="n">
        <v>45831</v>
      </c>
      <c r="B2009" s="7" t="n">
        <v>45950</v>
      </c>
      <c r="C2009" s="8" t="n">
        <v>6934</v>
      </c>
      <c r="D2009" s="8" t="n">
        <v>0</v>
      </c>
      <c r="E2009" s="8" t="n">
        <v>0</v>
      </c>
      <c r="F2009" s="8" t="s">
        <v>2200</v>
      </c>
      <c r="G2009" s="8" t="s">
        <v>2201</v>
      </c>
      <c r="H2009" s="8" t="s">
        <v>2631</v>
      </c>
    </row>
    <row r="2010" customFormat="false" ht="15" hidden="false" customHeight="false" outlineLevel="0" collapsed="false">
      <c r="A2010" s="7" t="n">
        <v>45832</v>
      </c>
      <c r="B2010" s="7" t="n">
        <v>45856</v>
      </c>
      <c r="C2010" s="8" t="n">
        <v>6718</v>
      </c>
      <c r="D2010" s="8" t="n">
        <v>4580</v>
      </c>
      <c r="E2010" s="8" t="n">
        <v>33180</v>
      </c>
      <c r="F2010" s="8" t="s">
        <v>2200</v>
      </c>
      <c r="G2010" s="8" t="s">
        <v>2201</v>
      </c>
      <c r="H2010" s="8" t="s">
        <v>2632</v>
      </c>
    </row>
    <row r="2011" customFormat="false" ht="15" hidden="false" customHeight="false" outlineLevel="0" collapsed="false">
      <c r="A2011" s="7" t="n">
        <v>45832</v>
      </c>
      <c r="B2011" s="7" t="n">
        <v>45889</v>
      </c>
      <c r="C2011" s="8" t="n">
        <v>6790</v>
      </c>
      <c r="D2011" s="8" t="n">
        <v>2245</v>
      </c>
      <c r="E2011" s="8" t="n">
        <v>12130</v>
      </c>
      <c r="F2011" s="8" t="s">
        <v>2200</v>
      </c>
      <c r="G2011" s="8" t="s">
        <v>2201</v>
      </c>
      <c r="H2011" s="8" t="s">
        <v>2632</v>
      </c>
    </row>
    <row r="2012" customFormat="false" ht="15" hidden="false" customHeight="false" outlineLevel="0" collapsed="false">
      <c r="A2012" s="7" t="n">
        <v>45832</v>
      </c>
      <c r="B2012" s="7" t="n">
        <v>45919</v>
      </c>
      <c r="C2012" s="8" t="n">
        <v>6862</v>
      </c>
      <c r="D2012" s="8" t="n">
        <v>0</v>
      </c>
      <c r="E2012" s="8" t="n">
        <v>0</v>
      </c>
      <c r="F2012" s="8" t="s">
        <v>2200</v>
      </c>
      <c r="G2012" s="8" t="s">
        <v>2201</v>
      </c>
      <c r="H2012" s="8" t="s">
        <v>2632</v>
      </c>
    </row>
    <row r="2013" customFormat="false" ht="15" hidden="false" customHeight="false" outlineLevel="0" collapsed="false">
      <c r="A2013" s="7" t="n">
        <v>45832</v>
      </c>
      <c r="B2013" s="7" t="n">
        <v>45950</v>
      </c>
      <c r="C2013" s="8" t="n">
        <v>6934</v>
      </c>
      <c r="D2013" s="8" t="n">
        <v>0</v>
      </c>
      <c r="E2013" s="8" t="n">
        <v>0</v>
      </c>
      <c r="F2013" s="8" t="s">
        <v>2200</v>
      </c>
      <c r="G2013" s="8" t="s">
        <v>2201</v>
      </c>
      <c r="H2013" s="8" t="s">
        <v>2632</v>
      </c>
    </row>
    <row r="2014" customFormat="false" ht="15" hidden="false" customHeight="false" outlineLevel="0" collapsed="false">
      <c r="A2014" s="7" t="n">
        <v>45833</v>
      </c>
      <c r="B2014" s="7" t="n">
        <v>45856</v>
      </c>
      <c r="C2014" s="8" t="n">
        <v>6710</v>
      </c>
      <c r="D2014" s="8" t="n">
        <v>4385</v>
      </c>
      <c r="E2014" s="8" t="n">
        <v>31645</v>
      </c>
      <c r="F2014" s="8" t="s">
        <v>2200</v>
      </c>
      <c r="G2014" s="8" t="s">
        <v>2201</v>
      </c>
      <c r="H2014" s="8" t="s">
        <v>2633</v>
      </c>
    </row>
    <row r="2015" customFormat="false" ht="15" hidden="false" customHeight="false" outlineLevel="0" collapsed="false">
      <c r="A2015" s="7" t="n">
        <v>45833</v>
      </c>
      <c r="B2015" s="7" t="n">
        <v>45889</v>
      </c>
      <c r="C2015" s="8" t="n">
        <v>6780</v>
      </c>
      <c r="D2015" s="8" t="n">
        <v>2430</v>
      </c>
      <c r="E2015" s="8" t="n">
        <v>13870</v>
      </c>
      <c r="F2015" s="8" t="s">
        <v>2200</v>
      </c>
      <c r="G2015" s="8" t="s">
        <v>2201</v>
      </c>
      <c r="H2015" s="8" t="s">
        <v>2633</v>
      </c>
    </row>
    <row r="2016" customFormat="false" ht="15" hidden="false" customHeight="false" outlineLevel="0" collapsed="false">
      <c r="A2016" s="7" t="n">
        <v>45833</v>
      </c>
      <c r="B2016" s="7" t="n">
        <v>45919</v>
      </c>
      <c r="C2016" s="8" t="n">
        <v>6850</v>
      </c>
      <c r="D2016" s="8" t="n">
        <v>0</v>
      </c>
      <c r="E2016" s="8" t="n">
        <v>0</v>
      </c>
      <c r="F2016" s="8" t="s">
        <v>2200</v>
      </c>
      <c r="G2016" s="8" t="s">
        <v>2201</v>
      </c>
      <c r="H2016" s="8" t="s">
        <v>2633</v>
      </c>
    </row>
    <row r="2017" customFormat="false" ht="15" hidden="false" customHeight="false" outlineLevel="0" collapsed="false">
      <c r="A2017" s="7" t="n">
        <v>45833</v>
      </c>
      <c r="B2017" s="7" t="n">
        <v>45950</v>
      </c>
      <c r="C2017" s="8" t="n">
        <v>6920</v>
      </c>
      <c r="D2017" s="8" t="n">
        <v>0</v>
      </c>
      <c r="E2017" s="8" t="n">
        <v>0</v>
      </c>
      <c r="F2017" s="8" t="s">
        <v>2200</v>
      </c>
      <c r="G2017" s="8" t="s">
        <v>2201</v>
      </c>
      <c r="H2017" s="8" t="s">
        <v>2633</v>
      </c>
    </row>
    <row r="2018" customFormat="false" ht="15" hidden="false" customHeight="false" outlineLevel="0" collapsed="false">
      <c r="A2018" s="7" t="n">
        <v>45834</v>
      </c>
      <c r="B2018" s="7" t="n">
        <v>45856</v>
      </c>
      <c r="C2018" s="8" t="n">
        <v>6747</v>
      </c>
      <c r="D2018" s="8" t="n">
        <v>5440</v>
      </c>
      <c r="E2018" s="8" t="n">
        <v>30035</v>
      </c>
      <c r="F2018" s="8" t="s">
        <v>2200</v>
      </c>
      <c r="G2018" s="8" t="s">
        <v>2201</v>
      </c>
      <c r="H2018" s="8" t="s">
        <v>2634</v>
      </c>
    </row>
    <row r="2019" customFormat="false" ht="15" hidden="false" customHeight="false" outlineLevel="0" collapsed="false">
      <c r="A2019" s="7" t="n">
        <v>45834</v>
      </c>
      <c r="B2019" s="7" t="n">
        <v>45889</v>
      </c>
      <c r="C2019" s="8" t="n">
        <v>6822</v>
      </c>
      <c r="D2019" s="8" t="n">
        <v>2740</v>
      </c>
      <c r="E2019" s="8" t="n">
        <v>15715</v>
      </c>
      <c r="F2019" s="8" t="s">
        <v>2200</v>
      </c>
      <c r="G2019" s="8" t="s">
        <v>2201</v>
      </c>
      <c r="H2019" s="8" t="s">
        <v>2634</v>
      </c>
    </row>
    <row r="2020" customFormat="false" ht="15" hidden="false" customHeight="false" outlineLevel="0" collapsed="false">
      <c r="A2020" s="7" t="n">
        <v>45834</v>
      </c>
      <c r="B2020" s="7" t="n">
        <v>45919</v>
      </c>
      <c r="C2020" s="8" t="n">
        <v>6897</v>
      </c>
      <c r="D2020" s="8" t="n">
        <v>0</v>
      </c>
      <c r="E2020" s="8" t="n">
        <v>0</v>
      </c>
      <c r="F2020" s="8" t="s">
        <v>2200</v>
      </c>
      <c r="G2020" s="8" t="s">
        <v>2201</v>
      </c>
      <c r="H2020" s="8" t="s">
        <v>2634</v>
      </c>
    </row>
    <row r="2021" customFormat="false" ht="15" hidden="false" customHeight="false" outlineLevel="0" collapsed="false">
      <c r="A2021" s="7" t="n">
        <v>45834</v>
      </c>
      <c r="B2021" s="7" t="n">
        <v>45950</v>
      </c>
      <c r="C2021" s="8" t="n">
        <v>6972</v>
      </c>
      <c r="D2021" s="8" t="n">
        <v>0</v>
      </c>
      <c r="E2021" s="8" t="n">
        <v>0</v>
      </c>
      <c r="F2021" s="8" t="s">
        <v>2200</v>
      </c>
      <c r="G2021" s="8" t="s">
        <v>2201</v>
      </c>
      <c r="H2021" s="8" t="s">
        <v>2634</v>
      </c>
    </row>
    <row r="2022" customFormat="false" ht="15" hidden="false" customHeight="false" outlineLevel="0" collapsed="false">
      <c r="A2022" s="7" t="n">
        <v>45835</v>
      </c>
      <c r="B2022" s="7" t="n">
        <v>45856</v>
      </c>
      <c r="C2022" s="8" t="n">
        <v>6806</v>
      </c>
      <c r="D2022" s="8" t="n">
        <v>5225</v>
      </c>
      <c r="E2022" s="8" t="n">
        <v>28340</v>
      </c>
      <c r="F2022" s="8" t="s">
        <v>2200</v>
      </c>
      <c r="G2022" s="8" t="s">
        <v>2201</v>
      </c>
      <c r="H2022" s="8" t="s">
        <v>2635</v>
      </c>
    </row>
    <row r="2023" customFormat="false" ht="15" hidden="false" customHeight="false" outlineLevel="0" collapsed="false">
      <c r="A2023" s="7" t="n">
        <v>45835</v>
      </c>
      <c r="B2023" s="7" t="n">
        <v>45889</v>
      </c>
      <c r="C2023" s="8" t="n">
        <v>6882</v>
      </c>
      <c r="D2023" s="8" t="n">
        <v>2365</v>
      </c>
      <c r="E2023" s="8" t="n">
        <v>17175</v>
      </c>
      <c r="F2023" s="8" t="s">
        <v>2200</v>
      </c>
      <c r="G2023" s="8" t="s">
        <v>2201</v>
      </c>
      <c r="H2023" s="8" t="s">
        <v>2635</v>
      </c>
    </row>
    <row r="2024" customFormat="false" ht="15" hidden="false" customHeight="false" outlineLevel="0" collapsed="false">
      <c r="A2024" s="7" t="n">
        <v>45835</v>
      </c>
      <c r="B2024" s="7" t="n">
        <v>45919</v>
      </c>
      <c r="C2024" s="8" t="n">
        <v>6958</v>
      </c>
      <c r="D2024" s="8" t="n">
        <v>0</v>
      </c>
      <c r="E2024" s="8" t="n">
        <v>0</v>
      </c>
      <c r="F2024" s="8" t="s">
        <v>2200</v>
      </c>
      <c r="G2024" s="8" t="s">
        <v>2201</v>
      </c>
      <c r="H2024" s="8" t="s">
        <v>2635</v>
      </c>
    </row>
    <row r="2025" customFormat="false" ht="15" hidden="false" customHeight="false" outlineLevel="0" collapsed="false">
      <c r="A2025" s="7" t="n">
        <v>45835</v>
      </c>
      <c r="B2025" s="7" t="n">
        <v>45950</v>
      </c>
      <c r="C2025" s="8" t="n">
        <v>7034</v>
      </c>
      <c r="D2025" s="8" t="n">
        <v>0</v>
      </c>
      <c r="E2025" s="8" t="n">
        <v>0</v>
      </c>
      <c r="F2025" s="8" t="s">
        <v>2200</v>
      </c>
      <c r="G2025" s="8" t="s">
        <v>2201</v>
      </c>
      <c r="H2025" s="8" t="s">
        <v>2635</v>
      </c>
    </row>
    <row r="2026" customFormat="false" ht="15" hidden="false" customHeight="false" outlineLevel="0" collapsed="false">
      <c r="A2026" s="7" t="n">
        <v>45838</v>
      </c>
      <c r="B2026" s="7" t="n">
        <v>45856</v>
      </c>
      <c r="C2026" s="8" t="n">
        <v>6847</v>
      </c>
      <c r="D2026" s="8" t="n">
        <v>7515</v>
      </c>
      <c r="E2026" s="8" t="n">
        <v>24710</v>
      </c>
      <c r="F2026" s="8" t="s">
        <v>2200</v>
      </c>
      <c r="G2026" s="8" t="s">
        <v>2201</v>
      </c>
      <c r="H2026" s="8" t="s">
        <v>2636</v>
      </c>
    </row>
    <row r="2027" customFormat="false" ht="15" hidden="false" customHeight="false" outlineLevel="0" collapsed="false">
      <c r="A2027" s="7" t="n">
        <v>45838</v>
      </c>
      <c r="B2027" s="7" t="n">
        <v>45889</v>
      </c>
      <c r="C2027" s="8" t="n">
        <v>6924</v>
      </c>
      <c r="D2027" s="8" t="n">
        <v>4545</v>
      </c>
      <c r="E2027" s="8" t="n">
        <v>18960</v>
      </c>
      <c r="F2027" s="8" t="s">
        <v>2200</v>
      </c>
      <c r="G2027" s="8" t="s">
        <v>2201</v>
      </c>
      <c r="H2027" s="8" t="s">
        <v>2636</v>
      </c>
    </row>
    <row r="2028" customFormat="false" ht="15" hidden="false" customHeight="false" outlineLevel="0" collapsed="false">
      <c r="A2028" s="7" t="n">
        <v>45838</v>
      </c>
      <c r="B2028" s="7" t="n">
        <v>45919</v>
      </c>
      <c r="C2028" s="8" t="n">
        <v>6975</v>
      </c>
      <c r="D2028" s="8" t="n">
        <v>10</v>
      </c>
      <c r="E2028" s="8" t="n">
        <v>10</v>
      </c>
      <c r="F2028" s="8" t="s">
        <v>2200</v>
      </c>
      <c r="G2028" s="8" t="s">
        <v>2201</v>
      </c>
      <c r="H2028" s="8" t="s">
        <v>2636</v>
      </c>
    </row>
    <row r="2029" customFormat="false" ht="15" hidden="false" customHeight="false" outlineLevel="0" collapsed="false">
      <c r="A2029" s="7" t="n">
        <v>45838</v>
      </c>
      <c r="B2029" s="7" t="n">
        <v>45950</v>
      </c>
      <c r="C2029" s="8" t="n">
        <v>7026</v>
      </c>
      <c r="D2029" s="8" t="n">
        <v>0</v>
      </c>
      <c r="E2029" s="8" t="n">
        <v>0</v>
      </c>
      <c r="F2029" s="8" t="s">
        <v>2200</v>
      </c>
      <c r="G2029" s="8" t="s">
        <v>2201</v>
      </c>
      <c r="H2029" s="8" t="s">
        <v>2636</v>
      </c>
    </row>
    <row r="2030" customFormat="false" ht="15" hidden="false" customHeight="false" outlineLevel="0" collapsed="false">
      <c r="A2030" s="7" t="n">
        <v>45839</v>
      </c>
      <c r="B2030" s="7" t="n">
        <v>45856</v>
      </c>
      <c r="C2030" s="8" t="n">
        <v>6859</v>
      </c>
      <c r="D2030" s="8" t="n">
        <v>7925</v>
      </c>
      <c r="E2030" s="8" t="n">
        <v>21870</v>
      </c>
      <c r="F2030" s="8" t="s">
        <v>2200</v>
      </c>
      <c r="G2030" s="8" t="s">
        <v>2201</v>
      </c>
      <c r="H2030" s="8" t="s">
        <v>2637</v>
      </c>
    </row>
    <row r="2031" customFormat="false" ht="15" hidden="false" customHeight="false" outlineLevel="0" collapsed="false">
      <c r="A2031" s="7" t="n">
        <v>45839</v>
      </c>
      <c r="B2031" s="7" t="n">
        <v>45889</v>
      </c>
      <c r="C2031" s="8" t="n">
        <v>6935</v>
      </c>
      <c r="D2031" s="8" t="n">
        <v>7085</v>
      </c>
      <c r="E2031" s="8" t="n">
        <v>23290</v>
      </c>
      <c r="F2031" s="8" t="s">
        <v>2200</v>
      </c>
      <c r="G2031" s="8" t="s">
        <v>2201</v>
      </c>
      <c r="H2031" s="8" t="s">
        <v>2637</v>
      </c>
    </row>
    <row r="2032" customFormat="false" ht="15" hidden="false" customHeight="false" outlineLevel="0" collapsed="false">
      <c r="A2032" s="7" t="n">
        <v>45839</v>
      </c>
      <c r="B2032" s="7" t="n">
        <v>45919</v>
      </c>
      <c r="C2032" s="8" t="n">
        <v>6984</v>
      </c>
      <c r="D2032" s="8" t="n">
        <v>340</v>
      </c>
      <c r="E2032" s="8" t="n">
        <v>280</v>
      </c>
      <c r="F2032" s="8" t="s">
        <v>2200</v>
      </c>
      <c r="G2032" s="8" t="s">
        <v>2201</v>
      </c>
      <c r="H2032" s="8" t="s">
        <v>2637</v>
      </c>
    </row>
    <row r="2033" customFormat="false" ht="15" hidden="false" customHeight="false" outlineLevel="0" collapsed="false">
      <c r="A2033" s="7" t="n">
        <v>45839</v>
      </c>
      <c r="B2033" s="7" t="n">
        <v>45950</v>
      </c>
      <c r="C2033" s="8" t="n">
        <v>7033</v>
      </c>
      <c r="D2033" s="8" t="n">
        <v>0</v>
      </c>
      <c r="E2033" s="8" t="n">
        <v>0</v>
      </c>
      <c r="F2033" s="8" t="s">
        <v>2200</v>
      </c>
      <c r="G2033" s="8" t="s">
        <v>2201</v>
      </c>
      <c r="H2033" s="8" t="s">
        <v>2637</v>
      </c>
    </row>
    <row r="2034" customFormat="false" ht="15" hidden="false" customHeight="false" outlineLevel="0" collapsed="false">
      <c r="A2034" s="7" t="n">
        <v>45839</v>
      </c>
      <c r="B2034" s="7" t="n">
        <v>45981</v>
      </c>
      <c r="C2034" s="8" t="n">
        <v>7082</v>
      </c>
      <c r="D2034" s="8" t="n">
        <v>0</v>
      </c>
      <c r="E2034" s="8" t="n">
        <v>0</v>
      </c>
      <c r="F2034" s="8" t="s">
        <v>2200</v>
      </c>
      <c r="G2034" s="8" t="s">
        <v>2201</v>
      </c>
      <c r="H2034" s="8" t="s">
        <v>2637</v>
      </c>
    </row>
    <row r="2035" customFormat="false" ht="15" hidden="false" customHeight="false" outlineLevel="0" collapsed="false">
      <c r="A2035" s="7" t="n">
        <v>45840</v>
      </c>
      <c r="B2035" s="7" t="n">
        <v>45856</v>
      </c>
      <c r="C2035" s="8" t="n">
        <v>6898</v>
      </c>
      <c r="D2035" s="8" t="n">
        <v>7690</v>
      </c>
      <c r="E2035" s="8" t="n">
        <v>19835</v>
      </c>
      <c r="F2035" s="8" t="s">
        <v>2200</v>
      </c>
      <c r="G2035" s="8" t="s">
        <v>2201</v>
      </c>
      <c r="H2035" s="8" t="s">
        <v>2638</v>
      </c>
    </row>
    <row r="2036" customFormat="false" ht="15" hidden="false" customHeight="false" outlineLevel="0" collapsed="false">
      <c r="A2036" s="7" t="n">
        <v>45840</v>
      </c>
      <c r="B2036" s="7" t="n">
        <v>45889</v>
      </c>
      <c r="C2036" s="8" t="n">
        <v>6974</v>
      </c>
      <c r="D2036" s="8" t="n">
        <v>6245</v>
      </c>
      <c r="E2036" s="8" t="n">
        <v>27235</v>
      </c>
      <c r="F2036" s="8" t="s">
        <v>2200</v>
      </c>
      <c r="G2036" s="8" t="s">
        <v>2201</v>
      </c>
      <c r="H2036" s="8" t="s">
        <v>2638</v>
      </c>
    </row>
    <row r="2037" customFormat="false" ht="15" hidden="false" customHeight="false" outlineLevel="0" collapsed="false">
      <c r="A2037" s="7" t="n">
        <v>45840</v>
      </c>
      <c r="B2037" s="7" t="n">
        <v>45919</v>
      </c>
      <c r="C2037" s="8" t="n">
        <v>7004</v>
      </c>
      <c r="D2037" s="8" t="n">
        <v>760</v>
      </c>
      <c r="E2037" s="8" t="n">
        <v>790</v>
      </c>
      <c r="F2037" s="8" t="s">
        <v>2200</v>
      </c>
      <c r="G2037" s="8" t="s">
        <v>2201</v>
      </c>
      <c r="H2037" s="8" t="s">
        <v>2638</v>
      </c>
    </row>
    <row r="2038" customFormat="false" ht="15" hidden="false" customHeight="false" outlineLevel="0" collapsed="false">
      <c r="A2038" s="7" t="n">
        <v>45840</v>
      </c>
      <c r="B2038" s="7" t="n">
        <v>45950</v>
      </c>
      <c r="C2038" s="8" t="n">
        <v>7034</v>
      </c>
      <c r="D2038" s="8" t="n">
        <v>0</v>
      </c>
      <c r="E2038" s="8" t="n">
        <v>0</v>
      </c>
      <c r="F2038" s="8" t="s">
        <v>2200</v>
      </c>
      <c r="G2038" s="8" t="s">
        <v>2201</v>
      </c>
      <c r="H2038" s="8" t="s">
        <v>2638</v>
      </c>
    </row>
    <row r="2039" customFormat="false" ht="15" hidden="false" customHeight="false" outlineLevel="0" collapsed="false">
      <c r="A2039" s="7" t="n">
        <v>45840</v>
      </c>
      <c r="B2039" s="7" t="n">
        <v>45981</v>
      </c>
      <c r="C2039" s="8" t="n">
        <v>7064</v>
      </c>
      <c r="D2039" s="8" t="n">
        <v>0</v>
      </c>
      <c r="E2039" s="8" t="n">
        <v>0</v>
      </c>
      <c r="F2039" s="8" t="s">
        <v>2200</v>
      </c>
      <c r="G2039" s="8" t="s">
        <v>2201</v>
      </c>
      <c r="H2039" s="8" t="s">
        <v>2638</v>
      </c>
    </row>
    <row r="2040" customFormat="false" ht="15" hidden="false" customHeight="false" outlineLevel="0" collapsed="false">
      <c r="A2040" s="7" t="n">
        <v>45841</v>
      </c>
      <c r="B2040" s="7" t="n">
        <v>45856</v>
      </c>
      <c r="C2040" s="8" t="n">
        <v>6855</v>
      </c>
      <c r="D2040" s="8" t="n">
        <v>7300</v>
      </c>
      <c r="E2040" s="8" t="n">
        <v>17495</v>
      </c>
      <c r="F2040" s="8" t="s">
        <v>2200</v>
      </c>
      <c r="G2040" s="8" t="s">
        <v>2201</v>
      </c>
      <c r="H2040" s="8" t="s">
        <v>2639</v>
      </c>
    </row>
    <row r="2041" customFormat="false" ht="15" hidden="false" customHeight="false" outlineLevel="0" collapsed="false">
      <c r="A2041" s="7" t="n">
        <v>45841</v>
      </c>
      <c r="B2041" s="7" t="n">
        <v>45889</v>
      </c>
      <c r="C2041" s="8" t="n">
        <v>6926</v>
      </c>
      <c r="D2041" s="8" t="n">
        <v>8180</v>
      </c>
      <c r="E2041" s="8" t="n">
        <v>30345</v>
      </c>
      <c r="F2041" s="8" t="s">
        <v>2200</v>
      </c>
      <c r="G2041" s="8" t="s">
        <v>2201</v>
      </c>
      <c r="H2041" s="8" t="s">
        <v>2639</v>
      </c>
    </row>
    <row r="2042" customFormat="false" ht="15" hidden="false" customHeight="false" outlineLevel="0" collapsed="false">
      <c r="A2042" s="7" t="n">
        <v>45841</v>
      </c>
      <c r="B2042" s="7" t="n">
        <v>45919</v>
      </c>
      <c r="C2042" s="8" t="n">
        <v>7029</v>
      </c>
      <c r="D2042" s="8" t="n">
        <v>455</v>
      </c>
      <c r="E2042" s="8" t="n">
        <v>1180</v>
      </c>
      <c r="F2042" s="8" t="s">
        <v>2200</v>
      </c>
      <c r="G2042" s="8" t="s">
        <v>2201</v>
      </c>
      <c r="H2042" s="8" t="s">
        <v>2639</v>
      </c>
    </row>
    <row r="2043" customFormat="false" ht="15" hidden="false" customHeight="false" outlineLevel="0" collapsed="false">
      <c r="A2043" s="7" t="n">
        <v>45841</v>
      </c>
      <c r="B2043" s="7" t="n">
        <v>45950</v>
      </c>
      <c r="C2043" s="8" t="n">
        <v>7132</v>
      </c>
      <c r="D2043" s="8" t="n">
        <v>0</v>
      </c>
      <c r="E2043" s="8" t="n">
        <v>0</v>
      </c>
      <c r="F2043" s="8" t="s">
        <v>2200</v>
      </c>
      <c r="G2043" s="8" t="s">
        <v>2201</v>
      </c>
      <c r="H2043" s="8" t="s">
        <v>2639</v>
      </c>
    </row>
    <row r="2044" customFormat="false" ht="15" hidden="false" customHeight="false" outlineLevel="0" collapsed="false">
      <c r="A2044" s="7" t="n">
        <v>45841</v>
      </c>
      <c r="B2044" s="7" t="n">
        <v>45981</v>
      </c>
      <c r="C2044" s="8" t="n">
        <v>7235</v>
      </c>
      <c r="D2044" s="8" t="n">
        <v>0</v>
      </c>
      <c r="E2044" s="8" t="n">
        <v>0</v>
      </c>
      <c r="F2044" s="8" t="s">
        <v>2200</v>
      </c>
      <c r="G2044" s="8" t="s">
        <v>2201</v>
      </c>
      <c r="H2044" s="8" t="s">
        <v>2639</v>
      </c>
    </row>
    <row r="2045" customFormat="false" ht="15" hidden="false" customHeight="false" outlineLevel="0" collapsed="false">
      <c r="A2045" s="7" t="n">
        <v>45842</v>
      </c>
      <c r="B2045" s="7" t="n">
        <v>45856</v>
      </c>
      <c r="C2045" s="8" t="n">
        <v>6834</v>
      </c>
      <c r="D2045" s="8" t="n">
        <v>4820</v>
      </c>
      <c r="E2045" s="8" t="n">
        <v>14735</v>
      </c>
      <c r="F2045" s="8" t="s">
        <v>2200</v>
      </c>
      <c r="G2045" s="8" t="s">
        <v>2201</v>
      </c>
      <c r="H2045" s="8" t="s">
        <v>2640</v>
      </c>
    </row>
    <row r="2046" customFormat="false" ht="15" hidden="false" customHeight="false" outlineLevel="0" collapsed="false">
      <c r="A2046" s="7" t="n">
        <v>45842</v>
      </c>
      <c r="B2046" s="7" t="n">
        <v>45889</v>
      </c>
      <c r="C2046" s="8" t="n">
        <v>6907</v>
      </c>
      <c r="D2046" s="8" t="n">
        <v>5965</v>
      </c>
      <c r="E2046" s="8" t="n">
        <v>32645</v>
      </c>
      <c r="F2046" s="8" t="s">
        <v>2200</v>
      </c>
      <c r="G2046" s="8" t="s">
        <v>2201</v>
      </c>
      <c r="H2046" s="8" t="s">
        <v>2640</v>
      </c>
    </row>
    <row r="2047" customFormat="false" ht="15" hidden="false" customHeight="false" outlineLevel="0" collapsed="false">
      <c r="A2047" s="7" t="n">
        <v>45842</v>
      </c>
      <c r="B2047" s="7" t="n">
        <v>45919</v>
      </c>
      <c r="C2047" s="8" t="n">
        <v>6999</v>
      </c>
      <c r="D2047" s="8" t="n">
        <v>135</v>
      </c>
      <c r="E2047" s="8" t="n">
        <v>1315</v>
      </c>
      <c r="F2047" s="8" t="s">
        <v>2200</v>
      </c>
      <c r="G2047" s="8" t="s">
        <v>2201</v>
      </c>
      <c r="H2047" s="8" t="s">
        <v>2640</v>
      </c>
    </row>
    <row r="2048" customFormat="false" ht="15" hidden="false" customHeight="false" outlineLevel="0" collapsed="false">
      <c r="A2048" s="7" t="n">
        <v>45842</v>
      </c>
      <c r="B2048" s="7" t="n">
        <v>45950</v>
      </c>
      <c r="C2048" s="8" t="n">
        <v>7091</v>
      </c>
      <c r="D2048" s="8" t="n">
        <v>0</v>
      </c>
      <c r="E2048" s="8" t="n">
        <v>0</v>
      </c>
      <c r="F2048" s="8" t="s">
        <v>2200</v>
      </c>
      <c r="G2048" s="8" t="s">
        <v>2201</v>
      </c>
      <c r="H2048" s="8" t="s">
        <v>2640</v>
      </c>
    </row>
    <row r="2049" customFormat="false" ht="15" hidden="false" customHeight="false" outlineLevel="0" collapsed="false">
      <c r="A2049" s="7" t="n">
        <v>45842</v>
      </c>
      <c r="B2049" s="7" t="n">
        <v>45981</v>
      </c>
      <c r="C2049" s="8" t="n">
        <v>7183</v>
      </c>
      <c r="D2049" s="8" t="n">
        <v>0</v>
      </c>
      <c r="E2049" s="8" t="n">
        <v>0</v>
      </c>
      <c r="F2049" s="8" t="s">
        <v>2200</v>
      </c>
      <c r="G2049" s="8" t="s">
        <v>2201</v>
      </c>
      <c r="H2049" s="8" t="s">
        <v>2640</v>
      </c>
    </row>
    <row r="2050" customFormat="false" ht="15" hidden="false" customHeight="false" outlineLevel="0" collapsed="false">
      <c r="A2050" s="7" t="n">
        <v>45845</v>
      </c>
      <c r="B2050" s="7" t="n">
        <v>45856</v>
      </c>
      <c r="C2050" s="8" t="n">
        <v>6794</v>
      </c>
      <c r="D2050" s="8" t="n">
        <v>5635</v>
      </c>
      <c r="E2050" s="8" t="n">
        <v>12510</v>
      </c>
      <c r="F2050" s="8" t="s">
        <v>2200</v>
      </c>
      <c r="G2050" s="8" t="s">
        <v>2201</v>
      </c>
      <c r="H2050" s="8" t="s">
        <v>2641</v>
      </c>
    </row>
    <row r="2051" customFormat="false" ht="15" hidden="false" customHeight="false" outlineLevel="0" collapsed="false">
      <c r="A2051" s="7" t="n">
        <v>45845</v>
      </c>
      <c r="B2051" s="7" t="n">
        <v>45889</v>
      </c>
      <c r="C2051" s="8" t="n">
        <v>6868</v>
      </c>
      <c r="D2051" s="8" t="n">
        <v>5710</v>
      </c>
      <c r="E2051" s="8" t="n">
        <v>34445</v>
      </c>
      <c r="F2051" s="8" t="s">
        <v>2200</v>
      </c>
      <c r="G2051" s="8" t="s">
        <v>2201</v>
      </c>
      <c r="H2051" s="8" t="s">
        <v>2641</v>
      </c>
    </row>
    <row r="2052" customFormat="false" ht="15" hidden="false" customHeight="false" outlineLevel="0" collapsed="false">
      <c r="A2052" s="7" t="n">
        <v>45845</v>
      </c>
      <c r="B2052" s="7" t="n">
        <v>45919</v>
      </c>
      <c r="C2052" s="8" t="n">
        <v>6942</v>
      </c>
      <c r="D2052" s="8" t="n">
        <v>0</v>
      </c>
      <c r="E2052" s="8" t="n">
        <v>1315</v>
      </c>
      <c r="F2052" s="8" t="s">
        <v>2200</v>
      </c>
      <c r="G2052" s="8" t="s">
        <v>2201</v>
      </c>
      <c r="H2052" s="8" t="s">
        <v>2641</v>
      </c>
    </row>
    <row r="2053" customFormat="false" ht="15" hidden="false" customHeight="false" outlineLevel="0" collapsed="false">
      <c r="A2053" s="7" t="n">
        <v>45845</v>
      </c>
      <c r="B2053" s="7" t="n">
        <v>45950</v>
      </c>
      <c r="C2053" s="8" t="n">
        <v>7016</v>
      </c>
      <c r="D2053" s="8" t="n">
        <v>0</v>
      </c>
      <c r="E2053" s="8" t="n">
        <v>0</v>
      </c>
      <c r="F2053" s="8" t="s">
        <v>2200</v>
      </c>
      <c r="G2053" s="8" t="s">
        <v>2201</v>
      </c>
      <c r="H2053" s="8" t="s">
        <v>2641</v>
      </c>
    </row>
    <row r="2054" customFormat="false" ht="15" hidden="false" customHeight="false" outlineLevel="0" collapsed="false">
      <c r="A2054" s="7" t="n">
        <v>45845</v>
      </c>
      <c r="B2054" s="7" t="n">
        <v>45981</v>
      </c>
      <c r="C2054" s="8" t="n">
        <v>7090</v>
      </c>
      <c r="D2054" s="8" t="n">
        <v>0</v>
      </c>
      <c r="E2054" s="8" t="n">
        <v>0</v>
      </c>
      <c r="F2054" s="8" t="s">
        <v>2200</v>
      </c>
      <c r="G2054" s="8" t="s">
        <v>2201</v>
      </c>
      <c r="H2054" s="8" t="s">
        <v>2641</v>
      </c>
    </row>
    <row r="2055" customFormat="false" ht="15" hidden="false" customHeight="false" outlineLevel="0" collapsed="false">
      <c r="A2055" s="7" t="n">
        <v>45846</v>
      </c>
      <c r="B2055" s="7" t="n">
        <v>45856</v>
      </c>
      <c r="C2055" s="8" t="n">
        <v>6834</v>
      </c>
      <c r="D2055" s="8" t="n">
        <v>4615</v>
      </c>
      <c r="E2055" s="8" t="n">
        <v>11020</v>
      </c>
      <c r="F2055" s="8" t="s">
        <v>2200</v>
      </c>
      <c r="G2055" s="8" t="s">
        <v>2201</v>
      </c>
      <c r="H2055" s="8" t="s">
        <v>2642</v>
      </c>
    </row>
    <row r="2056" customFormat="false" ht="15" hidden="false" customHeight="false" outlineLevel="0" collapsed="false">
      <c r="A2056" s="7" t="n">
        <v>45846</v>
      </c>
      <c r="B2056" s="7" t="n">
        <v>45889</v>
      </c>
      <c r="C2056" s="8" t="n">
        <v>6909</v>
      </c>
      <c r="D2056" s="8" t="n">
        <v>7510</v>
      </c>
      <c r="E2056" s="8" t="n">
        <v>36095</v>
      </c>
      <c r="F2056" s="8" t="s">
        <v>2200</v>
      </c>
      <c r="G2056" s="8" t="s">
        <v>2201</v>
      </c>
      <c r="H2056" s="8" t="s">
        <v>2642</v>
      </c>
    </row>
    <row r="2057" customFormat="false" ht="15" hidden="false" customHeight="false" outlineLevel="0" collapsed="false">
      <c r="A2057" s="7" t="n">
        <v>45846</v>
      </c>
      <c r="B2057" s="7" t="n">
        <v>45919</v>
      </c>
      <c r="C2057" s="8" t="n">
        <v>6990</v>
      </c>
      <c r="D2057" s="8" t="n">
        <v>465</v>
      </c>
      <c r="E2057" s="8" t="n">
        <v>1705</v>
      </c>
      <c r="F2057" s="8" t="s">
        <v>2200</v>
      </c>
      <c r="G2057" s="8" t="s">
        <v>2201</v>
      </c>
      <c r="H2057" s="8" t="s">
        <v>2642</v>
      </c>
    </row>
    <row r="2058" customFormat="false" ht="15" hidden="false" customHeight="false" outlineLevel="0" collapsed="false">
      <c r="A2058" s="7" t="n">
        <v>45846</v>
      </c>
      <c r="B2058" s="7" t="n">
        <v>45950</v>
      </c>
      <c r="C2058" s="8" t="n">
        <v>7071</v>
      </c>
      <c r="D2058" s="8" t="n">
        <v>0</v>
      </c>
      <c r="E2058" s="8" t="n">
        <v>0</v>
      </c>
      <c r="F2058" s="8" t="s">
        <v>2200</v>
      </c>
      <c r="G2058" s="8" t="s">
        <v>2201</v>
      </c>
      <c r="H2058" s="8" t="s">
        <v>2642</v>
      </c>
    </row>
    <row r="2059" customFormat="false" ht="15" hidden="false" customHeight="false" outlineLevel="0" collapsed="false">
      <c r="A2059" s="7" t="n">
        <v>45846</v>
      </c>
      <c r="B2059" s="7" t="n">
        <v>45981</v>
      </c>
      <c r="C2059" s="8" t="n">
        <v>7152</v>
      </c>
      <c r="D2059" s="8" t="n">
        <v>0</v>
      </c>
      <c r="E2059" s="8" t="n">
        <v>0</v>
      </c>
      <c r="F2059" s="8" t="s">
        <v>2200</v>
      </c>
      <c r="G2059" s="8" t="s">
        <v>2201</v>
      </c>
      <c r="H2059" s="8" t="s">
        <v>2642</v>
      </c>
    </row>
    <row r="2060" customFormat="false" ht="15" hidden="false" customHeight="false" outlineLevel="0" collapsed="false">
      <c r="A2060" s="7" t="n">
        <v>45847</v>
      </c>
      <c r="B2060" s="7" t="n">
        <v>45856</v>
      </c>
      <c r="C2060" s="8" t="n">
        <v>6806</v>
      </c>
      <c r="D2060" s="8" t="n">
        <v>3060</v>
      </c>
      <c r="E2060" s="8" t="n">
        <v>9780</v>
      </c>
      <c r="F2060" s="8" t="s">
        <v>2200</v>
      </c>
      <c r="G2060" s="8" t="s">
        <v>2201</v>
      </c>
      <c r="H2060" s="8" t="s">
        <v>2643</v>
      </c>
    </row>
    <row r="2061" customFormat="false" ht="15" hidden="false" customHeight="false" outlineLevel="0" collapsed="false">
      <c r="A2061" s="7" t="n">
        <v>45847</v>
      </c>
      <c r="B2061" s="7" t="n">
        <v>45889</v>
      </c>
      <c r="C2061" s="8" t="n">
        <v>6871</v>
      </c>
      <c r="D2061" s="8" t="n">
        <v>4300</v>
      </c>
      <c r="E2061" s="8" t="n">
        <v>36680</v>
      </c>
      <c r="F2061" s="8" t="s">
        <v>2200</v>
      </c>
      <c r="G2061" s="8" t="s">
        <v>2201</v>
      </c>
      <c r="H2061" s="8" t="s">
        <v>2643</v>
      </c>
    </row>
    <row r="2062" customFormat="false" ht="15" hidden="false" customHeight="false" outlineLevel="0" collapsed="false">
      <c r="A2062" s="7" t="n">
        <v>45847</v>
      </c>
      <c r="B2062" s="7" t="n">
        <v>45919</v>
      </c>
      <c r="C2062" s="8" t="n">
        <v>6960</v>
      </c>
      <c r="D2062" s="8" t="n">
        <v>235</v>
      </c>
      <c r="E2062" s="8" t="n">
        <v>1925</v>
      </c>
      <c r="F2062" s="8" t="s">
        <v>2200</v>
      </c>
      <c r="G2062" s="8" t="s">
        <v>2201</v>
      </c>
      <c r="H2062" s="8" t="s">
        <v>2643</v>
      </c>
    </row>
    <row r="2063" customFormat="false" ht="15" hidden="false" customHeight="false" outlineLevel="0" collapsed="false">
      <c r="A2063" s="7" t="n">
        <v>45847</v>
      </c>
      <c r="B2063" s="7" t="n">
        <v>45950</v>
      </c>
      <c r="C2063" s="8" t="n">
        <v>7049</v>
      </c>
      <c r="D2063" s="8" t="n">
        <v>0</v>
      </c>
      <c r="E2063" s="8" t="n">
        <v>0</v>
      </c>
      <c r="F2063" s="8" t="s">
        <v>2200</v>
      </c>
      <c r="G2063" s="8" t="s">
        <v>2201</v>
      </c>
      <c r="H2063" s="8" t="s">
        <v>2643</v>
      </c>
    </row>
    <row r="2064" customFormat="false" ht="15" hidden="false" customHeight="false" outlineLevel="0" collapsed="false">
      <c r="A2064" s="7" t="n">
        <v>45847</v>
      </c>
      <c r="B2064" s="7" t="n">
        <v>45981</v>
      </c>
      <c r="C2064" s="8" t="n">
        <v>7138</v>
      </c>
      <c r="D2064" s="8" t="n">
        <v>0</v>
      </c>
      <c r="E2064" s="8" t="n">
        <v>0</v>
      </c>
      <c r="F2064" s="8" t="s">
        <v>2200</v>
      </c>
      <c r="G2064" s="8" t="s">
        <v>2201</v>
      </c>
      <c r="H2064" s="8" t="s">
        <v>2643</v>
      </c>
    </row>
    <row r="2065" customFormat="false" ht="15" hidden="false" customHeight="false" outlineLevel="0" collapsed="false">
      <c r="A2065" s="7" t="n">
        <v>45848</v>
      </c>
      <c r="B2065" s="7" t="n">
        <v>45856</v>
      </c>
      <c r="C2065" s="8" t="n">
        <v>6762</v>
      </c>
      <c r="D2065" s="8" t="n">
        <v>2060</v>
      </c>
      <c r="E2065" s="8" t="n">
        <v>8715</v>
      </c>
      <c r="F2065" s="8" t="s">
        <v>2200</v>
      </c>
      <c r="G2065" s="8" t="s">
        <v>2201</v>
      </c>
      <c r="H2065" s="8" t="s">
        <v>2644</v>
      </c>
    </row>
    <row r="2066" customFormat="false" ht="15" hidden="false" customHeight="false" outlineLevel="0" collapsed="false">
      <c r="A2066" s="7" t="n">
        <v>45848</v>
      </c>
      <c r="B2066" s="7" t="n">
        <v>45889</v>
      </c>
      <c r="C2066" s="8" t="n">
        <v>6829</v>
      </c>
      <c r="D2066" s="8" t="n">
        <v>3895</v>
      </c>
      <c r="E2066" s="8" t="n">
        <v>36405</v>
      </c>
      <c r="F2066" s="8" t="s">
        <v>2200</v>
      </c>
      <c r="G2066" s="8" t="s">
        <v>2201</v>
      </c>
      <c r="H2066" s="8" t="s">
        <v>2644</v>
      </c>
    </row>
    <row r="2067" customFormat="false" ht="15" hidden="false" customHeight="false" outlineLevel="0" collapsed="false">
      <c r="A2067" s="7" t="n">
        <v>45848</v>
      </c>
      <c r="B2067" s="7" t="n">
        <v>45919</v>
      </c>
      <c r="C2067" s="8" t="n">
        <v>6917</v>
      </c>
      <c r="D2067" s="8" t="n">
        <v>45</v>
      </c>
      <c r="E2067" s="8" t="n">
        <v>1945</v>
      </c>
      <c r="F2067" s="8" t="s">
        <v>2200</v>
      </c>
      <c r="G2067" s="8" t="s">
        <v>2201</v>
      </c>
      <c r="H2067" s="8" t="s">
        <v>2644</v>
      </c>
    </row>
    <row r="2068" customFormat="false" ht="15" hidden="false" customHeight="false" outlineLevel="0" collapsed="false">
      <c r="A2068" s="7" t="n">
        <v>45848</v>
      </c>
      <c r="B2068" s="7" t="n">
        <v>45950</v>
      </c>
      <c r="C2068" s="8" t="n">
        <v>7005</v>
      </c>
      <c r="D2068" s="8" t="n">
        <v>0</v>
      </c>
      <c r="E2068" s="8" t="n">
        <v>0</v>
      </c>
      <c r="F2068" s="8" t="s">
        <v>2200</v>
      </c>
      <c r="G2068" s="8" t="s">
        <v>2201</v>
      </c>
      <c r="H2068" s="8" t="s">
        <v>2644</v>
      </c>
    </row>
    <row r="2069" customFormat="false" ht="15" hidden="false" customHeight="false" outlineLevel="0" collapsed="false">
      <c r="A2069" s="7" t="n">
        <v>45848</v>
      </c>
      <c r="B2069" s="7" t="n">
        <v>45981</v>
      </c>
      <c r="C2069" s="8" t="n">
        <v>7093</v>
      </c>
      <c r="D2069" s="8" t="n">
        <v>0</v>
      </c>
      <c r="E2069" s="8" t="n">
        <v>0</v>
      </c>
      <c r="F2069" s="8" t="s">
        <v>2200</v>
      </c>
      <c r="G2069" s="8" t="s">
        <v>2201</v>
      </c>
      <c r="H2069" s="8" t="s">
        <v>2644</v>
      </c>
    </row>
    <row r="2070" customFormat="false" ht="15" hidden="false" customHeight="false" outlineLevel="0" collapsed="false">
      <c r="A2070" s="7" t="n">
        <v>45849</v>
      </c>
      <c r="B2070" s="7" t="n">
        <v>45856</v>
      </c>
      <c r="C2070" s="8" t="n">
        <v>6702</v>
      </c>
      <c r="D2070" s="8" t="n">
        <v>2085</v>
      </c>
      <c r="E2070" s="8" t="n">
        <v>7755</v>
      </c>
      <c r="F2070" s="8" t="s">
        <v>2200</v>
      </c>
      <c r="G2070" s="8" t="s">
        <v>2201</v>
      </c>
      <c r="H2070" s="8" t="s">
        <v>2645</v>
      </c>
    </row>
    <row r="2071" customFormat="false" ht="15" hidden="false" customHeight="false" outlineLevel="0" collapsed="false">
      <c r="A2071" s="7" t="n">
        <v>45849</v>
      </c>
      <c r="B2071" s="7" t="n">
        <v>45889</v>
      </c>
      <c r="C2071" s="8" t="n">
        <v>6776</v>
      </c>
      <c r="D2071" s="8" t="n">
        <v>7430</v>
      </c>
      <c r="E2071" s="8" t="n">
        <v>37705</v>
      </c>
      <c r="F2071" s="8" t="s">
        <v>2200</v>
      </c>
      <c r="G2071" s="8" t="s">
        <v>2201</v>
      </c>
      <c r="H2071" s="8" t="s">
        <v>2645</v>
      </c>
    </row>
    <row r="2072" customFormat="false" ht="15" hidden="false" customHeight="false" outlineLevel="0" collapsed="false">
      <c r="A2072" s="7" t="n">
        <v>45849</v>
      </c>
      <c r="B2072" s="7" t="n">
        <v>45919</v>
      </c>
      <c r="C2072" s="8" t="n">
        <v>6870</v>
      </c>
      <c r="D2072" s="8" t="n">
        <v>350</v>
      </c>
      <c r="E2072" s="8" t="n">
        <v>2125</v>
      </c>
      <c r="F2072" s="8" t="s">
        <v>2200</v>
      </c>
      <c r="G2072" s="8" t="s">
        <v>2201</v>
      </c>
      <c r="H2072" s="8" t="s">
        <v>2645</v>
      </c>
    </row>
    <row r="2073" customFormat="false" ht="15" hidden="false" customHeight="false" outlineLevel="0" collapsed="false">
      <c r="A2073" s="7" t="n">
        <v>45849</v>
      </c>
      <c r="B2073" s="7" t="n">
        <v>45950</v>
      </c>
      <c r="C2073" s="8" t="n">
        <v>6964</v>
      </c>
      <c r="D2073" s="8" t="n">
        <v>0</v>
      </c>
      <c r="E2073" s="8" t="n">
        <v>0</v>
      </c>
      <c r="F2073" s="8" t="s">
        <v>2200</v>
      </c>
      <c r="G2073" s="8" t="s">
        <v>2201</v>
      </c>
      <c r="H2073" s="8" t="s">
        <v>2645</v>
      </c>
    </row>
    <row r="2074" customFormat="false" ht="15" hidden="false" customHeight="false" outlineLevel="0" collapsed="false">
      <c r="A2074" s="7" t="n">
        <v>45849</v>
      </c>
      <c r="B2074" s="7" t="n">
        <v>45981</v>
      </c>
      <c r="C2074" s="8" t="n">
        <v>7058</v>
      </c>
      <c r="D2074" s="8" t="n">
        <v>0</v>
      </c>
      <c r="E2074" s="8" t="n">
        <v>0</v>
      </c>
      <c r="F2074" s="8" t="s">
        <v>2200</v>
      </c>
      <c r="G2074" s="8" t="s">
        <v>2201</v>
      </c>
      <c r="H2074" s="8" t="s">
        <v>2645</v>
      </c>
    </row>
    <row r="2075" customFormat="false" ht="15" hidden="false" customHeight="false" outlineLevel="0" collapsed="false">
      <c r="A2075" s="7" t="n">
        <v>45852</v>
      </c>
      <c r="B2075" s="7" t="n">
        <v>45856</v>
      </c>
      <c r="C2075" s="8" t="n">
        <v>6742</v>
      </c>
      <c r="D2075" s="8" t="n">
        <v>3545</v>
      </c>
      <c r="E2075" s="8" t="n">
        <v>5480</v>
      </c>
      <c r="F2075" s="8" t="s">
        <v>2200</v>
      </c>
      <c r="G2075" s="8" t="s">
        <v>2201</v>
      </c>
      <c r="H2075" s="8" t="s">
        <v>2646</v>
      </c>
    </row>
    <row r="2076" customFormat="false" ht="15" hidden="false" customHeight="false" outlineLevel="0" collapsed="false">
      <c r="A2076" s="7" t="n">
        <v>45852</v>
      </c>
      <c r="B2076" s="7" t="n">
        <v>45889</v>
      </c>
      <c r="C2076" s="8" t="n">
        <v>6811</v>
      </c>
      <c r="D2076" s="8" t="n">
        <v>6735</v>
      </c>
      <c r="E2076" s="8" t="n">
        <v>39225</v>
      </c>
      <c r="F2076" s="8" t="s">
        <v>2200</v>
      </c>
      <c r="G2076" s="8" t="s">
        <v>2201</v>
      </c>
      <c r="H2076" s="8" t="s">
        <v>2646</v>
      </c>
    </row>
    <row r="2077" customFormat="false" ht="15" hidden="false" customHeight="false" outlineLevel="0" collapsed="false">
      <c r="A2077" s="7" t="n">
        <v>45852</v>
      </c>
      <c r="B2077" s="7" t="n">
        <v>45919</v>
      </c>
      <c r="C2077" s="8" t="n">
        <v>6867</v>
      </c>
      <c r="D2077" s="8" t="n">
        <v>510</v>
      </c>
      <c r="E2077" s="8" t="n">
        <v>2345</v>
      </c>
      <c r="F2077" s="8" t="s">
        <v>2200</v>
      </c>
      <c r="G2077" s="8" t="s">
        <v>2201</v>
      </c>
      <c r="H2077" s="8" t="s">
        <v>2646</v>
      </c>
    </row>
    <row r="2078" customFormat="false" ht="15" hidden="false" customHeight="false" outlineLevel="0" collapsed="false">
      <c r="A2078" s="7" t="n">
        <v>45852</v>
      </c>
      <c r="B2078" s="7" t="n">
        <v>45950</v>
      </c>
      <c r="C2078" s="8" t="n">
        <v>6923</v>
      </c>
      <c r="D2078" s="8" t="n">
        <v>0</v>
      </c>
      <c r="E2078" s="8" t="n">
        <v>0</v>
      </c>
      <c r="F2078" s="8" t="s">
        <v>2200</v>
      </c>
      <c r="G2078" s="8" t="s">
        <v>2201</v>
      </c>
      <c r="H2078" s="8" t="s">
        <v>2646</v>
      </c>
    </row>
    <row r="2079" customFormat="false" ht="15" hidden="false" customHeight="false" outlineLevel="0" collapsed="false">
      <c r="A2079" s="7" t="n">
        <v>45852</v>
      </c>
      <c r="B2079" s="7" t="n">
        <v>45981</v>
      </c>
      <c r="C2079" s="8" t="n">
        <v>6979</v>
      </c>
      <c r="D2079" s="8" t="n">
        <v>0</v>
      </c>
      <c r="E2079" s="8" t="n">
        <v>0</v>
      </c>
      <c r="F2079" s="8" t="s">
        <v>2200</v>
      </c>
      <c r="G2079" s="8" t="s">
        <v>2201</v>
      </c>
      <c r="H2079" s="8" t="s">
        <v>2646</v>
      </c>
    </row>
    <row r="2080" customFormat="false" ht="15" hidden="false" customHeight="false" outlineLevel="0" collapsed="false">
      <c r="A2080" s="7" t="n">
        <v>45853</v>
      </c>
      <c r="B2080" s="7" t="n">
        <v>45856</v>
      </c>
      <c r="C2080" s="8" t="n">
        <v>6731</v>
      </c>
      <c r="D2080" s="8" t="n">
        <v>3680</v>
      </c>
      <c r="E2080" s="8" t="n">
        <v>2360</v>
      </c>
      <c r="F2080" s="8" t="s">
        <v>2200</v>
      </c>
      <c r="G2080" s="8" t="s">
        <v>2201</v>
      </c>
      <c r="H2080" s="8" t="s">
        <v>2647</v>
      </c>
    </row>
    <row r="2081" customFormat="false" ht="15" hidden="false" customHeight="false" outlineLevel="0" collapsed="false">
      <c r="A2081" s="7" t="n">
        <v>45853</v>
      </c>
      <c r="B2081" s="7" t="n">
        <v>45889</v>
      </c>
      <c r="C2081" s="8" t="n">
        <v>6815</v>
      </c>
      <c r="D2081" s="8" t="n">
        <v>5950</v>
      </c>
      <c r="E2081" s="8" t="n">
        <v>41970</v>
      </c>
      <c r="F2081" s="8" t="s">
        <v>2200</v>
      </c>
      <c r="G2081" s="8" t="s">
        <v>2201</v>
      </c>
      <c r="H2081" s="8" t="s">
        <v>2647</v>
      </c>
    </row>
    <row r="2082" customFormat="false" ht="15" hidden="false" customHeight="false" outlineLevel="0" collapsed="false">
      <c r="A2082" s="7" t="n">
        <v>45853</v>
      </c>
      <c r="B2082" s="7" t="n">
        <v>45919</v>
      </c>
      <c r="C2082" s="8" t="n">
        <v>6878</v>
      </c>
      <c r="D2082" s="8" t="n">
        <v>290</v>
      </c>
      <c r="E2082" s="8" t="n">
        <v>2500</v>
      </c>
      <c r="F2082" s="8" t="s">
        <v>2200</v>
      </c>
      <c r="G2082" s="8" t="s">
        <v>2201</v>
      </c>
      <c r="H2082" s="8" t="s">
        <v>2647</v>
      </c>
    </row>
    <row r="2083" customFormat="false" ht="15" hidden="false" customHeight="false" outlineLevel="0" collapsed="false">
      <c r="A2083" s="7" t="n">
        <v>45853</v>
      </c>
      <c r="B2083" s="7" t="n">
        <v>45950</v>
      </c>
      <c r="C2083" s="8" t="n">
        <v>6941</v>
      </c>
      <c r="D2083" s="8" t="n">
        <v>0</v>
      </c>
      <c r="E2083" s="8" t="n">
        <v>0</v>
      </c>
      <c r="F2083" s="8" t="s">
        <v>2200</v>
      </c>
      <c r="G2083" s="8" t="s">
        <v>2201</v>
      </c>
      <c r="H2083" s="8" t="s">
        <v>2647</v>
      </c>
    </row>
    <row r="2084" customFormat="false" ht="15" hidden="false" customHeight="false" outlineLevel="0" collapsed="false">
      <c r="A2084" s="7" t="n">
        <v>45853</v>
      </c>
      <c r="B2084" s="7" t="n">
        <v>45981</v>
      </c>
      <c r="C2084" s="8" t="n">
        <v>7004</v>
      </c>
      <c r="D2084" s="8" t="n">
        <v>0</v>
      </c>
      <c r="E2084" s="8" t="n">
        <v>0</v>
      </c>
      <c r="F2084" s="8" t="s">
        <v>2200</v>
      </c>
      <c r="G2084" s="8" t="s">
        <v>2201</v>
      </c>
      <c r="H2084" s="8" t="s">
        <v>2647</v>
      </c>
    </row>
    <row r="2085" customFormat="false" ht="15" hidden="false" customHeight="false" outlineLevel="0" collapsed="false">
      <c r="A2085" s="7" t="n">
        <v>45854</v>
      </c>
      <c r="B2085" s="7" t="n">
        <v>45856</v>
      </c>
      <c r="C2085" s="8" t="n">
        <v>6690</v>
      </c>
      <c r="D2085" s="8" t="n">
        <v>1775</v>
      </c>
      <c r="E2085" s="8" t="n">
        <v>880</v>
      </c>
      <c r="F2085" s="8" t="s">
        <v>2200</v>
      </c>
      <c r="G2085" s="8" t="s">
        <v>2201</v>
      </c>
      <c r="H2085" s="8" t="s">
        <v>2648</v>
      </c>
    </row>
    <row r="2086" customFormat="false" ht="15" hidden="false" customHeight="false" outlineLevel="0" collapsed="false">
      <c r="A2086" s="7" t="n">
        <v>45854</v>
      </c>
      <c r="B2086" s="7" t="n">
        <v>45889</v>
      </c>
      <c r="C2086" s="8" t="n">
        <v>6770</v>
      </c>
      <c r="D2086" s="8" t="n">
        <v>5100</v>
      </c>
      <c r="E2086" s="8" t="n">
        <v>42235</v>
      </c>
      <c r="F2086" s="8" t="s">
        <v>2200</v>
      </c>
      <c r="G2086" s="8" t="s">
        <v>2201</v>
      </c>
      <c r="H2086" s="8" t="s">
        <v>2648</v>
      </c>
    </row>
    <row r="2087" customFormat="false" ht="15" hidden="false" customHeight="false" outlineLevel="0" collapsed="false">
      <c r="A2087" s="7" t="n">
        <v>45854</v>
      </c>
      <c r="B2087" s="7" t="n">
        <v>45919</v>
      </c>
      <c r="C2087" s="8" t="n">
        <v>6838</v>
      </c>
      <c r="D2087" s="8" t="n">
        <v>375</v>
      </c>
      <c r="E2087" s="8" t="n">
        <v>2790</v>
      </c>
      <c r="F2087" s="8" t="s">
        <v>2200</v>
      </c>
      <c r="G2087" s="8" t="s">
        <v>2201</v>
      </c>
      <c r="H2087" s="8" t="s">
        <v>2648</v>
      </c>
    </row>
    <row r="2088" customFormat="false" ht="15" hidden="false" customHeight="false" outlineLevel="0" collapsed="false">
      <c r="A2088" s="7" t="n">
        <v>45854</v>
      </c>
      <c r="B2088" s="7" t="n">
        <v>45950</v>
      </c>
      <c r="C2088" s="8" t="n">
        <v>6906</v>
      </c>
      <c r="D2088" s="8" t="n">
        <v>0</v>
      </c>
      <c r="E2088" s="8" t="n">
        <v>0</v>
      </c>
      <c r="F2088" s="8" t="s">
        <v>2200</v>
      </c>
      <c r="G2088" s="8" t="s">
        <v>2201</v>
      </c>
      <c r="H2088" s="8" t="s">
        <v>2648</v>
      </c>
    </row>
    <row r="2089" customFormat="false" ht="15" hidden="false" customHeight="false" outlineLevel="0" collapsed="false">
      <c r="A2089" s="7" t="n">
        <v>45854</v>
      </c>
      <c r="B2089" s="7" t="n">
        <v>45981</v>
      </c>
      <c r="C2089" s="8" t="n">
        <v>6974</v>
      </c>
      <c r="D2089" s="8" t="n">
        <v>0</v>
      </c>
      <c r="E2089" s="8" t="n">
        <v>0</v>
      </c>
      <c r="F2089" s="8" t="s">
        <v>2200</v>
      </c>
      <c r="G2089" s="8" t="s">
        <v>2201</v>
      </c>
      <c r="H2089" s="8" t="s">
        <v>2648</v>
      </c>
    </row>
    <row r="2090" customFormat="false" ht="15" hidden="false" customHeight="false" outlineLevel="0" collapsed="false">
      <c r="A2090" s="7" t="n">
        <v>45855</v>
      </c>
      <c r="B2090" s="7" t="n">
        <v>45856</v>
      </c>
      <c r="C2090" s="8" t="n">
        <v>6696</v>
      </c>
      <c r="D2090" s="8" t="n">
        <v>65</v>
      </c>
      <c r="E2090" s="8" t="n">
        <v>15</v>
      </c>
      <c r="F2090" s="8" t="s">
        <v>2200</v>
      </c>
      <c r="G2090" s="8" t="s">
        <v>2201</v>
      </c>
      <c r="H2090" s="8" t="s">
        <v>2649</v>
      </c>
    </row>
    <row r="2091" customFormat="false" ht="15" hidden="false" customHeight="false" outlineLevel="0" collapsed="false">
      <c r="A2091" s="7" t="n">
        <v>45855</v>
      </c>
      <c r="B2091" s="7" t="n">
        <v>45889</v>
      </c>
      <c r="C2091" s="8" t="n">
        <v>6769</v>
      </c>
      <c r="D2091" s="8" t="n">
        <v>2345</v>
      </c>
      <c r="E2091" s="8" t="n">
        <v>42245</v>
      </c>
      <c r="F2091" s="8" t="s">
        <v>2200</v>
      </c>
      <c r="G2091" s="8" t="s">
        <v>2201</v>
      </c>
      <c r="H2091" s="8" t="s">
        <v>2649</v>
      </c>
    </row>
    <row r="2092" customFormat="false" ht="15" hidden="false" customHeight="false" outlineLevel="0" collapsed="false">
      <c r="A2092" s="7" t="n">
        <v>45855</v>
      </c>
      <c r="B2092" s="7" t="n">
        <v>45919</v>
      </c>
      <c r="C2092" s="8" t="n">
        <v>6820</v>
      </c>
      <c r="D2092" s="8" t="n">
        <v>510</v>
      </c>
      <c r="E2092" s="8" t="n">
        <v>3085</v>
      </c>
      <c r="F2092" s="8" t="s">
        <v>2200</v>
      </c>
      <c r="G2092" s="8" t="s">
        <v>2201</v>
      </c>
      <c r="H2092" s="8" t="s">
        <v>2649</v>
      </c>
    </row>
    <row r="2093" customFormat="false" ht="15" hidden="false" customHeight="false" outlineLevel="0" collapsed="false">
      <c r="A2093" s="7" t="n">
        <v>45855</v>
      </c>
      <c r="B2093" s="7" t="n">
        <v>45950</v>
      </c>
      <c r="C2093" s="8" t="n">
        <v>6871</v>
      </c>
      <c r="D2093" s="8" t="n">
        <v>0</v>
      </c>
      <c r="E2093" s="8" t="n">
        <v>0</v>
      </c>
      <c r="F2093" s="8" t="s">
        <v>2200</v>
      </c>
      <c r="G2093" s="8" t="s">
        <v>2201</v>
      </c>
      <c r="H2093" s="8" t="s">
        <v>2649</v>
      </c>
    </row>
    <row r="2094" customFormat="false" ht="15" hidden="false" customHeight="false" outlineLevel="0" collapsed="false">
      <c r="A2094" s="7" t="n">
        <v>45855</v>
      </c>
      <c r="B2094" s="7" t="n">
        <v>45981</v>
      </c>
      <c r="C2094" s="8" t="n">
        <v>6922</v>
      </c>
      <c r="D2094" s="8" t="n">
        <v>0</v>
      </c>
      <c r="E2094" s="8" t="n">
        <v>0</v>
      </c>
      <c r="F2094" s="8" t="s">
        <v>2200</v>
      </c>
      <c r="G2094" s="8" t="s">
        <v>2201</v>
      </c>
      <c r="H2094" s="8" t="s">
        <v>2649</v>
      </c>
    </row>
    <row r="2095" customFormat="false" ht="15" hidden="false" customHeight="false" outlineLevel="0" collapsed="false">
      <c r="A2095" s="7" t="n">
        <v>45856</v>
      </c>
      <c r="B2095" s="7" t="n">
        <v>45856</v>
      </c>
      <c r="C2095" s="8" t="n">
        <v>6650</v>
      </c>
      <c r="D2095" s="8" t="n">
        <v>5</v>
      </c>
      <c r="E2095" s="8" t="n">
        <v>5</v>
      </c>
      <c r="F2095" s="8" t="s">
        <v>2200</v>
      </c>
      <c r="G2095" s="8" t="s">
        <v>2201</v>
      </c>
      <c r="H2095" s="8" t="s">
        <v>2650</v>
      </c>
    </row>
    <row r="2096" customFormat="false" ht="15" hidden="false" customHeight="false" outlineLevel="0" collapsed="false">
      <c r="A2096" s="7" t="n">
        <v>45856</v>
      </c>
      <c r="B2096" s="7" t="n">
        <v>45889</v>
      </c>
      <c r="C2096" s="8" t="n">
        <v>6758</v>
      </c>
      <c r="D2096" s="8" t="n">
        <v>8450</v>
      </c>
      <c r="E2096" s="8" t="n">
        <v>40760</v>
      </c>
      <c r="F2096" s="8" t="s">
        <v>2200</v>
      </c>
      <c r="G2096" s="8" t="s">
        <v>2201</v>
      </c>
      <c r="H2096" s="8" t="s">
        <v>2650</v>
      </c>
    </row>
    <row r="2097" customFormat="false" ht="15" hidden="false" customHeight="false" outlineLevel="0" collapsed="false">
      <c r="A2097" s="7" t="n">
        <v>45856</v>
      </c>
      <c r="B2097" s="7" t="n">
        <v>45919</v>
      </c>
      <c r="C2097" s="8" t="n">
        <v>6822</v>
      </c>
      <c r="D2097" s="8" t="n">
        <v>3550</v>
      </c>
      <c r="E2097" s="8" t="n">
        <v>6115</v>
      </c>
      <c r="F2097" s="8" t="s">
        <v>2200</v>
      </c>
      <c r="G2097" s="8" t="s">
        <v>2201</v>
      </c>
      <c r="H2097" s="8" t="s">
        <v>2650</v>
      </c>
    </row>
    <row r="2098" customFormat="false" ht="15" hidden="false" customHeight="false" outlineLevel="0" collapsed="false">
      <c r="A2098" s="7" t="n">
        <v>45856</v>
      </c>
      <c r="B2098" s="7" t="n">
        <v>45950</v>
      </c>
      <c r="C2098" s="8" t="n">
        <v>6886</v>
      </c>
      <c r="D2098" s="8" t="n">
        <v>0</v>
      </c>
      <c r="E2098" s="8" t="n">
        <v>0</v>
      </c>
      <c r="F2098" s="8" t="s">
        <v>2200</v>
      </c>
      <c r="G2098" s="8" t="s">
        <v>2201</v>
      </c>
      <c r="H2098" s="8" t="s">
        <v>2650</v>
      </c>
    </row>
    <row r="2099" customFormat="false" ht="15" hidden="false" customHeight="false" outlineLevel="0" collapsed="false">
      <c r="A2099" s="7" t="n">
        <v>45856</v>
      </c>
      <c r="B2099" s="7" t="n">
        <v>45981</v>
      </c>
      <c r="C2099" s="8" t="n">
        <v>6950</v>
      </c>
      <c r="D2099" s="8" t="n">
        <v>0</v>
      </c>
      <c r="E2099" s="8" t="n">
        <v>0</v>
      </c>
      <c r="F2099" s="8" t="s">
        <v>2200</v>
      </c>
      <c r="G2099" s="8" t="s">
        <v>2201</v>
      </c>
      <c r="H2099" s="8" t="s">
        <v>2650</v>
      </c>
    </row>
    <row r="2100" customFormat="false" ht="15" hidden="false" customHeight="false" outlineLevel="0" collapsed="false">
      <c r="A2100" s="7" t="n">
        <v>45859</v>
      </c>
      <c r="B2100" s="7" t="n">
        <v>45889</v>
      </c>
      <c r="C2100" s="8" t="n">
        <v>6682</v>
      </c>
      <c r="D2100" s="8" t="n">
        <v>7210</v>
      </c>
      <c r="E2100" s="8" t="n">
        <v>37920</v>
      </c>
      <c r="F2100" s="8" t="s">
        <v>2200</v>
      </c>
      <c r="G2100" s="8" t="s">
        <v>2201</v>
      </c>
      <c r="H2100" s="8" t="s">
        <v>2651</v>
      </c>
    </row>
    <row r="2101" customFormat="false" ht="15" hidden="false" customHeight="false" outlineLevel="0" collapsed="false">
      <c r="A2101" s="7" t="n">
        <v>45859</v>
      </c>
      <c r="B2101" s="7" t="n">
        <v>45919</v>
      </c>
      <c r="C2101" s="8" t="n">
        <v>6752</v>
      </c>
      <c r="D2101" s="8" t="n">
        <v>3015</v>
      </c>
      <c r="E2101" s="8" t="n">
        <v>8630</v>
      </c>
      <c r="F2101" s="8" t="s">
        <v>2200</v>
      </c>
      <c r="G2101" s="8" t="s">
        <v>2201</v>
      </c>
      <c r="H2101" s="8" t="s">
        <v>2651</v>
      </c>
    </row>
    <row r="2102" customFormat="false" ht="15" hidden="false" customHeight="false" outlineLevel="0" collapsed="false">
      <c r="A2102" s="7" t="n">
        <v>45859</v>
      </c>
      <c r="B2102" s="7" t="n">
        <v>45950</v>
      </c>
      <c r="C2102" s="8" t="n">
        <v>6822</v>
      </c>
      <c r="D2102" s="8" t="n">
        <v>0</v>
      </c>
      <c r="E2102" s="8" t="n">
        <v>0</v>
      </c>
      <c r="F2102" s="8" t="s">
        <v>2200</v>
      </c>
      <c r="G2102" s="8" t="s">
        <v>2201</v>
      </c>
      <c r="H2102" s="8" t="s">
        <v>2651</v>
      </c>
    </row>
    <row r="2103" customFormat="false" ht="15" hidden="false" customHeight="false" outlineLevel="0" collapsed="false">
      <c r="A2103" s="7" t="n">
        <v>45859</v>
      </c>
      <c r="B2103" s="7" t="n">
        <v>45981</v>
      </c>
      <c r="C2103" s="8" t="n">
        <v>6892</v>
      </c>
      <c r="D2103" s="8" t="n">
        <v>0</v>
      </c>
      <c r="E2103" s="8" t="n">
        <v>0</v>
      </c>
      <c r="F2103" s="8" t="s">
        <v>2200</v>
      </c>
      <c r="G2103" s="8" t="s">
        <v>2201</v>
      </c>
      <c r="H2103" s="8" t="s">
        <v>2651</v>
      </c>
    </row>
    <row r="2104" customFormat="false" ht="15" hidden="false" customHeight="false" outlineLevel="0" collapsed="false">
      <c r="A2104" s="7" t="n">
        <v>45860</v>
      </c>
      <c r="B2104" s="7" t="n">
        <v>45889</v>
      </c>
      <c r="C2104" s="8" t="n">
        <v>6698</v>
      </c>
      <c r="D2104" s="8" t="n">
        <v>3255</v>
      </c>
      <c r="E2104" s="8" t="n">
        <v>37705</v>
      </c>
      <c r="F2104" s="8" t="s">
        <v>2200</v>
      </c>
      <c r="G2104" s="8" t="s">
        <v>2201</v>
      </c>
      <c r="H2104" s="8" t="s">
        <v>2652</v>
      </c>
    </row>
    <row r="2105" customFormat="false" ht="15" hidden="false" customHeight="false" outlineLevel="0" collapsed="false">
      <c r="A2105" s="7" t="n">
        <v>45860</v>
      </c>
      <c r="B2105" s="7" t="n">
        <v>45919</v>
      </c>
      <c r="C2105" s="8" t="n">
        <v>6759</v>
      </c>
      <c r="D2105" s="8" t="n">
        <v>855</v>
      </c>
      <c r="E2105" s="8" t="n">
        <v>9170</v>
      </c>
      <c r="F2105" s="8" t="s">
        <v>2200</v>
      </c>
      <c r="G2105" s="8" t="s">
        <v>2201</v>
      </c>
      <c r="H2105" s="8" t="s">
        <v>2652</v>
      </c>
    </row>
    <row r="2106" customFormat="false" ht="15" hidden="false" customHeight="false" outlineLevel="0" collapsed="false">
      <c r="A2106" s="7" t="n">
        <v>45860</v>
      </c>
      <c r="B2106" s="7" t="n">
        <v>45950</v>
      </c>
      <c r="C2106" s="8" t="n">
        <v>6820</v>
      </c>
      <c r="D2106" s="8" t="n">
        <v>0</v>
      </c>
      <c r="E2106" s="8" t="n">
        <v>0</v>
      </c>
      <c r="F2106" s="8" t="s">
        <v>2200</v>
      </c>
      <c r="G2106" s="8" t="s">
        <v>2201</v>
      </c>
      <c r="H2106" s="8" t="s">
        <v>2652</v>
      </c>
    </row>
    <row r="2107" customFormat="false" ht="15" hidden="false" customHeight="false" outlineLevel="0" collapsed="false">
      <c r="A2107" s="7" t="n">
        <v>45860</v>
      </c>
      <c r="B2107" s="7" t="n">
        <v>45981</v>
      </c>
      <c r="C2107" s="8" t="n">
        <v>6881</v>
      </c>
      <c r="D2107" s="8" t="n">
        <v>0</v>
      </c>
      <c r="E2107" s="8" t="n">
        <v>0</v>
      </c>
      <c r="F2107" s="8" t="s">
        <v>2200</v>
      </c>
      <c r="G2107" s="8" t="s">
        <v>2201</v>
      </c>
      <c r="H2107" s="8" t="s">
        <v>2652</v>
      </c>
    </row>
    <row r="2108" customFormat="false" ht="15" hidden="false" customHeight="false" outlineLevel="0" collapsed="false">
      <c r="A2108" s="7" t="n">
        <v>45861</v>
      </c>
      <c r="B2108" s="7" t="n">
        <v>45889</v>
      </c>
      <c r="C2108" s="8" t="n">
        <v>6686</v>
      </c>
      <c r="D2108" s="8" t="n">
        <v>4775</v>
      </c>
      <c r="E2108" s="8" t="n">
        <v>36750</v>
      </c>
      <c r="F2108" s="8" t="s">
        <v>2200</v>
      </c>
      <c r="G2108" s="8" t="s">
        <v>2201</v>
      </c>
      <c r="H2108" s="8" t="s">
        <v>2653</v>
      </c>
    </row>
    <row r="2109" customFormat="false" ht="15" hidden="false" customHeight="false" outlineLevel="0" collapsed="false">
      <c r="A2109" s="7" t="n">
        <v>45861</v>
      </c>
      <c r="B2109" s="7" t="n">
        <v>45919</v>
      </c>
      <c r="C2109" s="8" t="n">
        <v>6745</v>
      </c>
      <c r="D2109" s="8" t="n">
        <v>2665</v>
      </c>
      <c r="E2109" s="8" t="n">
        <v>10700</v>
      </c>
      <c r="F2109" s="8" t="s">
        <v>2200</v>
      </c>
      <c r="G2109" s="8" t="s">
        <v>2201</v>
      </c>
      <c r="H2109" s="8" t="s">
        <v>2653</v>
      </c>
    </row>
    <row r="2110" customFormat="false" ht="15" hidden="false" customHeight="false" outlineLevel="0" collapsed="false">
      <c r="A2110" s="7" t="n">
        <v>45861</v>
      </c>
      <c r="B2110" s="7" t="n">
        <v>45950</v>
      </c>
      <c r="C2110" s="8" t="n">
        <v>6804</v>
      </c>
      <c r="D2110" s="8" t="n">
        <v>0</v>
      </c>
      <c r="E2110" s="8" t="n">
        <v>0</v>
      </c>
      <c r="F2110" s="8" t="s">
        <v>2200</v>
      </c>
      <c r="G2110" s="8" t="s">
        <v>2201</v>
      </c>
      <c r="H2110" s="8" t="s">
        <v>2653</v>
      </c>
    </row>
    <row r="2111" customFormat="false" ht="15" hidden="false" customHeight="false" outlineLevel="0" collapsed="false">
      <c r="A2111" s="7" t="n">
        <v>45861</v>
      </c>
      <c r="B2111" s="7" t="n">
        <v>45981</v>
      </c>
      <c r="C2111" s="8" t="n">
        <v>6863</v>
      </c>
      <c r="D2111" s="8" t="n">
        <v>0</v>
      </c>
      <c r="E2111" s="8" t="n">
        <v>0</v>
      </c>
      <c r="F2111" s="8" t="s">
        <v>2200</v>
      </c>
      <c r="G2111" s="8" t="s">
        <v>2201</v>
      </c>
      <c r="H2111" s="8" t="s">
        <v>2653</v>
      </c>
    </row>
    <row r="2112" customFormat="false" ht="15" hidden="false" customHeight="false" outlineLevel="0" collapsed="false">
      <c r="A2112" s="7" t="n">
        <v>45862</v>
      </c>
      <c r="B2112" s="7" t="n">
        <v>45889</v>
      </c>
      <c r="C2112" s="8" t="n">
        <v>6728</v>
      </c>
      <c r="D2112" s="8" t="n">
        <v>3725</v>
      </c>
      <c r="E2112" s="8" t="n">
        <v>35675</v>
      </c>
      <c r="F2112" s="8" t="s">
        <v>2200</v>
      </c>
      <c r="G2112" s="8" t="s">
        <v>2201</v>
      </c>
      <c r="H2112" s="8" t="s">
        <v>2654</v>
      </c>
    </row>
    <row r="2113" customFormat="false" ht="15" hidden="false" customHeight="false" outlineLevel="0" collapsed="false">
      <c r="A2113" s="7" t="n">
        <v>45862</v>
      </c>
      <c r="B2113" s="7" t="n">
        <v>45919</v>
      </c>
      <c r="C2113" s="8" t="n">
        <v>6796</v>
      </c>
      <c r="D2113" s="8" t="n">
        <v>1625</v>
      </c>
      <c r="E2113" s="8" t="n">
        <v>11355</v>
      </c>
      <c r="F2113" s="8" t="s">
        <v>2200</v>
      </c>
      <c r="G2113" s="8" t="s">
        <v>2201</v>
      </c>
      <c r="H2113" s="8" t="s">
        <v>2654</v>
      </c>
    </row>
    <row r="2114" customFormat="false" ht="15" hidden="false" customHeight="false" outlineLevel="0" collapsed="false">
      <c r="A2114" s="7" t="n">
        <v>45862</v>
      </c>
      <c r="B2114" s="7" t="n">
        <v>45950</v>
      </c>
      <c r="C2114" s="8" t="n">
        <v>6850</v>
      </c>
      <c r="D2114" s="8" t="n">
        <v>5</v>
      </c>
      <c r="E2114" s="8" t="n">
        <v>5</v>
      </c>
      <c r="F2114" s="8" t="s">
        <v>2200</v>
      </c>
      <c r="G2114" s="8" t="s">
        <v>2201</v>
      </c>
      <c r="H2114" s="8" t="s">
        <v>2654</v>
      </c>
    </row>
    <row r="2115" customFormat="false" ht="15" hidden="false" customHeight="false" outlineLevel="0" collapsed="false">
      <c r="A2115" s="7" t="n">
        <v>45862</v>
      </c>
      <c r="B2115" s="7" t="n">
        <v>45981</v>
      </c>
      <c r="C2115" s="8" t="n">
        <v>6904</v>
      </c>
      <c r="D2115" s="8" t="n">
        <v>0</v>
      </c>
      <c r="E2115" s="8" t="n">
        <v>0</v>
      </c>
      <c r="F2115" s="8" t="s">
        <v>2200</v>
      </c>
      <c r="G2115" s="8" t="s">
        <v>2201</v>
      </c>
      <c r="H2115" s="8" t="s">
        <v>2654</v>
      </c>
    </row>
    <row r="2116" customFormat="false" ht="15" hidden="false" customHeight="false" outlineLevel="0" collapsed="false">
      <c r="A2116" s="7" t="n">
        <v>45863</v>
      </c>
      <c r="B2116" s="7" t="n">
        <v>45889</v>
      </c>
      <c r="C2116" s="8" t="n">
        <v>6709</v>
      </c>
      <c r="D2116" s="8" t="n">
        <v>3040</v>
      </c>
      <c r="E2116" s="8" t="n">
        <v>34740</v>
      </c>
      <c r="F2116" s="8" t="s">
        <v>2200</v>
      </c>
      <c r="G2116" s="8" t="s">
        <v>2201</v>
      </c>
      <c r="H2116" s="8" t="s">
        <v>2655</v>
      </c>
    </row>
    <row r="2117" customFormat="false" ht="15" hidden="false" customHeight="false" outlineLevel="0" collapsed="false">
      <c r="A2117" s="7" t="n">
        <v>45863</v>
      </c>
      <c r="B2117" s="7" t="n">
        <v>45919</v>
      </c>
      <c r="C2117" s="8" t="n">
        <v>6776</v>
      </c>
      <c r="D2117" s="8" t="n">
        <v>990</v>
      </c>
      <c r="E2117" s="8" t="n">
        <v>11865</v>
      </c>
      <c r="F2117" s="8" t="s">
        <v>2200</v>
      </c>
      <c r="G2117" s="8" t="s">
        <v>2201</v>
      </c>
      <c r="H2117" s="8" t="s">
        <v>2655</v>
      </c>
    </row>
    <row r="2118" customFormat="false" ht="15" hidden="false" customHeight="false" outlineLevel="0" collapsed="false">
      <c r="A2118" s="7" t="n">
        <v>45863</v>
      </c>
      <c r="B2118" s="7" t="n">
        <v>45950</v>
      </c>
      <c r="C2118" s="8" t="n">
        <v>6850</v>
      </c>
      <c r="D2118" s="8" t="n">
        <v>5</v>
      </c>
      <c r="E2118" s="8" t="n">
        <v>10</v>
      </c>
      <c r="F2118" s="8" t="s">
        <v>2200</v>
      </c>
      <c r="G2118" s="8" t="s">
        <v>2201</v>
      </c>
      <c r="H2118" s="8" t="s">
        <v>2655</v>
      </c>
    </row>
    <row r="2119" customFormat="false" ht="15" hidden="false" customHeight="false" outlineLevel="0" collapsed="false">
      <c r="A2119" s="7" t="n">
        <v>45863</v>
      </c>
      <c r="B2119" s="7" t="n">
        <v>45981</v>
      </c>
      <c r="C2119" s="8" t="n">
        <v>6924</v>
      </c>
      <c r="D2119" s="8" t="n">
        <v>0</v>
      </c>
      <c r="E2119" s="8" t="n">
        <v>0</v>
      </c>
      <c r="F2119" s="8" t="s">
        <v>2200</v>
      </c>
      <c r="G2119" s="8" t="s">
        <v>2201</v>
      </c>
      <c r="H2119" s="8" t="s">
        <v>2655</v>
      </c>
    </row>
    <row r="2120" customFormat="false" ht="15" hidden="false" customHeight="false" outlineLevel="0" collapsed="false">
      <c r="A2120" s="7" t="n">
        <v>45866</v>
      </c>
      <c r="B2120" s="7" t="n">
        <v>45889</v>
      </c>
      <c r="C2120" s="8" t="n">
        <v>6626</v>
      </c>
      <c r="D2120" s="8" t="n">
        <v>6390</v>
      </c>
      <c r="E2120" s="8" t="n">
        <v>32710</v>
      </c>
      <c r="F2120" s="8" t="s">
        <v>2200</v>
      </c>
      <c r="G2120" s="8" t="s">
        <v>2201</v>
      </c>
      <c r="H2120" s="8" t="s">
        <v>2656</v>
      </c>
    </row>
    <row r="2121" customFormat="false" ht="15" hidden="false" customHeight="false" outlineLevel="0" collapsed="false">
      <c r="A2121" s="7" t="n">
        <v>45866</v>
      </c>
      <c r="B2121" s="7" t="n">
        <v>45919</v>
      </c>
      <c r="C2121" s="8" t="n">
        <v>6685</v>
      </c>
      <c r="D2121" s="8" t="n">
        <v>3260</v>
      </c>
      <c r="E2121" s="8" t="n">
        <v>13375</v>
      </c>
      <c r="F2121" s="8" t="s">
        <v>2200</v>
      </c>
      <c r="G2121" s="8" t="s">
        <v>2201</v>
      </c>
      <c r="H2121" s="8" t="s">
        <v>2656</v>
      </c>
    </row>
    <row r="2122" customFormat="false" ht="15" hidden="false" customHeight="false" outlineLevel="0" collapsed="false">
      <c r="A2122" s="7" t="n">
        <v>45866</v>
      </c>
      <c r="B2122" s="7" t="n">
        <v>45950</v>
      </c>
      <c r="C2122" s="8" t="n">
        <v>6785</v>
      </c>
      <c r="D2122" s="8" t="n">
        <v>30</v>
      </c>
      <c r="E2122" s="8" t="n">
        <v>25</v>
      </c>
      <c r="F2122" s="8" t="s">
        <v>2200</v>
      </c>
      <c r="G2122" s="8" t="s">
        <v>2201</v>
      </c>
      <c r="H2122" s="8" t="s">
        <v>2656</v>
      </c>
    </row>
    <row r="2123" customFormat="false" ht="15" hidden="false" customHeight="false" outlineLevel="0" collapsed="false">
      <c r="A2123" s="7" t="n">
        <v>45866</v>
      </c>
      <c r="B2123" s="7" t="n">
        <v>45981</v>
      </c>
      <c r="C2123" s="8" t="n">
        <v>6885</v>
      </c>
      <c r="D2123" s="8" t="n">
        <v>0</v>
      </c>
      <c r="E2123" s="8" t="n">
        <v>0</v>
      </c>
      <c r="F2123" s="8" t="s">
        <v>2200</v>
      </c>
      <c r="G2123" s="8" t="s">
        <v>2201</v>
      </c>
      <c r="H2123" s="8" t="s">
        <v>2656</v>
      </c>
    </row>
    <row r="2124" customFormat="false" ht="15" hidden="false" customHeight="false" outlineLevel="0" collapsed="false">
      <c r="A2124" s="7" t="n">
        <v>45867</v>
      </c>
      <c r="B2124" s="7" t="n">
        <v>45889</v>
      </c>
      <c r="C2124" s="8" t="n">
        <v>6602</v>
      </c>
      <c r="D2124" s="8" t="n">
        <v>4905</v>
      </c>
      <c r="E2124" s="8" t="n">
        <v>30775</v>
      </c>
      <c r="F2124" s="8" t="s">
        <v>2200</v>
      </c>
      <c r="G2124" s="8" t="s">
        <v>2201</v>
      </c>
      <c r="H2124" s="8" t="s">
        <v>2657</v>
      </c>
    </row>
    <row r="2125" customFormat="false" ht="15" hidden="false" customHeight="false" outlineLevel="0" collapsed="false">
      <c r="A2125" s="7" t="n">
        <v>45867</v>
      </c>
      <c r="B2125" s="7" t="n">
        <v>45919</v>
      </c>
      <c r="C2125" s="8" t="n">
        <v>6665</v>
      </c>
      <c r="D2125" s="8" t="n">
        <v>2690</v>
      </c>
      <c r="E2125" s="8" t="n">
        <v>14455</v>
      </c>
      <c r="F2125" s="8" t="s">
        <v>2200</v>
      </c>
      <c r="G2125" s="8" t="s">
        <v>2201</v>
      </c>
      <c r="H2125" s="8" t="s">
        <v>2657</v>
      </c>
    </row>
    <row r="2126" customFormat="false" ht="15" hidden="false" customHeight="false" outlineLevel="0" collapsed="false">
      <c r="A2126" s="7" t="n">
        <v>45867</v>
      </c>
      <c r="B2126" s="7" t="n">
        <v>45950</v>
      </c>
      <c r="C2126" s="8" t="n">
        <v>6756</v>
      </c>
      <c r="D2126" s="8" t="n">
        <v>35</v>
      </c>
      <c r="E2126" s="8" t="n">
        <v>50</v>
      </c>
      <c r="F2126" s="8" t="s">
        <v>2200</v>
      </c>
      <c r="G2126" s="8" t="s">
        <v>2201</v>
      </c>
      <c r="H2126" s="8" t="s">
        <v>2657</v>
      </c>
    </row>
    <row r="2127" customFormat="false" ht="15" hidden="false" customHeight="false" outlineLevel="0" collapsed="false">
      <c r="A2127" s="7" t="n">
        <v>45867</v>
      </c>
      <c r="B2127" s="7" t="n">
        <v>45981</v>
      </c>
      <c r="C2127" s="8" t="n">
        <v>6847</v>
      </c>
      <c r="D2127" s="8" t="n">
        <v>0</v>
      </c>
      <c r="E2127" s="8" t="n">
        <v>0</v>
      </c>
      <c r="F2127" s="8" t="s">
        <v>2200</v>
      </c>
      <c r="G2127" s="8" t="s">
        <v>2201</v>
      </c>
      <c r="H2127" s="8" t="s">
        <v>2657</v>
      </c>
    </row>
    <row r="2128" customFormat="false" ht="15" hidden="false" customHeight="false" outlineLevel="0" collapsed="false">
      <c r="A2128" s="7" t="n">
        <v>45868</v>
      </c>
      <c r="B2128" s="7" t="n">
        <v>45889</v>
      </c>
      <c r="C2128" s="8" t="n">
        <v>6604</v>
      </c>
      <c r="D2128" s="8" t="n">
        <v>4485</v>
      </c>
      <c r="E2128" s="8" t="n">
        <v>29120</v>
      </c>
      <c r="F2128" s="8" t="s">
        <v>2200</v>
      </c>
      <c r="G2128" s="8" t="s">
        <v>2201</v>
      </c>
      <c r="H2128" s="8" t="s">
        <v>2658</v>
      </c>
    </row>
    <row r="2129" customFormat="false" ht="15" hidden="false" customHeight="false" outlineLevel="0" collapsed="false">
      <c r="A2129" s="7" t="n">
        <v>45868</v>
      </c>
      <c r="B2129" s="7" t="n">
        <v>45919</v>
      </c>
      <c r="C2129" s="8" t="n">
        <v>6663</v>
      </c>
      <c r="D2129" s="8" t="n">
        <v>2815</v>
      </c>
      <c r="E2129" s="8" t="n">
        <v>15920</v>
      </c>
      <c r="F2129" s="8" t="s">
        <v>2200</v>
      </c>
      <c r="G2129" s="8" t="s">
        <v>2201</v>
      </c>
      <c r="H2129" s="8" t="s">
        <v>2658</v>
      </c>
    </row>
    <row r="2130" customFormat="false" ht="15" hidden="false" customHeight="false" outlineLevel="0" collapsed="false">
      <c r="A2130" s="7" t="n">
        <v>45868</v>
      </c>
      <c r="B2130" s="7" t="n">
        <v>45950</v>
      </c>
      <c r="C2130" s="8" t="n">
        <v>6733</v>
      </c>
      <c r="D2130" s="8" t="n">
        <v>165</v>
      </c>
      <c r="E2130" s="8" t="n">
        <v>140</v>
      </c>
      <c r="F2130" s="8" t="s">
        <v>2200</v>
      </c>
      <c r="G2130" s="8" t="s">
        <v>2201</v>
      </c>
      <c r="H2130" s="8" t="s">
        <v>2658</v>
      </c>
    </row>
    <row r="2131" customFormat="false" ht="15" hidden="false" customHeight="false" outlineLevel="0" collapsed="false">
      <c r="A2131" s="7" t="n">
        <v>45868</v>
      </c>
      <c r="B2131" s="7" t="n">
        <v>45981</v>
      </c>
      <c r="C2131" s="8" t="n">
        <v>6803</v>
      </c>
      <c r="D2131" s="8" t="n">
        <v>0</v>
      </c>
      <c r="E2131" s="8" t="n">
        <v>0</v>
      </c>
      <c r="F2131" s="8" t="s">
        <v>2200</v>
      </c>
      <c r="G2131" s="8" t="s">
        <v>2201</v>
      </c>
      <c r="H2131" s="8" t="s">
        <v>2658</v>
      </c>
    </row>
    <row r="2132" customFormat="false" ht="15" hidden="false" customHeight="false" outlineLevel="0" collapsed="false">
      <c r="A2132" s="7" t="n">
        <v>45869</v>
      </c>
      <c r="B2132" s="7" t="n">
        <v>45889</v>
      </c>
      <c r="C2132" s="8" t="n">
        <v>6641</v>
      </c>
      <c r="D2132" s="8" t="n">
        <v>2815</v>
      </c>
      <c r="E2132" s="8" t="n">
        <v>27670</v>
      </c>
      <c r="F2132" s="8" t="s">
        <v>2200</v>
      </c>
      <c r="G2132" s="8" t="s">
        <v>2201</v>
      </c>
      <c r="H2132" s="8" t="s">
        <v>2659</v>
      </c>
    </row>
    <row r="2133" customFormat="false" ht="15" hidden="false" customHeight="false" outlineLevel="0" collapsed="false">
      <c r="A2133" s="7" t="n">
        <v>45869</v>
      </c>
      <c r="B2133" s="7" t="n">
        <v>45919</v>
      </c>
      <c r="C2133" s="8" t="n">
        <v>6700</v>
      </c>
      <c r="D2133" s="8" t="n">
        <v>1935</v>
      </c>
      <c r="E2133" s="8" t="n">
        <v>16830</v>
      </c>
      <c r="F2133" s="8" t="s">
        <v>2200</v>
      </c>
      <c r="G2133" s="8" t="s">
        <v>2201</v>
      </c>
      <c r="H2133" s="8" t="s">
        <v>2659</v>
      </c>
    </row>
    <row r="2134" customFormat="false" ht="15" hidden="false" customHeight="false" outlineLevel="0" collapsed="false">
      <c r="A2134" s="7" t="n">
        <v>45869</v>
      </c>
      <c r="B2134" s="7" t="n">
        <v>45950</v>
      </c>
      <c r="C2134" s="8" t="n">
        <v>6759</v>
      </c>
      <c r="D2134" s="8" t="n">
        <v>0</v>
      </c>
      <c r="E2134" s="8" t="n">
        <v>140</v>
      </c>
      <c r="F2134" s="8" t="s">
        <v>2200</v>
      </c>
      <c r="G2134" s="8" t="s">
        <v>2201</v>
      </c>
      <c r="H2134" s="8" t="s">
        <v>2659</v>
      </c>
    </row>
    <row r="2135" customFormat="false" ht="15" hidden="false" customHeight="false" outlineLevel="0" collapsed="false">
      <c r="A2135" s="7" t="n">
        <v>45869</v>
      </c>
      <c r="B2135" s="7" t="n">
        <v>45981</v>
      </c>
      <c r="C2135" s="8" t="n">
        <v>6818</v>
      </c>
      <c r="D2135" s="8" t="n">
        <v>0</v>
      </c>
      <c r="E2135" s="8" t="n">
        <v>0</v>
      </c>
      <c r="F2135" s="8" t="s">
        <v>2200</v>
      </c>
      <c r="G2135" s="8" t="s">
        <v>2201</v>
      </c>
      <c r="H2135" s="8" t="s">
        <v>2659</v>
      </c>
    </row>
    <row r="2136" customFormat="false" ht="15" hidden="false" customHeight="false" outlineLevel="0" collapsed="false">
      <c r="A2136" s="7" t="n">
        <v>45870</v>
      </c>
      <c r="B2136" s="7" t="n">
        <v>45889</v>
      </c>
      <c r="C2136" s="8" t="n">
        <v>6619</v>
      </c>
      <c r="D2136" s="8" t="n">
        <v>2660</v>
      </c>
      <c r="E2136" s="8" t="n">
        <v>27060</v>
      </c>
      <c r="F2136" s="8" t="s">
        <v>2200</v>
      </c>
      <c r="G2136" s="8" t="s">
        <v>2201</v>
      </c>
      <c r="H2136" s="8" t="s">
        <v>2660</v>
      </c>
    </row>
    <row r="2137" customFormat="false" ht="15" hidden="false" customHeight="false" outlineLevel="0" collapsed="false">
      <c r="A2137" s="7" t="n">
        <v>45870</v>
      </c>
      <c r="B2137" s="7" t="n">
        <v>45919</v>
      </c>
      <c r="C2137" s="8" t="n">
        <v>6685</v>
      </c>
      <c r="D2137" s="8" t="n">
        <v>1745</v>
      </c>
      <c r="E2137" s="8" t="n">
        <v>17450</v>
      </c>
      <c r="F2137" s="8" t="s">
        <v>2200</v>
      </c>
      <c r="G2137" s="8" t="s">
        <v>2201</v>
      </c>
      <c r="H2137" s="8" t="s">
        <v>2660</v>
      </c>
    </row>
    <row r="2138" customFormat="false" ht="15" hidden="false" customHeight="false" outlineLevel="0" collapsed="false">
      <c r="A2138" s="7" t="n">
        <v>45870</v>
      </c>
      <c r="B2138" s="7" t="n">
        <v>45950</v>
      </c>
      <c r="C2138" s="8" t="n">
        <v>6729</v>
      </c>
      <c r="D2138" s="8" t="n">
        <v>65</v>
      </c>
      <c r="E2138" s="8" t="n">
        <v>190</v>
      </c>
      <c r="F2138" s="8" t="s">
        <v>2200</v>
      </c>
      <c r="G2138" s="8" t="s">
        <v>2201</v>
      </c>
      <c r="H2138" s="8" t="s">
        <v>2660</v>
      </c>
    </row>
    <row r="2139" customFormat="false" ht="15" hidden="false" customHeight="false" outlineLevel="0" collapsed="false">
      <c r="A2139" s="7" t="n">
        <v>45870</v>
      </c>
      <c r="B2139" s="7" t="n">
        <v>45981</v>
      </c>
      <c r="C2139" s="8" t="n">
        <v>6773</v>
      </c>
      <c r="D2139" s="8" t="n">
        <v>0</v>
      </c>
      <c r="E2139" s="8" t="n">
        <v>0</v>
      </c>
      <c r="F2139" s="8" t="s">
        <v>2200</v>
      </c>
      <c r="G2139" s="8" t="s">
        <v>2201</v>
      </c>
      <c r="H2139" s="8" t="s">
        <v>2660</v>
      </c>
    </row>
    <row r="2140" customFormat="false" ht="15" hidden="false" customHeight="false" outlineLevel="0" collapsed="false">
      <c r="A2140" s="7" t="n">
        <v>45870</v>
      </c>
      <c r="B2140" s="7" t="n">
        <v>46010</v>
      </c>
      <c r="C2140" s="8" t="n">
        <v>6817</v>
      </c>
      <c r="D2140" s="8" t="n">
        <v>0</v>
      </c>
      <c r="E2140" s="8" t="n">
        <v>0</v>
      </c>
      <c r="F2140" s="8" t="s">
        <v>2200</v>
      </c>
      <c r="G2140" s="8" t="s">
        <v>2201</v>
      </c>
      <c r="H2140" s="8" t="s">
        <v>2660</v>
      </c>
    </row>
    <row r="2141" customFormat="false" ht="15" hidden="false" customHeight="false" outlineLevel="0" collapsed="false">
      <c r="A2141" s="7" t="n">
        <v>45873</v>
      </c>
      <c r="B2141" s="7" t="n">
        <v>45889</v>
      </c>
      <c r="C2141" s="8" t="n">
        <v>6595</v>
      </c>
      <c r="D2141" s="8" t="n">
        <v>4245</v>
      </c>
      <c r="E2141" s="8" t="n">
        <v>25580</v>
      </c>
      <c r="F2141" s="8" t="s">
        <v>2200</v>
      </c>
      <c r="G2141" s="8" t="s">
        <v>2201</v>
      </c>
      <c r="H2141" s="8" t="s">
        <v>2661</v>
      </c>
    </row>
    <row r="2142" customFormat="false" ht="15" hidden="false" customHeight="false" outlineLevel="0" collapsed="false">
      <c r="A2142" s="7" t="n">
        <v>45873</v>
      </c>
      <c r="B2142" s="7" t="n">
        <v>45919</v>
      </c>
      <c r="C2142" s="8" t="n">
        <v>6659</v>
      </c>
      <c r="D2142" s="8" t="n">
        <v>4040</v>
      </c>
      <c r="E2142" s="8" t="n">
        <v>18915</v>
      </c>
      <c r="F2142" s="8" t="s">
        <v>2200</v>
      </c>
      <c r="G2142" s="8" t="s">
        <v>2201</v>
      </c>
      <c r="H2142" s="8" t="s">
        <v>2661</v>
      </c>
    </row>
    <row r="2143" customFormat="false" ht="15" hidden="false" customHeight="false" outlineLevel="0" collapsed="false">
      <c r="A2143" s="7" t="n">
        <v>45873</v>
      </c>
      <c r="B2143" s="7" t="n">
        <v>45950</v>
      </c>
      <c r="C2143" s="8" t="n">
        <v>6738</v>
      </c>
      <c r="D2143" s="8" t="n">
        <v>125</v>
      </c>
      <c r="E2143" s="8" t="n">
        <v>275</v>
      </c>
      <c r="F2143" s="8" t="s">
        <v>2200</v>
      </c>
      <c r="G2143" s="8" t="s">
        <v>2201</v>
      </c>
      <c r="H2143" s="8" t="s">
        <v>2661</v>
      </c>
    </row>
    <row r="2144" customFormat="false" ht="15" hidden="false" customHeight="false" outlineLevel="0" collapsed="false">
      <c r="A2144" s="7" t="n">
        <v>45873</v>
      </c>
      <c r="B2144" s="7" t="n">
        <v>45981</v>
      </c>
      <c r="C2144" s="8" t="n">
        <v>6817</v>
      </c>
      <c r="D2144" s="8" t="n">
        <v>0</v>
      </c>
      <c r="E2144" s="8" t="n">
        <v>0</v>
      </c>
      <c r="F2144" s="8" t="s">
        <v>2200</v>
      </c>
      <c r="G2144" s="8" t="s">
        <v>2201</v>
      </c>
      <c r="H2144" s="8" t="s">
        <v>2661</v>
      </c>
    </row>
    <row r="2145" customFormat="false" ht="15" hidden="false" customHeight="false" outlineLevel="0" collapsed="false">
      <c r="A2145" s="7" t="n">
        <v>45873</v>
      </c>
      <c r="B2145" s="7" t="n">
        <v>46010</v>
      </c>
      <c r="C2145" s="8" t="n">
        <v>6896</v>
      </c>
      <c r="D2145" s="8" t="n">
        <v>0</v>
      </c>
      <c r="E2145" s="8" t="n">
        <v>0</v>
      </c>
      <c r="F2145" s="8" t="s">
        <v>2200</v>
      </c>
      <c r="G2145" s="8" t="s">
        <v>2201</v>
      </c>
      <c r="H2145" s="8" t="s">
        <v>2661</v>
      </c>
    </row>
    <row r="2146" customFormat="false" ht="15" hidden="false" customHeight="false" outlineLevel="0" collapsed="false">
      <c r="A2146" s="7" t="n">
        <v>45874</v>
      </c>
      <c r="B2146" s="7" t="n">
        <v>45889</v>
      </c>
      <c r="C2146" s="8" t="n">
        <v>6594</v>
      </c>
      <c r="D2146" s="8" t="n">
        <v>4935</v>
      </c>
      <c r="E2146" s="8" t="n">
        <v>23515</v>
      </c>
      <c r="F2146" s="8" t="s">
        <v>2200</v>
      </c>
      <c r="G2146" s="8" t="s">
        <v>2201</v>
      </c>
      <c r="H2146" s="8" t="s">
        <v>2662</v>
      </c>
    </row>
    <row r="2147" customFormat="false" ht="15" hidden="false" customHeight="false" outlineLevel="0" collapsed="false">
      <c r="A2147" s="7" t="n">
        <v>45874</v>
      </c>
      <c r="B2147" s="7" t="n">
        <v>45919</v>
      </c>
      <c r="C2147" s="8" t="n">
        <v>6663</v>
      </c>
      <c r="D2147" s="8" t="n">
        <v>3745</v>
      </c>
      <c r="E2147" s="8" t="n">
        <v>21020</v>
      </c>
      <c r="F2147" s="8" t="s">
        <v>2200</v>
      </c>
      <c r="G2147" s="8" t="s">
        <v>2201</v>
      </c>
      <c r="H2147" s="8" t="s">
        <v>2662</v>
      </c>
    </row>
    <row r="2148" customFormat="false" ht="15" hidden="false" customHeight="false" outlineLevel="0" collapsed="false">
      <c r="A2148" s="7" t="n">
        <v>45874</v>
      </c>
      <c r="B2148" s="7" t="n">
        <v>45950</v>
      </c>
      <c r="C2148" s="8" t="n">
        <v>6721</v>
      </c>
      <c r="D2148" s="8" t="n">
        <v>30</v>
      </c>
      <c r="E2148" s="8" t="n">
        <v>270</v>
      </c>
      <c r="F2148" s="8" t="s">
        <v>2200</v>
      </c>
      <c r="G2148" s="8" t="s">
        <v>2201</v>
      </c>
      <c r="H2148" s="8" t="s">
        <v>2662</v>
      </c>
    </row>
    <row r="2149" customFormat="false" ht="15" hidden="false" customHeight="false" outlineLevel="0" collapsed="false">
      <c r="A2149" s="7" t="n">
        <v>45874</v>
      </c>
      <c r="B2149" s="7" t="n">
        <v>45981</v>
      </c>
      <c r="C2149" s="8" t="n">
        <v>6779</v>
      </c>
      <c r="D2149" s="8" t="n">
        <v>0</v>
      </c>
      <c r="E2149" s="8" t="n">
        <v>0</v>
      </c>
      <c r="F2149" s="8" t="s">
        <v>2200</v>
      </c>
      <c r="G2149" s="8" t="s">
        <v>2201</v>
      </c>
      <c r="H2149" s="8" t="s">
        <v>2662</v>
      </c>
    </row>
    <row r="2150" customFormat="false" ht="15" hidden="false" customHeight="false" outlineLevel="0" collapsed="false">
      <c r="A2150" s="7" t="n">
        <v>45874</v>
      </c>
      <c r="B2150" s="7" t="n">
        <v>46010</v>
      </c>
      <c r="C2150" s="8" t="n">
        <v>6837</v>
      </c>
      <c r="D2150" s="8" t="n">
        <v>0</v>
      </c>
      <c r="E2150" s="8" t="n">
        <v>0</v>
      </c>
      <c r="F2150" s="8" t="s">
        <v>2200</v>
      </c>
      <c r="G2150" s="8" t="s">
        <v>2201</v>
      </c>
      <c r="H2150" s="8" t="s">
        <v>2662</v>
      </c>
    </row>
    <row r="2151" customFormat="false" ht="15" hidden="false" customHeight="false" outlineLevel="0" collapsed="false">
      <c r="A2151" s="7" t="n">
        <v>45875</v>
      </c>
      <c r="B2151" s="7" t="n">
        <v>45889</v>
      </c>
      <c r="C2151" s="8" t="n">
        <v>6632</v>
      </c>
      <c r="D2151" s="8" t="n">
        <v>4770</v>
      </c>
      <c r="E2151" s="8" t="n">
        <v>21840</v>
      </c>
      <c r="F2151" s="8" t="s">
        <v>2200</v>
      </c>
      <c r="G2151" s="8" t="s">
        <v>2201</v>
      </c>
      <c r="H2151" s="8" t="s">
        <v>2663</v>
      </c>
    </row>
    <row r="2152" customFormat="false" ht="15" hidden="false" customHeight="false" outlineLevel="0" collapsed="false">
      <c r="A2152" s="7" t="n">
        <v>45875</v>
      </c>
      <c r="B2152" s="7" t="n">
        <v>45919</v>
      </c>
      <c r="C2152" s="8" t="n">
        <v>6700</v>
      </c>
      <c r="D2152" s="8" t="n">
        <v>3505</v>
      </c>
      <c r="E2152" s="8" t="n">
        <v>22505</v>
      </c>
      <c r="F2152" s="8" t="s">
        <v>2200</v>
      </c>
      <c r="G2152" s="8" t="s">
        <v>2201</v>
      </c>
      <c r="H2152" s="8" t="s">
        <v>2663</v>
      </c>
    </row>
    <row r="2153" customFormat="false" ht="15" hidden="false" customHeight="false" outlineLevel="0" collapsed="false">
      <c r="A2153" s="7" t="n">
        <v>45875</v>
      </c>
      <c r="B2153" s="7" t="n">
        <v>45950</v>
      </c>
      <c r="C2153" s="8" t="n">
        <v>6721</v>
      </c>
      <c r="D2153" s="8" t="n">
        <v>5</v>
      </c>
      <c r="E2153" s="8" t="n">
        <v>270</v>
      </c>
      <c r="F2153" s="8" t="s">
        <v>2200</v>
      </c>
      <c r="G2153" s="8" t="s">
        <v>2201</v>
      </c>
      <c r="H2153" s="8" t="s">
        <v>2663</v>
      </c>
    </row>
    <row r="2154" customFormat="false" ht="15" hidden="false" customHeight="false" outlineLevel="0" collapsed="false">
      <c r="A2154" s="7" t="n">
        <v>45875</v>
      </c>
      <c r="B2154" s="7" t="n">
        <v>45981</v>
      </c>
      <c r="C2154" s="8" t="n">
        <v>6742</v>
      </c>
      <c r="D2154" s="8" t="n">
        <v>0</v>
      </c>
      <c r="E2154" s="8" t="n">
        <v>0</v>
      </c>
      <c r="F2154" s="8" t="s">
        <v>2200</v>
      </c>
      <c r="G2154" s="8" t="s">
        <v>2201</v>
      </c>
      <c r="H2154" s="8" t="s">
        <v>2663</v>
      </c>
    </row>
    <row r="2155" customFormat="false" ht="15" hidden="false" customHeight="false" outlineLevel="0" collapsed="false">
      <c r="A2155" s="7" t="n">
        <v>45875</v>
      </c>
      <c r="B2155" s="7" t="n">
        <v>46010</v>
      </c>
      <c r="C2155" s="8" t="n">
        <v>6763</v>
      </c>
      <c r="D2155" s="8" t="n">
        <v>0</v>
      </c>
      <c r="E2155" s="8" t="n">
        <v>0</v>
      </c>
      <c r="F2155" s="8" t="s">
        <v>2200</v>
      </c>
      <c r="G2155" s="8" t="s">
        <v>2201</v>
      </c>
      <c r="H2155" s="8" t="s">
        <v>2663</v>
      </c>
    </row>
    <row r="2156" customFormat="false" ht="15" hidden="false" customHeight="false" outlineLevel="0" collapsed="false">
      <c r="A2156" s="7" t="n">
        <v>45876</v>
      </c>
      <c r="B2156" s="7" t="n">
        <v>45889</v>
      </c>
      <c r="C2156" s="8" t="n">
        <v>6638</v>
      </c>
      <c r="D2156" s="8" t="n">
        <v>4640</v>
      </c>
      <c r="E2156" s="8" t="n">
        <v>20985</v>
      </c>
      <c r="F2156" s="8" t="s">
        <v>2200</v>
      </c>
      <c r="G2156" s="8" t="s">
        <v>2201</v>
      </c>
      <c r="H2156" s="8" t="s">
        <v>2664</v>
      </c>
    </row>
    <row r="2157" customFormat="false" ht="15" hidden="false" customHeight="false" outlineLevel="0" collapsed="false">
      <c r="A2157" s="7" t="n">
        <v>45876</v>
      </c>
      <c r="B2157" s="7" t="n">
        <v>45919</v>
      </c>
      <c r="C2157" s="8" t="n">
        <v>6704</v>
      </c>
      <c r="D2157" s="8" t="n">
        <v>4760</v>
      </c>
      <c r="E2157" s="8" t="n">
        <v>23495</v>
      </c>
      <c r="F2157" s="8" t="s">
        <v>2200</v>
      </c>
      <c r="G2157" s="8" t="s">
        <v>2201</v>
      </c>
      <c r="H2157" s="8" t="s">
        <v>2664</v>
      </c>
    </row>
    <row r="2158" customFormat="false" ht="15" hidden="false" customHeight="false" outlineLevel="0" collapsed="false">
      <c r="A2158" s="7" t="n">
        <v>45876</v>
      </c>
      <c r="B2158" s="7" t="n">
        <v>45950</v>
      </c>
      <c r="C2158" s="8" t="n">
        <v>6770</v>
      </c>
      <c r="D2158" s="8" t="n">
        <v>0</v>
      </c>
      <c r="E2158" s="8" t="n">
        <v>270</v>
      </c>
      <c r="F2158" s="8" t="s">
        <v>2200</v>
      </c>
      <c r="G2158" s="8" t="s">
        <v>2201</v>
      </c>
      <c r="H2158" s="8" t="s">
        <v>2664</v>
      </c>
    </row>
    <row r="2159" customFormat="false" ht="15" hidden="false" customHeight="false" outlineLevel="0" collapsed="false">
      <c r="A2159" s="7" t="n">
        <v>45876</v>
      </c>
      <c r="B2159" s="7" t="n">
        <v>45981</v>
      </c>
      <c r="C2159" s="8" t="n">
        <v>6836</v>
      </c>
      <c r="D2159" s="8" t="n">
        <v>0</v>
      </c>
      <c r="E2159" s="8" t="n">
        <v>0</v>
      </c>
      <c r="F2159" s="8" t="s">
        <v>2200</v>
      </c>
      <c r="G2159" s="8" t="s">
        <v>2201</v>
      </c>
      <c r="H2159" s="8" t="s">
        <v>2664</v>
      </c>
    </row>
    <row r="2160" customFormat="false" ht="15" hidden="false" customHeight="false" outlineLevel="0" collapsed="false">
      <c r="A2160" s="7" t="n">
        <v>45876</v>
      </c>
      <c r="B2160" s="7" t="n">
        <v>46010</v>
      </c>
      <c r="C2160" s="8" t="n">
        <v>6902</v>
      </c>
      <c r="D2160" s="8" t="n">
        <v>0</v>
      </c>
      <c r="E2160" s="8" t="n">
        <v>0</v>
      </c>
      <c r="F2160" s="8" t="s">
        <v>2200</v>
      </c>
      <c r="G2160" s="8" t="s">
        <v>2201</v>
      </c>
      <c r="H2160" s="8" t="s">
        <v>2664</v>
      </c>
    </row>
    <row r="2161" customFormat="false" ht="15" hidden="false" customHeight="false" outlineLevel="0" collapsed="false">
      <c r="A2161" s="7" t="n">
        <v>45877</v>
      </c>
      <c r="B2161" s="7" t="n">
        <v>45889</v>
      </c>
      <c r="C2161" s="8" t="n">
        <v>6620</v>
      </c>
      <c r="D2161" s="8" t="n">
        <v>5480</v>
      </c>
      <c r="E2161" s="8" t="n">
        <v>17920</v>
      </c>
      <c r="F2161" s="8" t="s">
        <v>2200</v>
      </c>
      <c r="G2161" s="8" t="s">
        <v>2201</v>
      </c>
      <c r="H2161" s="8" t="s">
        <v>2665</v>
      </c>
    </row>
    <row r="2162" customFormat="false" ht="15" hidden="false" customHeight="false" outlineLevel="0" collapsed="false">
      <c r="A2162" s="7" t="n">
        <v>45877</v>
      </c>
      <c r="B2162" s="7" t="n">
        <v>45919</v>
      </c>
      <c r="C2162" s="8" t="n">
        <v>6684</v>
      </c>
      <c r="D2162" s="8" t="n">
        <v>5775</v>
      </c>
      <c r="E2162" s="8" t="n">
        <v>26180</v>
      </c>
      <c r="F2162" s="8" t="s">
        <v>2200</v>
      </c>
      <c r="G2162" s="8" t="s">
        <v>2201</v>
      </c>
      <c r="H2162" s="8" t="s">
        <v>2665</v>
      </c>
    </row>
    <row r="2163" customFormat="false" ht="15" hidden="false" customHeight="false" outlineLevel="0" collapsed="false">
      <c r="A2163" s="7" t="n">
        <v>45877</v>
      </c>
      <c r="B2163" s="7" t="n">
        <v>45950</v>
      </c>
      <c r="C2163" s="8" t="n">
        <v>6730</v>
      </c>
      <c r="D2163" s="8" t="n">
        <v>5</v>
      </c>
      <c r="E2163" s="8" t="n">
        <v>275</v>
      </c>
      <c r="F2163" s="8" t="s">
        <v>2200</v>
      </c>
      <c r="G2163" s="8" t="s">
        <v>2201</v>
      </c>
      <c r="H2163" s="8" t="s">
        <v>2665</v>
      </c>
    </row>
    <row r="2164" customFormat="false" ht="15" hidden="false" customHeight="false" outlineLevel="0" collapsed="false">
      <c r="A2164" s="7" t="n">
        <v>45877</v>
      </c>
      <c r="B2164" s="7" t="n">
        <v>45981</v>
      </c>
      <c r="C2164" s="8" t="n">
        <v>6776</v>
      </c>
      <c r="D2164" s="8" t="n">
        <v>0</v>
      </c>
      <c r="E2164" s="8" t="n">
        <v>0</v>
      </c>
      <c r="F2164" s="8" t="s">
        <v>2200</v>
      </c>
      <c r="G2164" s="8" t="s">
        <v>2201</v>
      </c>
      <c r="H2164" s="8" t="s">
        <v>2665</v>
      </c>
    </row>
    <row r="2165" customFormat="false" ht="15" hidden="false" customHeight="false" outlineLevel="0" collapsed="false">
      <c r="A2165" s="7" t="n">
        <v>45877</v>
      </c>
      <c r="B2165" s="7" t="n">
        <v>46010</v>
      </c>
      <c r="C2165" s="8" t="n">
        <v>6822</v>
      </c>
      <c r="D2165" s="8" t="n">
        <v>0</v>
      </c>
      <c r="E2165" s="8" t="n">
        <v>0</v>
      </c>
      <c r="F2165" s="8" t="s">
        <v>2200</v>
      </c>
      <c r="G2165" s="8" t="s">
        <v>2201</v>
      </c>
      <c r="H2165" s="8" t="s">
        <v>2665</v>
      </c>
    </row>
    <row r="2166" customFormat="false" ht="15" hidden="false" customHeight="false" outlineLevel="0" collapsed="false">
      <c r="A2166" s="7" t="n">
        <v>45880</v>
      </c>
      <c r="B2166" s="7" t="n">
        <v>45889</v>
      </c>
      <c r="C2166" s="8" t="n">
        <v>6588</v>
      </c>
      <c r="D2166" s="8" t="n">
        <v>4940</v>
      </c>
      <c r="E2166" s="8" t="n">
        <v>14705</v>
      </c>
      <c r="F2166" s="8" t="s">
        <v>2200</v>
      </c>
      <c r="G2166" s="8" t="s">
        <v>2201</v>
      </c>
      <c r="H2166" s="8" t="s">
        <v>2666</v>
      </c>
    </row>
    <row r="2167" customFormat="false" ht="15" hidden="false" customHeight="false" outlineLevel="0" collapsed="false">
      <c r="A2167" s="7" t="n">
        <v>45880</v>
      </c>
      <c r="B2167" s="7" t="n">
        <v>45919</v>
      </c>
      <c r="C2167" s="8" t="n">
        <v>6655</v>
      </c>
      <c r="D2167" s="8" t="n">
        <v>6345</v>
      </c>
      <c r="E2167" s="8" t="n">
        <v>28445</v>
      </c>
      <c r="F2167" s="8" t="s">
        <v>2200</v>
      </c>
      <c r="G2167" s="8" t="s">
        <v>2201</v>
      </c>
      <c r="H2167" s="8" t="s">
        <v>2666</v>
      </c>
    </row>
    <row r="2168" customFormat="false" ht="15" hidden="false" customHeight="false" outlineLevel="0" collapsed="false">
      <c r="A2168" s="7" t="n">
        <v>45880</v>
      </c>
      <c r="B2168" s="7" t="n">
        <v>45950</v>
      </c>
      <c r="C2168" s="8" t="n">
        <v>6701</v>
      </c>
      <c r="D2168" s="8" t="n">
        <v>5</v>
      </c>
      <c r="E2168" s="8" t="n">
        <v>275</v>
      </c>
      <c r="F2168" s="8" t="s">
        <v>2200</v>
      </c>
      <c r="G2168" s="8" t="s">
        <v>2201</v>
      </c>
      <c r="H2168" s="8" t="s">
        <v>2666</v>
      </c>
    </row>
    <row r="2169" customFormat="false" ht="15" hidden="false" customHeight="false" outlineLevel="0" collapsed="false">
      <c r="A2169" s="7" t="n">
        <v>45880</v>
      </c>
      <c r="B2169" s="7" t="n">
        <v>45981</v>
      </c>
      <c r="C2169" s="8" t="n">
        <v>6747</v>
      </c>
      <c r="D2169" s="8" t="n">
        <v>0</v>
      </c>
      <c r="E2169" s="8" t="n">
        <v>0</v>
      </c>
      <c r="F2169" s="8" t="s">
        <v>2200</v>
      </c>
      <c r="G2169" s="8" t="s">
        <v>2201</v>
      </c>
      <c r="H2169" s="8" t="s">
        <v>2666</v>
      </c>
    </row>
    <row r="2170" customFormat="false" ht="15" hidden="false" customHeight="false" outlineLevel="0" collapsed="false">
      <c r="A2170" s="7" t="n">
        <v>45880</v>
      </c>
      <c r="B2170" s="7" t="n">
        <v>46010</v>
      </c>
      <c r="C2170" s="8" t="n">
        <v>6793</v>
      </c>
      <c r="D2170" s="8" t="n">
        <v>0</v>
      </c>
      <c r="E2170" s="8" t="n">
        <v>0</v>
      </c>
      <c r="F2170" s="8" t="s">
        <v>2200</v>
      </c>
      <c r="G2170" s="8" t="s">
        <v>2201</v>
      </c>
      <c r="H2170" s="8" t="s">
        <v>2666</v>
      </c>
    </row>
    <row r="2171" customFormat="false" ht="15" hidden="false" customHeight="false" outlineLevel="0" collapsed="false">
      <c r="A2171" s="7" t="n">
        <v>45881</v>
      </c>
      <c r="B2171" s="7" t="n">
        <v>45889</v>
      </c>
      <c r="C2171" s="8" t="n">
        <v>6553</v>
      </c>
      <c r="D2171" s="8" t="n">
        <v>4230</v>
      </c>
      <c r="E2171" s="8" t="n">
        <v>11995</v>
      </c>
      <c r="F2171" s="8" t="s">
        <v>2200</v>
      </c>
      <c r="G2171" s="8" t="s">
        <v>2201</v>
      </c>
      <c r="H2171" s="8" t="s">
        <v>2667</v>
      </c>
    </row>
    <row r="2172" customFormat="false" ht="15" hidden="false" customHeight="false" outlineLevel="0" collapsed="false">
      <c r="A2172" s="7" t="n">
        <v>45881</v>
      </c>
      <c r="B2172" s="7" t="n">
        <v>45919</v>
      </c>
      <c r="C2172" s="8" t="n">
        <v>6617</v>
      </c>
      <c r="D2172" s="8" t="n">
        <v>6430</v>
      </c>
      <c r="E2172" s="8" t="n">
        <v>31145</v>
      </c>
      <c r="F2172" s="8" t="s">
        <v>2200</v>
      </c>
      <c r="G2172" s="8" t="s">
        <v>2201</v>
      </c>
      <c r="H2172" s="8" t="s">
        <v>2667</v>
      </c>
    </row>
    <row r="2173" customFormat="false" ht="15" hidden="false" customHeight="false" outlineLevel="0" collapsed="false">
      <c r="A2173" s="7" t="n">
        <v>45881</v>
      </c>
      <c r="B2173" s="7" t="n">
        <v>45950</v>
      </c>
      <c r="C2173" s="8" t="n">
        <v>6685</v>
      </c>
      <c r="D2173" s="8" t="n">
        <v>10</v>
      </c>
      <c r="E2173" s="8" t="n">
        <v>270</v>
      </c>
      <c r="F2173" s="8" t="s">
        <v>2200</v>
      </c>
      <c r="G2173" s="8" t="s">
        <v>2201</v>
      </c>
      <c r="H2173" s="8" t="s">
        <v>2667</v>
      </c>
    </row>
    <row r="2174" customFormat="false" ht="15" hidden="false" customHeight="false" outlineLevel="0" collapsed="false">
      <c r="A2174" s="7" t="n">
        <v>45881</v>
      </c>
      <c r="B2174" s="7" t="n">
        <v>45981</v>
      </c>
      <c r="C2174" s="8" t="n">
        <v>6753</v>
      </c>
      <c r="D2174" s="8" t="n">
        <v>0</v>
      </c>
      <c r="E2174" s="8" t="n">
        <v>0</v>
      </c>
      <c r="F2174" s="8" t="s">
        <v>2200</v>
      </c>
      <c r="G2174" s="8" t="s">
        <v>2201</v>
      </c>
      <c r="H2174" s="8" t="s">
        <v>2667</v>
      </c>
    </row>
    <row r="2175" customFormat="false" ht="15" hidden="false" customHeight="false" outlineLevel="0" collapsed="false">
      <c r="A2175" s="7" t="n">
        <v>45881</v>
      </c>
      <c r="B2175" s="7" t="n">
        <v>46010</v>
      </c>
      <c r="C2175" s="8" t="n">
        <v>6821</v>
      </c>
      <c r="D2175" s="8" t="n">
        <v>0</v>
      </c>
      <c r="E2175" s="8" t="n">
        <v>0</v>
      </c>
      <c r="F2175" s="8" t="s">
        <v>2200</v>
      </c>
      <c r="G2175" s="8" t="s">
        <v>2201</v>
      </c>
      <c r="H2175" s="8" t="s">
        <v>2667</v>
      </c>
    </row>
    <row r="2176" customFormat="false" ht="15" hidden="false" customHeight="false" outlineLevel="0" collapsed="false">
      <c r="A2176" s="7" t="n">
        <v>45882</v>
      </c>
      <c r="B2176" s="7" t="n">
        <v>45889</v>
      </c>
      <c r="C2176" s="8" t="n">
        <v>6538</v>
      </c>
      <c r="D2176" s="8" t="n">
        <v>3425</v>
      </c>
      <c r="E2176" s="8" t="n">
        <v>9940</v>
      </c>
      <c r="F2176" s="8" t="s">
        <v>2200</v>
      </c>
      <c r="G2176" s="8" t="s">
        <v>2201</v>
      </c>
      <c r="H2176" s="8" t="s">
        <v>2668</v>
      </c>
    </row>
    <row r="2177" customFormat="false" ht="15" hidden="false" customHeight="false" outlineLevel="0" collapsed="false">
      <c r="A2177" s="7" t="n">
        <v>45882</v>
      </c>
      <c r="B2177" s="7" t="n">
        <v>45919</v>
      </c>
      <c r="C2177" s="8" t="n">
        <v>6605</v>
      </c>
      <c r="D2177" s="8" t="n">
        <v>4335</v>
      </c>
      <c r="E2177" s="8" t="n">
        <v>32955</v>
      </c>
      <c r="F2177" s="8" t="s">
        <v>2200</v>
      </c>
      <c r="G2177" s="8" t="s">
        <v>2201</v>
      </c>
      <c r="H2177" s="8" t="s">
        <v>2668</v>
      </c>
    </row>
    <row r="2178" customFormat="false" ht="15" hidden="false" customHeight="false" outlineLevel="0" collapsed="false">
      <c r="A2178" s="7" t="n">
        <v>45882</v>
      </c>
      <c r="B2178" s="7" t="n">
        <v>45950</v>
      </c>
      <c r="C2178" s="8" t="n">
        <v>6660</v>
      </c>
      <c r="D2178" s="8" t="n">
        <v>5</v>
      </c>
      <c r="E2178" s="8" t="n">
        <v>275</v>
      </c>
      <c r="F2178" s="8" t="s">
        <v>2200</v>
      </c>
      <c r="G2178" s="8" t="s">
        <v>2201</v>
      </c>
      <c r="H2178" s="8" t="s">
        <v>2668</v>
      </c>
    </row>
    <row r="2179" customFormat="false" ht="15" hidden="false" customHeight="false" outlineLevel="0" collapsed="false">
      <c r="A2179" s="7" t="n">
        <v>45882</v>
      </c>
      <c r="B2179" s="7" t="n">
        <v>45981</v>
      </c>
      <c r="C2179" s="8" t="n">
        <v>6715</v>
      </c>
      <c r="D2179" s="8" t="n">
        <v>0</v>
      </c>
      <c r="E2179" s="8" t="n">
        <v>0</v>
      </c>
      <c r="F2179" s="8" t="s">
        <v>2200</v>
      </c>
      <c r="G2179" s="8" t="s">
        <v>2201</v>
      </c>
      <c r="H2179" s="8" t="s">
        <v>2668</v>
      </c>
    </row>
    <row r="2180" customFormat="false" ht="15" hidden="false" customHeight="false" outlineLevel="0" collapsed="false">
      <c r="A2180" s="7" t="n">
        <v>45882</v>
      </c>
      <c r="B2180" s="7" t="n">
        <v>46010</v>
      </c>
      <c r="C2180" s="8" t="n">
        <v>6770</v>
      </c>
      <c r="D2180" s="8" t="n">
        <v>0</v>
      </c>
      <c r="E2180" s="8" t="n">
        <v>0</v>
      </c>
      <c r="F2180" s="8" t="s">
        <v>2200</v>
      </c>
      <c r="G2180" s="8" t="s">
        <v>2201</v>
      </c>
      <c r="H2180" s="8" t="s">
        <v>2668</v>
      </c>
    </row>
    <row r="2181" customFormat="false" ht="15" hidden="false" customHeight="false" outlineLevel="0" collapsed="false">
      <c r="A2181" s="7" t="n">
        <v>45883</v>
      </c>
      <c r="B2181" s="7" t="n">
        <v>45889</v>
      </c>
      <c r="C2181" s="8" t="n">
        <v>6540</v>
      </c>
      <c r="D2181" s="8" t="n">
        <v>2845</v>
      </c>
      <c r="E2181" s="8" t="n">
        <v>7740</v>
      </c>
      <c r="F2181" s="8" t="s">
        <v>2200</v>
      </c>
      <c r="G2181" s="8" t="s">
        <v>2201</v>
      </c>
      <c r="H2181" s="8" t="s">
        <v>2669</v>
      </c>
    </row>
    <row r="2182" customFormat="false" ht="15" hidden="false" customHeight="false" outlineLevel="0" collapsed="false">
      <c r="A2182" s="7" t="n">
        <v>45883</v>
      </c>
      <c r="B2182" s="7" t="n">
        <v>45919</v>
      </c>
      <c r="C2182" s="8" t="n">
        <v>6606</v>
      </c>
      <c r="D2182" s="8" t="n">
        <v>3535</v>
      </c>
      <c r="E2182" s="8" t="n">
        <v>34725</v>
      </c>
      <c r="F2182" s="8" t="s">
        <v>2200</v>
      </c>
      <c r="G2182" s="8" t="s">
        <v>2201</v>
      </c>
      <c r="H2182" s="8" t="s">
        <v>2669</v>
      </c>
    </row>
    <row r="2183" customFormat="false" ht="15" hidden="false" customHeight="false" outlineLevel="0" collapsed="false">
      <c r="A2183" s="7" t="n">
        <v>45883</v>
      </c>
      <c r="B2183" s="7" t="n">
        <v>45950</v>
      </c>
      <c r="C2183" s="8" t="n">
        <v>6675</v>
      </c>
      <c r="D2183" s="8" t="n">
        <v>10</v>
      </c>
      <c r="E2183" s="8" t="n">
        <v>280</v>
      </c>
      <c r="F2183" s="8" t="s">
        <v>2200</v>
      </c>
      <c r="G2183" s="8" t="s">
        <v>2201</v>
      </c>
      <c r="H2183" s="8" t="s">
        <v>2669</v>
      </c>
    </row>
    <row r="2184" customFormat="false" ht="15" hidden="false" customHeight="false" outlineLevel="0" collapsed="false">
      <c r="A2184" s="7" t="n">
        <v>45883</v>
      </c>
      <c r="B2184" s="7" t="n">
        <v>45981</v>
      </c>
      <c r="C2184" s="8" t="n">
        <v>6744</v>
      </c>
      <c r="D2184" s="8" t="n">
        <v>0</v>
      </c>
      <c r="E2184" s="8" t="n">
        <v>0</v>
      </c>
      <c r="F2184" s="8" t="s">
        <v>2200</v>
      </c>
      <c r="G2184" s="8" t="s">
        <v>2201</v>
      </c>
      <c r="H2184" s="8" t="s">
        <v>2669</v>
      </c>
    </row>
    <row r="2185" customFormat="false" ht="15" hidden="false" customHeight="false" outlineLevel="0" collapsed="false">
      <c r="A2185" s="7" t="n">
        <v>45883</v>
      </c>
      <c r="B2185" s="7" t="n">
        <v>46010</v>
      </c>
      <c r="C2185" s="8" t="n">
        <v>6813</v>
      </c>
      <c r="D2185" s="8" t="n">
        <v>0</v>
      </c>
      <c r="E2185" s="8" t="n">
        <v>0</v>
      </c>
      <c r="F2185" s="8" t="s">
        <v>2200</v>
      </c>
      <c r="G2185" s="8" t="s">
        <v>2201</v>
      </c>
      <c r="H2185" s="8" t="s">
        <v>2669</v>
      </c>
    </row>
    <row r="2186" customFormat="false" ht="15" hidden="false" customHeight="false" outlineLevel="0" collapsed="false">
      <c r="A2186" s="7" t="n">
        <v>45887</v>
      </c>
      <c r="B2186" s="7" t="n">
        <v>45889</v>
      </c>
      <c r="C2186" s="8" t="n">
        <v>6575</v>
      </c>
      <c r="D2186" s="8" t="n">
        <v>4570</v>
      </c>
      <c r="E2186" s="8" t="n">
        <v>4505</v>
      </c>
      <c r="F2186" s="8" t="s">
        <v>2200</v>
      </c>
      <c r="G2186" s="8" t="s">
        <v>2201</v>
      </c>
      <c r="H2186" s="8" t="s">
        <v>2670</v>
      </c>
    </row>
    <row r="2187" customFormat="false" ht="15" hidden="false" customHeight="false" outlineLevel="0" collapsed="false">
      <c r="A2187" s="7" t="n">
        <v>45887</v>
      </c>
      <c r="B2187" s="7" t="n">
        <v>45919</v>
      </c>
      <c r="C2187" s="8" t="n">
        <v>6643</v>
      </c>
      <c r="D2187" s="8" t="n">
        <v>6505</v>
      </c>
      <c r="E2187" s="8" t="n">
        <v>37400</v>
      </c>
      <c r="F2187" s="8" t="s">
        <v>2200</v>
      </c>
      <c r="G2187" s="8" t="s">
        <v>2201</v>
      </c>
      <c r="H2187" s="8" t="s">
        <v>2670</v>
      </c>
    </row>
    <row r="2188" customFormat="false" ht="15" hidden="false" customHeight="false" outlineLevel="0" collapsed="false">
      <c r="A2188" s="7" t="n">
        <v>45887</v>
      </c>
      <c r="B2188" s="7" t="n">
        <v>45950</v>
      </c>
      <c r="C2188" s="8" t="n">
        <v>6672</v>
      </c>
      <c r="D2188" s="8" t="n">
        <v>160</v>
      </c>
      <c r="E2188" s="8" t="n">
        <v>380</v>
      </c>
      <c r="F2188" s="8" t="s">
        <v>2200</v>
      </c>
      <c r="G2188" s="8" t="s">
        <v>2201</v>
      </c>
      <c r="H2188" s="8" t="s">
        <v>2670</v>
      </c>
    </row>
    <row r="2189" customFormat="false" ht="15" hidden="false" customHeight="false" outlineLevel="0" collapsed="false">
      <c r="A2189" s="7" t="n">
        <v>45887</v>
      </c>
      <c r="B2189" s="7" t="n">
        <v>45981</v>
      </c>
      <c r="C2189" s="8" t="n">
        <v>6701</v>
      </c>
      <c r="D2189" s="8" t="n">
        <v>0</v>
      </c>
      <c r="E2189" s="8" t="n">
        <v>0</v>
      </c>
      <c r="F2189" s="8" t="s">
        <v>2200</v>
      </c>
      <c r="G2189" s="8" t="s">
        <v>2201</v>
      </c>
      <c r="H2189" s="8" t="s">
        <v>2670</v>
      </c>
    </row>
    <row r="2190" customFormat="false" ht="15" hidden="false" customHeight="false" outlineLevel="0" collapsed="false">
      <c r="A2190" s="7" t="n">
        <v>45887</v>
      </c>
      <c r="B2190" s="7" t="n">
        <v>46010</v>
      </c>
      <c r="C2190" s="8" t="n">
        <v>6730</v>
      </c>
      <c r="D2190" s="8" t="n">
        <v>0</v>
      </c>
      <c r="E2190" s="8" t="n">
        <v>0</v>
      </c>
      <c r="F2190" s="8" t="s">
        <v>2200</v>
      </c>
      <c r="G2190" s="8" t="s">
        <v>2201</v>
      </c>
      <c r="H2190" s="8" t="s">
        <v>2670</v>
      </c>
    </row>
    <row r="2191" customFormat="false" ht="15" hidden="false" customHeight="false" outlineLevel="0" collapsed="false">
      <c r="A2191" s="7" t="n">
        <v>45888</v>
      </c>
      <c r="B2191" s="7" t="n">
        <v>45889</v>
      </c>
      <c r="C2191" s="8" t="n">
        <v>6575</v>
      </c>
      <c r="D2191" s="8" t="n">
        <v>30</v>
      </c>
      <c r="E2191" s="8" t="n">
        <v>3685</v>
      </c>
      <c r="F2191" s="8" t="s">
        <v>2200</v>
      </c>
      <c r="G2191" s="8" t="s">
        <v>2201</v>
      </c>
      <c r="H2191" s="8" t="s">
        <v>2671</v>
      </c>
    </row>
    <row r="2192" customFormat="false" ht="15" hidden="false" customHeight="false" outlineLevel="0" collapsed="false">
      <c r="A2192" s="7" t="n">
        <v>45888</v>
      </c>
      <c r="B2192" s="7" t="n">
        <v>45919</v>
      </c>
      <c r="C2192" s="8" t="n">
        <v>6650</v>
      </c>
      <c r="D2192" s="8" t="n">
        <v>3920</v>
      </c>
      <c r="E2192" s="8" t="n">
        <v>36760</v>
      </c>
      <c r="F2192" s="8" t="s">
        <v>2200</v>
      </c>
      <c r="G2192" s="8" t="s">
        <v>2201</v>
      </c>
      <c r="H2192" s="8" t="s">
        <v>2671</v>
      </c>
    </row>
    <row r="2193" customFormat="false" ht="15" hidden="false" customHeight="false" outlineLevel="0" collapsed="false">
      <c r="A2193" s="7" t="n">
        <v>45888</v>
      </c>
      <c r="B2193" s="7" t="n">
        <v>45950</v>
      </c>
      <c r="C2193" s="8" t="n">
        <v>6695</v>
      </c>
      <c r="D2193" s="8" t="n">
        <v>130</v>
      </c>
      <c r="E2193" s="8" t="n">
        <v>460</v>
      </c>
      <c r="F2193" s="8" t="s">
        <v>2200</v>
      </c>
      <c r="G2193" s="8" t="s">
        <v>2201</v>
      </c>
      <c r="H2193" s="8" t="s">
        <v>2671</v>
      </c>
    </row>
    <row r="2194" customFormat="false" ht="15" hidden="false" customHeight="false" outlineLevel="0" collapsed="false">
      <c r="A2194" s="7" t="n">
        <v>45888</v>
      </c>
      <c r="B2194" s="7" t="n">
        <v>45981</v>
      </c>
      <c r="C2194" s="8" t="n">
        <v>6740</v>
      </c>
      <c r="D2194" s="8" t="n">
        <v>0</v>
      </c>
      <c r="E2194" s="8" t="n">
        <v>0</v>
      </c>
      <c r="F2194" s="8" t="s">
        <v>2200</v>
      </c>
      <c r="G2194" s="8" t="s">
        <v>2201</v>
      </c>
      <c r="H2194" s="8" t="s">
        <v>2671</v>
      </c>
    </row>
    <row r="2195" customFormat="false" ht="15" hidden="false" customHeight="false" outlineLevel="0" collapsed="false">
      <c r="A2195" s="7" t="n">
        <v>45888</v>
      </c>
      <c r="B2195" s="7" t="n">
        <v>46010</v>
      </c>
      <c r="C2195" s="8" t="n">
        <v>6785</v>
      </c>
      <c r="D2195" s="8" t="n">
        <v>0</v>
      </c>
      <c r="E2195" s="8" t="n">
        <v>0</v>
      </c>
      <c r="F2195" s="8" t="s">
        <v>2200</v>
      </c>
      <c r="G2195" s="8" t="s">
        <v>2201</v>
      </c>
      <c r="H2195" s="8" t="s">
        <v>2671</v>
      </c>
    </row>
    <row r="2196" customFormat="false" ht="15" hidden="false" customHeight="false" outlineLevel="0" collapsed="false">
      <c r="A2196" s="7" t="n">
        <v>45889</v>
      </c>
      <c r="B2196" s="7" t="n">
        <v>45889</v>
      </c>
      <c r="C2196" s="8" t="n">
        <v>6647</v>
      </c>
      <c r="D2196" s="8" t="n">
        <v>15</v>
      </c>
      <c r="E2196" s="8" t="n">
        <v>875</v>
      </c>
      <c r="F2196" s="8" t="s">
        <v>2200</v>
      </c>
      <c r="G2196" s="8" t="s">
        <v>2201</v>
      </c>
      <c r="H2196" s="8" t="s">
        <v>2672</v>
      </c>
    </row>
    <row r="2197" customFormat="false" ht="15" hidden="false" customHeight="false" outlineLevel="0" collapsed="false">
      <c r="A2197" s="7" t="n">
        <v>45889</v>
      </c>
      <c r="B2197" s="7" t="n">
        <v>45919</v>
      </c>
      <c r="C2197" s="8" t="n">
        <v>6695</v>
      </c>
      <c r="D2197" s="8" t="n">
        <v>5290</v>
      </c>
      <c r="E2197" s="8" t="n">
        <v>36080</v>
      </c>
      <c r="F2197" s="8" t="s">
        <v>2200</v>
      </c>
      <c r="G2197" s="8" t="s">
        <v>2201</v>
      </c>
      <c r="H2197" s="8" t="s">
        <v>2672</v>
      </c>
    </row>
    <row r="2198" customFormat="false" ht="15" hidden="false" customHeight="false" outlineLevel="0" collapsed="false">
      <c r="A2198" s="7" t="n">
        <v>45889</v>
      </c>
      <c r="B2198" s="7" t="n">
        <v>45950</v>
      </c>
      <c r="C2198" s="8" t="n">
        <v>6749</v>
      </c>
      <c r="D2198" s="8" t="n">
        <v>1505</v>
      </c>
      <c r="E2198" s="8" t="n">
        <v>950</v>
      </c>
      <c r="F2198" s="8" t="s">
        <v>2200</v>
      </c>
      <c r="G2198" s="8" t="s">
        <v>2201</v>
      </c>
      <c r="H2198" s="8" t="s">
        <v>2672</v>
      </c>
    </row>
    <row r="2199" customFormat="false" ht="15" hidden="false" customHeight="false" outlineLevel="0" collapsed="false">
      <c r="A2199" s="7" t="n">
        <v>45889</v>
      </c>
      <c r="B2199" s="7" t="n">
        <v>45981</v>
      </c>
      <c r="C2199" s="8" t="n">
        <v>6803</v>
      </c>
      <c r="D2199" s="8" t="n">
        <v>0</v>
      </c>
      <c r="E2199" s="8" t="n">
        <v>0</v>
      </c>
      <c r="F2199" s="8" t="s">
        <v>2200</v>
      </c>
      <c r="G2199" s="8" t="s">
        <v>2201</v>
      </c>
      <c r="H2199" s="8" t="s">
        <v>2672</v>
      </c>
    </row>
    <row r="2200" customFormat="false" ht="15" hidden="false" customHeight="false" outlineLevel="0" collapsed="false">
      <c r="A2200" s="7" t="n">
        <v>45889</v>
      </c>
      <c r="B2200" s="7" t="n">
        <v>46010</v>
      </c>
      <c r="C2200" s="8" t="n">
        <v>6857</v>
      </c>
      <c r="D2200" s="8" t="n">
        <v>0</v>
      </c>
      <c r="E2200" s="8" t="n">
        <v>0</v>
      </c>
      <c r="F2200" s="8" t="s">
        <v>2200</v>
      </c>
      <c r="G2200" s="8" t="s">
        <v>2201</v>
      </c>
      <c r="H2200" s="8" t="s">
        <v>2672</v>
      </c>
    </row>
    <row r="2201" customFormat="false" ht="15" hidden="false" customHeight="false" outlineLevel="0" collapsed="false">
      <c r="A2201" s="7" t="n">
        <v>45890</v>
      </c>
      <c r="B2201" s="7" t="n">
        <v>45919</v>
      </c>
      <c r="C2201" s="8" t="n">
        <v>6698</v>
      </c>
      <c r="D2201" s="8" t="n">
        <v>3320</v>
      </c>
      <c r="E2201" s="8" t="n">
        <v>35260</v>
      </c>
      <c r="F2201" s="8" t="s">
        <v>2200</v>
      </c>
      <c r="G2201" s="8" t="s">
        <v>2201</v>
      </c>
      <c r="H2201" s="8" t="s">
        <v>2673</v>
      </c>
    </row>
    <row r="2202" customFormat="false" ht="15" hidden="false" customHeight="false" outlineLevel="0" collapsed="false">
      <c r="A2202" s="7" t="n">
        <v>45890</v>
      </c>
      <c r="B2202" s="7" t="n">
        <v>45950</v>
      </c>
      <c r="C2202" s="8" t="n">
        <v>6770</v>
      </c>
      <c r="D2202" s="8" t="n">
        <v>445</v>
      </c>
      <c r="E2202" s="8" t="n">
        <v>1170</v>
      </c>
      <c r="F2202" s="8" t="s">
        <v>2200</v>
      </c>
      <c r="G2202" s="8" t="s">
        <v>2201</v>
      </c>
      <c r="H2202" s="8" t="s">
        <v>2673</v>
      </c>
    </row>
    <row r="2203" customFormat="false" ht="15" hidden="false" customHeight="false" outlineLevel="0" collapsed="false">
      <c r="A2203" s="7" t="n">
        <v>45890</v>
      </c>
      <c r="B2203" s="7" t="n">
        <v>45981</v>
      </c>
      <c r="C2203" s="8" t="n">
        <v>6842</v>
      </c>
      <c r="D2203" s="8" t="n">
        <v>0</v>
      </c>
      <c r="E2203" s="8" t="n">
        <v>0</v>
      </c>
      <c r="F2203" s="8" t="s">
        <v>2200</v>
      </c>
      <c r="G2203" s="8" t="s">
        <v>2201</v>
      </c>
      <c r="H2203" s="8" t="s">
        <v>2673</v>
      </c>
    </row>
    <row r="2204" customFormat="false" ht="15" hidden="false" customHeight="false" outlineLevel="0" collapsed="false">
      <c r="A2204" s="7" t="n">
        <v>45890</v>
      </c>
      <c r="B2204" s="7" t="n">
        <v>46010</v>
      </c>
      <c r="C2204" s="8" t="n">
        <v>6914</v>
      </c>
      <c r="D2204" s="8" t="n">
        <v>0</v>
      </c>
      <c r="E2204" s="8" t="n">
        <v>0</v>
      </c>
      <c r="F2204" s="8" t="s">
        <v>2200</v>
      </c>
      <c r="G2204" s="8" t="s">
        <v>2201</v>
      </c>
      <c r="H2204" s="8" t="s">
        <v>2673</v>
      </c>
    </row>
    <row r="2205" customFormat="false" ht="15" hidden="false" customHeight="false" outlineLevel="0" collapsed="false">
      <c r="A2205" s="7" t="n">
        <v>45891</v>
      </c>
      <c r="B2205" s="7" t="n">
        <v>45919</v>
      </c>
      <c r="C2205" s="8" t="n">
        <v>6728</v>
      </c>
      <c r="D2205" s="8" t="n">
        <v>8595</v>
      </c>
      <c r="E2205" s="8" t="n">
        <v>29880</v>
      </c>
      <c r="F2205" s="8" t="s">
        <v>2200</v>
      </c>
      <c r="G2205" s="8" t="s">
        <v>2201</v>
      </c>
      <c r="H2205" s="8" t="s">
        <v>2674</v>
      </c>
    </row>
    <row r="2206" customFormat="false" ht="15" hidden="false" customHeight="false" outlineLevel="0" collapsed="false">
      <c r="A2206" s="7" t="n">
        <v>45891</v>
      </c>
      <c r="B2206" s="7" t="n">
        <v>45950</v>
      </c>
      <c r="C2206" s="8" t="n">
        <v>6793</v>
      </c>
      <c r="D2206" s="8" t="n">
        <v>6410</v>
      </c>
      <c r="E2206" s="8" t="n">
        <v>7120</v>
      </c>
      <c r="F2206" s="8" t="s">
        <v>2200</v>
      </c>
      <c r="G2206" s="8" t="s">
        <v>2201</v>
      </c>
      <c r="H2206" s="8" t="s">
        <v>2674</v>
      </c>
    </row>
    <row r="2207" customFormat="false" ht="15" hidden="false" customHeight="false" outlineLevel="0" collapsed="false">
      <c r="A2207" s="7" t="n">
        <v>45891</v>
      </c>
      <c r="B2207" s="7" t="n">
        <v>45981</v>
      </c>
      <c r="C2207" s="8" t="n">
        <v>6858</v>
      </c>
      <c r="D2207" s="8" t="n">
        <v>0</v>
      </c>
      <c r="E2207" s="8" t="n">
        <v>0</v>
      </c>
      <c r="F2207" s="8" t="s">
        <v>2200</v>
      </c>
      <c r="G2207" s="8" t="s">
        <v>2201</v>
      </c>
      <c r="H2207" s="8" t="s">
        <v>2674</v>
      </c>
    </row>
    <row r="2208" customFormat="false" ht="15" hidden="false" customHeight="false" outlineLevel="0" collapsed="false">
      <c r="A2208" s="7" t="n">
        <v>45891</v>
      </c>
      <c r="B2208" s="7" t="n">
        <v>46010</v>
      </c>
      <c r="C2208" s="8" t="n">
        <v>6923</v>
      </c>
      <c r="D2208" s="8" t="n">
        <v>0</v>
      </c>
      <c r="E2208" s="8" t="n">
        <v>0</v>
      </c>
      <c r="F2208" s="8" t="s">
        <v>2200</v>
      </c>
      <c r="G2208" s="8" t="s">
        <v>2201</v>
      </c>
      <c r="H2208" s="8" t="s">
        <v>2674</v>
      </c>
    </row>
    <row r="2209" customFormat="false" ht="15" hidden="false" customHeight="false" outlineLevel="0" collapsed="false">
      <c r="A2209" s="7" t="n">
        <v>45894</v>
      </c>
      <c r="B2209" s="7" t="n">
        <v>45919</v>
      </c>
      <c r="C2209" s="8" t="n">
        <v>6694</v>
      </c>
      <c r="D2209" s="8" t="n">
        <v>9050</v>
      </c>
      <c r="E2209" s="8" t="n">
        <v>25865</v>
      </c>
      <c r="F2209" s="8" t="s">
        <v>2200</v>
      </c>
      <c r="G2209" s="8" t="s">
        <v>2201</v>
      </c>
      <c r="H2209" s="8" t="s">
        <v>2675</v>
      </c>
    </row>
    <row r="2210" customFormat="false" ht="15" hidden="false" customHeight="false" outlineLevel="0" collapsed="false">
      <c r="A2210" s="7" t="n">
        <v>45894</v>
      </c>
      <c r="B2210" s="7" t="n">
        <v>45950</v>
      </c>
      <c r="C2210" s="8" t="n">
        <v>6754</v>
      </c>
      <c r="D2210" s="8" t="n">
        <v>4705</v>
      </c>
      <c r="E2210" s="8" t="n">
        <v>11330</v>
      </c>
      <c r="F2210" s="8" t="s">
        <v>2200</v>
      </c>
      <c r="G2210" s="8" t="s">
        <v>2201</v>
      </c>
      <c r="H2210" s="8" t="s">
        <v>2675</v>
      </c>
    </row>
    <row r="2211" customFormat="false" ht="15" hidden="false" customHeight="false" outlineLevel="0" collapsed="false">
      <c r="A2211" s="7" t="n">
        <v>45894</v>
      </c>
      <c r="B2211" s="7" t="n">
        <v>45981</v>
      </c>
      <c r="C2211" s="8" t="n">
        <v>6842</v>
      </c>
      <c r="D2211" s="8" t="n">
        <v>5</v>
      </c>
      <c r="E2211" s="8" t="n">
        <v>5</v>
      </c>
      <c r="F2211" s="8" t="s">
        <v>2200</v>
      </c>
      <c r="G2211" s="8" t="s">
        <v>2201</v>
      </c>
      <c r="H2211" s="8" t="s">
        <v>2675</v>
      </c>
    </row>
    <row r="2212" customFormat="false" ht="15" hidden="false" customHeight="false" outlineLevel="0" collapsed="false">
      <c r="A2212" s="7" t="n">
        <v>45894</v>
      </c>
      <c r="B2212" s="7" t="n">
        <v>46010</v>
      </c>
      <c r="C2212" s="8" t="n">
        <v>6930</v>
      </c>
      <c r="D2212" s="8" t="n">
        <v>0</v>
      </c>
      <c r="E2212" s="8" t="n">
        <v>0</v>
      </c>
      <c r="F2212" s="8" t="s">
        <v>2200</v>
      </c>
      <c r="G2212" s="8" t="s">
        <v>2201</v>
      </c>
      <c r="H2212" s="8" t="s">
        <v>2675</v>
      </c>
    </row>
    <row r="2213" customFormat="false" ht="15" hidden="false" customHeight="false" outlineLevel="0" collapsed="false">
      <c r="A2213" s="7" t="n">
        <v>45895</v>
      </c>
      <c r="B2213" s="7" t="n">
        <v>45919</v>
      </c>
      <c r="C2213" s="8" t="n">
        <v>6671</v>
      </c>
      <c r="D2213" s="8" t="n">
        <v>3345</v>
      </c>
      <c r="E2213" s="8" t="n">
        <v>25150</v>
      </c>
      <c r="F2213" s="8" t="s">
        <v>2200</v>
      </c>
      <c r="G2213" s="8" t="s">
        <v>2201</v>
      </c>
      <c r="H2213" s="8" t="s">
        <v>2676</v>
      </c>
    </row>
    <row r="2214" customFormat="false" ht="15" hidden="false" customHeight="false" outlineLevel="0" collapsed="false">
      <c r="A2214" s="7" t="n">
        <v>45895</v>
      </c>
      <c r="B2214" s="7" t="n">
        <v>45950</v>
      </c>
      <c r="C2214" s="8" t="n">
        <v>6735</v>
      </c>
      <c r="D2214" s="8" t="n">
        <v>1380</v>
      </c>
      <c r="E2214" s="8" t="n">
        <v>11945</v>
      </c>
      <c r="F2214" s="8" t="s">
        <v>2200</v>
      </c>
      <c r="G2214" s="8" t="s">
        <v>2201</v>
      </c>
      <c r="H2214" s="8" t="s">
        <v>2676</v>
      </c>
    </row>
    <row r="2215" customFormat="false" ht="15" hidden="false" customHeight="false" outlineLevel="0" collapsed="false">
      <c r="A2215" s="7" t="n">
        <v>45895</v>
      </c>
      <c r="B2215" s="7" t="n">
        <v>45981</v>
      </c>
      <c r="C2215" s="8" t="n">
        <v>6799</v>
      </c>
      <c r="D2215" s="8" t="n">
        <v>0</v>
      </c>
      <c r="E2215" s="8" t="n">
        <v>5</v>
      </c>
      <c r="F2215" s="8" t="s">
        <v>2200</v>
      </c>
      <c r="G2215" s="8" t="s">
        <v>2201</v>
      </c>
      <c r="H2215" s="8" t="s">
        <v>2676</v>
      </c>
    </row>
    <row r="2216" customFormat="false" ht="15" hidden="false" customHeight="false" outlineLevel="0" collapsed="false">
      <c r="A2216" s="7" t="n">
        <v>45895</v>
      </c>
      <c r="B2216" s="7" t="n">
        <v>46010</v>
      </c>
      <c r="C2216" s="8" t="n">
        <v>6863</v>
      </c>
      <c r="D2216" s="8" t="n">
        <v>0</v>
      </c>
      <c r="E2216" s="8" t="n">
        <v>0</v>
      </c>
      <c r="F2216" s="8" t="s">
        <v>2200</v>
      </c>
      <c r="G2216" s="8" t="s">
        <v>2201</v>
      </c>
      <c r="H2216" s="8" t="s">
        <v>2676</v>
      </c>
    </row>
    <row r="2217" customFormat="false" ht="15" hidden="false" customHeight="false" outlineLevel="0" collapsed="false">
      <c r="A2217" s="7" t="n">
        <v>45897</v>
      </c>
      <c r="B2217" s="7" t="n">
        <v>45919</v>
      </c>
      <c r="C2217" s="8" t="n">
        <v>6631</v>
      </c>
      <c r="D2217" s="8" t="n">
        <v>3615</v>
      </c>
      <c r="E2217" s="8" t="n">
        <v>24275</v>
      </c>
      <c r="F2217" s="8" t="s">
        <v>2200</v>
      </c>
      <c r="G2217" s="8" t="s">
        <v>2201</v>
      </c>
      <c r="H2217" s="8" t="s">
        <v>2677</v>
      </c>
    </row>
    <row r="2218" customFormat="false" ht="15" hidden="false" customHeight="false" outlineLevel="0" collapsed="false">
      <c r="A2218" s="7" t="n">
        <v>45897</v>
      </c>
      <c r="B2218" s="7" t="n">
        <v>45950</v>
      </c>
      <c r="C2218" s="8" t="n">
        <v>6698</v>
      </c>
      <c r="D2218" s="8" t="n">
        <v>1595</v>
      </c>
      <c r="E2218" s="8" t="n">
        <v>13015</v>
      </c>
      <c r="F2218" s="8" t="s">
        <v>2200</v>
      </c>
      <c r="G2218" s="8" t="s">
        <v>2201</v>
      </c>
      <c r="H2218" s="8" t="s">
        <v>2677</v>
      </c>
    </row>
    <row r="2219" customFormat="false" ht="15" hidden="false" customHeight="false" outlineLevel="0" collapsed="false">
      <c r="A2219" s="7" t="n">
        <v>45897</v>
      </c>
      <c r="B2219" s="7" t="n">
        <v>45981</v>
      </c>
      <c r="C2219" s="8" t="n">
        <v>6765</v>
      </c>
      <c r="D2219" s="8" t="n">
        <v>0</v>
      </c>
      <c r="E2219" s="8" t="n">
        <v>5</v>
      </c>
      <c r="F2219" s="8" t="s">
        <v>2200</v>
      </c>
      <c r="G2219" s="8" t="s">
        <v>2201</v>
      </c>
      <c r="H2219" s="8" t="s">
        <v>2677</v>
      </c>
    </row>
    <row r="2220" customFormat="false" ht="15" hidden="false" customHeight="false" outlineLevel="0" collapsed="false">
      <c r="A2220" s="7" t="n">
        <v>45897</v>
      </c>
      <c r="B2220" s="7" t="n">
        <v>46010</v>
      </c>
      <c r="C2220" s="8" t="n">
        <v>6832</v>
      </c>
      <c r="D2220" s="8" t="n">
        <v>0</v>
      </c>
      <c r="E2220" s="8" t="n">
        <v>0</v>
      </c>
      <c r="F2220" s="8" t="s">
        <v>2200</v>
      </c>
      <c r="G2220" s="8" t="s">
        <v>2201</v>
      </c>
      <c r="H2220" s="8" t="s">
        <v>2677</v>
      </c>
    </row>
    <row r="2221" customFormat="false" ht="15" hidden="false" customHeight="false" outlineLevel="0" collapsed="false">
      <c r="A2221" s="7" t="n">
        <v>45898</v>
      </c>
      <c r="B2221" s="7" t="n">
        <v>45919</v>
      </c>
      <c r="C2221" s="8" t="n">
        <v>6625</v>
      </c>
      <c r="D2221" s="8" t="n">
        <v>2350</v>
      </c>
      <c r="E2221" s="8" t="n">
        <v>24015</v>
      </c>
      <c r="F2221" s="8" t="s">
        <v>2200</v>
      </c>
      <c r="G2221" s="8" t="s">
        <v>2201</v>
      </c>
      <c r="H2221" s="8" t="s">
        <v>2678</v>
      </c>
    </row>
    <row r="2222" customFormat="false" ht="15" hidden="false" customHeight="false" outlineLevel="0" collapsed="false">
      <c r="A2222" s="7" t="n">
        <v>45898</v>
      </c>
      <c r="B2222" s="7" t="n">
        <v>45950</v>
      </c>
      <c r="C2222" s="8" t="n">
        <v>6683</v>
      </c>
      <c r="D2222" s="8" t="n">
        <v>1160</v>
      </c>
      <c r="E2222" s="8" t="n">
        <v>13790</v>
      </c>
      <c r="F2222" s="8" t="s">
        <v>2200</v>
      </c>
      <c r="G2222" s="8" t="s">
        <v>2201</v>
      </c>
      <c r="H2222" s="8" t="s">
        <v>2678</v>
      </c>
    </row>
    <row r="2223" customFormat="false" ht="15" hidden="false" customHeight="false" outlineLevel="0" collapsed="false">
      <c r="A2223" s="7" t="n">
        <v>45898</v>
      </c>
      <c r="B2223" s="7" t="n">
        <v>45981</v>
      </c>
      <c r="C2223" s="8" t="n">
        <v>6723</v>
      </c>
      <c r="D2223" s="8" t="n">
        <v>5</v>
      </c>
      <c r="E2223" s="8" t="n">
        <v>5</v>
      </c>
      <c r="F2223" s="8" t="s">
        <v>2200</v>
      </c>
      <c r="G2223" s="8" t="s">
        <v>2201</v>
      </c>
      <c r="H2223" s="8" t="s">
        <v>2678</v>
      </c>
    </row>
    <row r="2224" customFormat="false" ht="15" hidden="false" customHeight="false" outlineLevel="0" collapsed="false">
      <c r="A2224" s="7" t="n">
        <v>45898</v>
      </c>
      <c r="B2224" s="7" t="n">
        <v>46010</v>
      </c>
      <c r="C2224" s="8" t="n">
        <v>6763</v>
      </c>
      <c r="D2224" s="8" t="n">
        <v>0</v>
      </c>
      <c r="E2224" s="8" t="n">
        <v>0</v>
      </c>
      <c r="F2224" s="8" t="s">
        <v>2200</v>
      </c>
      <c r="G2224" s="8" t="s">
        <v>2201</v>
      </c>
      <c r="H2224" s="8" t="s">
        <v>2678</v>
      </c>
    </row>
    <row r="2225" customFormat="false" ht="15" hidden="false" customHeight="false" outlineLevel="0" collapsed="false">
      <c r="A2225" s="7" t="n">
        <v>45901</v>
      </c>
      <c r="B2225" s="7" t="n">
        <v>45919</v>
      </c>
      <c r="C2225" s="8" t="n">
        <v>6570</v>
      </c>
      <c r="D2225" s="8" t="n">
        <v>5410</v>
      </c>
      <c r="E2225" s="8" t="n">
        <v>21905</v>
      </c>
      <c r="F2225" s="8" t="s">
        <v>2200</v>
      </c>
      <c r="G2225" s="8" t="s">
        <v>2201</v>
      </c>
      <c r="H2225" s="8" t="s">
        <v>2679</v>
      </c>
    </row>
    <row r="2226" customFormat="false" ht="15" hidden="false" customHeight="false" outlineLevel="0" collapsed="false">
      <c r="A2226" s="7" t="n">
        <v>45901</v>
      </c>
      <c r="B2226" s="7" t="n">
        <v>45950</v>
      </c>
      <c r="C2226" s="8" t="n">
        <v>6631</v>
      </c>
      <c r="D2226" s="8" t="n">
        <v>3735</v>
      </c>
      <c r="E2226" s="8" t="n">
        <v>15560</v>
      </c>
      <c r="F2226" s="8" t="s">
        <v>2200</v>
      </c>
      <c r="G2226" s="8" t="s">
        <v>2201</v>
      </c>
      <c r="H2226" s="8" t="s">
        <v>2679</v>
      </c>
    </row>
    <row r="2227" customFormat="false" ht="15" hidden="false" customHeight="false" outlineLevel="0" collapsed="false">
      <c r="A2227" s="7" t="n">
        <v>45901</v>
      </c>
      <c r="B2227" s="7" t="n">
        <v>45981</v>
      </c>
      <c r="C2227" s="8" t="n">
        <v>6710</v>
      </c>
      <c r="D2227" s="8" t="n">
        <v>5</v>
      </c>
      <c r="E2227" s="8" t="n">
        <v>10</v>
      </c>
      <c r="F2227" s="8" t="s">
        <v>2200</v>
      </c>
      <c r="G2227" s="8" t="s">
        <v>2201</v>
      </c>
      <c r="H2227" s="8" t="s">
        <v>2679</v>
      </c>
    </row>
    <row r="2228" customFormat="false" ht="15" hidden="false" customHeight="false" outlineLevel="0" collapsed="false">
      <c r="A2228" s="7" t="n">
        <v>45901</v>
      </c>
      <c r="B2228" s="7" t="n">
        <v>46010</v>
      </c>
      <c r="C2228" s="8" t="n">
        <v>6789</v>
      </c>
      <c r="D2228" s="8" t="n">
        <v>0</v>
      </c>
      <c r="E2228" s="8" t="n">
        <v>0</v>
      </c>
      <c r="F2228" s="8" t="s">
        <v>2200</v>
      </c>
      <c r="G2228" s="8" t="s">
        <v>2201</v>
      </c>
      <c r="H2228" s="8" t="s">
        <v>2679</v>
      </c>
    </row>
    <row r="2229" customFormat="false" ht="15" hidden="false" customHeight="false" outlineLevel="0" collapsed="false">
      <c r="A2229" s="7" t="n">
        <v>45901</v>
      </c>
      <c r="B2229" s="7" t="n">
        <v>46042</v>
      </c>
      <c r="C2229" s="8" t="n">
        <v>6868</v>
      </c>
      <c r="D2229" s="8" t="n">
        <v>0</v>
      </c>
      <c r="E2229" s="8" t="n">
        <v>0</v>
      </c>
      <c r="F2229" s="8" t="s">
        <v>2200</v>
      </c>
      <c r="G2229" s="8" t="s">
        <v>2201</v>
      </c>
      <c r="H2229" s="8" t="s">
        <v>2679</v>
      </c>
    </row>
    <row r="2230" customFormat="false" ht="15" hidden="false" customHeight="false" outlineLevel="0" collapsed="false">
      <c r="A2230" s="7" t="n">
        <v>45902</v>
      </c>
      <c r="B2230" s="7" t="n">
        <v>45919</v>
      </c>
      <c r="C2230" s="8" t="n">
        <v>6576</v>
      </c>
      <c r="D2230" s="8" t="n">
        <v>3645</v>
      </c>
      <c r="E2230" s="8" t="n">
        <v>19620</v>
      </c>
      <c r="F2230" s="8" t="s">
        <v>2200</v>
      </c>
      <c r="G2230" s="8" t="s">
        <v>2201</v>
      </c>
      <c r="H2230" s="8" t="s">
        <v>2680</v>
      </c>
    </row>
    <row r="2231" customFormat="false" ht="15" hidden="false" customHeight="false" outlineLevel="0" collapsed="false">
      <c r="A2231" s="7" t="n">
        <v>45902</v>
      </c>
      <c r="B2231" s="7" t="n">
        <v>45950</v>
      </c>
      <c r="C2231" s="8" t="n">
        <v>6639</v>
      </c>
      <c r="D2231" s="8" t="n">
        <v>3490</v>
      </c>
      <c r="E2231" s="8" t="n">
        <v>17700</v>
      </c>
      <c r="F2231" s="8" t="s">
        <v>2200</v>
      </c>
      <c r="G2231" s="8" t="s">
        <v>2201</v>
      </c>
      <c r="H2231" s="8" t="s">
        <v>2680</v>
      </c>
    </row>
    <row r="2232" customFormat="false" ht="15" hidden="false" customHeight="false" outlineLevel="0" collapsed="false">
      <c r="A2232" s="7" t="n">
        <v>45902</v>
      </c>
      <c r="B2232" s="7" t="n">
        <v>45981</v>
      </c>
      <c r="C2232" s="8" t="n">
        <v>6702</v>
      </c>
      <c r="D2232" s="8" t="n">
        <v>5</v>
      </c>
      <c r="E2232" s="8" t="n">
        <v>15</v>
      </c>
      <c r="F2232" s="8" t="s">
        <v>2200</v>
      </c>
      <c r="G2232" s="8" t="s">
        <v>2201</v>
      </c>
      <c r="H2232" s="8" t="s">
        <v>2680</v>
      </c>
    </row>
    <row r="2233" customFormat="false" ht="15" hidden="false" customHeight="false" outlineLevel="0" collapsed="false">
      <c r="A2233" s="7" t="n">
        <v>45902</v>
      </c>
      <c r="B2233" s="7" t="n">
        <v>46010</v>
      </c>
      <c r="C2233" s="8" t="n">
        <v>6765</v>
      </c>
      <c r="D2233" s="8" t="n">
        <v>0</v>
      </c>
      <c r="E2233" s="8" t="n">
        <v>0</v>
      </c>
      <c r="F2233" s="8" t="s">
        <v>2200</v>
      </c>
      <c r="G2233" s="8" t="s">
        <v>2201</v>
      </c>
      <c r="H2233" s="8" t="s">
        <v>2680</v>
      </c>
    </row>
    <row r="2234" customFormat="false" ht="15" hidden="false" customHeight="false" outlineLevel="0" collapsed="false">
      <c r="A2234" s="7" t="n">
        <v>45902</v>
      </c>
      <c r="B2234" s="7" t="n">
        <v>46042</v>
      </c>
      <c r="C2234" s="8" t="n">
        <v>6828</v>
      </c>
      <c r="D2234" s="8" t="n">
        <v>0</v>
      </c>
      <c r="E2234" s="8" t="n">
        <v>0</v>
      </c>
      <c r="F2234" s="8" t="s">
        <v>2200</v>
      </c>
      <c r="G2234" s="8" t="s">
        <v>2201</v>
      </c>
      <c r="H2234" s="8" t="s">
        <v>2680</v>
      </c>
    </row>
    <row r="2235" customFormat="false" ht="15" hidden="false" customHeight="false" outlineLevel="0" collapsed="false">
      <c r="A2235" s="7" t="n">
        <v>45903</v>
      </c>
      <c r="B2235" s="7" t="n">
        <v>45919</v>
      </c>
      <c r="C2235" s="8" t="n">
        <v>6619</v>
      </c>
      <c r="D2235" s="8" t="n">
        <v>2785</v>
      </c>
      <c r="E2235" s="8" t="n">
        <v>18165</v>
      </c>
      <c r="F2235" s="8" t="s">
        <v>2200</v>
      </c>
      <c r="G2235" s="8" t="s">
        <v>2201</v>
      </c>
      <c r="H2235" s="8" t="s">
        <v>2681</v>
      </c>
    </row>
    <row r="2236" customFormat="false" ht="15" hidden="false" customHeight="false" outlineLevel="0" collapsed="false">
      <c r="A2236" s="7" t="n">
        <v>45903</v>
      </c>
      <c r="B2236" s="7" t="n">
        <v>45950</v>
      </c>
      <c r="C2236" s="8" t="n">
        <v>6682</v>
      </c>
      <c r="D2236" s="8" t="n">
        <v>2095</v>
      </c>
      <c r="E2236" s="8" t="n">
        <v>18950</v>
      </c>
      <c r="F2236" s="8" t="s">
        <v>2200</v>
      </c>
      <c r="G2236" s="8" t="s">
        <v>2201</v>
      </c>
      <c r="H2236" s="8" t="s">
        <v>2681</v>
      </c>
    </row>
    <row r="2237" customFormat="false" ht="15" hidden="false" customHeight="false" outlineLevel="0" collapsed="false">
      <c r="A2237" s="7" t="n">
        <v>45903</v>
      </c>
      <c r="B2237" s="7" t="n">
        <v>45981</v>
      </c>
      <c r="C2237" s="8" t="n">
        <v>6710</v>
      </c>
      <c r="D2237" s="8" t="n">
        <v>5</v>
      </c>
      <c r="E2237" s="8" t="n">
        <v>15</v>
      </c>
      <c r="F2237" s="8" t="s">
        <v>2200</v>
      </c>
      <c r="G2237" s="8" t="s">
        <v>2201</v>
      </c>
      <c r="H2237" s="8" t="s">
        <v>2681</v>
      </c>
    </row>
    <row r="2238" customFormat="false" ht="15" hidden="false" customHeight="false" outlineLevel="0" collapsed="false">
      <c r="A2238" s="7" t="n">
        <v>45903</v>
      </c>
      <c r="B2238" s="7" t="n">
        <v>46010</v>
      </c>
      <c r="C2238" s="8" t="n">
        <v>6738</v>
      </c>
      <c r="D2238" s="8" t="n">
        <v>0</v>
      </c>
      <c r="E2238" s="8" t="n">
        <v>0</v>
      </c>
      <c r="F2238" s="8" t="s">
        <v>2200</v>
      </c>
      <c r="G2238" s="8" t="s">
        <v>2201</v>
      </c>
      <c r="H2238" s="8" t="s">
        <v>2681</v>
      </c>
    </row>
    <row r="2239" customFormat="false" ht="15" hidden="false" customHeight="false" outlineLevel="0" collapsed="false">
      <c r="A2239" s="7" t="n">
        <v>45903</v>
      </c>
      <c r="B2239" s="7" t="n">
        <v>46042</v>
      </c>
      <c r="C2239" s="8" t="n">
        <v>6766</v>
      </c>
      <c r="D2239" s="8" t="n">
        <v>0</v>
      </c>
      <c r="E2239" s="8" t="n">
        <v>0</v>
      </c>
      <c r="F2239" s="8" t="s">
        <v>2200</v>
      </c>
      <c r="G2239" s="8" t="s">
        <v>2201</v>
      </c>
      <c r="H2239" s="8" t="s">
        <v>2681</v>
      </c>
    </row>
    <row r="2240" customFormat="false" ht="15" hidden="false" customHeight="false" outlineLevel="0" collapsed="false">
      <c r="A2240" s="7" t="n">
        <v>45904</v>
      </c>
      <c r="B2240" s="7" t="n">
        <v>45919</v>
      </c>
      <c r="C2240" s="8" t="n">
        <v>6622</v>
      </c>
      <c r="D2240" s="8" t="n">
        <v>2765</v>
      </c>
      <c r="E2240" s="8" t="n">
        <v>16670</v>
      </c>
      <c r="F2240" s="8" t="s">
        <v>2200</v>
      </c>
      <c r="G2240" s="8" t="s">
        <v>2201</v>
      </c>
      <c r="H2240" s="8" t="s">
        <v>2682</v>
      </c>
    </row>
    <row r="2241" customFormat="false" ht="15" hidden="false" customHeight="false" outlineLevel="0" collapsed="false">
      <c r="A2241" s="7" t="n">
        <v>45904</v>
      </c>
      <c r="B2241" s="7" t="n">
        <v>45950</v>
      </c>
      <c r="C2241" s="8" t="n">
        <v>6685</v>
      </c>
      <c r="D2241" s="8" t="n">
        <v>2620</v>
      </c>
      <c r="E2241" s="8" t="n">
        <v>20560</v>
      </c>
      <c r="F2241" s="8" t="s">
        <v>2200</v>
      </c>
      <c r="G2241" s="8" t="s">
        <v>2201</v>
      </c>
      <c r="H2241" s="8" t="s">
        <v>2682</v>
      </c>
    </row>
    <row r="2242" customFormat="false" ht="15" hidden="false" customHeight="false" outlineLevel="0" collapsed="false">
      <c r="A2242" s="7" t="n">
        <v>45904</v>
      </c>
      <c r="B2242" s="7" t="n">
        <v>45981</v>
      </c>
      <c r="C2242" s="8" t="n">
        <v>6746</v>
      </c>
      <c r="D2242" s="8" t="n">
        <v>5</v>
      </c>
      <c r="E2242" s="8" t="n">
        <v>10</v>
      </c>
      <c r="F2242" s="8" t="s">
        <v>2200</v>
      </c>
      <c r="G2242" s="8" t="s">
        <v>2201</v>
      </c>
      <c r="H2242" s="8" t="s">
        <v>2682</v>
      </c>
    </row>
    <row r="2243" customFormat="false" ht="15" hidden="false" customHeight="false" outlineLevel="0" collapsed="false">
      <c r="A2243" s="7" t="n">
        <v>45904</v>
      </c>
      <c r="B2243" s="7" t="n">
        <v>46010</v>
      </c>
      <c r="C2243" s="8" t="n">
        <v>6807</v>
      </c>
      <c r="D2243" s="8" t="n">
        <v>0</v>
      </c>
      <c r="E2243" s="8" t="n">
        <v>0</v>
      </c>
      <c r="F2243" s="8" t="s">
        <v>2200</v>
      </c>
      <c r="G2243" s="8" t="s">
        <v>2201</v>
      </c>
      <c r="H2243" s="8" t="s">
        <v>2682</v>
      </c>
    </row>
    <row r="2244" customFormat="false" ht="15" hidden="false" customHeight="false" outlineLevel="0" collapsed="false">
      <c r="A2244" s="7" t="n">
        <v>45904</v>
      </c>
      <c r="B2244" s="7" t="n">
        <v>46042</v>
      </c>
      <c r="C2244" s="8" t="n">
        <v>6868</v>
      </c>
      <c r="D2244" s="8" t="n">
        <v>0</v>
      </c>
      <c r="E2244" s="8" t="n">
        <v>0</v>
      </c>
      <c r="F2244" s="8" t="s">
        <v>2200</v>
      </c>
      <c r="G2244" s="8" t="s">
        <v>2201</v>
      </c>
      <c r="H2244" s="8" t="s">
        <v>2682</v>
      </c>
    </row>
    <row r="2245" customFormat="false" ht="15" hidden="false" customHeight="false" outlineLevel="0" collapsed="false">
      <c r="A2245" s="7" t="n">
        <v>45905</v>
      </c>
      <c r="B2245" s="7" t="n">
        <v>45919</v>
      </c>
      <c r="C2245" s="8" t="n">
        <v>6595</v>
      </c>
      <c r="D2245" s="8" t="n">
        <v>3525</v>
      </c>
      <c r="E2245" s="8" t="n">
        <v>14000</v>
      </c>
      <c r="F2245" s="8" t="s">
        <v>2200</v>
      </c>
      <c r="G2245" s="8" t="s">
        <v>2201</v>
      </c>
      <c r="H2245" s="8" t="s">
        <v>2683</v>
      </c>
    </row>
    <row r="2246" customFormat="false" ht="15" hidden="false" customHeight="false" outlineLevel="0" collapsed="false">
      <c r="A2246" s="7" t="n">
        <v>45905</v>
      </c>
      <c r="B2246" s="7" t="n">
        <v>45950</v>
      </c>
      <c r="C2246" s="8" t="n">
        <v>6651</v>
      </c>
      <c r="D2246" s="8" t="n">
        <v>4430</v>
      </c>
      <c r="E2246" s="8" t="n">
        <v>23150</v>
      </c>
      <c r="F2246" s="8" t="s">
        <v>2200</v>
      </c>
      <c r="G2246" s="8" t="s">
        <v>2201</v>
      </c>
      <c r="H2246" s="8" t="s">
        <v>2683</v>
      </c>
    </row>
    <row r="2247" customFormat="false" ht="15" hidden="false" customHeight="false" outlineLevel="0" collapsed="false">
      <c r="A2247" s="7" t="n">
        <v>45905</v>
      </c>
      <c r="B2247" s="7" t="n">
        <v>45981</v>
      </c>
      <c r="C2247" s="8" t="n">
        <v>6718</v>
      </c>
      <c r="D2247" s="8" t="n">
        <v>40</v>
      </c>
      <c r="E2247" s="8" t="n">
        <v>50</v>
      </c>
      <c r="F2247" s="8" t="s">
        <v>2200</v>
      </c>
      <c r="G2247" s="8" t="s">
        <v>2201</v>
      </c>
      <c r="H2247" s="8" t="s">
        <v>2683</v>
      </c>
    </row>
    <row r="2248" customFormat="false" ht="15" hidden="false" customHeight="false" outlineLevel="0" collapsed="false">
      <c r="A2248" s="7" t="n">
        <v>45905</v>
      </c>
      <c r="B2248" s="7" t="n">
        <v>46010</v>
      </c>
      <c r="C2248" s="8" t="n">
        <v>6785</v>
      </c>
      <c r="D2248" s="8" t="n">
        <v>0</v>
      </c>
      <c r="E2248" s="8" t="n">
        <v>0</v>
      </c>
      <c r="F2248" s="8" t="s">
        <v>2200</v>
      </c>
      <c r="G2248" s="8" t="s">
        <v>2201</v>
      </c>
      <c r="H2248" s="8" t="s">
        <v>2683</v>
      </c>
    </row>
    <row r="2249" customFormat="false" ht="15" hidden="false" customHeight="false" outlineLevel="0" collapsed="false">
      <c r="A2249" s="7" t="n">
        <v>45905</v>
      </c>
      <c r="B2249" s="7" t="n">
        <v>46042</v>
      </c>
      <c r="C2249" s="8" t="n">
        <v>6852</v>
      </c>
      <c r="D2249" s="8" t="n">
        <v>0</v>
      </c>
      <c r="E2249" s="8" t="n">
        <v>0</v>
      </c>
      <c r="F2249" s="8" t="s">
        <v>2200</v>
      </c>
      <c r="G2249" s="8" t="s">
        <v>2201</v>
      </c>
      <c r="H2249" s="8" t="s">
        <v>2683</v>
      </c>
    </row>
    <row r="2250" customFormat="false" ht="15" hidden="false" customHeight="false" outlineLevel="0" collapsed="false">
      <c r="A2250" s="7" t="n">
        <v>45908</v>
      </c>
      <c r="B2250" s="7" t="n">
        <v>45919</v>
      </c>
      <c r="C2250" s="8" t="n">
        <v>6619</v>
      </c>
      <c r="D2250" s="8" t="n">
        <v>4240</v>
      </c>
      <c r="E2250" s="8" t="n">
        <v>12550</v>
      </c>
      <c r="F2250" s="8" t="s">
        <v>2200</v>
      </c>
      <c r="G2250" s="8" t="s">
        <v>2201</v>
      </c>
      <c r="H2250" s="8" t="s">
        <v>2684</v>
      </c>
    </row>
    <row r="2251" customFormat="false" ht="15" hidden="false" customHeight="false" outlineLevel="0" collapsed="false">
      <c r="A2251" s="7" t="n">
        <v>45908</v>
      </c>
      <c r="B2251" s="7" t="n">
        <v>45950</v>
      </c>
      <c r="C2251" s="8" t="n">
        <v>6676</v>
      </c>
      <c r="D2251" s="8" t="n">
        <v>4355</v>
      </c>
      <c r="E2251" s="8" t="n">
        <v>24810</v>
      </c>
      <c r="F2251" s="8" t="s">
        <v>2200</v>
      </c>
      <c r="G2251" s="8" t="s">
        <v>2201</v>
      </c>
      <c r="H2251" s="8" t="s">
        <v>2684</v>
      </c>
    </row>
    <row r="2252" customFormat="false" ht="15" hidden="false" customHeight="false" outlineLevel="0" collapsed="false">
      <c r="A2252" s="7" t="n">
        <v>45908</v>
      </c>
      <c r="B2252" s="7" t="n">
        <v>45981</v>
      </c>
      <c r="C2252" s="8" t="n">
        <v>6740</v>
      </c>
      <c r="D2252" s="8" t="n">
        <v>25</v>
      </c>
      <c r="E2252" s="8" t="n">
        <v>65</v>
      </c>
      <c r="F2252" s="8" t="s">
        <v>2200</v>
      </c>
      <c r="G2252" s="8" t="s">
        <v>2201</v>
      </c>
      <c r="H2252" s="8" t="s">
        <v>2684</v>
      </c>
    </row>
    <row r="2253" customFormat="false" ht="15" hidden="false" customHeight="false" outlineLevel="0" collapsed="false">
      <c r="A2253" s="7" t="n">
        <v>45908</v>
      </c>
      <c r="B2253" s="7" t="n">
        <v>46010</v>
      </c>
      <c r="C2253" s="8" t="n">
        <v>6804</v>
      </c>
      <c r="D2253" s="8" t="n">
        <v>0</v>
      </c>
      <c r="E2253" s="8" t="n">
        <v>0</v>
      </c>
      <c r="F2253" s="8" t="s">
        <v>2200</v>
      </c>
      <c r="G2253" s="8" t="s">
        <v>2201</v>
      </c>
      <c r="H2253" s="8" t="s">
        <v>2684</v>
      </c>
    </row>
    <row r="2254" customFormat="false" ht="15" hidden="false" customHeight="false" outlineLevel="0" collapsed="false">
      <c r="A2254" s="7" t="n">
        <v>45908</v>
      </c>
      <c r="B2254" s="7" t="n">
        <v>46042</v>
      </c>
      <c r="C2254" s="8" t="n">
        <v>6868</v>
      </c>
      <c r="D2254" s="8" t="n">
        <v>0</v>
      </c>
      <c r="E2254" s="8" t="n">
        <v>0</v>
      </c>
      <c r="F2254" s="8" t="s">
        <v>2200</v>
      </c>
      <c r="G2254" s="8" t="s">
        <v>2201</v>
      </c>
      <c r="H2254" s="8" t="s">
        <v>2684</v>
      </c>
    </row>
    <row r="2255" customFormat="false" ht="15" hidden="false" customHeight="false" outlineLevel="0" collapsed="false">
      <c r="A2255" s="7" t="n">
        <v>45909</v>
      </c>
      <c r="B2255" s="7" t="n">
        <v>45919</v>
      </c>
      <c r="C2255" s="8" t="n">
        <v>6619</v>
      </c>
      <c r="D2255" s="8" t="n">
        <v>3610</v>
      </c>
      <c r="E2255" s="8" t="n">
        <v>11420</v>
      </c>
      <c r="F2255" s="8" t="s">
        <v>2200</v>
      </c>
      <c r="G2255" s="8" t="s">
        <v>2201</v>
      </c>
      <c r="H2255" s="8" t="s">
        <v>2685</v>
      </c>
    </row>
    <row r="2256" customFormat="false" ht="15" hidden="false" customHeight="false" outlineLevel="0" collapsed="false">
      <c r="A2256" s="7" t="n">
        <v>45909</v>
      </c>
      <c r="B2256" s="7" t="n">
        <v>45950</v>
      </c>
      <c r="C2256" s="8" t="n">
        <v>6678</v>
      </c>
      <c r="D2256" s="8" t="n">
        <v>4750</v>
      </c>
      <c r="E2256" s="8" t="n">
        <v>26425</v>
      </c>
      <c r="F2256" s="8" t="s">
        <v>2200</v>
      </c>
      <c r="G2256" s="8" t="s">
        <v>2201</v>
      </c>
      <c r="H2256" s="8" t="s">
        <v>2685</v>
      </c>
    </row>
    <row r="2257" customFormat="false" ht="15" hidden="false" customHeight="false" outlineLevel="0" collapsed="false">
      <c r="A2257" s="7" t="n">
        <v>45909</v>
      </c>
      <c r="B2257" s="7" t="n">
        <v>45981</v>
      </c>
      <c r="C2257" s="8" t="n">
        <v>6737</v>
      </c>
      <c r="D2257" s="8" t="n">
        <v>0</v>
      </c>
      <c r="E2257" s="8" t="n">
        <v>65</v>
      </c>
      <c r="F2257" s="8" t="s">
        <v>2200</v>
      </c>
      <c r="G2257" s="8" t="s">
        <v>2201</v>
      </c>
      <c r="H2257" s="8" t="s">
        <v>2685</v>
      </c>
    </row>
    <row r="2258" customFormat="false" ht="15" hidden="false" customHeight="false" outlineLevel="0" collapsed="false">
      <c r="A2258" s="7" t="n">
        <v>45909</v>
      </c>
      <c r="B2258" s="7" t="n">
        <v>46010</v>
      </c>
      <c r="C2258" s="8" t="n">
        <v>6796</v>
      </c>
      <c r="D2258" s="8" t="n">
        <v>0</v>
      </c>
      <c r="E2258" s="8" t="n">
        <v>0</v>
      </c>
      <c r="F2258" s="8" t="s">
        <v>2200</v>
      </c>
      <c r="G2258" s="8" t="s">
        <v>2201</v>
      </c>
      <c r="H2258" s="8" t="s">
        <v>2685</v>
      </c>
    </row>
    <row r="2259" customFormat="false" ht="15" hidden="false" customHeight="false" outlineLevel="0" collapsed="false">
      <c r="A2259" s="7" t="n">
        <v>45909</v>
      </c>
      <c r="B2259" s="7" t="n">
        <v>46042</v>
      </c>
      <c r="C2259" s="8" t="n">
        <v>6855</v>
      </c>
      <c r="D2259" s="8" t="n">
        <v>0</v>
      </c>
      <c r="E2259" s="8" t="n">
        <v>0</v>
      </c>
      <c r="F2259" s="8" t="s">
        <v>2200</v>
      </c>
      <c r="G2259" s="8" t="s">
        <v>2201</v>
      </c>
      <c r="H2259" s="8" t="s">
        <v>2685</v>
      </c>
    </row>
    <row r="2260" customFormat="false" ht="15" hidden="false" customHeight="false" outlineLevel="0" collapsed="false">
      <c r="A2260" s="7" t="n">
        <v>45910</v>
      </c>
      <c r="B2260" s="7" t="n">
        <v>45919</v>
      </c>
      <c r="C2260" s="8" t="n">
        <v>6624</v>
      </c>
      <c r="D2260" s="8" t="n">
        <v>3785</v>
      </c>
      <c r="E2260" s="8" t="n">
        <v>11085</v>
      </c>
      <c r="F2260" s="8" t="s">
        <v>2200</v>
      </c>
      <c r="G2260" s="8" t="s">
        <v>2201</v>
      </c>
      <c r="H2260" s="8" t="s">
        <v>2686</v>
      </c>
    </row>
    <row r="2261" customFormat="false" ht="15" hidden="false" customHeight="false" outlineLevel="0" collapsed="false">
      <c r="A2261" s="7" t="n">
        <v>45910</v>
      </c>
      <c r="B2261" s="7" t="n">
        <v>45950</v>
      </c>
      <c r="C2261" s="8" t="n">
        <v>6680</v>
      </c>
      <c r="D2261" s="8" t="n">
        <v>5565</v>
      </c>
      <c r="E2261" s="8" t="n">
        <v>27055</v>
      </c>
      <c r="F2261" s="8" t="s">
        <v>2200</v>
      </c>
      <c r="G2261" s="8" t="s">
        <v>2201</v>
      </c>
      <c r="H2261" s="8" t="s">
        <v>2686</v>
      </c>
    </row>
    <row r="2262" customFormat="false" ht="15" hidden="false" customHeight="false" outlineLevel="0" collapsed="false">
      <c r="A2262" s="7" t="n">
        <v>45910</v>
      </c>
      <c r="B2262" s="7" t="n">
        <v>45981</v>
      </c>
      <c r="C2262" s="8" t="n">
        <v>6743</v>
      </c>
      <c r="D2262" s="8" t="n">
        <v>1215</v>
      </c>
      <c r="E2262" s="8" t="n">
        <v>1260</v>
      </c>
      <c r="F2262" s="8" t="s">
        <v>2200</v>
      </c>
      <c r="G2262" s="8" t="s">
        <v>2201</v>
      </c>
      <c r="H2262" s="8" t="s">
        <v>2686</v>
      </c>
    </row>
    <row r="2263" customFormat="false" ht="15" hidden="false" customHeight="false" outlineLevel="0" collapsed="false">
      <c r="A2263" s="7" t="n">
        <v>45910</v>
      </c>
      <c r="B2263" s="7" t="n">
        <v>46010</v>
      </c>
      <c r="C2263" s="8" t="n">
        <v>6806</v>
      </c>
      <c r="D2263" s="8" t="n">
        <v>0</v>
      </c>
      <c r="E2263" s="8" t="n">
        <v>0</v>
      </c>
      <c r="F2263" s="8" t="s">
        <v>2200</v>
      </c>
      <c r="G2263" s="8" t="s">
        <v>2201</v>
      </c>
      <c r="H2263" s="8" t="s">
        <v>2686</v>
      </c>
    </row>
    <row r="2264" customFormat="false" ht="15" hidden="false" customHeight="false" outlineLevel="0" collapsed="false">
      <c r="A2264" s="7" t="n">
        <v>45910</v>
      </c>
      <c r="B2264" s="7" t="n">
        <v>46042</v>
      </c>
      <c r="C2264" s="8" t="n">
        <v>6869</v>
      </c>
      <c r="D2264" s="8" t="n">
        <v>0</v>
      </c>
      <c r="E2264" s="8" t="n">
        <v>0</v>
      </c>
      <c r="F2264" s="8" t="s">
        <v>2200</v>
      </c>
      <c r="G2264" s="8" t="s">
        <v>2201</v>
      </c>
      <c r="H2264" s="8" t="s">
        <v>2686</v>
      </c>
    </row>
    <row r="2265" customFormat="false" ht="15" hidden="false" customHeight="false" outlineLevel="0" collapsed="false">
      <c r="A2265" s="7" t="n">
        <v>45911</v>
      </c>
      <c r="B2265" s="7" t="n">
        <v>45919</v>
      </c>
      <c r="C2265" s="8" t="n">
        <v>6630</v>
      </c>
      <c r="D2265" s="8" t="n">
        <v>1535</v>
      </c>
      <c r="E2265" s="8" t="n">
        <v>10480</v>
      </c>
      <c r="F2265" s="8" t="s">
        <v>2200</v>
      </c>
      <c r="G2265" s="8" t="s">
        <v>2201</v>
      </c>
      <c r="H2265" s="8" t="s">
        <v>2687</v>
      </c>
    </row>
    <row r="2266" customFormat="false" ht="15" hidden="false" customHeight="false" outlineLevel="0" collapsed="false">
      <c r="A2266" s="7" t="n">
        <v>45911</v>
      </c>
      <c r="B2266" s="7" t="n">
        <v>45950</v>
      </c>
      <c r="C2266" s="8" t="n">
        <v>6681</v>
      </c>
      <c r="D2266" s="8" t="n">
        <v>2365</v>
      </c>
      <c r="E2266" s="8" t="n">
        <v>27970</v>
      </c>
      <c r="F2266" s="8" t="s">
        <v>2200</v>
      </c>
      <c r="G2266" s="8" t="s">
        <v>2201</v>
      </c>
      <c r="H2266" s="8" t="s">
        <v>2687</v>
      </c>
    </row>
    <row r="2267" customFormat="false" ht="15" hidden="false" customHeight="false" outlineLevel="0" collapsed="false">
      <c r="A2267" s="7" t="n">
        <v>45911</v>
      </c>
      <c r="B2267" s="7" t="n">
        <v>45981</v>
      </c>
      <c r="C2267" s="8" t="n">
        <v>6739</v>
      </c>
      <c r="D2267" s="8" t="n">
        <v>40</v>
      </c>
      <c r="E2267" s="8" t="n">
        <v>1290</v>
      </c>
      <c r="F2267" s="8" t="s">
        <v>2200</v>
      </c>
      <c r="G2267" s="8" t="s">
        <v>2201</v>
      </c>
      <c r="H2267" s="8" t="s">
        <v>2687</v>
      </c>
    </row>
    <row r="2268" customFormat="false" ht="15" hidden="false" customHeight="false" outlineLevel="0" collapsed="false">
      <c r="A2268" s="7" t="n">
        <v>45911</v>
      </c>
      <c r="B2268" s="7" t="n">
        <v>46010</v>
      </c>
      <c r="C2268" s="8" t="n">
        <v>6797</v>
      </c>
      <c r="D2268" s="8" t="n">
        <v>0</v>
      </c>
      <c r="E2268" s="8" t="n">
        <v>0</v>
      </c>
      <c r="F2268" s="8" t="s">
        <v>2200</v>
      </c>
      <c r="G2268" s="8" t="s">
        <v>2201</v>
      </c>
      <c r="H2268" s="8" t="s">
        <v>2687</v>
      </c>
    </row>
    <row r="2269" customFormat="false" ht="15" hidden="false" customHeight="false" outlineLevel="0" collapsed="false">
      <c r="A2269" s="7" t="n">
        <v>45911</v>
      </c>
      <c r="B2269" s="7" t="n">
        <v>46042</v>
      </c>
      <c r="C2269" s="8" t="n">
        <v>6855</v>
      </c>
      <c r="D2269" s="8" t="n">
        <v>0</v>
      </c>
      <c r="E2269" s="8" t="n">
        <v>0</v>
      </c>
      <c r="F2269" s="8" t="s">
        <v>2200</v>
      </c>
      <c r="G2269" s="8" t="s">
        <v>2201</v>
      </c>
      <c r="H2269" s="8" t="s">
        <v>2687</v>
      </c>
    </row>
    <row r="2270" customFormat="false" ht="15" hidden="false" customHeight="false" outlineLevel="0" collapsed="false">
      <c r="A2270" s="7" t="n">
        <v>45912</v>
      </c>
      <c r="B2270" s="7" t="n">
        <v>45919</v>
      </c>
      <c r="C2270" s="8" t="n">
        <v>6617</v>
      </c>
      <c r="D2270" s="8" t="n">
        <v>2790</v>
      </c>
      <c r="E2270" s="8" t="n">
        <v>9820</v>
      </c>
      <c r="F2270" s="8" t="s">
        <v>2200</v>
      </c>
      <c r="G2270" s="8" t="s">
        <v>2201</v>
      </c>
      <c r="H2270" s="8" t="s">
        <v>2688</v>
      </c>
    </row>
    <row r="2271" customFormat="false" ht="15" hidden="false" customHeight="false" outlineLevel="0" collapsed="false">
      <c r="A2271" s="7" t="n">
        <v>45912</v>
      </c>
      <c r="B2271" s="7" t="n">
        <v>45950</v>
      </c>
      <c r="C2271" s="8" t="n">
        <v>6672</v>
      </c>
      <c r="D2271" s="8" t="n">
        <v>4085</v>
      </c>
      <c r="E2271" s="8" t="n">
        <v>28925</v>
      </c>
      <c r="F2271" s="8" t="s">
        <v>2200</v>
      </c>
      <c r="G2271" s="8" t="s">
        <v>2201</v>
      </c>
      <c r="H2271" s="8" t="s">
        <v>2688</v>
      </c>
    </row>
    <row r="2272" customFormat="false" ht="15" hidden="false" customHeight="false" outlineLevel="0" collapsed="false">
      <c r="A2272" s="7" t="n">
        <v>45912</v>
      </c>
      <c r="B2272" s="7" t="n">
        <v>45981</v>
      </c>
      <c r="C2272" s="8" t="n">
        <v>6714</v>
      </c>
      <c r="D2272" s="8" t="n">
        <v>690</v>
      </c>
      <c r="E2272" s="8" t="n">
        <v>1950</v>
      </c>
      <c r="F2272" s="8" t="s">
        <v>2200</v>
      </c>
      <c r="G2272" s="8" t="s">
        <v>2201</v>
      </c>
      <c r="H2272" s="8" t="s">
        <v>2688</v>
      </c>
    </row>
    <row r="2273" customFormat="false" ht="15" hidden="false" customHeight="false" outlineLevel="0" collapsed="false">
      <c r="A2273" s="7" t="n">
        <v>45912</v>
      </c>
      <c r="B2273" s="7" t="n">
        <v>46010</v>
      </c>
      <c r="C2273" s="8" t="n">
        <v>6756</v>
      </c>
      <c r="D2273" s="8" t="n">
        <v>0</v>
      </c>
      <c r="E2273" s="8" t="n">
        <v>0</v>
      </c>
      <c r="F2273" s="8" t="s">
        <v>2200</v>
      </c>
      <c r="G2273" s="8" t="s">
        <v>2201</v>
      </c>
      <c r="H2273" s="8" t="s">
        <v>2688</v>
      </c>
    </row>
    <row r="2274" customFormat="false" ht="15" hidden="false" customHeight="false" outlineLevel="0" collapsed="false">
      <c r="A2274" s="7" t="n">
        <v>45912</v>
      </c>
      <c r="B2274" s="7" t="n">
        <v>46042</v>
      </c>
      <c r="C2274" s="8" t="n">
        <v>6798</v>
      </c>
      <c r="D2274" s="8" t="n">
        <v>0</v>
      </c>
      <c r="E2274" s="8" t="n">
        <v>0</v>
      </c>
      <c r="F2274" s="8" t="s">
        <v>2200</v>
      </c>
      <c r="G2274" s="8" t="s">
        <v>2201</v>
      </c>
      <c r="H2274" s="8" t="s">
        <v>2688</v>
      </c>
    </row>
    <row r="2275" customFormat="false" ht="15" hidden="false" customHeight="false" outlineLevel="0" collapsed="false">
      <c r="A2275" s="7" t="n">
        <v>45915</v>
      </c>
      <c r="B2275" s="7" t="n">
        <v>45919</v>
      </c>
      <c r="C2275" s="8" t="n">
        <v>6629</v>
      </c>
      <c r="D2275" s="8" t="n">
        <v>1395</v>
      </c>
      <c r="E2275" s="8" t="n">
        <v>9090</v>
      </c>
      <c r="F2275" s="8" t="s">
        <v>2200</v>
      </c>
      <c r="G2275" s="8" t="s">
        <v>2201</v>
      </c>
      <c r="H2275" s="8" t="s">
        <v>2689</v>
      </c>
    </row>
    <row r="2276" customFormat="false" ht="15" hidden="false" customHeight="false" outlineLevel="0" collapsed="false">
      <c r="A2276" s="7" t="n">
        <v>45915</v>
      </c>
      <c r="B2276" s="7" t="n">
        <v>45950</v>
      </c>
      <c r="C2276" s="8" t="n">
        <v>6676</v>
      </c>
      <c r="D2276" s="8" t="n">
        <v>1950</v>
      </c>
      <c r="E2276" s="8" t="n">
        <v>29465</v>
      </c>
      <c r="F2276" s="8" t="s">
        <v>2200</v>
      </c>
      <c r="G2276" s="8" t="s">
        <v>2201</v>
      </c>
      <c r="H2276" s="8" t="s">
        <v>2689</v>
      </c>
    </row>
    <row r="2277" customFormat="false" ht="15" hidden="false" customHeight="false" outlineLevel="0" collapsed="false">
      <c r="A2277" s="7" t="n">
        <v>45915</v>
      </c>
      <c r="B2277" s="7" t="n">
        <v>45981</v>
      </c>
      <c r="C2277" s="8" t="n">
        <v>6730</v>
      </c>
      <c r="D2277" s="8" t="n">
        <v>55</v>
      </c>
      <c r="E2277" s="8" t="n">
        <v>2000</v>
      </c>
      <c r="F2277" s="8" t="s">
        <v>2200</v>
      </c>
      <c r="G2277" s="8" t="s">
        <v>2201</v>
      </c>
      <c r="H2277" s="8" t="s">
        <v>2689</v>
      </c>
    </row>
    <row r="2278" customFormat="false" ht="15" hidden="false" customHeight="false" outlineLevel="0" collapsed="false">
      <c r="A2278" s="7" t="n">
        <v>45915</v>
      </c>
      <c r="B2278" s="7" t="n">
        <v>46010</v>
      </c>
      <c r="C2278" s="8" t="n">
        <v>6784</v>
      </c>
      <c r="D2278" s="8" t="n">
        <v>0</v>
      </c>
      <c r="E2278" s="8" t="n">
        <v>0</v>
      </c>
      <c r="F2278" s="8" t="s">
        <v>2200</v>
      </c>
      <c r="G2278" s="8" t="s">
        <v>2201</v>
      </c>
      <c r="H2278" s="8" t="s">
        <v>2689</v>
      </c>
    </row>
    <row r="2279" customFormat="false" ht="15" hidden="false" customHeight="false" outlineLevel="0" collapsed="false">
      <c r="A2279" s="7" t="n">
        <v>45915</v>
      </c>
      <c r="B2279" s="7" t="n">
        <v>46042</v>
      </c>
      <c r="C2279" s="8" t="n">
        <v>6838</v>
      </c>
      <c r="D2279" s="8" t="n">
        <v>0</v>
      </c>
      <c r="E2279" s="8" t="n">
        <v>0</v>
      </c>
      <c r="F2279" s="8" t="s">
        <v>2200</v>
      </c>
      <c r="G2279" s="8" t="s">
        <v>2201</v>
      </c>
      <c r="H2279" s="8" t="s">
        <v>2689</v>
      </c>
    </row>
    <row r="2280" customFormat="false" ht="15" hidden="false" customHeight="false" outlineLevel="0" collapsed="false">
      <c r="A2280" s="7" t="n">
        <v>45916</v>
      </c>
      <c r="B2280" s="7" t="n">
        <v>45919</v>
      </c>
      <c r="C2280" s="8" t="n">
        <v>6622</v>
      </c>
      <c r="D2280" s="8" t="n">
        <v>3165</v>
      </c>
      <c r="E2280" s="8" t="n">
        <v>6420</v>
      </c>
      <c r="F2280" s="8" t="s">
        <v>2200</v>
      </c>
      <c r="G2280" s="8" t="s">
        <v>2201</v>
      </c>
      <c r="H2280" s="8" t="s">
        <v>2690</v>
      </c>
    </row>
    <row r="2281" customFormat="false" ht="15" hidden="false" customHeight="false" outlineLevel="0" collapsed="false">
      <c r="A2281" s="7" t="n">
        <v>45916</v>
      </c>
      <c r="B2281" s="7" t="n">
        <v>45950</v>
      </c>
      <c r="C2281" s="8" t="n">
        <v>6672</v>
      </c>
      <c r="D2281" s="8" t="n">
        <v>4420</v>
      </c>
      <c r="E2281" s="8" t="n">
        <v>30850</v>
      </c>
      <c r="F2281" s="8" t="s">
        <v>2200</v>
      </c>
      <c r="G2281" s="8" t="s">
        <v>2201</v>
      </c>
      <c r="H2281" s="8" t="s">
        <v>2690</v>
      </c>
    </row>
    <row r="2282" customFormat="false" ht="15" hidden="false" customHeight="false" outlineLevel="0" collapsed="false">
      <c r="A2282" s="7" t="n">
        <v>45916</v>
      </c>
      <c r="B2282" s="7" t="n">
        <v>45981</v>
      </c>
      <c r="C2282" s="8" t="n">
        <v>6718</v>
      </c>
      <c r="D2282" s="8" t="n">
        <v>510</v>
      </c>
      <c r="E2282" s="8" t="n">
        <v>2505</v>
      </c>
      <c r="F2282" s="8" t="s">
        <v>2200</v>
      </c>
      <c r="G2282" s="8" t="s">
        <v>2201</v>
      </c>
      <c r="H2282" s="8" t="s">
        <v>2690</v>
      </c>
    </row>
    <row r="2283" customFormat="false" ht="15" hidden="false" customHeight="false" outlineLevel="0" collapsed="false">
      <c r="A2283" s="7" t="n">
        <v>45916</v>
      </c>
      <c r="B2283" s="7" t="n">
        <v>46010</v>
      </c>
      <c r="C2283" s="8" t="n">
        <v>6764</v>
      </c>
      <c r="D2283" s="8" t="n">
        <v>0</v>
      </c>
      <c r="E2283" s="8" t="n">
        <v>0</v>
      </c>
      <c r="F2283" s="8" t="s">
        <v>2200</v>
      </c>
      <c r="G2283" s="8" t="s">
        <v>2201</v>
      </c>
      <c r="H2283" s="8" t="s">
        <v>2690</v>
      </c>
    </row>
    <row r="2284" customFormat="false" ht="15" hidden="false" customHeight="false" outlineLevel="0" collapsed="false">
      <c r="A2284" s="7" t="n">
        <v>45916</v>
      </c>
      <c r="B2284" s="7" t="n">
        <v>46042</v>
      </c>
      <c r="C2284" s="8" t="n">
        <v>6810</v>
      </c>
      <c r="D2284" s="8" t="n">
        <v>0</v>
      </c>
      <c r="E2284" s="8" t="n">
        <v>0</v>
      </c>
      <c r="F2284" s="8" t="s">
        <v>2200</v>
      </c>
      <c r="G2284" s="8" t="s">
        <v>2201</v>
      </c>
      <c r="H2284" s="8" t="s">
        <v>2690</v>
      </c>
    </row>
    <row r="2285" customFormat="false" ht="15" hidden="false" customHeight="false" outlineLevel="0" collapsed="false">
      <c r="A2285" s="7" t="n">
        <v>45917</v>
      </c>
      <c r="B2285" s="7" t="n">
        <v>45919</v>
      </c>
      <c r="C2285" s="8" t="n">
        <v>6598</v>
      </c>
      <c r="D2285" s="8" t="n">
        <v>2910</v>
      </c>
      <c r="E2285" s="8" t="n">
        <v>4280</v>
      </c>
      <c r="F2285" s="8" t="s">
        <v>2200</v>
      </c>
      <c r="G2285" s="8" t="s">
        <v>2201</v>
      </c>
      <c r="H2285" s="8" t="s">
        <v>2691</v>
      </c>
    </row>
    <row r="2286" customFormat="false" ht="15" hidden="false" customHeight="false" outlineLevel="0" collapsed="false">
      <c r="A2286" s="7" t="n">
        <v>45917</v>
      </c>
      <c r="B2286" s="7" t="n">
        <v>45950</v>
      </c>
      <c r="C2286" s="8" t="n">
        <v>6658</v>
      </c>
      <c r="D2286" s="8" t="n">
        <v>4850</v>
      </c>
      <c r="E2286" s="8" t="n">
        <v>31650</v>
      </c>
      <c r="F2286" s="8" t="s">
        <v>2200</v>
      </c>
      <c r="G2286" s="8" t="s">
        <v>2201</v>
      </c>
      <c r="H2286" s="8" t="s">
        <v>2691</v>
      </c>
    </row>
    <row r="2287" customFormat="false" ht="15" hidden="false" customHeight="false" outlineLevel="0" collapsed="false">
      <c r="A2287" s="7" t="n">
        <v>45917</v>
      </c>
      <c r="B2287" s="7" t="n">
        <v>45981</v>
      </c>
      <c r="C2287" s="8" t="n">
        <v>6712</v>
      </c>
      <c r="D2287" s="8" t="n">
        <v>150</v>
      </c>
      <c r="E2287" s="8" t="n">
        <v>2635</v>
      </c>
      <c r="F2287" s="8" t="s">
        <v>2200</v>
      </c>
      <c r="G2287" s="8" t="s">
        <v>2201</v>
      </c>
      <c r="H2287" s="8" t="s">
        <v>2691</v>
      </c>
    </row>
    <row r="2288" customFormat="false" ht="15" hidden="false" customHeight="false" outlineLevel="0" collapsed="false">
      <c r="A2288" s="7" t="n">
        <v>45917</v>
      </c>
      <c r="B2288" s="7" t="n">
        <v>46010</v>
      </c>
      <c r="C2288" s="8" t="n">
        <v>6766</v>
      </c>
      <c r="D2288" s="8" t="n">
        <v>0</v>
      </c>
      <c r="E2288" s="8" t="n">
        <v>0</v>
      </c>
      <c r="F2288" s="8" t="s">
        <v>2200</v>
      </c>
      <c r="G2288" s="8" t="s">
        <v>2201</v>
      </c>
      <c r="H2288" s="8" t="s">
        <v>2691</v>
      </c>
    </row>
    <row r="2289" customFormat="false" ht="15" hidden="false" customHeight="false" outlineLevel="0" collapsed="false">
      <c r="A2289" s="7" t="n">
        <v>45917</v>
      </c>
      <c r="B2289" s="7" t="n">
        <v>46042</v>
      </c>
      <c r="C2289" s="8" t="n">
        <v>6820</v>
      </c>
      <c r="D2289" s="8" t="n">
        <v>0</v>
      </c>
      <c r="E2289" s="8" t="n">
        <v>0</v>
      </c>
      <c r="F2289" s="8" t="s">
        <v>2200</v>
      </c>
      <c r="G2289" s="8" t="s">
        <v>2201</v>
      </c>
      <c r="H2289" s="8" t="s">
        <v>2691</v>
      </c>
    </row>
    <row r="2290" customFormat="false" ht="15" hidden="false" customHeight="false" outlineLevel="0" collapsed="false">
      <c r="A2290" s="7" t="n">
        <v>45918</v>
      </c>
      <c r="B2290" s="7" t="n">
        <v>45919</v>
      </c>
      <c r="C2290" s="8" t="n">
        <v>6578</v>
      </c>
      <c r="D2290" s="8" t="n">
        <v>45</v>
      </c>
      <c r="E2290" s="8" t="n">
        <v>2535</v>
      </c>
      <c r="F2290" s="8" t="s">
        <v>2200</v>
      </c>
      <c r="G2290" s="8" t="s">
        <v>2201</v>
      </c>
      <c r="H2290" s="8" t="s">
        <v>2692</v>
      </c>
    </row>
    <row r="2291" customFormat="false" ht="15" hidden="false" customHeight="false" outlineLevel="0" collapsed="false">
      <c r="A2291" s="7" t="n">
        <v>45918</v>
      </c>
      <c r="B2291" s="7" t="n">
        <v>45950</v>
      </c>
      <c r="C2291" s="8" t="n">
        <v>6620</v>
      </c>
      <c r="D2291" s="8" t="n">
        <v>4420</v>
      </c>
      <c r="E2291" s="8" t="n">
        <v>30495</v>
      </c>
      <c r="F2291" s="8" t="s">
        <v>2200</v>
      </c>
      <c r="G2291" s="8" t="s">
        <v>2201</v>
      </c>
      <c r="H2291" s="8" t="s">
        <v>2692</v>
      </c>
    </row>
    <row r="2292" customFormat="false" ht="15" hidden="false" customHeight="false" outlineLevel="0" collapsed="false">
      <c r="A2292" s="7" t="n">
        <v>45918</v>
      </c>
      <c r="B2292" s="7" t="n">
        <v>45981</v>
      </c>
      <c r="C2292" s="8" t="n">
        <v>6680</v>
      </c>
      <c r="D2292" s="8" t="n">
        <v>965</v>
      </c>
      <c r="E2292" s="8" t="n">
        <v>3385</v>
      </c>
      <c r="F2292" s="8" t="s">
        <v>2200</v>
      </c>
      <c r="G2292" s="8" t="s">
        <v>2201</v>
      </c>
      <c r="H2292" s="8" t="s">
        <v>2692</v>
      </c>
    </row>
    <row r="2293" customFormat="false" ht="15" hidden="false" customHeight="false" outlineLevel="0" collapsed="false">
      <c r="A2293" s="7" t="n">
        <v>45918</v>
      </c>
      <c r="B2293" s="7" t="n">
        <v>46010</v>
      </c>
      <c r="C2293" s="8" t="n">
        <v>6740</v>
      </c>
      <c r="D2293" s="8" t="n">
        <v>0</v>
      </c>
      <c r="E2293" s="8" t="n">
        <v>0</v>
      </c>
      <c r="F2293" s="8" t="s">
        <v>2200</v>
      </c>
      <c r="G2293" s="8" t="s">
        <v>2201</v>
      </c>
      <c r="H2293" s="8" t="s">
        <v>2692</v>
      </c>
    </row>
    <row r="2294" customFormat="false" ht="15" hidden="false" customHeight="false" outlineLevel="0" collapsed="false">
      <c r="A2294" s="7" t="n">
        <v>45918</v>
      </c>
      <c r="B2294" s="7" t="n">
        <v>46042</v>
      </c>
      <c r="C2294" s="8" t="n">
        <v>6800</v>
      </c>
      <c r="D2294" s="8" t="n">
        <v>0</v>
      </c>
      <c r="E2294" s="8" t="n">
        <v>0</v>
      </c>
      <c r="F2294" s="8" t="s">
        <v>2200</v>
      </c>
      <c r="G2294" s="8" t="s">
        <v>2201</v>
      </c>
      <c r="H2294" s="8" t="s">
        <v>2692</v>
      </c>
    </row>
    <row r="2295" customFormat="false" ht="15" hidden="false" customHeight="false" outlineLevel="0" collapsed="false">
      <c r="A2295" s="7" t="n">
        <v>45919</v>
      </c>
      <c r="B2295" s="7" t="n">
        <v>45919</v>
      </c>
      <c r="C2295" s="8" t="n">
        <v>6559</v>
      </c>
      <c r="D2295" s="8" t="n">
        <v>65</v>
      </c>
      <c r="E2295" s="8" t="n">
        <v>465</v>
      </c>
      <c r="F2295" s="8" t="s">
        <v>2200</v>
      </c>
      <c r="G2295" s="8" t="s">
        <v>2201</v>
      </c>
      <c r="H2295" s="8" t="s">
        <v>2693</v>
      </c>
    </row>
    <row r="2296" customFormat="false" ht="15" hidden="false" customHeight="false" outlineLevel="0" collapsed="false">
      <c r="A2296" s="7" t="n">
        <v>45919</v>
      </c>
      <c r="B2296" s="7" t="n">
        <v>45950</v>
      </c>
      <c r="C2296" s="8" t="n">
        <v>6584</v>
      </c>
      <c r="D2296" s="8" t="n">
        <v>5940</v>
      </c>
      <c r="E2296" s="8" t="n">
        <v>27885</v>
      </c>
      <c r="F2296" s="8" t="s">
        <v>2200</v>
      </c>
      <c r="G2296" s="8" t="s">
        <v>2201</v>
      </c>
      <c r="H2296" s="8" t="s">
        <v>2693</v>
      </c>
    </row>
    <row r="2297" customFormat="false" ht="15" hidden="false" customHeight="false" outlineLevel="0" collapsed="false">
      <c r="A2297" s="7" t="n">
        <v>45919</v>
      </c>
      <c r="B2297" s="7" t="n">
        <v>45981</v>
      </c>
      <c r="C2297" s="8" t="n">
        <v>6648</v>
      </c>
      <c r="D2297" s="8" t="n">
        <v>3930</v>
      </c>
      <c r="E2297" s="8" t="n">
        <v>6370</v>
      </c>
      <c r="F2297" s="8" t="s">
        <v>2200</v>
      </c>
      <c r="G2297" s="8" t="s">
        <v>2201</v>
      </c>
      <c r="H2297" s="8" t="s">
        <v>2693</v>
      </c>
    </row>
    <row r="2298" customFormat="false" ht="15" hidden="false" customHeight="false" outlineLevel="0" collapsed="false">
      <c r="A2298" s="7" t="n">
        <v>45919</v>
      </c>
      <c r="B2298" s="7" t="n">
        <v>46010</v>
      </c>
      <c r="C2298" s="8" t="n">
        <v>6712</v>
      </c>
      <c r="D2298" s="8" t="n">
        <v>0</v>
      </c>
      <c r="E2298" s="8" t="n">
        <v>0</v>
      </c>
      <c r="F2298" s="8" t="s">
        <v>2200</v>
      </c>
      <c r="G2298" s="8" t="s">
        <v>2201</v>
      </c>
      <c r="H2298" s="8" t="s">
        <v>2693</v>
      </c>
    </row>
    <row r="2299" customFormat="false" ht="15" hidden="false" customHeight="false" outlineLevel="0" collapsed="false">
      <c r="A2299" s="7" t="n">
        <v>45919</v>
      </c>
      <c r="B2299" s="7" t="n">
        <v>46042</v>
      </c>
      <c r="C2299" s="8" t="n">
        <v>6776</v>
      </c>
      <c r="D2299" s="8" t="n">
        <v>0</v>
      </c>
      <c r="E2299" s="8" t="n">
        <v>0</v>
      </c>
      <c r="F2299" s="8" t="s">
        <v>2200</v>
      </c>
      <c r="G2299" s="8" t="s">
        <v>2201</v>
      </c>
      <c r="H2299" s="8" t="s">
        <v>2693</v>
      </c>
    </row>
    <row r="2300" customFormat="false" ht="15" hidden="false" customHeight="false" outlineLevel="0" collapsed="false">
      <c r="A2300" s="7" t="n">
        <v>45922</v>
      </c>
      <c r="B2300" s="7" t="n">
        <v>45950</v>
      </c>
      <c r="C2300" s="8" t="n">
        <v>6543</v>
      </c>
      <c r="D2300" s="8" t="n">
        <v>7360</v>
      </c>
      <c r="E2300" s="8" t="n">
        <v>25515</v>
      </c>
      <c r="F2300" s="8" t="s">
        <v>2200</v>
      </c>
      <c r="G2300" s="8" t="s">
        <v>2201</v>
      </c>
      <c r="H2300" s="8" t="s">
        <v>2694</v>
      </c>
    </row>
    <row r="2301" customFormat="false" ht="15" hidden="false" customHeight="false" outlineLevel="0" collapsed="false">
      <c r="A2301" s="7" t="n">
        <v>45922</v>
      </c>
      <c r="B2301" s="7" t="n">
        <v>45981</v>
      </c>
      <c r="C2301" s="8" t="n">
        <v>6604</v>
      </c>
      <c r="D2301" s="8" t="n">
        <v>3970</v>
      </c>
      <c r="E2301" s="8" t="n">
        <v>8650</v>
      </c>
      <c r="F2301" s="8" t="s">
        <v>2200</v>
      </c>
      <c r="G2301" s="8" t="s">
        <v>2201</v>
      </c>
      <c r="H2301" s="8" t="s">
        <v>2694</v>
      </c>
    </row>
    <row r="2302" customFormat="false" ht="15" hidden="false" customHeight="false" outlineLevel="0" collapsed="false">
      <c r="A2302" s="7" t="n">
        <v>45922</v>
      </c>
      <c r="B2302" s="7" t="n">
        <v>46010</v>
      </c>
      <c r="C2302" s="8" t="n">
        <v>6665</v>
      </c>
      <c r="D2302" s="8" t="n">
        <v>60</v>
      </c>
      <c r="E2302" s="8" t="n">
        <v>60</v>
      </c>
      <c r="F2302" s="8" t="s">
        <v>2200</v>
      </c>
      <c r="G2302" s="8" t="s">
        <v>2201</v>
      </c>
      <c r="H2302" s="8" t="s">
        <v>2694</v>
      </c>
    </row>
    <row r="2303" customFormat="false" ht="15" hidden="false" customHeight="false" outlineLevel="0" collapsed="false">
      <c r="A2303" s="7" t="n">
        <v>45922</v>
      </c>
      <c r="B2303" s="7" t="n">
        <v>46042</v>
      </c>
      <c r="C2303" s="8" t="n">
        <v>6726</v>
      </c>
      <c r="D2303" s="8" t="n">
        <v>0</v>
      </c>
      <c r="E2303" s="8" t="n">
        <v>0</v>
      </c>
      <c r="F2303" s="8" t="s">
        <v>2200</v>
      </c>
      <c r="G2303" s="8" t="s">
        <v>2201</v>
      </c>
      <c r="H2303" s="8" t="s">
        <v>2694</v>
      </c>
    </row>
    <row r="2304" customFormat="false" ht="15" hidden="false" customHeight="false" outlineLevel="0" collapsed="false">
      <c r="A2304" s="7" t="n">
        <v>45923</v>
      </c>
      <c r="B2304" s="7" t="n">
        <v>45950</v>
      </c>
      <c r="C2304" s="8" t="n">
        <v>6504</v>
      </c>
      <c r="D2304" s="8" t="n">
        <v>4595</v>
      </c>
      <c r="E2304" s="8" t="n">
        <v>24395</v>
      </c>
      <c r="F2304" s="8" t="s">
        <v>2200</v>
      </c>
      <c r="G2304" s="8" t="s">
        <v>2201</v>
      </c>
      <c r="H2304" s="8" t="s">
        <v>2695</v>
      </c>
    </row>
    <row r="2305" customFormat="false" ht="15" hidden="false" customHeight="false" outlineLevel="0" collapsed="false">
      <c r="A2305" s="7" t="n">
        <v>45923</v>
      </c>
      <c r="B2305" s="7" t="n">
        <v>45981</v>
      </c>
      <c r="C2305" s="8" t="n">
        <v>6561</v>
      </c>
      <c r="D2305" s="8" t="n">
        <v>2310</v>
      </c>
      <c r="E2305" s="8" t="n">
        <v>9795</v>
      </c>
      <c r="F2305" s="8" t="s">
        <v>2200</v>
      </c>
      <c r="G2305" s="8" t="s">
        <v>2201</v>
      </c>
      <c r="H2305" s="8" t="s">
        <v>2695</v>
      </c>
    </row>
    <row r="2306" customFormat="false" ht="15" hidden="false" customHeight="false" outlineLevel="0" collapsed="false">
      <c r="A2306" s="7" t="n">
        <v>45923</v>
      </c>
      <c r="B2306" s="7" t="n">
        <v>46010</v>
      </c>
      <c r="C2306" s="8" t="n">
        <v>6632</v>
      </c>
      <c r="D2306" s="8" t="n">
        <v>5</v>
      </c>
      <c r="E2306" s="8" t="n">
        <v>60</v>
      </c>
      <c r="F2306" s="8" t="s">
        <v>2200</v>
      </c>
      <c r="G2306" s="8" t="s">
        <v>2201</v>
      </c>
      <c r="H2306" s="8" t="s">
        <v>2695</v>
      </c>
    </row>
    <row r="2307" customFormat="false" ht="15" hidden="false" customHeight="false" outlineLevel="0" collapsed="false">
      <c r="A2307" s="7" t="n">
        <v>45923</v>
      </c>
      <c r="B2307" s="7" t="n">
        <v>46042</v>
      </c>
      <c r="C2307" s="8" t="n">
        <v>6703</v>
      </c>
      <c r="D2307" s="8" t="n">
        <v>0</v>
      </c>
      <c r="E2307" s="8" t="n">
        <v>0</v>
      </c>
      <c r="F2307" s="8" t="s">
        <v>2200</v>
      </c>
      <c r="G2307" s="8" t="s">
        <v>2201</v>
      </c>
      <c r="H2307" s="8" t="s">
        <v>2695</v>
      </c>
    </row>
    <row r="2308" customFormat="false" ht="15" hidden="false" customHeight="false" outlineLevel="0" collapsed="false">
      <c r="A2308" s="7" t="n">
        <v>45924</v>
      </c>
      <c r="B2308" s="7" t="n">
        <v>45950</v>
      </c>
      <c r="C2308" s="8" t="n">
        <v>6503</v>
      </c>
      <c r="D2308" s="8" t="n">
        <v>2160</v>
      </c>
      <c r="E2308" s="8" t="n">
        <v>23690</v>
      </c>
      <c r="F2308" s="8" t="s">
        <v>2200</v>
      </c>
      <c r="G2308" s="8" t="s">
        <v>2201</v>
      </c>
      <c r="H2308" s="8" t="s">
        <v>2696</v>
      </c>
    </row>
    <row r="2309" customFormat="false" ht="15" hidden="false" customHeight="false" outlineLevel="0" collapsed="false">
      <c r="A2309" s="7" t="n">
        <v>45924</v>
      </c>
      <c r="B2309" s="7" t="n">
        <v>45981</v>
      </c>
      <c r="C2309" s="8" t="n">
        <v>6559</v>
      </c>
      <c r="D2309" s="8" t="n">
        <v>1505</v>
      </c>
      <c r="E2309" s="8" t="n">
        <v>10625</v>
      </c>
      <c r="F2309" s="8" t="s">
        <v>2200</v>
      </c>
      <c r="G2309" s="8" t="s">
        <v>2201</v>
      </c>
      <c r="H2309" s="8" t="s">
        <v>2696</v>
      </c>
    </row>
    <row r="2310" customFormat="false" ht="15" hidden="false" customHeight="false" outlineLevel="0" collapsed="false">
      <c r="A2310" s="7" t="n">
        <v>45924</v>
      </c>
      <c r="B2310" s="7" t="n">
        <v>46010</v>
      </c>
      <c r="C2310" s="8" t="n">
        <v>6615</v>
      </c>
      <c r="D2310" s="8" t="n">
        <v>140</v>
      </c>
      <c r="E2310" s="8" t="n">
        <v>180</v>
      </c>
      <c r="F2310" s="8" t="s">
        <v>2200</v>
      </c>
      <c r="G2310" s="8" t="s">
        <v>2201</v>
      </c>
      <c r="H2310" s="8" t="s">
        <v>2696</v>
      </c>
    </row>
    <row r="2311" customFormat="false" ht="15" hidden="false" customHeight="false" outlineLevel="0" collapsed="false">
      <c r="A2311" s="7" t="n">
        <v>45924</v>
      </c>
      <c r="B2311" s="7" t="n">
        <v>46042</v>
      </c>
      <c r="C2311" s="8" t="n">
        <v>6671</v>
      </c>
      <c r="D2311" s="8" t="n">
        <v>0</v>
      </c>
      <c r="E2311" s="8" t="n">
        <v>0</v>
      </c>
      <c r="F2311" s="8" t="s">
        <v>2200</v>
      </c>
      <c r="G2311" s="8" t="s">
        <v>2201</v>
      </c>
      <c r="H2311" s="8" t="s">
        <v>2696</v>
      </c>
    </row>
    <row r="2312" customFormat="false" ht="15" hidden="false" customHeight="false" outlineLevel="0" collapsed="false">
      <c r="A2312" s="7" t="n">
        <v>45925</v>
      </c>
      <c r="B2312" s="7" t="n">
        <v>45950</v>
      </c>
      <c r="C2312" s="8" t="n">
        <v>6432</v>
      </c>
      <c r="D2312" s="8" t="n">
        <v>5670</v>
      </c>
      <c r="E2312" s="8" t="n">
        <v>22530</v>
      </c>
      <c r="F2312" s="8" t="s">
        <v>2200</v>
      </c>
      <c r="G2312" s="8" t="s">
        <v>2201</v>
      </c>
      <c r="H2312" s="8" t="s">
        <v>2697</v>
      </c>
    </row>
    <row r="2313" customFormat="false" ht="15" hidden="false" customHeight="false" outlineLevel="0" collapsed="false">
      <c r="A2313" s="7" t="n">
        <v>45925</v>
      </c>
      <c r="B2313" s="7" t="n">
        <v>45981</v>
      </c>
      <c r="C2313" s="8" t="n">
        <v>6494</v>
      </c>
      <c r="D2313" s="8" t="n">
        <v>2690</v>
      </c>
      <c r="E2313" s="8" t="n">
        <v>12105</v>
      </c>
      <c r="F2313" s="8" t="s">
        <v>2200</v>
      </c>
      <c r="G2313" s="8" t="s">
        <v>2201</v>
      </c>
      <c r="H2313" s="8" t="s">
        <v>2697</v>
      </c>
    </row>
    <row r="2314" customFormat="false" ht="15" hidden="false" customHeight="false" outlineLevel="0" collapsed="false">
      <c r="A2314" s="7" t="n">
        <v>45925</v>
      </c>
      <c r="B2314" s="7" t="n">
        <v>46010</v>
      </c>
      <c r="C2314" s="8" t="n">
        <v>6583</v>
      </c>
      <c r="D2314" s="8" t="n">
        <v>185</v>
      </c>
      <c r="E2314" s="8" t="n">
        <v>330</v>
      </c>
      <c r="F2314" s="8" t="s">
        <v>2200</v>
      </c>
      <c r="G2314" s="8" t="s">
        <v>2201</v>
      </c>
      <c r="H2314" s="8" t="s">
        <v>2697</v>
      </c>
    </row>
    <row r="2315" customFormat="false" ht="15" hidden="false" customHeight="false" outlineLevel="0" collapsed="false">
      <c r="A2315" s="7" t="n">
        <v>45925</v>
      </c>
      <c r="B2315" s="7" t="n">
        <v>46042</v>
      </c>
      <c r="C2315" s="8" t="n">
        <v>6405</v>
      </c>
      <c r="D2315" s="8" t="n">
        <v>5</v>
      </c>
      <c r="E2315" s="8" t="n">
        <v>5</v>
      </c>
      <c r="F2315" s="8" t="s">
        <v>2200</v>
      </c>
      <c r="G2315" s="8" t="s">
        <v>2201</v>
      </c>
      <c r="H2315" s="8" t="s">
        <v>2697</v>
      </c>
    </row>
    <row r="2316" customFormat="false" ht="15" hidden="false" customHeight="false" outlineLevel="0" collapsed="false">
      <c r="A2316" s="7" t="n">
        <v>45926</v>
      </c>
      <c r="B2316" s="7" t="n">
        <v>45950</v>
      </c>
      <c r="C2316" s="8" t="n">
        <v>6419</v>
      </c>
      <c r="D2316" s="8" t="n">
        <v>2890</v>
      </c>
      <c r="E2316" s="8" t="n">
        <v>22465</v>
      </c>
      <c r="F2316" s="8" t="s">
        <v>2200</v>
      </c>
      <c r="G2316" s="8" t="s">
        <v>2201</v>
      </c>
      <c r="H2316" s="8" t="s">
        <v>2698</v>
      </c>
    </row>
    <row r="2317" customFormat="false" ht="15" hidden="false" customHeight="false" outlineLevel="0" collapsed="false">
      <c r="A2317" s="7" t="n">
        <v>45926</v>
      </c>
      <c r="B2317" s="7" t="n">
        <v>45981</v>
      </c>
      <c r="C2317" s="8" t="n">
        <v>6479</v>
      </c>
      <c r="D2317" s="8" t="n">
        <v>1565</v>
      </c>
      <c r="E2317" s="8" t="n">
        <v>12700</v>
      </c>
      <c r="F2317" s="8" t="s">
        <v>2200</v>
      </c>
      <c r="G2317" s="8" t="s">
        <v>2201</v>
      </c>
      <c r="H2317" s="8" t="s">
        <v>2698</v>
      </c>
    </row>
    <row r="2318" customFormat="false" ht="15" hidden="false" customHeight="false" outlineLevel="0" collapsed="false">
      <c r="A2318" s="7" t="n">
        <v>45926</v>
      </c>
      <c r="B2318" s="7" t="n">
        <v>46010</v>
      </c>
      <c r="C2318" s="8" t="n">
        <v>6545</v>
      </c>
      <c r="D2318" s="8" t="n">
        <v>145</v>
      </c>
      <c r="E2318" s="8" t="n">
        <v>410</v>
      </c>
      <c r="F2318" s="8" t="s">
        <v>2200</v>
      </c>
      <c r="G2318" s="8" t="s">
        <v>2201</v>
      </c>
      <c r="H2318" s="8" t="s">
        <v>2698</v>
      </c>
    </row>
    <row r="2319" customFormat="false" ht="15" hidden="false" customHeight="false" outlineLevel="0" collapsed="false">
      <c r="A2319" s="7" t="n">
        <v>45926</v>
      </c>
      <c r="B2319" s="7" t="n">
        <v>46042</v>
      </c>
      <c r="C2319" s="8" t="n">
        <v>6369</v>
      </c>
      <c r="D2319" s="8" t="n">
        <v>10</v>
      </c>
      <c r="E2319" s="8" t="n">
        <v>15</v>
      </c>
      <c r="F2319" s="8" t="s">
        <v>2200</v>
      </c>
      <c r="G2319" s="8" t="s">
        <v>2201</v>
      </c>
      <c r="H2319" s="8" t="s">
        <v>2698</v>
      </c>
    </row>
    <row r="2320" customFormat="false" ht="15" hidden="false" customHeight="false" outlineLevel="0" collapsed="false">
      <c r="A2320" s="7" t="n">
        <v>45929</v>
      </c>
      <c r="B2320" s="7" t="n">
        <v>45950</v>
      </c>
      <c r="C2320" s="8" t="n">
        <v>6466</v>
      </c>
      <c r="D2320" s="8" t="n">
        <v>6195</v>
      </c>
      <c r="E2320" s="8" t="n">
        <v>21545</v>
      </c>
      <c r="F2320" s="8" t="s">
        <v>2200</v>
      </c>
      <c r="G2320" s="8" t="s">
        <v>2201</v>
      </c>
      <c r="H2320" s="8" t="s">
        <v>2699</v>
      </c>
    </row>
    <row r="2321" customFormat="false" ht="15" hidden="false" customHeight="false" outlineLevel="0" collapsed="false">
      <c r="A2321" s="7" t="n">
        <v>45929</v>
      </c>
      <c r="B2321" s="7" t="n">
        <v>45981</v>
      </c>
      <c r="C2321" s="8" t="n">
        <v>6533</v>
      </c>
      <c r="D2321" s="8" t="n">
        <v>3665</v>
      </c>
      <c r="E2321" s="8" t="n">
        <v>14475</v>
      </c>
      <c r="F2321" s="8" t="s">
        <v>2200</v>
      </c>
      <c r="G2321" s="8" t="s">
        <v>2201</v>
      </c>
      <c r="H2321" s="8" t="s">
        <v>2699</v>
      </c>
    </row>
    <row r="2322" customFormat="false" ht="15" hidden="false" customHeight="false" outlineLevel="0" collapsed="false">
      <c r="A2322" s="7" t="n">
        <v>45929</v>
      </c>
      <c r="B2322" s="7" t="n">
        <v>46010</v>
      </c>
      <c r="C2322" s="8" t="n">
        <v>6607</v>
      </c>
      <c r="D2322" s="8" t="n">
        <v>190</v>
      </c>
      <c r="E2322" s="8" t="n">
        <v>455</v>
      </c>
      <c r="F2322" s="8" t="s">
        <v>2200</v>
      </c>
      <c r="G2322" s="8" t="s">
        <v>2201</v>
      </c>
      <c r="H2322" s="8" t="s">
        <v>2699</v>
      </c>
    </row>
    <row r="2323" customFormat="false" ht="15" hidden="false" customHeight="false" outlineLevel="0" collapsed="false">
      <c r="A2323" s="7" t="n">
        <v>45929</v>
      </c>
      <c r="B2323" s="7" t="n">
        <v>46042</v>
      </c>
      <c r="C2323" s="8" t="n">
        <v>6535</v>
      </c>
      <c r="D2323" s="8" t="n">
        <v>105</v>
      </c>
      <c r="E2323" s="8" t="n">
        <v>105</v>
      </c>
      <c r="F2323" s="8" t="s">
        <v>2200</v>
      </c>
      <c r="G2323" s="8" t="s">
        <v>2201</v>
      </c>
      <c r="H2323" s="8" t="s">
        <v>2699</v>
      </c>
    </row>
    <row r="2324" customFormat="false" ht="15" hidden="false" customHeight="false" outlineLevel="0" collapsed="false">
      <c r="A2324" s="7" t="n">
        <v>45930</v>
      </c>
      <c r="B2324" s="7" t="n">
        <v>45950</v>
      </c>
      <c r="C2324" s="8" t="n">
        <v>6531</v>
      </c>
      <c r="D2324" s="8" t="n">
        <v>6260</v>
      </c>
      <c r="E2324" s="8" t="n">
        <v>18940</v>
      </c>
      <c r="F2324" s="8" t="s">
        <v>2200</v>
      </c>
      <c r="G2324" s="8" t="s">
        <v>2201</v>
      </c>
      <c r="H2324" s="8" t="s">
        <v>2700</v>
      </c>
    </row>
    <row r="2325" customFormat="false" ht="15" hidden="false" customHeight="false" outlineLevel="0" collapsed="false">
      <c r="A2325" s="7" t="n">
        <v>45930</v>
      </c>
      <c r="B2325" s="7" t="n">
        <v>45981</v>
      </c>
      <c r="C2325" s="8" t="n">
        <v>6604</v>
      </c>
      <c r="D2325" s="8" t="n">
        <v>4105</v>
      </c>
      <c r="E2325" s="8" t="n">
        <v>17175</v>
      </c>
      <c r="F2325" s="8" t="s">
        <v>2200</v>
      </c>
      <c r="G2325" s="8" t="s">
        <v>2201</v>
      </c>
      <c r="H2325" s="8" t="s">
        <v>2700</v>
      </c>
    </row>
    <row r="2326" customFormat="false" ht="15" hidden="false" customHeight="false" outlineLevel="0" collapsed="false">
      <c r="A2326" s="7" t="n">
        <v>45930</v>
      </c>
      <c r="B2326" s="7" t="n">
        <v>46010</v>
      </c>
      <c r="C2326" s="8" t="n">
        <v>6650</v>
      </c>
      <c r="D2326" s="8" t="n">
        <v>10</v>
      </c>
      <c r="E2326" s="8" t="n">
        <v>450</v>
      </c>
      <c r="F2326" s="8" t="s">
        <v>2200</v>
      </c>
      <c r="G2326" s="8" t="s">
        <v>2201</v>
      </c>
      <c r="H2326" s="8" t="s">
        <v>2700</v>
      </c>
    </row>
    <row r="2327" customFormat="false" ht="15" hidden="false" customHeight="false" outlineLevel="0" collapsed="false">
      <c r="A2327" s="7" t="n">
        <v>45930</v>
      </c>
      <c r="B2327" s="7" t="n">
        <v>46042</v>
      </c>
      <c r="C2327" s="8" t="n">
        <v>6501</v>
      </c>
      <c r="D2327" s="8" t="n">
        <v>25</v>
      </c>
      <c r="E2327" s="8" t="n">
        <v>130</v>
      </c>
      <c r="F2327" s="8" t="s">
        <v>2200</v>
      </c>
      <c r="G2327" s="8" t="s">
        <v>2201</v>
      </c>
      <c r="H2327" s="8" t="s">
        <v>2700</v>
      </c>
    </row>
    <row r="2328" customFormat="false" ht="15" hidden="false" customHeight="false" outlineLevel="0" collapsed="false">
      <c r="A2328" s="7" t="n">
        <v>45931</v>
      </c>
      <c r="B2328" s="7" t="n">
        <v>45950</v>
      </c>
      <c r="C2328" s="8" t="n">
        <v>6549</v>
      </c>
      <c r="D2328" s="8" t="n">
        <v>4165</v>
      </c>
      <c r="E2328" s="8" t="n">
        <v>17630</v>
      </c>
      <c r="F2328" s="8" t="s">
        <v>2200</v>
      </c>
      <c r="G2328" s="8" t="s">
        <v>2201</v>
      </c>
      <c r="H2328" s="8" t="s">
        <v>2701</v>
      </c>
    </row>
    <row r="2329" customFormat="false" ht="15" hidden="false" customHeight="false" outlineLevel="0" collapsed="false">
      <c r="A2329" s="7" t="n">
        <v>45931</v>
      </c>
      <c r="B2329" s="7" t="n">
        <v>45981</v>
      </c>
      <c r="C2329" s="8" t="n">
        <v>6629</v>
      </c>
      <c r="D2329" s="8" t="n">
        <v>4770</v>
      </c>
      <c r="E2329" s="8" t="n">
        <v>19320</v>
      </c>
      <c r="F2329" s="8" t="s">
        <v>2200</v>
      </c>
      <c r="G2329" s="8" t="s">
        <v>2201</v>
      </c>
      <c r="H2329" s="8" t="s">
        <v>2701</v>
      </c>
    </row>
    <row r="2330" customFormat="false" ht="15" hidden="false" customHeight="false" outlineLevel="0" collapsed="false">
      <c r="A2330" s="7" t="n">
        <v>45931</v>
      </c>
      <c r="B2330" s="7" t="n">
        <v>46010</v>
      </c>
      <c r="C2330" s="8" t="n">
        <v>6694</v>
      </c>
      <c r="D2330" s="8" t="n">
        <v>175</v>
      </c>
      <c r="E2330" s="8" t="n">
        <v>500</v>
      </c>
      <c r="F2330" s="8" t="s">
        <v>2200</v>
      </c>
      <c r="G2330" s="8" t="s">
        <v>2201</v>
      </c>
      <c r="H2330" s="8" t="s">
        <v>2701</v>
      </c>
    </row>
    <row r="2331" customFormat="false" ht="15" hidden="false" customHeight="false" outlineLevel="0" collapsed="false">
      <c r="A2331" s="7" t="n">
        <v>45931</v>
      </c>
      <c r="B2331" s="7" t="n">
        <v>46042</v>
      </c>
      <c r="C2331" s="8" t="n">
        <v>6501</v>
      </c>
      <c r="D2331" s="8" t="n">
        <v>0</v>
      </c>
      <c r="E2331" s="8" t="n">
        <v>130</v>
      </c>
      <c r="F2331" s="8" t="s">
        <v>2200</v>
      </c>
      <c r="G2331" s="8" t="s">
        <v>2201</v>
      </c>
      <c r="H2331" s="8" t="s">
        <v>2701</v>
      </c>
    </row>
    <row r="2332" customFormat="false" ht="15" hidden="false" customHeight="false" outlineLevel="0" collapsed="false">
      <c r="A2332" s="7" t="n">
        <v>45931</v>
      </c>
      <c r="B2332" s="7" t="n">
        <v>46073</v>
      </c>
      <c r="C2332" s="8" t="n">
        <v>6501</v>
      </c>
      <c r="D2332" s="8" t="n">
        <v>0</v>
      </c>
      <c r="E2332" s="8" t="n">
        <v>0</v>
      </c>
      <c r="F2332" s="8" t="s">
        <v>2200</v>
      </c>
      <c r="G2332" s="8" t="s">
        <v>2201</v>
      </c>
      <c r="H2332" s="8" t="s">
        <v>2701</v>
      </c>
    </row>
    <row r="2333" customFormat="false" ht="15" hidden="false" customHeight="false" outlineLevel="0" collapsed="false">
      <c r="A2333" s="7" t="n">
        <v>45933</v>
      </c>
      <c r="B2333" s="7" t="n">
        <v>45950</v>
      </c>
      <c r="C2333" s="8" t="n">
        <v>6466</v>
      </c>
      <c r="D2333" s="8" t="n">
        <v>2850</v>
      </c>
      <c r="E2333" s="8" t="n">
        <v>16725</v>
      </c>
      <c r="F2333" s="8" t="s">
        <v>2200</v>
      </c>
      <c r="G2333" s="8" t="s">
        <v>2201</v>
      </c>
      <c r="H2333" s="8" t="s">
        <v>2702</v>
      </c>
    </row>
    <row r="2334" customFormat="false" ht="15" hidden="false" customHeight="false" outlineLevel="0" collapsed="false">
      <c r="A2334" s="7" t="n">
        <v>45933</v>
      </c>
      <c r="B2334" s="7" t="n">
        <v>45981</v>
      </c>
      <c r="C2334" s="8" t="n">
        <v>6542</v>
      </c>
      <c r="D2334" s="8" t="n">
        <v>3760</v>
      </c>
      <c r="E2334" s="8" t="n">
        <v>20535</v>
      </c>
      <c r="F2334" s="8" t="s">
        <v>2200</v>
      </c>
      <c r="G2334" s="8" t="s">
        <v>2201</v>
      </c>
      <c r="H2334" s="8" t="s">
        <v>2702</v>
      </c>
    </row>
    <row r="2335" customFormat="false" ht="15" hidden="false" customHeight="false" outlineLevel="0" collapsed="false">
      <c r="A2335" s="7" t="n">
        <v>45933</v>
      </c>
      <c r="B2335" s="7" t="n">
        <v>46010</v>
      </c>
      <c r="C2335" s="8" t="n">
        <v>6629</v>
      </c>
      <c r="D2335" s="8" t="n">
        <v>45</v>
      </c>
      <c r="E2335" s="8" t="n">
        <v>500</v>
      </c>
      <c r="F2335" s="8" t="s">
        <v>2200</v>
      </c>
      <c r="G2335" s="8" t="s">
        <v>2201</v>
      </c>
      <c r="H2335" s="8" t="s">
        <v>2702</v>
      </c>
    </row>
    <row r="2336" customFormat="false" ht="15" hidden="false" customHeight="false" outlineLevel="0" collapsed="false">
      <c r="A2336" s="7" t="n">
        <v>45933</v>
      </c>
      <c r="B2336" s="7" t="n">
        <v>46042</v>
      </c>
      <c r="C2336" s="8" t="n">
        <v>6500</v>
      </c>
      <c r="D2336" s="8" t="n">
        <v>5</v>
      </c>
      <c r="E2336" s="8" t="n">
        <v>130</v>
      </c>
      <c r="F2336" s="8" t="s">
        <v>2200</v>
      </c>
      <c r="G2336" s="8" t="s">
        <v>2201</v>
      </c>
      <c r="H2336" s="8" t="s">
        <v>2702</v>
      </c>
    </row>
    <row r="2337" customFormat="false" ht="15" hidden="false" customHeight="false" outlineLevel="0" collapsed="false">
      <c r="A2337" s="7" t="n">
        <v>45933</v>
      </c>
      <c r="B2337" s="7" t="n">
        <v>46073</v>
      </c>
      <c r="C2337" s="8" t="n">
        <v>6500</v>
      </c>
      <c r="D2337" s="8" t="n">
        <v>0</v>
      </c>
      <c r="E2337" s="8" t="n">
        <v>0</v>
      </c>
      <c r="F2337" s="8" t="s">
        <v>2200</v>
      </c>
      <c r="G2337" s="8" t="s">
        <v>2201</v>
      </c>
      <c r="H2337" s="8" t="s">
        <v>2702</v>
      </c>
    </row>
    <row r="2338" customFormat="false" ht="15" hidden="false" customHeight="false" outlineLevel="0" collapsed="false">
      <c r="A2338" s="7" t="n">
        <v>45936</v>
      </c>
      <c r="B2338" s="7" t="n">
        <v>45950</v>
      </c>
      <c r="C2338" s="8" t="n">
        <v>6473</v>
      </c>
      <c r="D2338" s="8" t="n">
        <v>3780</v>
      </c>
      <c r="E2338" s="8" t="n">
        <v>16260</v>
      </c>
      <c r="F2338" s="8" t="s">
        <v>2200</v>
      </c>
      <c r="G2338" s="8" t="s">
        <v>2201</v>
      </c>
      <c r="H2338" s="8" t="s">
        <v>2703</v>
      </c>
    </row>
    <row r="2339" customFormat="false" ht="15" hidden="false" customHeight="false" outlineLevel="0" collapsed="false">
      <c r="A2339" s="7" t="n">
        <v>45936</v>
      </c>
      <c r="B2339" s="7" t="n">
        <v>45981</v>
      </c>
      <c r="C2339" s="8" t="n">
        <v>6544</v>
      </c>
      <c r="D2339" s="8" t="n">
        <v>3480</v>
      </c>
      <c r="E2339" s="8" t="n">
        <v>21715</v>
      </c>
      <c r="F2339" s="8" t="s">
        <v>2200</v>
      </c>
      <c r="G2339" s="8" t="s">
        <v>2201</v>
      </c>
      <c r="H2339" s="8" t="s">
        <v>2703</v>
      </c>
    </row>
    <row r="2340" customFormat="false" ht="15" hidden="false" customHeight="false" outlineLevel="0" collapsed="false">
      <c r="A2340" s="7" t="n">
        <v>45936</v>
      </c>
      <c r="B2340" s="7" t="n">
        <v>46010</v>
      </c>
      <c r="C2340" s="8" t="n">
        <v>6581</v>
      </c>
      <c r="D2340" s="8" t="n">
        <v>35</v>
      </c>
      <c r="E2340" s="8" t="n">
        <v>520</v>
      </c>
      <c r="F2340" s="8" t="s">
        <v>2200</v>
      </c>
      <c r="G2340" s="8" t="s">
        <v>2201</v>
      </c>
      <c r="H2340" s="8" t="s">
        <v>2703</v>
      </c>
    </row>
    <row r="2341" customFormat="false" ht="15" hidden="false" customHeight="false" outlineLevel="0" collapsed="false">
      <c r="A2341" s="7" t="n">
        <v>45936</v>
      </c>
      <c r="B2341" s="7" t="n">
        <v>46042</v>
      </c>
      <c r="C2341" s="8" t="n">
        <v>6618</v>
      </c>
      <c r="D2341" s="8" t="n">
        <v>0</v>
      </c>
      <c r="E2341" s="8" t="n">
        <v>130</v>
      </c>
      <c r="F2341" s="8" t="s">
        <v>2200</v>
      </c>
      <c r="G2341" s="8" t="s">
        <v>2201</v>
      </c>
      <c r="H2341" s="8" t="s">
        <v>2703</v>
      </c>
    </row>
    <row r="2342" customFormat="false" ht="15" hidden="false" customHeight="false" outlineLevel="0" collapsed="false">
      <c r="A2342" s="7" t="n">
        <v>45936</v>
      </c>
      <c r="B2342" s="7" t="n">
        <v>46073</v>
      </c>
      <c r="C2342" s="8" t="n">
        <v>6655</v>
      </c>
      <c r="D2342" s="8" t="n">
        <v>0</v>
      </c>
      <c r="E2342" s="8" t="n">
        <v>0</v>
      </c>
      <c r="F2342" s="8" t="s">
        <v>2200</v>
      </c>
      <c r="G2342" s="8" t="s">
        <v>2201</v>
      </c>
      <c r="H2342" s="8" t="s">
        <v>2703</v>
      </c>
    </row>
    <row r="2343" customFormat="false" ht="15" hidden="false" customHeight="false" outlineLevel="0" collapsed="false">
      <c r="A2343" s="7" t="n">
        <v>45937</v>
      </c>
      <c r="B2343" s="7" t="n">
        <v>45950</v>
      </c>
      <c r="C2343" s="8" t="n">
        <v>6513</v>
      </c>
      <c r="D2343" s="8" t="n">
        <v>1915</v>
      </c>
      <c r="E2343" s="8" t="n">
        <v>14920</v>
      </c>
      <c r="F2343" s="8" t="s">
        <v>2200</v>
      </c>
      <c r="G2343" s="8" t="s">
        <v>2201</v>
      </c>
      <c r="H2343" s="8" t="s">
        <v>2704</v>
      </c>
    </row>
    <row r="2344" customFormat="false" ht="15" hidden="false" customHeight="false" outlineLevel="0" collapsed="false">
      <c r="A2344" s="7" t="n">
        <v>45937</v>
      </c>
      <c r="B2344" s="7" t="n">
        <v>45981</v>
      </c>
      <c r="C2344" s="8" t="n">
        <v>6579</v>
      </c>
      <c r="D2344" s="8" t="n">
        <v>2365</v>
      </c>
      <c r="E2344" s="8" t="n">
        <v>22950</v>
      </c>
      <c r="F2344" s="8" t="s">
        <v>2200</v>
      </c>
      <c r="G2344" s="8" t="s">
        <v>2201</v>
      </c>
      <c r="H2344" s="8" t="s">
        <v>2704</v>
      </c>
    </row>
    <row r="2345" customFormat="false" ht="15" hidden="false" customHeight="false" outlineLevel="0" collapsed="false">
      <c r="A2345" s="7" t="n">
        <v>45937</v>
      </c>
      <c r="B2345" s="7" t="n">
        <v>46010</v>
      </c>
      <c r="C2345" s="8" t="n">
        <v>6635</v>
      </c>
      <c r="D2345" s="8" t="n">
        <v>5</v>
      </c>
      <c r="E2345" s="8" t="n">
        <v>515</v>
      </c>
      <c r="F2345" s="8" t="s">
        <v>2200</v>
      </c>
      <c r="G2345" s="8" t="s">
        <v>2201</v>
      </c>
      <c r="H2345" s="8" t="s">
        <v>2704</v>
      </c>
    </row>
    <row r="2346" customFormat="false" ht="15" hidden="false" customHeight="false" outlineLevel="0" collapsed="false">
      <c r="A2346" s="7" t="n">
        <v>45937</v>
      </c>
      <c r="B2346" s="7" t="n">
        <v>46042</v>
      </c>
      <c r="C2346" s="8" t="n">
        <v>6691</v>
      </c>
      <c r="D2346" s="8" t="n">
        <v>0</v>
      </c>
      <c r="E2346" s="8" t="n">
        <v>130</v>
      </c>
      <c r="F2346" s="8" t="s">
        <v>2200</v>
      </c>
      <c r="G2346" s="8" t="s">
        <v>2201</v>
      </c>
      <c r="H2346" s="8" t="s">
        <v>2704</v>
      </c>
    </row>
    <row r="2347" customFormat="false" ht="15" hidden="false" customHeight="false" outlineLevel="0" collapsed="false">
      <c r="A2347" s="7" t="n">
        <v>45937</v>
      </c>
      <c r="B2347" s="7" t="n">
        <v>46073</v>
      </c>
      <c r="C2347" s="8" t="n">
        <v>6747</v>
      </c>
      <c r="D2347" s="8" t="n">
        <v>0</v>
      </c>
      <c r="E2347" s="8" t="n">
        <v>0</v>
      </c>
      <c r="F2347" s="8" t="s">
        <v>2200</v>
      </c>
      <c r="G2347" s="8" t="s">
        <v>2201</v>
      </c>
      <c r="H2347" s="8" t="s">
        <v>2704</v>
      </c>
    </row>
    <row r="2348" customFormat="false" ht="15" hidden="false" customHeight="false" outlineLevel="0" collapsed="false">
      <c r="A2348" s="7" t="n">
        <v>45938</v>
      </c>
      <c r="B2348" s="7" t="n">
        <v>45950</v>
      </c>
      <c r="C2348" s="8" t="n">
        <v>6521</v>
      </c>
      <c r="D2348" s="8" t="n">
        <v>2745</v>
      </c>
      <c r="E2348" s="8" t="n">
        <v>13130</v>
      </c>
      <c r="F2348" s="8" t="s">
        <v>2200</v>
      </c>
      <c r="G2348" s="8" t="s">
        <v>2201</v>
      </c>
      <c r="H2348" s="8" t="s">
        <v>2705</v>
      </c>
    </row>
    <row r="2349" customFormat="false" ht="15" hidden="false" customHeight="false" outlineLevel="0" collapsed="false">
      <c r="A2349" s="7" t="n">
        <v>45938</v>
      </c>
      <c r="B2349" s="7" t="n">
        <v>45981</v>
      </c>
      <c r="C2349" s="8" t="n">
        <v>6581</v>
      </c>
      <c r="D2349" s="8" t="n">
        <v>3625</v>
      </c>
      <c r="E2349" s="8" t="n">
        <v>23870</v>
      </c>
      <c r="F2349" s="8" t="s">
        <v>2200</v>
      </c>
      <c r="G2349" s="8" t="s">
        <v>2201</v>
      </c>
      <c r="H2349" s="8" t="s">
        <v>2705</v>
      </c>
    </row>
    <row r="2350" customFormat="false" ht="15" hidden="false" customHeight="false" outlineLevel="0" collapsed="false">
      <c r="A2350" s="7" t="n">
        <v>45938</v>
      </c>
      <c r="B2350" s="7" t="n">
        <v>46010</v>
      </c>
      <c r="C2350" s="8" t="n">
        <v>6630</v>
      </c>
      <c r="D2350" s="8" t="n">
        <v>245</v>
      </c>
      <c r="E2350" s="8" t="n">
        <v>755</v>
      </c>
      <c r="F2350" s="8" t="s">
        <v>2200</v>
      </c>
      <c r="G2350" s="8" t="s">
        <v>2201</v>
      </c>
      <c r="H2350" s="8" t="s">
        <v>2705</v>
      </c>
    </row>
    <row r="2351" customFormat="false" ht="15" hidden="false" customHeight="false" outlineLevel="0" collapsed="false">
      <c r="A2351" s="7" t="n">
        <v>45938</v>
      </c>
      <c r="B2351" s="7" t="n">
        <v>46042</v>
      </c>
      <c r="C2351" s="8" t="n">
        <v>6679</v>
      </c>
      <c r="D2351" s="8" t="n">
        <v>0</v>
      </c>
      <c r="E2351" s="8" t="n">
        <v>130</v>
      </c>
      <c r="F2351" s="8" t="s">
        <v>2200</v>
      </c>
      <c r="G2351" s="8" t="s">
        <v>2201</v>
      </c>
      <c r="H2351" s="8" t="s">
        <v>2705</v>
      </c>
    </row>
    <row r="2352" customFormat="false" ht="15" hidden="false" customHeight="false" outlineLevel="0" collapsed="false">
      <c r="A2352" s="7" t="n">
        <v>45938</v>
      </c>
      <c r="B2352" s="7" t="n">
        <v>46073</v>
      </c>
      <c r="C2352" s="8" t="n">
        <v>6728</v>
      </c>
      <c r="D2352" s="8" t="n">
        <v>0</v>
      </c>
      <c r="E2352" s="8" t="n">
        <v>0</v>
      </c>
      <c r="F2352" s="8" t="s">
        <v>2200</v>
      </c>
      <c r="G2352" s="8" t="s">
        <v>2201</v>
      </c>
      <c r="H2352" s="8" t="s">
        <v>2705</v>
      </c>
    </row>
    <row r="2353" customFormat="false" ht="15" hidden="false" customHeight="false" outlineLevel="0" collapsed="false">
      <c r="A2353" s="7" t="n">
        <v>45939</v>
      </c>
      <c r="B2353" s="7" t="n">
        <v>45950</v>
      </c>
      <c r="C2353" s="8" t="n">
        <v>6501</v>
      </c>
      <c r="D2353" s="8" t="n">
        <v>4930</v>
      </c>
      <c r="E2353" s="8" t="n">
        <v>10150</v>
      </c>
      <c r="F2353" s="8" t="s">
        <v>2200</v>
      </c>
      <c r="G2353" s="8" t="s">
        <v>2201</v>
      </c>
      <c r="H2353" s="8" t="s">
        <v>2706</v>
      </c>
    </row>
    <row r="2354" customFormat="false" ht="15" hidden="false" customHeight="false" outlineLevel="0" collapsed="false">
      <c r="A2354" s="7" t="n">
        <v>45939</v>
      </c>
      <c r="B2354" s="7" t="n">
        <v>45981</v>
      </c>
      <c r="C2354" s="8" t="n">
        <v>6576</v>
      </c>
      <c r="D2354" s="8" t="n">
        <v>5790</v>
      </c>
      <c r="E2354" s="8" t="n">
        <v>26425</v>
      </c>
      <c r="F2354" s="8" t="s">
        <v>2200</v>
      </c>
      <c r="G2354" s="8" t="s">
        <v>2201</v>
      </c>
      <c r="H2354" s="8" t="s">
        <v>2706</v>
      </c>
    </row>
    <row r="2355" customFormat="false" ht="15" hidden="false" customHeight="false" outlineLevel="0" collapsed="false">
      <c r="A2355" s="7" t="n">
        <v>45939</v>
      </c>
      <c r="B2355" s="7" t="n">
        <v>46010</v>
      </c>
      <c r="C2355" s="8" t="n">
        <v>6630</v>
      </c>
      <c r="D2355" s="8" t="n">
        <v>105</v>
      </c>
      <c r="E2355" s="8" t="n">
        <v>825</v>
      </c>
      <c r="F2355" s="8" t="s">
        <v>2200</v>
      </c>
      <c r="G2355" s="8" t="s">
        <v>2201</v>
      </c>
      <c r="H2355" s="8" t="s">
        <v>2706</v>
      </c>
    </row>
    <row r="2356" customFormat="false" ht="15" hidden="false" customHeight="false" outlineLevel="0" collapsed="false">
      <c r="A2356" s="7" t="n">
        <v>45939</v>
      </c>
      <c r="B2356" s="7" t="n">
        <v>46042</v>
      </c>
      <c r="C2356" s="8" t="n">
        <v>6684</v>
      </c>
      <c r="D2356" s="8" t="n">
        <v>0</v>
      </c>
      <c r="E2356" s="8" t="n">
        <v>130</v>
      </c>
      <c r="F2356" s="8" t="s">
        <v>2200</v>
      </c>
      <c r="G2356" s="8" t="s">
        <v>2201</v>
      </c>
      <c r="H2356" s="8" t="s">
        <v>2706</v>
      </c>
    </row>
    <row r="2357" customFormat="false" ht="15" hidden="false" customHeight="false" outlineLevel="0" collapsed="false">
      <c r="A2357" s="7" t="n">
        <v>45939</v>
      </c>
      <c r="B2357" s="7" t="n">
        <v>46073</v>
      </c>
      <c r="C2357" s="8" t="n">
        <v>6738</v>
      </c>
      <c r="D2357" s="8" t="n">
        <v>0</v>
      </c>
      <c r="E2357" s="8" t="n">
        <v>0</v>
      </c>
      <c r="F2357" s="8" t="s">
        <v>2200</v>
      </c>
      <c r="G2357" s="8" t="s">
        <v>2201</v>
      </c>
      <c r="H2357" s="8" t="s">
        <v>2706</v>
      </c>
    </row>
    <row r="2358" customFormat="false" ht="15" hidden="false" customHeight="false" outlineLevel="0" collapsed="false">
      <c r="A2358" s="7" t="n">
        <v>45940</v>
      </c>
      <c r="B2358" s="7" t="n">
        <v>45950</v>
      </c>
      <c r="C2358" s="8" t="n">
        <v>6526</v>
      </c>
      <c r="D2358" s="8" t="n">
        <v>6800</v>
      </c>
      <c r="E2358" s="8" t="n">
        <v>8320</v>
      </c>
      <c r="F2358" s="8" t="s">
        <v>2200</v>
      </c>
      <c r="G2358" s="8" t="s">
        <v>2201</v>
      </c>
      <c r="H2358" s="8" t="s">
        <v>2707</v>
      </c>
    </row>
    <row r="2359" customFormat="false" ht="15" hidden="false" customHeight="false" outlineLevel="0" collapsed="false">
      <c r="A2359" s="7" t="n">
        <v>45940</v>
      </c>
      <c r="B2359" s="7" t="n">
        <v>45981</v>
      </c>
      <c r="C2359" s="8" t="n">
        <v>6596</v>
      </c>
      <c r="D2359" s="8" t="n">
        <v>6930</v>
      </c>
      <c r="E2359" s="8" t="n">
        <v>29865</v>
      </c>
      <c r="F2359" s="8" t="s">
        <v>2200</v>
      </c>
      <c r="G2359" s="8" t="s">
        <v>2201</v>
      </c>
      <c r="H2359" s="8" t="s">
        <v>2707</v>
      </c>
    </row>
    <row r="2360" customFormat="false" ht="15" hidden="false" customHeight="false" outlineLevel="0" collapsed="false">
      <c r="A2360" s="7" t="n">
        <v>45940</v>
      </c>
      <c r="B2360" s="7" t="n">
        <v>46010</v>
      </c>
      <c r="C2360" s="8" t="n">
        <v>6672</v>
      </c>
      <c r="D2360" s="8" t="n">
        <v>180</v>
      </c>
      <c r="E2360" s="8" t="n">
        <v>965</v>
      </c>
      <c r="F2360" s="8" t="s">
        <v>2200</v>
      </c>
      <c r="G2360" s="8" t="s">
        <v>2201</v>
      </c>
      <c r="H2360" s="8" t="s">
        <v>2707</v>
      </c>
    </row>
    <row r="2361" customFormat="false" ht="15" hidden="false" customHeight="false" outlineLevel="0" collapsed="false">
      <c r="A2361" s="7" t="n">
        <v>45940</v>
      </c>
      <c r="B2361" s="7" t="n">
        <v>46042</v>
      </c>
      <c r="C2361" s="8" t="n">
        <v>6748</v>
      </c>
      <c r="D2361" s="8" t="n">
        <v>0</v>
      </c>
      <c r="E2361" s="8" t="n">
        <v>130</v>
      </c>
      <c r="F2361" s="8" t="s">
        <v>2200</v>
      </c>
      <c r="G2361" s="8" t="s">
        <v>2201</v>
      </c>
      <c r="H2361" s="8" t="s">
        <v>2707</v>
      </c>
    </row>
    <row r="2362" customFormat="false" ht="15" hidden="false" customHeight="false" outlineLevel="0" collapsed="false">
      <c r="A2362" s="7" t="n">
        <v>45940</v>
      </c>
      <c r="B2362" s="7" t="n">
        <v>46073</v>
      </c>
      <c r="C2362" s="8" t="n">
        <v>6824</v>
      </c>
      <c r="D2362" s="8" t="n">
        <v>0</v>
      </c>
      <c r="E2362" s="8" t="n">
        <v>0</v>
      </c>
      <c r="F2362" s="8" t="s">
        <v>2200</v>
      </c>
      <c r="G2362" s="8" t="s">
        <v>2201</v>
      </c>
      <c r="H2362" s="8" t="s">
        <v>2707</v>
      </c>
    </row>
    <row r="2363" customFormat="false" ht="15" hidden="false" customHeight="false" outlineLevel="0" collapsed="false">
      <c r="A2363" s="7" t="n">
        <v>45943</v>
      </c>
      <c r="B2363" s="7" t="n">
        <v>45950</v>
      </c>
      <c r="C2363" s="8" t="n">
        <v>6660</v>
      </c>
      <c r="D2363" s="8" t="n">
        <v>7055</v>
      </c>
      <c r="E2363" s="8" t="n">
        <v>5900</v>
      </c>
      <c r="F2363" s="8" t="s">
        <v>2200</v>
      </c>
      <c r="G2363" s="8" t="s">
        <v>2201</v>
      </c>
      <c r="H2363" s="8" t="s">
        <v>2708</v>
      </c>
    </row>
    <row r="2364" customFormat="false" ht="15" hidden="false" customHeight="false" outlineLevel="0" collapsed="false">
      <c r="A2364" s="7" t="n">
        <v>45943</v>
      </c>
      <c r="B2364" s="7" t="n">
        <v>45981</v>
      </c>
      <c r="C2364" s="8" t="n">
        <v>6715</v>
      </c>
      <c r="D2364" s="8" t="n">
        <v>9535</v>
      </c>
      <c r="E2364" s="8" t="n">
        <v>29475</v>
      </c>
      <c r="F2364" s="8" t="s">
        <v>2200</v>
      </c>
      <c r="G2364" s="8" t="s">
        <v>2201</v>
      </c>
      <c r="H2364" s="8" t="s">
        <v>2708</v>
      </c>
    </row>
    <row r="2365" customFormat="false" ht="15" hidden="false" customHeight="false" outlineLevel="0" collapsed="false">
      <c r="A2365" s="7" t="n">
        <v>45943</v>
      </c>
      <c r="B2365" s="7" t="n">
        <v>46010</v>
      </c>
      <c r="C2365" s="8" t="n">
        <v>6781</v>
      </c>
      <c r="D2365" s="8" t="n">
        <v>725</v>
      </c>
      <c r="E2365" s="8" t="n">
        <v>1540</v>
      </c>
      <c r="F2365" s="8" t="s">
        <v>2200</v>
      </c>
      <c r="G2365" s="8" t="s">
        <v>2201</v>
      </c>
      <c r="H2365" s="8" t="s">
        <v>2708</v>
      </c>
    </row>
    <row r="2366" customFormat="false" ht="15" hidden="false" customHeight="false" outlineLevel="0" collapsed="false">
      <c r="A2366" s="7" t="n">
        <v>45943</v>
      </c>
      <c r="B2366" s="7" t="n">
        <v>46042</v>
      </c>
      <c r="C2366" s="8" t="n">
        <v>6847</v>
      </c>
      <c r="D2366" s="8" t="n">
        <v>0</v>
      </c>
      <c r="E2366" s="8" t="n">
        <v>130</v>
      </c>
      <c r="F2366" s="8" t="s">
        <v>2200</v>
      </c>
      <c r="G2366" s="8" t="s">
        <v>2201</v>
      </c>
      <c r="H2366" s="8" t="s">
        <v>2708</v>
      </c>
    </row>
    <row r="2367" customFormat="false" ht="15" hidden="false" customHeight="false" outlineLevel="0" collapsed="false">
      <c r="A2367" s="7" t="n">
        <v>45943</v>
      </c>
      <c r="B2367" s="7" t="n">
        <v>46073</v>
      </c>
      <c r="C2367" s="8" t="n">
        <v>6913</v>
      </c>
      <c r="D2367" s="8" t="n">
        <v>0</v>
      </c>
      <c r="E2367" s="8" t="n">
        <v>0</v>
      </c>
      <c r="F2367" s="8" t="s">
        <v>2200</v>
      </c>
      <c r="G2367" s="8" t="s">
        <v>2201</v>
      </c>
      <c r="H2367" s="8" t="s">
        <v>2708</v>
      </c>
    </row>
    <row r="2368" customFormat="false" ht="15" hidden="false" customHeight="false" outlineLevel="0" collapsed="false">
      <c r="A2368" s="7" t="n">
        <v>45944</v>
      </c>
      <c r="B2368" s="7" t="n">
        <v>45950</v>
      </c>
      <c r="C2368" s="8" t="n">
        <v>6632</v>
      </c>
      <c r="D2368" s="8" t="n">
        <v>3375</v>
      </c>
      <c r="E2368" s="8" t="n">
        <v>3550</v>
      </c>
      <c r="F2368" s="8" t="s">
        <v>2200</v>
      </c>
      <c r="G2368" s="8" t="s">
        <v>2201</v>
      </c>
      <c r="H2368" s="8" t="s">
        <v>2709</v>
      </c>
    </row>
    <row r="2369" customFormat="false" ht="15" hidden="false" customHeight="false" outlineLevel="0" collapsed="false">
      <c r="A2369" s="7" t="n">
        <v>45944</v>
      </c>
      <c r="B2369" s="7" t="n">
        <v>45981</v>
      </c>
      <c r="C2369" s="8" t="n">
        <v>6667</v>
      </c>
      <c r="D2369" s="8" t="n">
        <v>5760</v>
      </c>
      <c r="E2369" s="8" t="n">
        <v>28295</v>
      </c>
      <c r="F2369" s="8" t="s">
        <v>2200</v>
      </c>
      <c r="G2369" s="8" t="s">
        <v>2201</v>
      </c>
      <c r="H2369" s="8" t="s">
        <v>2709</v>
      </c>
    </row>
    <row r="2370" customFormat="false" ht="15" hidden="false" customHeight="false" outlineLevel="0" collapsed="false">
      <c r="A2370" s="7" t="n">
        <v>45944</v>
      </c>
      <c r="B2370" s="7" t="n">
        <v>46010</v>
      </c>
      <c r="C2370" s="8" t="n">
        <v>6749</v>
      </c>
      <c r="D2370" s="8" t="n">
        <v>310</v>
      </c>
      <c r="E2370" s="8" t="n">
        <v>1760</v>
      </c>
      <c r="F2370" s="8" t="s">
        <v>2200</v>
      </c>
      <c r="G2370" s="8" t="s">
        <v>2201</v>
      </c>
      <c r="H2370" s="8" t="s">
        <v>2709</v>
      </c>
    </row>
    <row r="2371" customFormat="false" ht="15" hidden="false" customHeight="false" outlineLevel="0" collapsed="false">
      <c r="A2371" s="7" t="n">
        <v>45944</v>
      </c>
      <c r="B2371" s="7" t="n">
        <v>46042</v>
      </c>
      <c r="C2371" s="8" t="n">
        <v>6831</v>
      </c>
      <c r="D2371" s="8" t="n">
        <v>0</v>
      </c>
      <c r="E2371" s="8" t="n">
        <v>130</v>
      </c>
      <c r="F2371" s="8" t="s">
        <v>2200</v>
      </c>
      <c r="G2371" s="8" t="s">
        <v>2201</v>
      </c>
      <c r="H2371" s="8" t="s">
        <v>2709</v>
      </c>
    </row>
    <row r="2372" customFormat="false" ht="15" hidden="false" customHeight="false" outlineLevel="0" collapsed="false">
      <c r="A2372" s="7" t="n">
        <v>45944</v>
      </c>
      <c r="B2372" s="7" t="n">
        <v>46073</v>
      </c>
      <c r="C2372" s="8" t="n">
        <v>6913</v>
      </c>
      <c r="D2372" s="8" t="n">
        <v>0</v>
      </c>
      <c r="E2372" s="8" t="n">
        <v>0</v>
      </c>
      <c r="F2372" s="8" t="s">
        <v>2200</v>
      </c>
      <c r="G2372" s="8" t="s">
        <v>2201</v>
      </c>
      <c r="H2372" s="8" t="s">
        <v>2709</v>
      </c>
    </row>
    <row r="2373" customFormat="false" ht="15" hidden="false" customHeight="false" outlineLevel="0" collapsed="false">
      <c r="A2373" s="7" t="n">
        <v>45945</v>
      </c>
      <c r="B2373" s="7" t="n">
        <v>45950</v>
      </c>
      <c r="C2373" s="8" t="n">
        <v>6596</v>
      </c>
      <c r="D2373" s="8" t="n">
        <v>3305</v>
      </c>
      <c r="E2373" s="8" t="n">
        <v>1900</v>
      </c>
      <c r="F2373" s="8" t="s">
        <v>2200</v>
      </c>
      <c r="G2373" s="8" t="s">
        <v>2201</v>
      </c>
      <c r="H2373" s="8" t="s">
        <v>2710</v>
      </c>
    </row>
    <row r="2374" customFormat="false" ht="15" hidden="false" customHeight="false" outlineLevel="0" collapsed="false">
      <c r="A2374" s="7" t="n">
        <v>45945</v>
      </c>
      <c r="B2374" s="7" t="n">
        <v>45981</v>
      </c>
      <c r="C2374" s="8" t="n">
        <v>6650</v>
      </c>
      <c r="D2374" s="8" t="n">
        <v>4960</v>
      </c>
      <c r="E2374" s="8" t="n">
        <v>28770</v>
      </c>
      <c r="F2374" s="8" t="s">
        <v>2200</v>
      </c>
      <c r="G2374" s="8" t="s">
        <v>2201</v>
      </c>
      <c r="H2374" s="8" t="s">
        <v>2710</v>
      </c>
    </row>
    <row r="2375" customFormat="false" ht="15" hidden="false" customHeight="false" outlineLevel="0" collapsed="false">
      <c r="A2375" s="7" t="n">
        <v>45945</v>
      </c>
      <c r="B2375" s="7" t="n">
        <v>46010</v>
      </c>
      <c r="C2375" s="8" t="n">
        <v>6725</v>
      </c>
      <c r="D2375" s="8" t="n">
        <v>1165</v>
      </c>
      <c r="E2375" s="8" t="n">
        <v>2710</v>
      </c>
      <c r="F2375" s="8" t="s">
        <v>2200</v>
      </c>
      <c r="G2375" s="8" t="s">
        <v>2201</v>
      </c>
      <c r="H2375" s="8" t="s">
        <v>2710</v>
      </c>
    </row>
    <row r="2376" customFormat="false" ht="15" hidden="false" customHeight="false" outlineLevel="0" collapsed="false">
      <c r="A2376" s="7" t="n">
        <v>45945</v>
      </c>
      <c r="B2376" s="7" t="n">
        <v>46042</v>
      </c>
      <c r="C2376" s="8" t="n">
        <v>6800</v>
      </c>
      <c r="D2376" s="8" t="n">
        <v>0</v>
      </c>
      <c r="E2376" s="8" t="n">
        <v>130</v>
      </c>
      <c r="F2376" s="8" t="s">
        <v>2200</v>
      </c>
      <c r="G2376" s="8" t="s">
        <v>2201</v>
      </c>
      <c r="H2376" s="8" t="s">
        <v>2710</v>
      </c>
    </row>
    <row r="2377" customFormat="false" ht="15" hidden="false" customHeight="false" outlineLevel="0" collapsed="false">
      <c r="A2377" s="7" t="n">
        <v>45945</v>
      </c>
      <c r="B2377" s="7" t="n">
        <v>46073</v>
      </c>
      <c r="C2377" s="8" t="n">
        <v>6875</v>
      </c>
      <c r="D2377" s="8" t="n">
        <v>0</v>
      </c>
      <c r="E2377" s="8" t="n">
        <v>0</v>
      </c>
      <c r="F2377" s="8" t="s">
        <v>2200</v>
      </c>
      <c r="G2377" s="8" t="s">
        <v>2201</v>
      </c>
      <c r="H2377" s="8" t="s">
        <v>2710</v>
      </c>
    </row>
    <row r="2378" customFormat="false" ht="15" hidden="false" customHeight="false" outlineLevel="0" collapsed="false">
      <c r="A2378" s="7" t="n">
        <v>45946</v>
      </c>
      <c r="B2378" s="7" t="n">
        <v>45950</v>
      </c>
      <c r="C2378" s="8" t="n">
        <v>6624</v>
      </c>
      <c r="D2378" s="8" t="n">
        <v>160</v>
      </c>
      <c r="E2378" s="8" t="n">
        <v>155</v>
      </c>
      <c r="F2378" s="8" t="s">
        <v>2200</v>
      </c>
      <c r="G2378" s="8" t="s">
        <v>2201</v>
      </c>
      <c r="H2378" s="8" t="s">
        <v>2711</v>
      </c>
    </row>
    <row r="2379" customFormat="false" ht="15" hidden="false" customHeight="false" outlineLevel="0" collapsed="false">
      <c r="A2379" s="7" t="n">
        <v>45946</v>
      </c>
      <c r="B2379" s="7" t="n">
        <v>45981</v>
      </c>
      <c r="C2379" s="8" t="n">
        <v>6758</v>
      </c>
      <c r="D2379" s="8" t="n">
        <v>6550</v>
      </c>
      <c r="E2379" s="8" t="n">
        <v>29160</v>
      </c>
      <c r="F2379" s="8" t="s">
        <v>2200</v>
      </c>
      <c r="G2379" s="8" t="s">
        <v>2201</v>
      </c>
      <c r="H2379" s="8" t="s">
        <v>2711</v>
      </c>
    </row>
    <row r="2380" customFormat="false" ht="15" hidden="false" customHeight="false" outlineLevel="0" collapsed="false">
      <c r="A2380" s="7" t="n">
        <v>45946</v>
      </c>
      <c r="B2380" s="7" t="n">
        <v>46010</v>
      </c>
      <c r="C2380" s="8" t="n">
        <v>6837</v>
      </c>
      <c r="D2380" s="8" t="n">
        <v>600</v>
      </c>
      <c r="E2380" s="8" t="n">
        <v>3085</v>
      </c>
      <c r="F2380" s="8" t="s">
        <v>2200</v>
      </c>
      <c r="G2380" s="8" t="s">
        <v>2201</v>
      </c>
      <c r="H2380" s="8" t="s">
        <v>2711</v>
      </c>
    </row>
    <row r="2381" customFormat="false" ht="15" hidden="false" customHeight="false" outlineLevel="0" collapsed="false">
      <c r="A2381" s="7" t="n">
        <v>45946</v>
      </c>
      <c r="B2381" s="7" t="n">
        <v>46042</v>
      </c>
      <c r="C2381" s="8" t="n">
        <v>6916</v>
      </c>
      <c r="D2381" s="8" t="n">
        <v>0</v>
      </c>
      <c r="E2381" s="8" t="n">
        <v>130</v>
      </c>
      <c r="F2381" s="8" t="s">
        <v>2200</v>
      </c>
      <c r="G2381" s="8" t="s">
        <v>2201</v>
      </c>
      <c r="H2381" s="8" t="s">
        <v>2711</v>
      </c>
    </row>
    <row r="2382" customFormat="false" ht="15" hidden="false" customHeight="false" outlineLevel="0" collapsed="false">
      <c r="A2382" s="7" t="n">
        <v>45946</v>
      </c>
      <c r="B2382" s="7" t="n">
        <v>46073</v>
      </c>
      <c r="C2382" s="8" t="n">
        <v>6995</v>
      </c>
      <c r="D2382" s="8" t="n">
        <v>0</v>
      </c>
      <c r="E2382" s="8" t="n">
        <v>0</v>
      </c>
      <c r="F2382" s="8" t="s">
        <v>2200</v>
      </c>
      <c r="G2382" s="8" t="s">
        <v>2201</v>
      </c>
      <c r="H2382" s="8" t="s">
        <v>2711</v>
      </c>
    </row>
    <row r="2383" customFormat="false" ht="15" hidden="false" customHeight="false" outlineLevel="0" collapsed="false">
      <c r="A2383" s="7" t="n">
        <v>45947</v>
      </c>
      <c r="B2383" s="7" t="n">
        <v>45950</v>
      </c>
      <c r="C2383" s="8" t="n">
        <v>6683</v>
      </c>
      <c r="D2383" s="8" t="n">
        <v>0</v>
      </c>
      <c r="E2383" s="8" t="n">
        <v>130</v>
      </c>
      <c r="F2383" s="8" t="s">
        <v>2200</v>
      </c>
      <c r="G2383" s="8" t="s">
        <v>2201</v>
      </c>
      <c r="H2383" s="8" t="s">
        <v>2712</v>
      </c>
    </row>
    <row r="2384" customFormat="false" ht="15" hidden="false" customHeight="false" outlineLevel="0" collapsed="false">
      <c r="A2384" s="7" t="n">
        <v>45947</v>
      </c>
      <c r="B2384" s="7" t="n">
        <v>45981</v>
      </c>
      <c r="C2384" s="8" t="n">
        <v>6759</v>
      </c>
      <c r="D2384" s="8" t="n">
        <v>3265</v>
      </c>
      <c r="E2384" s="8" t="n">
        <v>27995</v>
      </c>
      <c r="F2384" s="8" t="s">
        <v>2200</v>
      </c>
      <c r="G2384" s="8" t="s">
        <v>2201</v>
      </c>
      <c r="H2384" s="8" t="s">
        <v>2712</v>
      </c>
    </row>
    <row r="2385" customFormat="false" ht="15" hidden="false" customHeight="false" outlineLevel="0" collapsed="false">
      <c r="A2385" s="7" t="n">
        <v>45947</v>
      </c>
      <c r="B2385" s="7" t="n">
        <v>46010</v>
      </c>
      <c r="C2385" s="8" t="n">
        <v>6824</v>
      </c>
      <c r="D2385" s="8" t="n">
        <v>1515</v>
      </c>
      <c r="E2385" s="8" t="n">
        <v>4255</v>
      </c>
      <c r="F2385" s="8" t="s">
        <v>2200</v>
      </c>
      <c r="G2385" s="8" t="s">
        <v>2201</v>
      </c>
      <c r="H2385" s="8" t="s">
        <v>2712</v>
      </c>
    </row>
    <row r="2386" customFormat="false" ht="15" hidden="false" customHeight="false" outlineLevel="0" collapsed="false">
      <c r="A2386" s="7" t="n">
        <v>45947</v>
      </c>
      <c r="B2386" s="7" t="n">
        <v>46042</v>
      </c>
      <c r="C2386" s="8" t="n">
        <v>6811</v>
      </c>
      <c r="D2386" s="8" t="n">
        <v>15</v>
      </c>
      <c r="E2386" s="8" t="n">
        <v>135</v>
      </c>
      <c r="F2386" s="8" t="s">
        <v>2200</v>
      </c>
      <c r="G2386" s="8" t="s">
        <v>2201</v>
      </c>
      <c r="H2386" s="8" t="s">
        <v>2712</v>
      </c>
    </row>
    <row r="2387" customFormat="false" ht="15" hidden="false" customHeight="false" outlineLevel="0" collapsed="false">
      <c r="A2387" s="7" t="n">
        <v>45947</v>
      </c>
      <c r="B2387" s="7" t="n">
        <v>46073</v>
      </c>
      <c r="C2387" s="8" t="n">
        <v>6822</v>
      </c>
      <c r="D2387" s="8" t="n">
        <v>0</v>
      </c>
      <c r="E2387" s="8" t="n">
        <v>0</v>
      </c>
      <c r="F2387" s="8" t="s">
        <v>2200</v>
      </c>
      <c r="G2387" s="8" t="s">
        <v>2201</v>
      </c>
      <c r="H2387" s="8" t="s">
        <v>2712</v>
      </c>
    </row>
    <row r="2388" customFormat="false" ht="15" hidden="false" customHeight="false" outlineLevel="0" collapsed="false">
      <c r="A2388" s="7" t="n">
        <v>45950</v>
      </c>
      <c r="B2388" s="7" t="n">
        <v>45981</v>
      </c>
      <c r="C2388" s="8" t="n">
        <v>6763</v>
      </c>
      <c r="D2388" s="8" t="n">
        <v>3900</v>
      </c>
      <c r="E2388" s="8" t="n">
        <v>28410</v>
      </c>
      <c r="F2388" s="8" t="s">
        <v>2200</v>
      </c>
      <c r="G2388" s="8" t="s">
        <v>2201</v>
      </c>
      <c r="H2388" s="8" t="s">
        <v>2713</v>
      </c>
    </row>
    <row r="2389" customFormat="false" ht="15" hidden="false" customHeight="false" outlineLevel="0" collapsed="false">
      <c r="A2389" s="7" t="n">
        <v>45950</v>
      </c>
      <c r="B2389" s="7" t="n">
        <v>46010</v>
      </c>
      <c r="C2389" s="8" t="n">
        <v>6833</v>
      </c>
      <c r="D2389" s="8" t="n">
        <v>1825</v>
      </c>
      <c r="E2389" s="8" t="n">
        <v>5770</v>
      </c>
      <c r="F2389" s="8" t="s">
        <v>2200</v>
      </c>
      <c r="G2389" s="8" t="s">
        <v>2201</v>
      </c>
      <c r="H2389" s="8" t="s">
        <v>2713</v>
      </c>
    </row>
    <row r="2390" customFormat="false" ht="15" hidden="false" customHeight="false" outlineLevel="0" collapsed="false">
      <c r="A2390" s="7" t="n">
        <v>45950</v>
      </c>
      <c r="B2390" s="7" t="n">
        <v>46042</v>
      </c>
      <c r="C2390" s="8" t="n">
        <v>6903</v>
      </c>
      <c r="D2390" s="8" t="n">
        <v>0</v>
      </c>
      <c r="E2390" s="8" t="n">
        <v>135</v>
      </c>
      <c r="F2390" s="8" t="s">
        <v>2200</v>
      </c>
      <c r="G2390" s="8" t="s">
        <v>2201</v>
      </c>
      <c r="H2390" s="8" t="s">
        <v>2713</v>
      </c>
    </row>
    <row r="2391" customFormat="false" ht="15" hidden="false" customHeight="false" outlineLevel="0" collapsed="false">
      <c r="A2391" s="7" t="n">
        <v>45950</v>
      </c>
      <c r="B2391" s="7" t="n">
        <v>46073</v>
      </c>
      <c r="C2391" s="8" t="n">
        <v>6973</v>
      </c>
      <c r="D2391" s="8" t="n">
        <v>0</v>
      </c>
      <c r="E2391" s="8" t="n">
        <v>0</v>
      </c>
      <c r="F2391" s="8" t="s">
        <v>2200</v>
      </c>
      <c r="G2391" s="8" t="s">
        <v>2201</v>
      </c>
      <c r="H2391" s="8" t="s">
        <v>2713</v>
      </c>
    </row>
    <row r="2392" customFormat="false" ht="15" hidden="false" customHeight="false" outlineLevel="0" collapsed="false">
      <c r="A2392" s="7" t="n">
        <v>45951</v>
      </c>
      <c r="B2392" s="7" t="n">
        <v>45981</v>
      </c>
      <c r="C2392" s="8" t="n">
        <v>6758</v>
      </c>
      <c r="D2392" s="8" t="n">
        <v>575</v>
      </c>
      <c r="E2392" s="8" t="n">
        <v>28380</v>
      </c>
      <c r="F2392" s="8" t="s">
        <v>2200</v>
      </c>
      <c r="G2392" s="8" t="s">
        <v>2201</v>
      </c>
      <c r="H2392" s="8" t="s">
        <v>2714</v>
      </c>
    </row>
    <row r="2393" customFormat="false" ht="15" hidden="false" customHeight="false" outlineLevel="0" collapsed="false">
      <c r="A2393" s="7" t="n">
        <v>45951</v>
      </c>
      <c r="B2393" s="7" t="n">
        <v>46010</v>
      </c>
      <c r="C2393" s="8" t="n">
        <v>6827</v>
      </c>
      <c r="D2393" s="8" t="n">
        <v>340</v>
      </c>
      <c r="E2393" s="8" t="n">
        <v>6080</v>
      </c>
      <c r="F2393" s="8" t="s">
        <v>2200</v>
      </c>
      <c r="G2393" s="8" t="s">
        <v>2201</v>
      </c>
      <c r="H2393" s="8" t="s">
        <v>2714</v>
      </c>
    </row>
    <row r="2394" customFormat="false" ht="15" hidden="false" customHeight="false" outlineLevel="0" collapsed="false">
      <c r="A2394" s="7" t="n">
        <v>45951</v>
      </c>
      <c r="B2394" s="7" t="n">
        <v>46042</v>
      </c>
      <c r="C2394" s="8" t="n">
        <v>6896</v>
      </c>
      <c r="D2394" s="8" t="n">
        <v>0</v>
      </c>
      <c r="E2394" s="8" t="n">
        <v>135</v>
      </c>
      <c r="F2394" s="8" t="s">
        <v>2200</v>
      </c>
      <c r="G2394" s="8" t="s">
        <v>2201</v>
      </c>
      <c r="H2394" s="8" t="s">
        <v>2714</v>
      </c>
    </row>
    <row r="2395" customFormat="false" ht="15" hidden="false" customHeight="false" outlineLevel="0" collapsed="false">
      <c r="A2395" s="7" t="n">
        <v>45951</v>
      </c>
      <c r="B2395" s="7" t="n">
        <v>46073</v>
      </c>
      <c r="C2395" s="8" t="n">
        <v>6965</v>
      </c>
      <c r="D2395" s="8" t="n">
        <v>0</v>
      </c>
      <c r="E2395" s="8" t="n">
        <v>0</v>
      </c>
      <c r="F2395" s="8" t="s">
        <v>2200</v>
      </c>
      <c r="G2395" s="8" t="s">
        <v>2201</v>
      </c>
      <c r="H2395" s="8" t="s">
        <v>2714</v>
      </c>
    </row>
    <row r="2396" customFormat="false" ht="15" hidden="false" customHeight="false" outlineLevel="0" collapsed="false">
      <c r="A2396" s="7" t="n">
        <v>45953</v>
      </c>
      <c r="B2396" s="7" t="n">
        <v>45981</v>
      </c>
      <c r="C2396" s="8" t="n">
        <v>6703</v>
      </c>
      <c r="D2396" s="8" t="n">
        <v>2960</v>
      </c>
      <c r="E2396" s="8" t="n">
        <v>28145</v>
      </c>
      <c r="F2396" s="8" t="s">
        <v>2200</v>
      </c>
      <c r="G2396" s="8" t="s">
        <v>2201</v>
      </c>
      <c r="H2396" s="8" t="s">
        <v>2715</v>
      </c>
    </row>
    <row r="2397" customFormat="false" ht="15" hidden="false" customHeight="false" outlineLevel="0" collapsed="false">
      <c r="A2397" s="7" t="n">
        <v>45953</v>
      </c>
      <c r="B2397" s="7" t="n">
        <v>46010</v>
      </c>
      <c r="C2397" s="8" t="n">
        <v>6778</v>
      </c>
      <c r="D2397" s="8" t="n">
        <v>1320</v>
      </c>
      <c r="E2397" s="8" t="n">
        <v>7050</v>
      </c>
      <c r="F2397" s="8" t="s">
        <v>2200</v>
      </c>
      <c r="G2397" s="8" t="s">
        <v>2201</v>
      </c>
      <c r="H2397" s="8" t="s">
        <v>2715</v>
      </c>
    </row>
    <row r="2398" customFormat="false" ht="15" hidden="false" customHeight="false" outlineLevel="0" collapsed="false">
      <c r="A2398" s="7" t="n">
        <v>45953</v>
      </c>
      <c r="B2398" s="7" t="n">
        <v>46042</v>
      </c>
      <c r="C2398" s="8" t="n">
        <v>6853</v>
      </c>
      <c r="D2398" s="8" t="n">
        <v>0</v>
      </c>
      <c r="E2398" s="8" t="n">
        <v>135</v>
      </c>
      <c r="F2398" s="8" t="s">
        <v>2200</v>
      </c>
      <c r="G2398" s="8" t="s">
        <v>2201</v>
      </c>
      <c r="H2398" s="8" t="s">
        <v>2715</v>
      </c>
    </row>
    <row r="2399" customFormat="false" ht="15" hidden="false" customHeight="false" outlineLevel="0" collapsed="false">
      <c r="A2399" s="7" t="n">
        <v>45953</v>
      </c>
      <c r="B2399" s="7" t="n">
        <v>46073</v>
      </c>
      <c r="C2399" s="8" t="n">
        <v>6928</v>
      </c>
      <c r="D2399" s="8" t="n">
        <v>0</v>
      </c>
      <c r="E2399" s="8" t="n">
        <v>0</v>
      </c>
      <c r="F2399" s="8" t="s">
        <v>2200</v>
      </c>
      <c r="G2399" s="8" t="s">
        <v>2201</v>
      </c>
      <c r="H2399" s="8" t="s">
        <v>2715</v>
      </c>
    </row>
    <row r="2400" customFormat="false" ht="15" hidden="false" customHeight="false" outlineLevel="0" collapsed="false">
      <c r="A2400" s="7" t="n">
        <v>45954</v>
      </c>
      <c r="B2400" s="7" t="n">
        <v>45981</v>
      </c>
      <c r="C2400" s="8" t="n">
        <v>6673</v>
      </c>
      <c r="D2400" s="8" t="n">
        <v>3305</v>
      </c>
      <c r="E2400" s="8" t="n">
        <v>26720</v>
      </c>
      <c r="F2400" s="8" t="s">
        <v>2200</v>
      </c>
      <c r="G2400" s="8" t="s">
        <v>2201</v>
      </c>
      <c r="H2400" s="8" t="s">
        <v>2716</v>
      </c>
    </row>
    <row r="2401" customFormat="false" ht="15" hidden="false" customHeight="false" outlineLevel="0" collapsed="false">
      <c r="A2401" s="7" t="n">
        <v>45954</v>
      </c>
      <c r="B2401" s="7" t="n">
        <v>46010</v>
      </c>
      <c r="C2401" s="8" t="n">
        <v>6745</v>
      </c>
      <c r="D2401" s="8" t="n">
        <v>1035</v>
      </c>
      <c r="E2401" s="8" t="n">
        <v>7790</v>
      </c>
      <c r="F2401" s="8" t="s">
        <v>2200</v>
      </c>
      <c r="G2401" s="8" t="s">
        <v>2201</v>
      </c>
      <c r="H2401" s="8" t="s">
        <v>2716</v>
      </c>
    </row>
    <row r="2402" customFormat="false" ht="15" hidden="false" customHeight="false" outlineLevel="0" collapsed="false">
      <c r="A2402" s="7" t="n">
        <v>45954</v>
      </c>
      <c r="B2402" s="7" t="n">
        <v>46042</v>
      </c>
      <c r="C2402" s="8" t="n">
        <v>6817</v>
      </c>
      <c r="D2402" s="8" t="n">
        <v>0</v>
      </c>
      <c r="E2402" s="8" t="n">
        <v>135</v>
      </c>
      <c r="F2402" s="8" t="s">
        <v>2200</v>
      </c>
      <c r="G2402" s="8" t="s">
        <v>2201</v>
      </c>
      <c r="H2402" s="8" t="s">
        <v>2716</v>
      </c>
    </row>
    <row r="2403" customFormat="false" ht="15" hidden="false" customHeight="false" outlineLevel="0" collapsed="false">
      <c r="A2403" s="7" t="n">
        <v>45954</v>
      </c>
      <c r="B2403" s="7" t="n">
        <v>46073</v>
      </c>
      <c r="C2403" s="8" t="n">
        <v>6889</v>
      </c>
      <c r="D2403" s="8" t="n">
        <v>0</v>
      </c>
      <c r="E2403" s="8" t="n">
        <v>0</v>
      </c>
      <c r="F2403" s="8" t="s">
        <v>2200</v>
      </c>
      <c r="G2403" s="8" t="s">
        <v>2201</v>
      </c>
      <c r="H2403" s="8" t="s">
        <v>2716</v>
      </c>
    </row>
    <row r="2404" customFormat="false" ht="15" hidden="false" customHeight="false" outlineLevel="0" collapsed="false">
      <c r="A2404" s="7" t="n">
        <v>45957</v>
      </c>
      <c r="B2404" s="7" t="n">
        <v>45981</v>
      </c>
      <c r="C2404" s="8" t="n">
        <v>6692</v>
      </c>
      <c r="D2404" s="8" t="n">
        <v>3480</v>
      </c>
      <c r="E2404" s="8" t="n">
        <v>25330</v>
      </c>
      <c r="F2404" s="8" t="s">
        <v>2200</v>
      </c>
      <c r="G2404" s="8" t="s">
        <v>2201</v>
      </c>
      <c r="H2404" s="8" t="s">
        <v>2717</v>
      </c>
    </row>
    <row r="2405" customFormat="false" ht="15" hidden="false" customHeight="false" outlineLevel="0" collapsed="false">
      <c r="A2405" s="7" t="n">
        <v>45957</v>
      </c>
      <c r="B2405" s="7" t="n">
        <v>46010</v>
      </c>
      <c r="C2405" s="8" t="n">
        <v>6758</v>
      </c>
      <c r="D2405" s="8" t="n">
        <v>2265</v>
      </c>
      <c r="E2405" s="8" t="n">
        <v>9675</v>
      </c>
      <c r="F2405" s="8" t="s">
        <v>2200</v>
      </c>
      <c r="G2405" s="8" t="s">
        <v>2201</v>
      </c>
      <c r="H2405" s="8" t="s">
        <v>2717</v>
      </c>
    </row>
    <row r="2406" customFormat="false" ht="15" hidden="false" customHeight="false" outlineLevel="0" collapsed="false">
      <c r="A2406" s="7" t="n">
        <v>45957</v>
      </c>
      <c r="B2406" s="7" t="n">
        <v>46042</v>
      </c>
      <c r="C2406" s="8" t="n">
        <v>6824</v>
      </c>
      <c r="D2406" s="8" t="n">
        <v>0</v>
      </c>
      <c r="E2406" s="8" t="n">
        <v>135</v>
      </c>
      <c r="F2406" s="8" t="s">
        <v>2200</v>
      </c>
      <c r="G2406" s="8" t="s">
        <v>2201</v>
      </c>
      <c r="H2406" s="8" t="s">
        <v>2717</v>
      </c>
    </row>
    <row r="2407" customFormat="false" ht="15" hidden="false" customHeight="false" outlineLevel="0" collapsed="false">
      <c r="A2407" s="7" t="n">
        <v>45957</v>
      </c>
      <c r="B2407" s="7" t="n">
        <v>46073</v>
      </c>
      <c r="C2407" s="8" t="n">
        <v>6890</v>
      </c>
      <c r="D2407" s="8" t="n">
        <v>0</v>
      </c>
      <c r="E2407" s="8" t="n">
        <v>0</v>
      </c>
      <c r="F2407" s="8" t="s">
        <v>2200</v>
      </c>
      <c r="G2407" s="8" t="s">
        <v>2201</v>
      </c>
      <c r="H2407" s="8" t="s">
        <v>2717</v>
      </c>
    </row>
    <row r="2408" customFormat="false" ht="15" hidden="false" customHeight="false" outlineLevel="0" collapsed="false">
      <c r="A2408" s="7" t="n">
        <v>45958</v>
      </c>
      <c r="B2408" s="7" t="n">
        <v>45981</v>
      </c>
      <c r="C2408" s="8" t="n">
        <v>6719</v>
      </c>
      <c r="D2408" s="8" t="n">
        <v>2930</v>
      </c>
      <c r="E2408" s="8" t="n">
        <v>24475</v>
      </c>
      <c r="F2408" s="8" t="s">
        <v>2200</v>
      </c>
      <c r="G2408" s="8" t="s">
        <v>2201</v>
      </c>
      <c r="H2408" s="8" t="s">
        <v>2718</v>
      </c>
    </row>
    <row r="2409" customFormat="false" ht="15" hidden="false" customHeight="false" outlineLevel="0" collapsed="false">
      <c r="A2409" s="7" t="n">
        <v>45958</v>
      </c>
      <c r="B2409" s="7" t="n">
        <v>46010</v>
      </c>
      <c r="C2409" s="8" t="n">
        <v>6792</v>
      </c>
      <c r="D2409" s="8" t="n">
        <v>1850</v>
      </c>
      <c r="E2409" s="8" t="n">
        <v>10760</v>
      </c>
      <c r="F2409" s="8" t="s">
        <v>2200</v>
      </c>
      <c r="G2409" s="8" t="s">
        <v>2201</v>
      </c>
      <c r="H2409" s="8" t="s">
        <v>2718</v>
      </c>
    </row>
    <row r="2410" customFormat="false" ht="15" hidden="false" customHeight="false" outlineLevel="0" collapsed="false">
      <c r="A2410" s="7" t="n">
        <v>45958</v>
      </c>
      <c r="B2410" s="7" t="n">
        <v>46042</v>
      </c>
      <c r="C2410" s="8" t="n">
        <v>6725</v>
      </c>
      <c r="D2410" s="8" t="n">
        <v>10</v>
      </c>
      <c r="E2410" s="8" t="n">
        <v>145</v>
      </c>
      <c r="F2410" s="8" t="s">
        <v>2200</v>
      </c>
      <c r="G2410" s="8" t="s">
        <v>2201</v>
      </c>
      <c r="H2410" s="8" t="s">
        <v>2718</v>
      </c>
    </row>
    <row r="2411" customFormat="false" ht="15" hidden="false" customHeight="false" outlineLevel="0" collapsed="false">
      <c r="A2411" s="7" t="n">
        <v>45958</v>
      </c>
      <c r="B2411" s="7" t="n">
        <v>46073</v>
      </c>
      <c r="C2411" s="8" t="n">
        <v>6826</v>
      </c>
      <c r="D2411" s="8" t="n">
        <v>0</v>
      </c>
      <c r="E2411" s="8" t="n">
        <v>0</v>
      </c>
      <c r="F2411" s="8" t="s">
        <v>2200</v>
      </c>
      <c r="G2411" s="8" t="s">
        <v>2201</v>
      </c>
      <c r="H2411" s="8" t="s">
        <v>2718</v>
      </c>
    </row>
    <row r="2412" customFormat="false" ht="15" hidden="false" customHeight="false" outlineLevel="0" collapsed="false">
      <c r="A2412" s="7" t="n">
        <v>45959</v>
      </c>
      <c r="B2412" s="7" t="n">
        <v>45981</v>
      </c>
      <c r="C2412" s="8" t="n">
        <v>6732</v>
      </c>
      <c r="D2412" s="8" t="n">
        <v>2515</v>
      </c>
      <c r="E2412" s="8" t="n">
        <v>24405</v>
      </c>
      <c r="F2412" s="8" t="s">
        <v>2200</v>
      </c>
      <c r="G2412" s="8" t="s">
        <v>2201</v>
      </c>
      <c r="H2412" s="8" t="s">
        <v>2719</v>
      </c>
    </row>
    <row r="2413" customFormat="false" ht="15" hidden="false" customHeight="false" outlineLevel="0" collapsed="false">
      <c r="A2413" s="7" t="n">
        <v>45959</v>
      </c>
      <c r="B2413" s="7" t="n">
        <v>46010</v>
      </c>
      <c r="C2413" s="8" t="n">
        <v>6800</v>
      </c>
      <c r="D2413" s="8" t="n">
        <v>1685</v>
      </c>
      <c r="E2413" s="8" t="n">
        <v>11790</v>
      </c>
      <c r="F2413" s="8" t="s">
        <v>2200</v>
      </c>
      <c r="G2413" s="8" t="s">
        <v>2201</v>
      </c>
      <c r="H2413" s="8" t="s">
        <v>2719</v>
      </c>
    </row>
    <row r="2414" customFormat="false" ht="15" hidden="false" customHeight="false" outlineLevel="0" collapsed="false">
      <c r="A2414" s="7" t="n">
        <v>45959</v>
      </c>
      <c r="B2414" s="7" t="n">
        <v>46042</v>
      </c>
      <c r="C2414" s="8" t="n">
        <v>6694</v>
      </c>
      <c r="D2414" s="8" t="n">
        <v>10</v>
      </c>
      <c r="E2414" s="8" t="n">
        <v>145</v>
      </c>
      <c r="F2414" s="8" t="s">
        <v>2200</v>
      </c>
      <c r="G2414" s="8" t="s">
        <v>2201</v>
      </c>
      <c r="H2414" s="8" t="s">
        <v>2719</v>
      </c>
    </row>
    <row r="2415" customFormat="false" ht="15" hidden="false" customHeight="false" outlineLevel="0" collapsed="false">
      <c r="A2415" s="7" t="n">
        <v>45959</v>
      </c>
      <c r="B2415" s="7" t="n">
        <v>46073</v>
      </c>
      <c r="C2415" s="8" t="n">
        <v>6836</v>
      </c>
      <c r="D2415" s="8" t="n">
        <v>0</v>
      </c>
      <c r="E2415" s="8" t="n">
        <v>0</v>
      </c>
      <c r="F2415" s="8" t="s">
        <v>2200</v>
      </c>
      <c r="G2415" s="8" t="s">
        <v>2201</v>
      </c>
      <c r="H2415" s="8" t="s">
        <v>2719</v>
      </c>
    </row>
    <row r="2416" customFormat="false" ht="15" hidden="false" customHeight="false" outlineLevel="0" collapsed="false">
      <c r="A2416" s="7" t="n">
        <v>45960</v>
      </c>
      <c r="B2416" s="7" t="n">
        <v>45981</v>
      </c>
      <c r="C2416" s="8" t="n">
        <v>6803</v>
      </c>
      <c r="D2416" s="8" t="n">
        <v>3880</v>
      </c>
      <c r="E2416" s="8" t="n">
        <v>23575</v>
      </c>
      <c r="F2416" s="8" t="s">
        <v>2200</v>
      </c>
      <c r="G2416" s="8" t="s">
        <v>2201</v>
      </c>
      <c r="H2416" s="8" t="s">
        <v>2720</v>
      </c>
    </row>
    <row r="2417" customFormat="false" ht="15" hidden="false" customHeight="false" outlineLevel="0" collapsed="false">
      <c r="A2417" s="7" t="n">
        <v>45960</v>
      </c>
      <c r="B2417" s="7" t="n">
        <v>46010</v>
      </c>
      <c r="C2417" s="8" t="n">
        <v>6873</v>
      </c>
      <c r="D2417" s="8" t="n">
        <v>2040</v>
      </c>
      <c r="E2417" s="8" t="n">
        <v>12425</v>
      </c>
      <c r="F2417" s="8" t="s">
        <v>2200</v>
      </c>
      <c r="G2417" s="8" t="s">
        <v>2201</v>
      </c>
      <c r="H2417" s="8" t="s">
        <v>2720</v>
      </c>
    </row>
    <row r="2418" customFormat="false" ht="15" hidden="false" customHeight="false" outlineLevel="0" collapsed="false">
      <c r="A2418" s="7" t="n">
        <v>45960</v>
      </c>
      <c r="B2418" s="7" t="n">
        <v>46042</v>
      </c>
      <c r="C2418" s="8" t="n">
        <v>6792</v>
      </c>
      <c r="D2418" s="8" t="n">
        <v>65</v>
      </c>
      <c r="E2418" s="8" t="n">
        <v>195</v>
      </c>
      <c r="F2418" s="8" t="s">
        <v>2200</v>
      </c>
      <c r="G2418" s="8" t="s">
        <v>2201</v>
      </c>
      <c r="H2418" s="8" t="s">
        <v>2720</v>
      </c>
    </row>
    <row r="2419" customFormat="false" ht="15" hidden="false" customHeight="false" outlineLevel="0" collapsed="false">
      <c r="A2419" s="7" t="n">
        <v>45960</v>
      </c>
      <c r="B2419" s="7" t="n">
        <v>46073</v>
      </c>
      <c r="C2419" s="8" t="n">
        <v>6874</v>
      </c>
      <c r="D2419" s="8" t="n">
        <v>0</v>
      </c>
      <c r="E2419" s="8" t="n">
        <v>0</v>
      </c>
      <c r="F2419" s="8" t="s">
        <v>2200</v>
      </c>
      <c r="G2419" s="8" t="s">
        <v>2201</v>
      </c>
      <c r="H2419" s="8" t="s">
        <v>2720</v>
      </c>
    </row>
    <row r="2420" customFormat="false" ht="15" hidden="false" customHeight="false" outlineLevel="0" collapsed="false">
      <c r="A2420" s="7" t="n">
        <v>45961</v>
      </c>
      <c r="B2420" s="7" t="n">
        <v>45981</v>
      </c>
      <c r="C2420" s="8" t="n">
        <v>6803</v>
      </c>
      <c r="D2420" s="8" t="n">
        <v>3900</v>
      </c>
      <c r="E2420" s="8" t="n">
        <v>22150</v>
      </c>
      <c r="F2420" s="8" t="s">
        <v>2200</v>
      </c>
      <c r="G2420" s="8" t="s">
        <v>2201</v>
      </c>
      <c r="H2420" s="8" t="s">
        <v>2721</v>
      </c>
    </row>
    <row r="2421" customFormat="false" ht="15" hidden="false" customHeight="false" outlineLevel="0" collapsed="false">
      <c r="A2421" s="7" t="n">
        <v>45961</v>
      </c>
      <c r="B2421" s="7" t="n">
        <v>46010</v>
      </c>
      <c r="C2421" s="8" t="n">
        <v>6875</v>
      </c>
      <c r="D2421" s="8" t="n">
        <v>3470</v>
      </c>
      <c r="E2421" s="8" t="n">
        <v>13340</v>
      </c>
      <c r="F2421" s="8" t="s">
        <v>2200</v>
      </c>
      <c r="G2421" s="8" t="s">
        <v>2201</v>
      </c>
      <c r="H2421" s="8" t="s">
        <v>2721</v>
      </c>
    </row>
    <row r="2422" customFormat="false" ht="15" hidden="false" customHeight="false" outlineLevel="0" collapsed="false">
      <c r="A2422" s="7" t="n">
        <v>45961</v>
      </c>
      <c r="B2422" s="7" t="n">
        <v>46042</v>
      </c>
      <c r="C2422" s="8" t="n">
        <v>6805</v>
      </c>
      <c r="D2422" s="8" t="n">
        <v>30</v>
      </c>
      <c r="E2422" s="8" t="n">
        <v>225</v>
      </c>
      <c r="F2422" s="8" t="s">
        <v>2200</v>
      </c>
      <c r="G2422" s="8" t="s">
        <v>2201</v>
      </c>
      <c r="H2422" s="8" t="s">
        <v>2721</v>
      </c>
    </row>
    <row r="2423" customFormat="false" ht="15" hidden="false" customHeight="false" outlineLevel="0" collapsed="false">
      <c r="A2423" s="7" t="n">
        <v>45961</v>
      </c>
      <c r="B2423" s="7" t="n">
        <v>46073</v>
      </c>
      <c r="C2423" s="8" t="n">
        <v>6872</v>
      </c>
      <c r="D2423" s="8" t="n">
        <v>0</v>
      </c>
      <c r="E2423" s="8" t="n">
        <v>0</v>
      </c>
      <c r="F2423" s="8" t="s">
        <v>2200</v>
      </c>
      <c r="G2423" s="8" t="s">
        <v>2201</v>
      </c>
      <c r="H2423" s="8" t="s">
        <v>2721</v>
      </c>
    </row>
    <row r="2424" customFormat="false" ht="15" hidden="false" customHeight="false" outlineLevel="0" collapsed="false">
      <c r="A2424" s="7" t="n">
        <v>45964</v>
      </c>
      <c r="B2424" s="7" t="n">
        <v>45981</v>
      </c>
      <c r="C2424" s="8" t="n">
        <v>6764</v>
      </c>
      <c r="D2424" s="8" t="n">
        <v>3385</v>
      </c>
      <c r="E2424" s="8" t="n">
        <v>20535</v>
      </c>
      <c r="F2424" s="8" t="s">
        <v>2200</v>
      </c>
      <c r="G2424" s="8" t="s">
        <v>2201</v>
      </c>
      <c r="H2424" s="8" t="s">
        <v>2722</v>
      </c>
    </row>
    <row r="2425" customFormat="false" ht="15" hidden="false" customHeight="false" outlineLevel="0" collapsed="false">
      <c r="A2425" s="7" t="n">
        <v>45964</v>
      </c>
      <c r="B2425" s="7" t="n">
        <v>46010</v>
      </c>
      <c r="C2425" s="8" t="n">
        <v>6834</v>
      </c>
      <c r="D2425" s="8" t="n">
        <v>4230</v>
      </c>
      <c r="E2425" s="8" t="n">
        <v>15375</v>
      </c>
      <c r="F2425" s="8" t="s">
        <v>2200</v>
      </c>
      <c r="G2425" s="8" t="s">
        <v>2201</v>
      </c>
      <c r="H2425" s="8" t="s">
        <v>2722</v>
      </c>
    </row>
    <row r="2426" customFormat="false" ht="15" hidden="false" customHeight="false" outlineLevel="0" collapsed="false">
      <c r="A2426" s="7" t="n">
        <v>45964</v>
      </c>
      <c r="B2426" s="7" t="n">
        <v>46042</v>
      </c>
      <c r="C2426" s="8" t="n">
        <v>6904</v>
      </c>
      <c r="D2426" s="8" t="n">
        <v>0</v>
      </c>
      <c r="E2426" s="8" t="n">
        <v>225</v>
      </c>
      <c r="F2426" s="8" t="s">
        <v>2200</v>
      </c>
      <c r="G2426" s="8" t="s">
        <v>2201</v>
      </c>
      <c r="H2426" s="8" t="s">
        <v>2722</v>
      </c>
    </row>
    <row r="2427" customFormat="false" ht="15" hidden="false" customHeight="false" outlineLevel="0" collapsed="false">
      <c r="A2427" s="7" t="n">
        <v>45964</v>
      </c>
      <c r="B2427" s="7" t="n">
        <v>46073</v>
      </c>
      <c r="C2427" s="8" t="n">
        <v>6974</v>
      </c>
      <c r="D2427" s="8" t="n">
        <v>0</v>
      </c>
      <c r="E2427" s="8" t="n">
        <v>0</v>
      </c>
      <c r="F2427" s="8" t="s">
        <v>2200</v>
      </c>
      <c r="G2427" s="8" t="s">
        <v>2201</v>
      </c>
      <c r="H2427" s="8" t="s">
        <v>2722</v>
      </c>
    </row>
    <row r="2428" customFormat="false" ht="15" hidden="false" customHeight="false" outlineLevel="0" collapsed="false">
      <c r="A2428" s="7" t="n">
        <v>45964</v>
      </c>
      <c r="B2428" s="7" t="n">
        <v>46101</v>
      </c>
      <c r="C2428" s="8" t="n">
        <v>7044</v>
      </c>
      <c r="D2428" s="8" t="n">
        <v>0</v>
      </c>
      <c r="E2428" s="8" t="n">
        <v>0</v>
      </c>
      <c r="F2428" s="8" t="s">
        <v>2200</v>
      </c>
      <c r="G2428" s="8" t="s">
        <v>2201</v>
      </c>
      <c r="H2428" s="8" t="s">
        <v>2722</v>
      </c>
    </row>
    <row r="2429" customFormat="false" ht="15" hidden="false" customHeight="false" outlineLevel="0" collapsed="false">
      <c r="A2429" s="7" t="n">
        <v>45965</v>
      </c>
      <c r="B2429" s="7" t="n">
        <v>45981</v>
      </c>
      <c r="C2429" s="8" t="n">
        <v>6721</v>
      </c>
      <c r="D2429" s="8" t="n">
        <v>5450</v>
      </c>
      <c r="E2429" s="8" t="n">
        <v>20415</v>
      </c>
      <c r="F2429" s="8" t="s">
        <v>2200</v>
      </c>
      <c r="G2429" s="8" t="s">
        <v>2201</v>
      </c>
      <c r="H2429" s="8" t="s">
        <v>2723</v>
      </c>
    </row>
    <row r="2430" customFormat="false" ht="15" hidden="false" customHeight="false" outlineLevel="0" collapsed="false">
      <c r="A2430" s="7" t="n">
        <v>45965</v>
      </c>
      <c r="B2430" s="7" t="n">
        <v>46010</v>
      </c>
      <c r="C2430" s="8" t="n">
        <v>6804</v>
      </c>
      <c r="D2430" s="8" t="n">
        <v>6480</v>
      </c>
      <c r="E2430" s="8" t="n">
        <v>17745</v>
      </c>
      <c r="F2430" s="8" t="s">
        <v>2200</v>
      </c>
      <c r="G2430" s="8" t="s">
        <v>2201</v>
      </c>
      <c r="H2430" s="8" t="s">
        <v>2723</v>
      </c>
    </row>
    <row r="2431" customFormat="false" ht="15" hidden="false" customHeight="false" outlineLevel="0" collapsed="false">
      <c r="A2431" s="7" t="n">
        <v>45965</v>
      </c>
      <c r="B2431" s="7" t="n">
        <v>46042</v>
      </c>
      <c r="C2431" s="8" t="n">
        <v>6887</v>
      </c>
      <c r="D2431" s="8" t="n">
        <v>0</v>
      </c>
      <c r="E2431" s="8" t="n">
        <v>225</v>
      </c>
      <c r="F2431" s="8" t="s">
        <v>2200</v>
      </c>
      <c r="G2431" s="8" t="s">
        <v>2201</v>
      </c>
      <c r="H2431" s="8" t="s">
        <v>2723</v>
      </c>
    </row>
    <row r="2432" customFormat="false" ht="15" hidden="false" customHeight="false" outlineLevel="0" collapsed="false">
      <c r="A2432" s="7" t="n">
        <v>45965</v>
      </c>
      <c r="B2432" s="7" t="n">
        <v>46073</v>
      </c>
      <c r="C2432" s="8" t="n">
        <v>6970</v>
      </c>
      <c r="D2432" s="8" t="n">
        <v>0</v>
      </c>
      <c r="E2432" s="8" t="n">
        <v>0</v>
      </c>
      <c r="F2432" s="8" t="s">
        <v>2200</v>
      </c>
      <c r="G2432" s="8" t="s">
        <v>2201</v>
      </c>
      <c r="H2432" s="8" t="s">
        <v>2723</v>
      </c>
    </row>
    <row r="2433" customFormat="false" ht="15" hidden="false" customHeight="false" outlineLevel="0" collapsed="false">
      <c r="A2433" s="7" t="n">
        <v>45965</v>
      </c>
      <c r="B2433" s="7" t="n">
        <v>46101</v>
      </c>
      <c r="C2433" s="8" t="n">
        <v>7053</v>
      </c>
      <c r="D2433" s="8" t="n">
        <v>0</v>
      </c>
      <c r="E2433" s="8" t="n">
        <v>0</v>
      </c>
      <c r="F2433" s="8" t="s">
        <v>2200</v>
      </c>
      <c r="G2433" s="8" t="s">
        <v>2201</v>
      </c>
      <c r="H2433" s="8" t="s">
        <v>2723</v>
      </c>
    </row>
    <row r="2434" customFormat="false" ht="15" hidden="false" customHeight="false" outlineLevel="0" collapsed="false">
      <c r="A2434" s="7" t="n">
        <v>45967</v>
      </c>
      <c r="B2434" s="7" t="n">
        <v>45981</v>
      </c>
      <c r="C2434" s="8" t="n">
        <v>6789</v>
      </c>
      <c r="D2434" s="8" t="n">
        <v>5070</v>
      </c>
      <c r="E2434" s="8" t="n">
        <v>18525</v>
      </c>
      <c r="F2434" s="8" t="s">
        <v>2200</v>
      </c>
      <c r="G2434" s="8" t="s">
        <v>2201</v>
      </c>
      <c r="H2434" s="8" t="s">
        <v>2724</v>
      </c>
    </row>
    <row r="2435" customFormat="false" ht="15" hidden="false" customHeight="false" outlineLevel="0" collapsed="false">
      <c r="A2435" s="7" t="n">
        <v>45967</v>
      </c>
      <c r="B2435" s="7" t="n">
        <v>46010</v>
      </c>
      <c r="C2435" s="8" t="n">
        <v>6863</v>
      </c>
      <c r="D2435" s="8" t="n">
        <v>4825</v>
      </c>
      <c r="E2435" s="8" t="n">
        <v>19865</v>
      </c>
      <c r="F2435" s="8" t="s">
        <v>2200</v>
      </c>
      <c r="G2435" s="8" t="s">
        <v>2201</v>
      </c>
      <c r="H2435" s="8" t="s">
        <v>2724</v>
      </c>
    </row>
    <row r="2436" customFormat="false" ht="15" hidden="false" customHeight="false" outlineLevel="0" collapsed="false">
      <c r="A2436" s="7" t="n">
        <v>45967</v>
      </c>
      <c r="B2436" s="7" t="n">
        <v>46042</v>
      </c>
      <c r="C2436" s="8" t="n">
        <v>6759</v>
      </c>
      <c r="D2436" s="8" t="n">
        <v>80</v>
      </c>
      <c r="E2436" s="8" t="n">
        <v>285</v>
      </c>
      <c r="F2436" s="8" t="s">
        <v>2200</v>
      </c>
      <c r="G2436" s="8" t="s">
        <v>2201</v>
      </c>
      <c r="H2436" s="8" t="s">
        <v>2724</v>
      </c>
    </row>
    <row r="2437" customFormat="false" ht="15" hidden="false" customHeight="false" outlineLevel="0" collapsed="false">
      <c r="A2437" s="7" t="n">
        <v>45967</v>
      </c>
      <c r="B2437" s="7" t="n">
        <v>46073</v>
      </c>
      <c r="C2437" s="8" t="n">
        <v>6873</v>
      </c>
      <c r="D2437" s="8" t="n">
        <v>0</v>
      </c>
      <c r="E2437" s="8" t="n">
        <v>0</v>
      </c>
      <c r="F2437" s="8" t="s">
        <v>2200</v>
      </c>
      <c r="G2437" s="8" t="s">
        <v>2201</v>
      </c>
      <c r="H2437" s="8" t="s">
        <v>2724</v>
      </c>
    </row>
    <row r="2438" customFormat="false" ht="15" hidden="false" customHeight="false" outlineLevel="0" collapsed="false">
      <c r="A2438" s="7" t="n">
        <v>45967</v>
      </c>
      <c r="B2438" s="7" t="n">
        <v>46101</v>
      </c>
      <c r="C2438" s="8" t="n">
        <v>6987</v>
      </c>
      <c r="D2438" s="8" t="n">
        <v>0</v>
      </c>
      <c r="E2438" s="8" t="n">
        <v>0</v>
      </c>
      <c r="F2438" s="8" t="s">
        <v>2200</v>
      </c>
      <c r="G2438" s="8" t="s">
        <v>2201</v>
      </c>
      <c r="H2438" s="8" t="s">
        <v>2724</v>
      </c>
    </row>
    <row r="2439" customFormat="false" ht="15" hidden="false" customHeight="false" outlineLevel="0" collapsed="false">
      <c r="A2439" s="7" t="n">
        <v>45968</v>
      </c>
      <c r="B2439" s="7" t="n">
        <v>45981</v>
      </c>
      <c r="C2439" s="8" t="n">
        <v>6758</v>
      </c>
      <c r="D2439" s="8" t="n">
        <v>4770</v>
      </c>
      <c r="E2439" s="8" t="n">
        <v>17300</v>
      </c>
      <c r="F2439" s="8" t="s">
        <v>2200</v>
      </c>
      <c r="G2439" s="8" t="s">
        <v>2201</v>
      </c>
      <c r="H2439" s="8" t="s">
        <v>2725</v>
      </c>
    </row>
    <row r="2440" customFormat="false" ht="15" hidden="false" customHeight="false" outlineLevel="0" collapsed="false">
      <c r="A2440" s="7" t="n">
        <v>45968</v>
      </c>
      <c r="B2440" s="7" t="n">
        <v>46010</v>
      </c>
      <c r="C2440" s="8" t="n">
        <v>6829</v>
      </c>
      <c r="D2440" s="8" t="n">
        <v>4920</v>
      </c>
      <c r="E2440" s="8" t="n">
        <v>21615</v>
      </c>
      <c r="F2440" s="8" t="s">
        <v>2200</v>
      </c>
      <c r="G2440" s="8" t="s">
        <v>2201</v>
      </c>
      <c r="H2440" s="8" t="s">
        <v>2725</v>
      </c>
    </row>
    <row r="2441" customFormat="false" ht="15" hidden="false" customHeight="false" outlineLevel="0" collapsed="false">
      <c r="A2441" s="7" t="n">
        <v>45968</v>
      </c>
      <c r="B2441" s="7" t="n">
        <v>46042</v>
      </c>
      <c r="C2441" s="8" t="n">
        <v>6732</v>
      </c>
      <c r="D2441" s="8" t="n">
        <v>80</v>
      </c>
      <c r="E2441" s="8" t="n">
        <v>325</v>
      </c>
      <c r="F2441" s="8" t="s">
        <v>2200</v>
      </c>
      <c r="G2441" s="8" t="s">
        <v>2201</v>
      </c>
      <c r="H2441" s="8" t="s">
        <v>2725</v>
      </c>
    </row>
    <row r="2442" customFormat="false" ht="15" hidden="false" customHeight="false" outlineLevel="0" collapsed="false">
      <c r="A2442" s="7" t="n">
        <v>45968</v>
      </c>
      <c r="B2442" s="7" t="n">
        <v>46073</v>
      </c>
      <c r="C2442" s="8" t="n">
        <v>6882</v>
      </c>
      <c r="D2442" s="8" t="n">
        <v>0</v>
      </c>
      <c r="E2442" s="8" t="n">
        <v>0</v>
      </c>
      <c r="F2442" s="8" t="s">
        <v>2200</v>
      </c>
      <c r="G2442" s="8" t="s">
        <v>2201</v>
      </c>
      <c r="H2442" s="8" t="s">
        <v>2725</v>
      </c>
    </row>
    <row r="2443" customFormat="false" ht="15" hidden="false" customHeight="false" outlineLevel="0" collapsed="false">
      <c r="A2443" s="7" t="n">
        <v>45968</v>
      </c>
      <c r="B2443" s="7" t="n">
        <v>46101</v>
      </c>
      <c r="C2443" s="8" t="n">
        <v>7032</v>
      </c>
      <c r="D2443" s="8" t="n">
        <v>0</v>
      </c>
      <c r="E2443" s="8" t="n">
        <v>0</v>
      </c>
      <c r="F2443" s="8" t="s">
        <v>2200</v>
      </c>
      <c r="G2443" s="8" t="s">
        <v>2201</v>
      </c>
      <c r="H2443" s="8" t="s">
        <v>2725</v>
      </c>
    </row>
    <row r="2444" customFormat="false" ht="15" hidden="false" customHeight="false" outlineLevel="0" collapsed="false">
      <c r="A2444" s="7" t="n">
        <v>45971</v>
      </c>
      <c r="B2444" s="7" t="n">
        <v>45981</v>
      </c>
      <c r="C2444" s="8" t="n">
        <v>6771</v>
      </c>
      <c r="D2444" s="8" t="n">
        <v>4955</v>
      </c>
      <c r="E2444" s="8" t="n">
        <v>15975</v>
      </c>
      <c r="F2444" s="8" t="s">
        <v>2200</v>
      </c>
      <c r="G2444" s="8" t="s">
        <v>2201</v>
      </c>
      <c r="H2444" s="8" t="s">
        <v>2726</v>
      </c>
    </row>
    <row r="2445" customFormat="false" ht="15" hidden="false" customHeight="false" outlineLevel="0" collapsed="false">
      <c r="A2445" s="7" t="n">
        <v>45971</v>
      </c>
      <c r="B2445" s="7" t="n">
        <v>46010</v>
      </c>
      <c r="C2445" s="8" t="n">
        <v>6855</v>
      </c>
      <c r="D2445" s="8" t="n">
        <v>3175</v>
      </c>
      <c r="E2445" s="8" t="n">
        <v>22270</v>
      </c>
      <c r="F2445" s="8" t="s">
        <v>2200</v>
      </c>
      <c r="G2445" s="8" t="s">
        <v>2201</v>
      </c>
      <c r="H2445" s="8" t="s">
        <v>2726</v>
      </c>
    </row>
    <row r="2446" customFormat="false" ht="15" hidden="false" customHeight="false" outlineLevel="0" collapsed="false">
      <c r="A2446" s="7" t="n">
        <v>45971</v>
      </c>
      <c r="B2446" s="7" t="n">
        <v>46042</v>
      </c>
      <c r="C2446" s="8" t="n">
        <v>6778</v>
      </c>
      <c r="D2446" s="8" t="n">
        <v>20</v>
      </c>
      <c r="E2446" s="8" t="n">
        <v>340</v>
      </c>
      <c r="F2446" s="8" t="s">
        <v>2200</v>
      </c>
      <c r="G2446" s="8" t="s">
        <v>2201</v>
      </c>
      <c r="H2446" s="8" t="s">
        <v>2726</v>
      </c>
    </row>
    <row r="2447" customFormat="false" ht="15" hidden="false" customHeight="false" outlineLevel="0" collapsed="false">
      <c r="A2447" s="7" t="n">
        <v>45971</v>
      </c>
      <c r="B2447" s="7" t="n">
        <v>46073</v>
      </c>
      <c r="C2447" s="8" t="n">
        <v>6898</v>
      </c>
      <c r="D2447" s="8" t="n">
        <v>0</v>
      </c>
      <c r="E2447" s="8" t="n">
        <v>0</v>
      </c>
      <c r="F2447" s="8" t="s">
        <v>2200</v>
      </c>
      <c r="G2447" s="8" t="s">
        <v>2201</v>
      </c>
      <c r="H2447" s="8" t="s">
        <v>2726</v>
      </c>
    </row>
    <row r="2448" customFormat="false" ht="15" hidden="false" customHeight="false" outlineLevel="0" collapsed="false">
      <c r="A2448" s="7" t="n">
        <v>45971</v>
      </c>
      <c r="B2448" s="7" t="n">
        <v>46101</v>
      </c>
      <c r="C2448" s="8" t="n">
        <v>7018</v>
      </c>
      <c r="D2448" s="8" t="n">
        <v>0</v>
      </c>
      <c r="E2448" s="8" t="n">
        <v>0</v>
      </c>
      <c r="F2448" s="8" t="s">
        <v>2200</v>
      </c>
      <c r="G2448" s="8" t="s">
        <v>2201</v>
      </c>
      <c r="H2448" s="8" t="s">
        <v>2726</v>
      </c>
    </row>
    <row r="2449" customFormat="false" ht="15" hidden="false" customHeight="false" outlineLevel="0" collapsed="false">
      <c r="A2449" s="7" t="n">
        <v>45972</v>
      </c>
      <c r="B2449" s="7" t="n">
        <v>45981</v>
      </c>
      <c r="C2449" s="8" t="n">
        <v>6822</v>
      </c>
      <c r="D2449" s="8" t="n">
        <v>3110</v>
      </c>
      <c r="E2449" s="8" t="n">
        <v>14740</v>
      </c>
      <c r="F2449" s="8" t="s">
        <v>2200</v>
      </c>
      <c r="G2449" s="8" t="s">
        <v>2201</v>
      </c>
      <c r="H2449" s="8" t="s">
        <v>2727</v>
      </c>
    </row>
    <row r="2450" customFormat="false" ht="15" hidden="false" customHeight="false" outlineLevel="0" collapsed="false">
      <c r="A2450" s="7" t="n">
        <v>45972</v>
      </c>
      <c r="B2450" s="7" t="n">
        <v>46010</v>
      </c>
      <c r="C2450" s="8" t="n">
        <v>6904</v>
      </c>
      <c r="D2450" s="8" t="n">
        <v>5515</v>
      </c>
      <c r="E2450" s="8" t="n">
        <v>22985</v>
      </c>
      <c r="F2450" s="8" t="s">
        <v>2200</v>
      </c>
      <c r="G2450" s="8" t="s">
        <v>2201</v>
      </c>
      <c r="H2450" s="8" t="s">
        <v>2727</v>
      </c>
    </row>
    <row r="2451" customFormat="false" ht="15" hidden="false" customHeight="false" outlineLevel="0" collapsed="false">
      <c r="A2451" s="7" t="n">
        <v>45972</v>
      </c>
      <c r="B2451" s="7" t="n">
        <v>46042</v>
      </c>
      <c r="C2451" s="8" t="n">
        <v>6820</v>
      </c>
      <c r="D2451" s="8" t="n">
        <v>90</v>
      </c>
      <c r="E2451" s="8" t="n">
        <v>375</v>
      </c>
      <c r="F2451" s="8" t="s">
        <v>2200</v>
      </c>
      <c r="G2451" s="8" t="s">
        <v>2201</v>
      </c>
      <c r="H2451" s="8" t="s">
        <v>2727</v>
      </c>
    </row>
    <row r="2452" customFormat="false" ht="15" hidden="false" customHeight="false" outlineLevel="0" collapsed="false">
      <c r="A2452" s="7" t="n">
        <v>45972</v>
      </c>
      <c r="B2452" s="7" t="n">
        <v>46073</v>
      </c>
      <c r="C2452" s="8" t="n">
        <v>6927</v>
      </c>
      <c r="D2452" s="8" t="n">
        <v>0</v>
      </c>
      <c r="E2452" s="8" t="n">
        <v>0</v>
      </c>
      <c r="F2452" s="8" t="s">
        <v>2200</v>
      </c>
      <c r="G2452" s="8" t="s">
        <v>2201</v>
      </c>
      <c r="H2452" s="8" t="s">
        <v>2727</v>
      </c>
    </row>
    <row r="2453" customFormat="false" ht="15" hidden="false" customHeight="false" outlineLevel="0" collapsed="false">
      <c r="A2453" s="7" t="n">
        <v>45972</v>
      </c>
      <c r="B2453" s="7" t="n">
        <v>46101</v>
      </c>
      <c r="C2453" s="8" t="n">
        <v>7034</v>
      </c>
      <c r="D2453" s="8" t="n">
        <v>0</v>
      </c>
      <c r="E2453" s="8" t="n">
        <v>0</v>
      </c>
      <c r="F2453" s="8" t="s">
        <v>2200</v>
      </c>
      <c r="G2453" s="8" t="s">
        <v>2201</v>
      </c>
      <c r="H2453" s="8" t="s">
        <v>2727</v>
      </c>
    </row>
    <row r="2454" customFormat="false" ht="15" hidden="false" customHeight="false" outlineLevel="0" collapsed="false">
      <c r="A2454" s="7" t="n">
        <v>45973</v>
      </c>
      <c r="B2454" s="7" t="n">
        <v>45981</v>
      </c>
      <c r="C2454" s="8" t="n">
        <v>6857</v>
      </c>
      <c r="D2454" s="8" t="n">
        <v>3090</v>
      </c>
      <c r="E2454" s="8" t="n">
        <v>13555</v>
      </c>
      <c r="F2454" s="8" t="s">
        <v>2200</v>
      </c>
      <c r="G2454" s="8" t="s">
        <v>2201</v>
      </c>
      <c r="H2454" s="8" t="s">
        <v>2728</v>
      </c>
    </row>
    <row r="2455" customFormat="false" ht="15" hidden="false" customHeight="false" outlineLevel="0" collapsed="false">
      <c r="A2455" s="7" t="n">
        <v>45973</v>
      </c>
      <c r="B2455" s="7" t="n">
        <v>46010</v>
      </c>
      <c r="C2455" s="8" t="n">
        <v>6937</v>
      </c>
      <c r="D2455" s="8" t="n">
        <v>6100</v>
      </c>
      <c r="E2455" s="8" t="n">
        <v>24570</v>
      </c>
      <c r="F2455" s="8" t="s">
        <v>2200</v>
      </c>
      <c r="G2455" s="8" t="s">
        <v>2201</v>
      </c>
      <c r="H2455" s="8" t="s">
        <v>2728</v>
      </c>
    </row>
    <row r="2456" customFormat="false" ht="15" hidden="false" customHeight="false" outlineLevel="0" collapsed="false">
      <c r="A2456" s="7" t="n">
        <v>45973</v>
      </c>
      <c r="B2456" s="7" t="n">
        <v>46042</v>
      </c>
      <c r="C2456" s="8" t="n">
        <v>6820</v>
      </c>
      <c r="D2456" s="8" t="n">
        <v>20</v>
      </c>
      <c r="E2456" s="8" t="n">
        <v>390</v>
      </c>
      <c r="F2456" s="8" t="s">
        <v>2200</v>
      </c>
      <c r="G2456" s="8" t="s">
        <v>2201</v>
      </c>
      <c r="H2456" s="8" t="s">
        <v>2728</v>
      </c>
    </row>
    <row r="2457" customFormat="false" ht="15" hidden="false" customHeight="false" outlineLevel="0" collapsed="false">
      <c r="A2457" s="7" t="n">
        <v>45973</v>
      </c>
      <c r="B2457" s="7" t="n">
        <v>46073</v>
      </c>
      <c r="C2457" s="8" t="n">
        <v>6937</v>
      </c>
      <c r="D2457" s="8" t="n">
        <v>0</v>
      </c>
      <c r="E2457" s="8" t="n">
        <v>0</v>
      </c>
      <c r="F2457" s="8" t="s">
        <v>2200</v>
      </c>
      <c r="G2457" s="8" t="s">
        <v>2201</v>
      </c>
      <c r="H2457" s="8" t="s">
        <v>2728</v>
      </c>
    </row>
    <row r="2458" customFormat="false" ht="15" hidden="false" customHeight="false" outlineLevel="0" collapsed="false">
      <c r="A2458" s="7" t="n">
        <v>45973</v>
      </c>
      <c r="B2458" s="7" t="n">
        <v>46101</v>
      </c>
      <c r="C2458" s="8" t="n">
        <v>7054</v>
      </c>
      <c r="D2458" s="8" t="n">
        <v>0</v>
      </c>
      <c r="E2458" s="8" t="n">
        <v>0</v>
      </c>
      <c r="F2458" s="8" t="s">
        <v>2200</v>
      </c>
      <c r="G2458" s="8" t="s">
        <v>2201</v>
      </c>
      <c r="H2458" s="8" t="s">
        <v>2728</v>
      </c>
    </row>
    <row r="2459" customFormat="false" ht="15" hidden="false" customHeight="false" outlineLevel="0" collapsed="false">
      <c r="A2459" s="7" t="n">
        <v>45974</v>
      </c>
      <c r="B2459" s="7" t="n">
        <v>45981</v>
      </c>
      <c r="C2459" s="8" t="n">
        <v>6836</v>
      </c>
      <c r="D2459" s="8" t="n">
        <v>1145</v>
      </c>
      <c r="E2459" s="8" t="n">
        <v>13185</v>
      </c>
      <c r="F2459" s="8" t="s">
        <v>2200</v>
      </c>
      <c r="G2459" s="8" t="s">
        <v>2201</v>
      </c>
      <c r="H2459" s="8" t="s">
        <v>2729</v>
      </c>
    </row>
    <row r="2460" customFormat="false" ht="15" hidden="false" customHeight="false" outlineLevel="0" collapsed="false">
      <c r="A2460" s="7" t="n">
        <v>45974</v>
      </c>
      <c r="B2460" s="7" t="n">
        <v>46010</v>
      </c>
      <c r="C2460" s="8" t="n">
        <v>6922</v>
      </c>
      <c r="D2460" s="8" t="n">
        <v>2405</v>
      </c>
      <c r="E2460" s="8" t="n">
        <v>24555</v>
      </c>
      <c r="F2460" s="8" t="s">
        <v>2200</v>
      </c>
      <c r="G2460" s="8" t="s">
        <v>2201</v>
      </c>
      <c r="H2460" s="8" t="s">
        <v>2729</v>
      </c>
    </row>
    <row r="2461" customFormat="false" ht="15" hidden="false" customHeight="false" outlineLevel="0" collapsed="false">
      <c r="A2461" s="7" t="n">
        <v>45974</v>
      </c>
      <c r="B2461" s="7" t="n">
        <v>46042</v>
      </c>
      <c r="C2461" s="8" t="n">
        <v>6805</v>
      </c>
      <c r="D2461" s="8" t="n">
        <v>25</v>
      </c>
      <c r="E2461" s="8" t="n">
        <v>410</v>
      </c>
      <c r="F2461" s="8" t="s">
        <v>2200</v>
      </c>
      <c r="G2461" s="8" t="s">
        <v>2201</v>
      </c>
      <c r="H2461" s="8" t="s">
        <v>2729</v>
      </c>
    </row>
    <row r="2462" customFormat="false" ht="15" hidden="false" customHeight="false" outlineLevel="0" collapsed="false">
      <c r="A2462" s="7" t="n">
        <v>45974</v>
      </c>
      <c r="B2462" s="7" t="n">
        <v>46073</v>
      </c>
      <c r="C2462" s="8" t="n">
        <v>6923</v>
      </c>
      <c r="D2462" s="8" t="n">
        <v>0</v>
      </c>
      <c r="E2462" s="8" t="n">
        <v>0</v>
      </c>
      <c r="F2462" s="8" t="s">
        <v>2200</v>
      </c>
      <c r="G2462" s="8" t="s">
        <v>2201</v>
      </c>
      <c r="H2462" s="8" t="s">
        <v>2729</v>
      </c>
    </row>
    <row r="2463" customFormat="false" ht="15" hidden="false" customHeight="false" outlineLevel="0" collapsed="false">
      <c r="A2463" s="7" t="n">
        <v>45974</v>
      </c>
      <c r="B2463" s="7" t="n">
        <v>46101</v>
      </c>
      <c r="C2463" s="8" t="n">
        <v>7041</v>
      </c>
      <c r="D2463" s="8" t="n">
        <v>0</v>
      </c>
      <c r="E2463" s="8" t="n">
        <v>0</v>
      </c>
      <c r="F2463" s="8" t="s">
        <v>2200</v>
      </c>
      <c r="G2463" s="8" t="s">
        <v>2201</v>
      </c>
      <c r="H2463" s="8" t="s">
        <v>2729</v>
      </c>
    </row>
    <row r="2464" customFormat="false" ht="15" hidden="false" customHeight="false" outlineLevel="0" collapsed="false">
      <c r="A2464" s="7" t="n">
        <v>45975</v>
      </c>
      <c r="B2464" s="7" t="n">
        <v>45981</v>
      </c>
      <c r="C2464" s="8" t="n">
        <v>6775</v>
      </c>
      <c r="D2464" s="8" t="n">
        <v>2295</v>
      </c>
      <c r="E2464" s="8" t="n">
        <v>12315</v>
      </c>
      <c r="F2464" s="8" t="s">
        <v>2200</v>
      </c>
      <c r="G2464" s="8" t="s">
        <v>2201</v>
      </c>
      <c r="H2464" s="8" t="s">
        <v>2730</v>
      </c>
    </row>
    <row r="2465" customFormat="false" ht="15" hidden="false" customHeight="false" outlineLevel="0" collapsed="false">
      <c r="A2465" s="7" t="n">
        <v>45975</v>
      </c>
      <c r="B2465" s="7" t="n">
        <v>46010</v>
      </c>
      <c r="C2465" s="8" t="n">
        <v>6859</v>
      </c>
      <c r="D2465" s="8" t="n">
        <v>4355</v>
      </c>
      <c r="E2465" s="8" t="n">
        <v>24370</v>
      </c>
      <c r="F2465" s="8" t="s">
        <v>2200</v>
      </c>
      <c r="G2465" s="8" t="s">
        <v>2201</v>
      </c>
      <c r="H2465" s="8" t="s">
        <v>2730</v>
      </c>
    </row>
    <row r="2466" customFormat="false" ht="15" hidden="false" customHeight="false" outlineLevel="0" collapsed="false">
      <c r="A2466" s="7" t="n">
        <v>45975</v>
      </c>
      <c r="B2466" s="7" t="n">
        <v>46042</v>
      </c>
      <c r="C2466" s="8" t="n">
        <v>6738</v>
      </c>
      <c r="D2466" s="8" t="n">
        <v>120</v>
      </c>
      <c r="E2466" s="8" t="n">
        <v>510</v>
      </c>
      <c r="F2466" s="8" t="s">
        <v>2200</v>
      </c>
      <c r="G2466" s="8" t="s">
        <v>2201</v>
      </c>
      <c r="H2466" s="8" t="s">
        <v>2730</v>
      </c>
    </row>
    <row r="2467" customFormat="false" ht="15" hidden="false" customHeight="false" outlineLevel="0" collapsed="false">
      <c r="A2467" s="7" t="n">
        <v>45975</v>
      </c>
      <c r="B2467" s="7" t="n">
        <v>46073</v>
      </c>
      <c r="C2467" s="8" t="n">
        <v>6910</v>
      </c>
      <c r="D2467" s="8" t="n">
        <v>0</v>
      </c>
      <c r="E2467" s="8" t="n">
        <v>0</v>
      </c>
      <c r="F2467" s="8" t="s">
        <v>2200</v>
      </c>
      <c r="G2467" s="8" t="s">
        <v>2201</v>
      </c>
      <c r="H2467" s="8" t="s">
        <v>2730</v>
      </c>
    </row>
    <row r="2468" customFormat="false" ht="15" hidden="false" customHeight="false" outlineLevel="0" collapsed="false">
      <c r="A2468" s="7" t="n">
        <v>45975</v>
      </c>
      <c r="B2468" s="7" t="n">
        <v>46101</v>
      </c>
      <c r="C2468" s="8" t="n">
        <v>7082</v>
      </c>
      <c r="D2468" s="8" t="n">
        <v>0</v>
      </c>
      <c r="E2468" s="8" t="n">
        <v>0</v>
      </c>
      <c r="F2468" s="8" t="s">
        <v>2200</v>
      </c>
      <c r="G2468" s="8" t="s">
        <v>2201</v>
      </c>
      <c r="H2468" s="8" t="s">
        <v>2730</v>
      </c>
    </row>
    <row r="2469" customFormat="false" ht="15" hidden="false" customHeight="false" outlineLevel="0" collapsed="false">
      <c r="A2469" s="7" t="n">
        <v>45978</v>
      </c>
      <c r="B2469" s="7" t="n">
        <v>45981</v>
      </c>
      <c r="C2469" s="8" t="n">
        <v>6796</v>
      </c>
      <c r="D2469" s="8" t="n">
        <v>3750</v>
      </c>
      <c r="E2469" s="8" t="n">
        <v>10170</v>
      </c>
      <c r="F2469" s="8" t="s">
        <v>2200</v>
      </c>
      <c r="G2469" s="8" t="s">
        <v>2201</v>
      </c>
      <c r="H2469" s="8" t="s">
        <v>2731</v>
      </c>
    </row>
    <row r="2470" customFormat="false" ht="15" hidden="false" customHeight="false" outlineLevel="0" collapsed="false">
      <c r="A2470" s="7" t="n">
        <v>45978</v>
      </c>
      <c r="B2470" s="7" t="n">
        <v>46010</v>
      </c>
      <c r="C2470" s="8" t="n">
        <v>6893</v>
      </c>
      <c r="D2470" s="8" t="n">
        <v>3275</v>
      </c>
      <c r="E2470" s="8" t="n">
        <v>25255</v>
      </c>
      <c r="F2470" s="8" t="s">
        <v>2200</v>
      </c>
      <c r="G2470" s="8" t="s">
        <v>2201</v>
      </c>
      <c r="H2470" s="8" t="s">
        <v>2731</v>
      </c>
    </row>
    <row r="2471" customFormat="false" ht="15" hidden="false" customHeight="false" outlineLevel="0" collapsed="false">
      <c r="A2471" s="7" t="n">
        <v>45978</v>
      </c>
      <c r="B2471" s="7" t="n">
        <v>46042</v>
      </c>
      <c r="C2471" s="8" t="n">
        <v>6788</v>
      </c>
      <c r="D2471" s="8" t="n">
        <v>110</v>
      </c>
      <c r="E2471" s="8" t="n">
        <v>540</v>
      </c>
      <c r="F2471" s="8" t="s">
        <v>2200</v>
      </c>
      <c r="G2471" s="8" t="s">
        <v>2201</v>
      </c>
      <c r="H2471" s="8" t="s">
        <v>2731</v>
      </c>
    </row>
    <row r="2472" customFormat="false" ht="15" hidden="false" customHeight="false" outlineLevel="0" collapsed="false">
      <c r="A2472" s="7" t="n">
        <v>45978</v>
      </c>
      <c r="B2472" s="7" t="n">
        <v>46073</v>
      </c>
      <c r="C2472" s="8" t="n">
        <v>6886</v>
      </c>
      <c r="D2472" s="8" t="n">
        <v>0</v>
      </c>
      <c r="E2472" s="8" t="n">
        <v>0</v>
      </c>
      <c r="F2472" s="8" t="s">
        <v>2200</v>
      </c>
      <c r="G2472" s="8" t="s">
        <v>2201</v>
      </c>
      <c r="H2472" s="8" t="s">
        <v>2731</v>
      </c>
    </row>
    <row r="2473" customFormat="false" ht="15" hidden="false" customHeight="false" outlineLevel="0" collapsed="false">
      <c r="A2473" s="7" t="n">
        <v>45978</v>
      </c>
      <c r="B2473" s="7" t="n">
        <v>46101</v>
      </c>
      <c r="C2473" s="8" t="n">
        <v>6984</v>
      </c>
      <c r="D2473" s="8" t="n">
        <v>0</v>
      </c>
      <c r="E2473" s="8" t="n">
        <v>0</v>
      </c>
      <c r="F2473" s="8" t="s">
        <v>2200</v>
      </c>
      <c r="G2473" s="8" t="s">
        <v>2201</v>
      </c>
      <c r="H2473" s="8" t="s">
        <v>2731</v>
      </c>
    </row>
    <row r="2474" customFormat="false" ht="15" hidden="false" customHeight="false" outlineLevel="0" collapsed="false">
      <c r="A2474" s="7" t="n">
        <v>45979</v>
      </c>
      <c r="B2474" s="7" t="n">
        <v>45981</v>
      </c>
      <c r="C2474" s="8" t="n">
        <v>6899</v>
      </c>
      <c r="D2474" s="8" t="n">
        <v>9980</v>
      </c>
      <c r="E2474" s="8" t="n">
        <v>4195</v>
      </c>
      <c r="F2474" s="8" t="s">
        <v>2200</v>
      </c>
      <c r="G2474" s="8" t="s">
        <v>2201</v>
      </c>
      <c r="H2474" s="8" t="s">
        <v>2732</v>
      </c>
    </row>
    <row r="2475" customFormat="false" ht="15" hidden="false" customHeight="false" outlineLevel="0" collapsed="false">
      <c r="A2475" s="7" t="n">
        <v>45979</v>
      </c>
      <c r="B2475" s="7" t="n">
        <v>46010</v>
      </c>
      <c r="C2475" s="8" t="n">
        <v>6946</v>
      </c>
      <c r="D2475" s="8" t="n">
        <v>13240</v>
      </c>
      <c r="E2475" s="8" t="n">
        <v>24105</v>
      </c>
      <c r="F2475" s="8" t="s">
        <v>2200</v>
      </c>
      <c r="G2475" s="8" t="s">
        <v>2201</v>
      </c>
      <c r="H2475" s="8" t="s">
        <v>2732</v>
      </c>
    </row>
    <row r="2476" customFormat="false" ht="15" hidden="false" customHeight="false" outlineLevel="0" collapsed="false">
      <c r="A2476" s="7" t="n">
        <v>45979</v>
      </c>
      <c r="B2476" s="7" t="n">
        <v>46042</v>
      </c>
      <c r="C2476" s="8" t="n">
        <v>6910</v>
      </c>
      <c r="D2476" s="8" t="n">
        <v>1045</v>
      </c>
      <c r="E2476" s="8" t="n">
        <v>1100</v>
      </c>
      <c r="F2476" s="8" t="s">
        <v>2200</v>
      </c>
      <c r="G2476" s="8" t="s">
        <v>2201</v>
      </c>
      <c r="H2476" s="8" t="s">
        <v>2732</v>
      </c>
    </row>
    <row r="2477" customFormat="false" ht="15" hidden="false" customHeight="false" outlineLevel="0" collapsed="false">
      <c r="A2477" s="7" t="n">
        <v>45979</v>
      </c>
      <c r="B2477" s="7" t="n">
        <v>46073</v>
      </c>
      <c r="C2477" s="8" t="n">
        <v>6909</v>
      </c>
      <c r="D2477" s="8" t="n">
        <v>0</v>
      </c>
      <c r="E2477" s="8" t="n">
        <v>0</v>
      </c>
      <c r="F2477" s="8" t="s">
        <v>2200</v>
      </c>
      <c r="G2477" s="8" t="s">
        <v>2201</v>
      </c>
      <c r="H2477" s="8" t="s">
        <v>2732</v>
      </c>
    </row>
    <row r="2478" customFormat="false" ht="15" hidden="false" customHeight="false" outlineLevel="0" collapsed="false">
      <c r="A2478" s="7" t="n">
        <v>45979</v>
      </c>
      <c r="B2478" s="7" t="n">
        <v>46101</v>
      </c>
      <c r="C2478" s="8" t="n">
        <v>6940</v>
      </c>
      <c r="D2478" s="8" t="n">
        <v>0</v>
      </c>
      <c r="E2478" s="8" t="n">
        <v>0</v>
      </c>
      <c r="F2478" s="8" t="s">
        <v>2200</v>
      </c>
      <c r="G2478" s="8" t="s">
        <v>2201</v>
      </c>
      <c r="H2478" s="8" t="s">
        <v>2732</v>
      </c>
    </row>
    <row r="2479" customFormat="false" ht="15" hidden="false" customHeight="false" outlineLevel="0" collapsed="false">
      <c r="A2479" s="7" t="n">
        <v>45980</v>
      </c>
      <c r="B2479" s="7" t="n">
        <v>45981</v>
      </c>
      <c r="C2479" s="8" t="n">
        <v>7000</v>
      </c>
      <c r="D2479" s="8" t="n">
        <v>130</v>
      </c>
      <c r="E2479" s="8" t="n">
        <v>185</v>
      </c>
      <c r="F2479" s="8" t="s">
        <v>2200</v>
      </c>
      <c r="G2479" s="8" t="s">
        <v>2201</v>
      </c>
      <c r="H2479" s="8" t="s">
        <v>2733</v>
      </c>
    </row>
    <row r="2480" customFormat="false" ht="15" hidden="false" customHeight="false" outlineLevel="0" collapsed="false">
      <c r="A2480" s="7" t="n">
        <v>45980</v>
      </c>
      <c r="B2480" s="7" t="n">
        <v>46010</v>
      </c>
      <c r="C2480" s="8" t="n">
        <v>6932</v>
      </c>
      <c r="D2480" s="8" t="n">
        <v>5315</v>
      </c>
      <c r="E2480" s="8" t="n">
        <v>24220</v>
      </c>
      <c r="F2480" s="8" t="s">
        <v>2200</v>
      </c>
      <c r="G2480" s="8" t="s">
        <v>2201</v>
      </c>
      <c r="H2480" s="8" t="s">
        <v>2733</v>
      </c>
    </row>
    <row r="2481" customFormat="false" ht="15" hidden="false" customHeight="false" outlineLevel="0" collapsed="false">
      <c r="A2481" s="7" t="n">
        <v>45980</v>
      </c>
      <c r="B2481" s="7" t="n">
        <v>46042</v>
      </c>
      <c r="C2481" s="8" t="n">
        <v>6911</v>
      </c>
      <c r="D2481" s="8" t="n">
        <v>1740</v>
      </c>
      <c r="E2481" s="8" t="n">
        <v>2135</v>
      </c>
      <c r="F2481" s="8" t="s">
        <v>2200</v>
      </c>
      <c r="G2481" s="8" t="s">
        <v>2201</v>
      </c>
      <c r="H2481" s="8" t="s">
        <v>2733</v>
      </c>
    </row>
    <row r="2482" customFormat="false" ht="15" hidden="false" customHeight="false" outlineLevel="0" collapsed="false">
      <c r="A2482" s="7" t="n">
        <v>45980</v>
      </c>
      <c r="B2482" s="7" t="n">
        <v>46073</v>
      </c>
      <c r="C2482" s="8" t="n">
        <v>6955</v>
      </c>
      <c r="D2482" s="8" t="n">
        <v>0</v>
      </c>
      <c r="E2482" s="8" t="n">
        <v>0</v>
      </c>
      <c r="F2482" s="8" t="s">
        <v>2200</v>
      </c>
      <c r="G2482" s="8" t="s">
        <v>2201</v>
      </c>
      <c r="H2482" s="8" t="s">
        <v>2733</v>
      </c>
    </row>
    <row r="2483" customFormat="false" ht="15" hidden="false" customHeight="false" outlineLevel="0" collapsed="false">
      <c r="A2483" s="7" t="n">
        <v>45980</v>
      </c>
      <c r="B2483" s="7" t="n">
        <v>46101</v>
      </c>
      <c r="C2483" s="8" t="n">
        <v>6999</v>
      </c>
      <c r="D2483" s="8" t="n">
        <v>0</v>
      </c>
      <c r="E2483" s="8" t="n">
        <v>0</v>
      </c>
      <c r="F2483" s="8" t="s">
        <v>2200</v>
      </c>
      <c r="G2483" s="8" t="s">
        <v>2201</v>
      </c>
      <c r="H2483" s="8" t="s">
        <v>2733</v>
      </c>
    </row>
    <row r="2484" customFormat="false" ht="15" hidden="false" customHeight="false" outlineLevel="0" collapsed="false">
      <c r="A2484" s="7" t="n">
        <v>45981</v>
      </c>
      <c r="B2484" s="7" t="n">
        <v>45981</v>
      </c>
      <c r="C2484" s="8" t="n">
        <v>6872</v>
      </c>
      <c r="D2484" s="8" t="n">
        <v>60</v>
      </c>
      <c r="E2484" s="8" t="n">
        <v>55</v>
      </c>
      <c r="F2484" s="8" t="s">
        <v>2200</v>
      </c>
      <c r="G2484" s="8" t="s">
        <v>2201</v>
      </c>
      <c r="H2484" s="8" t="s">
        <v>2734</v>
      </c>
    </row>
    <row r="2485" customFormat="false" ht="15" hidden="false" customHeight="false" outlineLevel="0" collapsed="false">
      <c r="A2485" s="7" t="n">
        <v>45981</v>
      </c>
      <c r="B2485" s="7" t="n">
        <v>46010</v>
      </c>
      <c r="C2485" s="8" t="n">
        <v>6921</v>
      </c>
      <c r="D2485" s="8" t="n">
        <v>2710</v>
      </c>
      <c r="E2485" s="8" t="n">
        <v>23720</v>
      </c>
      <c r="F2485" s="8" t="s">
        <v>2200</v>
      </c>
      <c r="G2485" s="8" t="s">
        <v>2201</v>
      </c>
      <c r="H2485" s="8" t="s">
        <v>2734</v>
      </c>
    </row>
    <row r="2486" customFormat="false" ht="15" hidden="false" customHeight="false" outlineLevel="0" collapsed="false">
      <c r="A2486" s="7" t="n">
        <v>45981</v>
      </c>
      <c r="B2486" s="7" t="n">
        <v>46042</v>
      </c>
      <c r="C2486" s="8" t="n">
        <v>6896</v>
      </c>
      <c r="D2486" s="8" t="n">
        <v>290</v>
      </c>
      <c r="E2486" s="8" t="n">
        <v>2340</v>
      </c>
      <c r="F2486" s="8" t="s">
        <v>2200</v>
      </c>
      <c r="G2486" s="8" t="s">
        <v>2201</v>
      </c>
      <c r="H2486" s="8" t="s">
        <v>2734</v>
      </c>
    </row>
    <row r="2487" customFormat="false" ht="15" hidden="false" customHeight="false" outlineLevel="0" collapsed="false">
      <c r="A2487" s="7" t="n">
        <v>45981</v>
      </c>
      <c r="B2487" s="7" t="n">
        <v>46073</v>
      </c>
      <c r="C2487" s="8" t="n">
        <v>6912</v>
      </c>
      <c r="D2487" s="8" t="n">
        <v>0</v>
      </c>
      <c r="E2487" s="8" t="n">
        <v>0</v>
      </c>
      <c r="F2487" s="8" t="s">
        <v>2200</v>
      </c>
      <c r="G2487" s="8" t="s">
        <v>2201</v>
      </c>
      <c r="H2487" s="8" t="s">
        <v>2734</v>
      </c>
    </row>
    <row r="2488" customFormat="false" ht="15" hidden="false" customHeight="false" outlineLevel="0" collapsed="false">
      <c r="A2488" s="7" t="n">
        <v>45981</v>
      </c>
      <c r="B2488" s="7" t="n">
        <v>46101</v>
      </c>
      <c r="C2488" s="8" t="n">
        <v>6928</v>
      </c>
      <c r="D2488" s="8" t="n">
        <v>0</v>
      </c>
      <c r="E2488" s="8" t="n">
        <v>0</v>
      </c>
      <c r="F2488" s="8" t="s">
        <v>2200</v>
      </c>
      <c r="G2488" s="8" t="s">
        <v>2201</v>
      </c>
      <c r="H2488" s="8" t="s">
        <v>2734</v>
      </c>
    </row>
    <row r="2489" customFormat="false" ht="15" hidden="false" customHeight="false" outlineLevel="0" collapsed="false">
      <c r="A2489" s="7" t="n">
        <v>45982</v>
      </c>
      <c r="B2489" s="7" t="n">
        <v>46010</v>
      </c>
      <c r="C2489" s="8" t="n">
        <v>6876</v>
      </c>
      <c r="D2489" s="8" t="n">
        <v>3095</v>
      </c>
      <c r="E2489" s="8" t="n">
        <v>23890</v>
      </c>
      <c r="F2489" s="8" t="s">
        <v>2200</v>
      </c>
      <c r="G2489" s="8" t="s">
        <v>2201</v>
      </c>
      <c r="H2489" s="8" t="s">
        <v>2735</v>
      </c>
    </row>
    <row r="2490" customFormat="false" ht="15" hidden="false" customHeight="false" outlineLevel="0" collapsed="false">
      <c r="A2490" s="7" t="n">
        <v>45982</v>
      </c>
      <c r="B2490" s="7" t="n">
        <v>46042</v>
      </c>
      <c r="C2490" s="8" t="n">
        <v>6850</v>
      </c>
      <c r="D2490" s="8" t="n">
        <v>850</v>
      </c>
      <c r="E2490" s="8" t="n">
        <v>2795</v>
      </c>
      <c r="F2490" s="8" t="s">
        <v>2200</v>
      </c>
      <c r="G2490" s="8" t="s">
        <v>2201</v>
      </c>
      <c r="H2490" s="8" t="s">
        <v>2735</v>
      </c>
    </row>
    <row r="2491" customFormat="false" ht="15" hidden="false" customHeight="false" outlineLevel="0" collapsed="false">
      <c r="A2491" s="7" t="n">
        <v>45982</v>
      </c>
      <c r="B2491" s="7" t="n">
        <v>46073</v>
      </c>
      <c r="C2491" s="8" t="n">
        <v>6878</v>
      </c>
      <c r="D2491" s="8" t="n">
        <v>0</v>
      </c>
      <c r="E2491" s="8" t="n">
        <v>0</v>
      </c>
      <c r="F2491" s="8" t="s">
        <v>2200</v>
      </c>
      <c r="G2491" s="8" t="s">
        <v>2201</v>
      </c>
      <c r="H2491" s="8" t="s">
        <v>2735</v>
      </c>
    </row>
    <row r="2492" customFormat="false" ht="15" hidden="false" customHeight="false" outlineLevel="0" collapsed="false">
      <c r="A2492" s="7" t="n">
        <v>45982</v>
      </c>
      <c r="B2492" s="7" t="n">
        <v>46101</v>
      </c>
      <c r="C2492" s="8" t="n">
        <v>6906</v>
      </c>
      <c r="D2492" s="8" t="n">
        <v>0</v>
      </c>
      <c r="E2492" s="8" t="n">
        <v>0</v>
      </c>
      <c r="F2492" s="8" t="s">
        <v>2200</v>
      </c>
      <c r="G2492" s="8" t="s">
        <v>2201</v>
      </c>
      <c r="H2492" s="8" t="s">
        <v>2735</v>
      </c>
    </row>
    <row r="2493" customFormat="false" ht="15" hidden="false" customHeight="false" outlineLevel="0" collapsed="false">
      <c r="A2493" s="7" t="n">
        <v>45985</v>
      </c>
      <c r="B2493" s="7" t="n">
        <v>46010</v>
      </c>
      <c r="C2493" s="8" t="n">
        <v>6889</v>
      </c>
      <c r="D2493" s="8" t="n">
        <v>2310</v>
      </c>
      <c r="E2493" s="8" t="n">
        <v>23505</v>
      </c>
      <c r="F2493" s="8" t="s">
        <v>2200</v>
      </c>
      <c r="G2493" s="8" t="s">
        <v>2201</v>
      </c>
      <c r="H2493" s="8" t="s">
        <v>2736</v>
      </c>
    </row>
    <row r="2494" customFormat="false" ht="15" hidden="false" customHeight="false" outlineLevel="0" collapsed="false">
      <c r="A2494" s="7" t="n">
        <v>45985</v>
      </c>
      <c r="B2494" s="7" t="n">
        <v>46042</v>
      </c>
      <c r="C2494" s="8" t="n">
        <v>6861</v>
      </c>
      <c r="D2494" s="8" t="n">
        <v>275</v>
      </c>
      <c r="E2494" s="8" t="n">
        <v>3010</v>
      </c>
      <c r="F2494" s="8" t="s">
        <v>2200</v>
      </c>
      <c r="G2494" s="8" t="s">
        <v>2201</v>
      </c>
      <c r="H2494" s="8" t="s">
        <v>2736</v>
      </c>
    </row>
    <row r="2495" customFormat="false" ht="15" hidden="false" customHeight="false" outlineLevel="0" collapsed="false">
      <c r="A2495" s="7" t="n">
        <v>45985</v>
      </c>
      <c r="B2495" s="7" t="n">
        <v>46073</v>
      </c>
      <c r="C2495" s="8" t="n">
        <v>6902</v>
      </c>
      <c r="D2495" s="8" t="n">
        <v>0</v>
      </c>
      <c r="E2495" s="8" t="n">
        <v>0</v>
      </c>
      <c r="F2495" s="8" t="s">
        <v>2200</v>
      </c>
      <c r="G2495" s="8" t="s">
        <v>2201</v>
      </c>
      <c r="H2495" s="8" t="s">
        <v>2736</v>
      </c>
    </row>
    <row r="2496" customFormat="false" ht="15" hidden="false" customHeight="false" outlineLevel="0" collapsed="false">
      <c r="A2496" s="7" t="n">
        <v>45985</v>
      </c>
      <c r="B2496" s="7" t="n">
        <v>46101</v>
      </c>
      <c r="C2496" s="8" t="n">
        <v>6943</v>
      </c>
      <c r="D2496" s="8" t="n">
        <v>0</v>
      </c>
      <c r="E2496" s="8" t="n">
        <v>0</v>
      </c>
      <c r="F2496" s="8" t="s">
        <v>2200</v>
      </c>
      <c r="G2496" s="8" t="s">
        <v>2201</v>
      </c>
      <c r="H2496" s="8" t="s">
        <v>2736</v>
      </c>
    </row>
    <row r="2497" customFormat="false" ht="15" hidden="false" customHeight="false" outlineLevel="0" collapsed="false">
      <c r="A2497" s="7" t="n">
        <v>45986</v>
      </c>
      <c r="B2497" s="7" t="n">
        <v>46010</v>
      </c>
      <c r="C2497" s="8" t="n">
        <v>6886</v>
      </c>
      <c r="D2497" s="8" t="n">
        <v>2610</v>
      </c>
      <c r="E2497" s="8" t="n">
        <v>23145</v>
      </c>
      <c r="F2497" s="8" t="s">
        <v>2200</v>
      </c>
      <c r="G2497" s="8" t="s">
        <v>2201</v>
      </c>
      <c r="H2497" s="8" t="s">
        <v>2737</v>
      </c>
    </row>
    <row r="2498" customFormat="false" ht="15" hidden="false" customHeight="false" outlineLevel="0" collapsed="false">
      <c r="A2498" s="7" t="n">
        <v>45986</v>
      </c>
      <c r="B2498" s="7" t="n">
        <v>46042</v>
      </c>
      <c r="C2498" s="8" t="n">
        <v>6843</v>
      </c>
      <c r="D2498" s="8" t="n">
        <v>770</v>
      </c>
      <c r="E2498" s="8" t="n">
        <v>3395</v>
      </c>
      <c r="F2498" s="8" t="s">
        <v>2200</v>
      </c>
      <c r="G2498" s="8" t="s">
        <v>2201</v>
      </c>
      <c r="H2498" s="8" t="s">
        <v>2737</v>
      </c>
    </row>
    <row r="2499" customFormat="false" ht="15" hidden="false" customHeight="false" outlineLevel="0" collapsed="false">
      <c r="A2499" s="7" t="n">
        <v>45986</v>
      </c>
      <c r="B2499" s="7" t="n">
        <v>46073</v>
      </c>
      <c r="C2499" s="8" t="n">
        <v>6877</v>
      </c>
      <c r="D2499" s="8" t="n">
        <v>0</v>
      </c>
      <c r="E2499" s="8" t="n">
        <v>0</v>
      </c>
      <c r="F2499" s="8" t="s">
        <v>2200</v>
      </c>
      <c r="G2499" s="8" t="s">
        <v>2201</v>
      </c>
      <c r="H2499" s="8" t="s">
        <v>2737</v>
      </c>
    </row>
    <row r="2500" customFormat="false" ht="15" hidden="false" customHeight="false" outlineLevel="0" collapsed="false">
      <c r="A2500" s="7" t="n">
        <v>45986</v>
      </c>
      <c r="B2500" s="7" t="n">
        <v>46101</v>
      </c>
      <c r="C2500" s="8" t="n">
        <v>6911</v>
      </c>
      <c r="D2500" s="8" t="n">
        <v>0</v>
      </c>
      <c r="E2500" s="8" t="n">
        <v>0</v>
      </c>
      <c r="F2500" s="8" t="s">
        <v>2200</v>
      </c>
      <c r="G2500" s="8" t="s">
        <v>2201</v>
      </c>
      <c r="H2500" s="8" t="s">
        <v>2737</v>
      </c>
    </row>
    <row r="2501" customFormat="false" ht="15" hidden="false" customHeight="false" outlineLevel="0" collapsed="false">
      <c r="A2501" s="7" t="n">
        <v>45987</v>
      </c>
      <c r="B2501" s="7" t="n">
        <v>46010</v>
      </c>
      <c r="C2501" s="8" t="n">
        <v>6905</v>
      </c>
      <c r="D2501" s="8" t="n">
        <v>4065</v>
      </c>
      <c r="E2501" s="8" t="n">
        <v>21725</v>
      </c>
      <c r="F2501" s="8" t="s">
        <v>2200</v>
      </c>
      <c r="G2501" s="8" t="s">
        <v>2201</v>
      </c>
      <c r="H2501" s="8" t="s">
        <v>2738</v>
      </c>
    </row>
    <row r="2502" customFormat="false" ht="15" hidden="false" customHeight="false" outlineLevel="0" collapsed="false">
      <c r="A2502" s="7" t="n">
        <v>45987</v>
      </c>
      <c r="B2502" s="7" t="n">
        <v>46042</v>
      </c>
      <c r="C2502" s="8" t="n">
        <v>6898</v>
      </c>
      <c r="D2502" s="8" t="n">
        <v>2170</v>
      </c>
      <c r="E2502" s="8" t="n">
        <v>5230</v>
      </c>
      <c r="F2502" s="8" t="s">
        <v>2200</v>
      </c>
      <c r="G2502" s="8" t="s">
        <v>2201</v>
      </c>
      <c r="H2502" s="8" t="s">
        <v>2738</v>
      </c>
    </row>
    <row r="2503" customFormat="false" ht="15" hidden="false" customHeight="false" outlineLevel="0" collapsed="false">
      <c r="A2503" s="7" t="n">
        <v>45987</v>
      </c>
      <c r="B2503" s="7" t="n">
        <v>46073</v>
      </c>
      <c r="C2503" s="8" t="n">
        <v>6901</v>
      </c>
      <c r="D2503" s="8" t="n">
        <v>0</v>
      </c>
      <c r="E2503" s="8" t="n">
        <v>0</v>
      </c>
      <c r="F2503" s="8" t="s">
        <v>2200</v>
      </c>
      <c r="G2503" s="8" t="s">
        <v>2201</v>
      </c>
      <c r="H2503" s="8" t="s">
        <v>2738</v>
      </c>
    </row>
    <row r="2504" customFormat="false" ht="15" hidden="false" customHeight="false" outlineLevel="0" collapsed="false">
      <c r="A2504" s="7" t="n">
        <v>45987</v>
      </c>
      <c r="B2504" s="7" t="n">
        <v>46101</v>
      </c>
      <c r="C2504" s="8" t="n">
        <v>6904</v>
      </c>
      <c r="D2504" s="8" t="n">
        <v>0</v>
      </c>
      <c r="E2504" s="8" t="n">
        <v>0</v>
      </c>
      <c r="F2504" s="8" t="s">
        <v>2200</v>
      </c>
      <c r="G2504" s="8" t="s">
        <v>2201</v>
      </c>
      <c r="H2504" s="8" t="s">
        <v>2738</v>
      </c>
    </row>
    <row r="2505" customFormat="false" ht="15" hidden="false" customHeight="false" outlineLevel="0" collapsed="false">
      <c r="A2505" s="7" t="n">
        <v>45988</v>
      </c>
      <c r="B2505" s="7" t="n">
        <v>46010</v>
      </c>
      <c r="C2505" s="8" t="n">
        <v>6924</v>
      </c>
      <c r="D2505" s="8" t="n">
        <v>2220</v>
      </c>
      <c r="E2505" s="8" t="n">
        <v>21325</v>
      </c>
      <c r="F2505" s="8" t="s">
        <v>2200</v>
      </c>
      <c r="G2505" s="8" t="s">
        <v>2201</v>
      </c>
      <c r="H2505" s="8" t="s">
        <v>2739</v>
      </c>
    </row>
    <row r="2506" customFormat="false" ht="15" hidden="false" customHeight="false" outlineLevel="0" collapsed="false">
      <c r="A2506" s="7" t="n">
        <v>45988</v>
      </c>
      <c r="B2506" s="7" t="n">
        <v>46042</v>
      </c>
      <c r="C2506" s="8" t="n">
        <v>6915</v>
      </c>
      <c r="D2506" s="8" t="n">
        <v>1010</v>
      </c>
      <c r="E2506" s="8" t="n">
        <v>5635</v>
      </c>
      <c r="F2506" s="8" t="s">
        <v>2200</v>
      </c>
      <c r="G2506" s="8" t="s">
        <v>2201</v>
      </c>
      <c r="H2506" s="8" t="s">
        <v>2739</v>
      </c>
    </row>
    <row r="2507" customFormat="false" ht="15" hidden="false" customHeight="false" outlineLevel="0" collapsed="false">
      <c r="A2507" s="7" t="n">
        <v>45988</v>
      </c>
      <c r="B2507" s="7" t="n">
        <v>46073</v>
      </c>
      <c r="C2507" s="8" t="n">
        <v>6904</v>
      </c>
      <c r="D2507" s="8" t="n">
        <v>0</v>
      </c>
      <c r="E2507" s="8" t="n">
        <v>0</v>
      </c>
      <c r="F2507" s="8" t="s">
        <v>2200</v>
      </c>
      <c r="G2507" s="8" t="s">
        <v>2201</v>
      </c>
      <c r="H2507" s="8" t="s">
        <v>2739</v>
      </c>
    </row>
    <row r="2508" customFormat="false" ht="15" hidden="false" customHeight="false" outlineLevel="0" collapsed="false">
      <c r="A2508" s="7" t="n">
        <v>45988</v>
      </c>
      <c r="B2508" s="7" t="n">
        <v>46101</v>
      </c>
      <c r="C2508" s="8" t="n">
        <v>6935</v>
      </c>
      <c r="D2508" s="8" t="n">
        <v>0</v>
      </c>
      <c r="E2508" s="8" t="n">
        <v>0</v>
      </c>
      <c r="F2508" s="8" t="s">
        <v>2200</v>
      </c>
      <c r="G2508" s="8" t="s">
        <v>2201</v>
      </c>
      <c r="H2508" s="8" t="s">
        <v>2739</v>
      </c>
    </row>
    <row r="2509" customFormat="false" ht="15" hidden="false" customHeight="false" outlineLevel="0" collapsed="false">
      <c r="A2509" s="7" t="n">
        <v>45989</v>
      </c>
      <c r="B2509" s="7" t="n">
        <v>46010</v>
      </c>
      <c r="C2509" s="8" t="n">
        <v>6937</v>
      </c>
      <c r="D2509" s="8" t="n">
        <v>2540</v>
      </c>
      <c r="E2509" s="8" t="n">
        <v>20275</v>
      </c>
      <c r="F2509" s="8" t="s">
        <v>2200</v>
      </c>
      <c r="G2509" s="8" t="s">
        <v>2201</v>
      </c>
      <c r="H2509" s="8" t="s">
        <v>2740</v>
      </c>
    </row>
    <row r="2510" customFormat="false" ht="15" hidden="false" customHeight="false" outlineLevel="0" collapsed="false">
      <c r="A2510" s="7" t="n">
        <v>45989</v>
      </c>
      <c r="B2510" s="7" t="n">
        <v>46042</v>
      </c>
      <c r="C2510" s="8" t="n">
        <v>6941</v>
      </c>
      <c r="D2510" s="8" t="n">
        <v>2075</v>
      </c>
      <c r="E2510" s="8" t="n">
        <v>6700</v>
      </c>
      <c r="F2510" s="8" t="s">
        <v>2200</v>
      </c>
      <c r="G2510" s="8" t="s">
        <v>2201</v>
      </c>
      <c r="H2510" s="8" t="s">
        <v>2740</v>
      </c>
    </row>
    <row r="2511" customFormat="false" ht="15" hidden="false" customHeight="false" outlineLevel="0" collapsed="false">
      <c r="A2511" s="7" t="n">
        <v>45989</v>
      </c>
      <c r="B2511" s="7" t="n">
        <v>46073</v>
      </c>
      <c r="C2511" s="8" t="n">
        <v>6945</v>
      </c>
      <c r="D2511" s="8" t="n">
        <v>0</v>
      </c>
      <c r="E2511" s="8" t="n">
        <v>0</v>
      </c>
      <c r="F2511" s="8" t="s">
        <v>2200</v>
      </c>
      <c r="G2511" s="8" t="s">
        <v>2201</v>
      </c>
      <c r="H2511" s="8" t="s">
        <v>2740</v>
      </c>
    </row>
    <row r="2512" customFormat="false" ht="15" hidden="false" customHeight="false" outlineLevel="0" collapsed="false">
      <c r="A2512" s="7" t="n">
        <v>45989</v>
      </c>
      <c r="B2512" s="7" t="n">
        <v>46101</v>
      </c>
      <c r="C2512" s="8" t="n">
        <v>6949</v>
      </c>
      <c r="D2512" s="8" t="n">
        <v>0</v>
      </c>
      <c r="E2512" s="8" t="n">
        <v>0</v>
      </c>
      <c r="F2512" s="8" t="s">
        <v>2200</v>
      </c>
      <c r="G2512" s="8" t="s">
        <v>2201</v>
      </c>
      <c r="H2512" s="8" t="s">
        <v>2740</v>
      </c>
    </row>
    <row r="2513" customFormat="false" ht="15" hidden="false" customHeight="false" outlineLevel="0" collapsed="false">
      <c r="A2513" s="7" t="n">
        <v>45992</v>
      </c>
      <c r="B2513" s="7" t="n">
        <v>46010</v>
      </c>
      <c r="C2513" s="8" t="n">
        <v>6956</v>
      </c>
      <c r="D2513" s="8" t="n">
        <v>3245</v>
      </c>
      <c r="E2513" s="8" t="n">
        <v>19130</v>
      </c>
      <c r="F2513" s="8" t="s">
        <v>2200</v>
      </c>
      <c r="G2513" s="8" t="s">
        <v>2201</v>
      </c>
      <c r="H2513" s="8" t="s">
        <v>2741</v>
      </c>
    </row>
    <row r="2514" customFormat="false" ht="15" hidden="false" customHeight="false" outlineLevel="0" collapsed="false">
      <c r="A2514" s="7" t="n">
        <v>45992</v>
      </c>
      <c r="B2514" s="7" t="n">
        <v>46042</v>
      </c>
      <c r="C2514" s="8" t="n">
        <v>6969</v>
      </c>
      <c r="D2514" s="8" t="n">
        <v>3050</v>
      </c>
      <c r="E2514" s="8" t="n">
        <v>8310</v>
      </c>
      <c r="F2514" s="8" t="s">
        <v>2200</v>
      </c>
      <c r="G2514" s="8" t="s">
        <v>2201</v>
      </c>
      <c r="H2514" s="8" t="s">
        <v>2741</v>
      </c>
    </row>
    <row r="2515" customFormat="false" ht="15" hidden="false" customHeight="false" outlineLevel="0" collapsed="false">
      <c r="A2515" s="7" t="n">
        <v>45992</v>
      </c>
      <c r="B2515" s="7" t="n">
        <v>46073</v>
      </c>
      <c r="C2515" s="8" t="n">
        <v>6982</v>
      </c>
      <c r="D2515" s="8" t="n">
        <v>0</v>
      </c>
      <c r="E2515" s="8" t="n">
        <v>0</v>
      </c>
      <c r="F2515" s="8" t="s">
        <v>2200</v>
      </c>
      <c r="G2515" s="8" t="s">
        <v>2201</v>
      </c>
      <c r="H2515" s="8" t="s">
        <v>2741</v>
      </c>
    </row>
    <row r="2516" customFormat="false" ht="15" hidden="false" customHeight="false" outlineLevel="0" collapsed="false">
      <c r="A2516" s="7" t="n">
        <v>45992</v>
      </c>
      <c r="B2516" s="7" t="n">
        <v>46101</v>
      </c>
      <c r="C2516" s="8" t="n">
        <v>6995</v>
      </c>
      <c r="D2516" s="8" t="n">
        <v>0</v>
      </c>
      <c r="E2516" s="8" t="n">
        <v>0</v>
      </c>
      <c r="F2516" s="8" t="s">
        <v>2200</v>
      </c>
      <c r="G2516" s="8" t="s">
        <v>2201</v>
      </c>
      <c r="H2516" s="8" t="s">
        <v>2741</v>
      </c>
    </row>
    <row r="2517" customFormat="false" ht="15" hidden="false" customHeight="false" outlineLevel="0" collapsed="false">
      <c r="A2517" s="7" t="n">
        <v>45992</v>
      </c>
      <c r="B2517" s="7" t="n">
        <v>46132</v>
      </c>
      <c r="C2517" s="8" t="n">
        <v>7008</v>
      </c>
      <c r="D2517" s="8" t="n">
        <v>0</v>
      </c>
      <c r="E2517" s="8" t="n">
        <v>0</v>
      </c>
      <c r="F2517" s="8" t="s">
        <v>2200</v>
      </c>
      <c r="G2517" s="8" t="s">
        <v>2201</v>
      </c>
      <c r="H2517" s="8" t="s">
        <v>2741</v>
      </c>
    </row>
    <row r="2518" customFormat="false" ht="15" hidden="false" customHeight="false" outlineLevel="0" collapsed="false">
      <c r="A2518" s="7" t="n">
        <v>45993</v>
      </c>
      <c r="B2518" s="7" t="n">
        <v>46010</v>
      </c>
      <c r="C2518" s="8" t="n">
        <v>7023</v>
      </c>
      <c r="D2518" s="8" t="n">
        <v>4985</v>
      </c>
      <c r="E2518" s="8" t="n">
        <v>17855</v>
      </c>
      <c r="F2518" s="8" t="s">
        <v>2200</v>
      </c>
      <c r="G2518" s="8" t="s">
        <v>2201</v>
      </c>
      <c r="H2518" s="8" t="s">
        <v>2742</v>
      </c>
    </row>
    <row r="2519" customFormat="false" ht="15" hidden="false" customHeight="false" outlineLevel="0" collapsed="false">
      <c r="A2519" s="7" t="n">
        <v>45993</v>
      </c>
      <c r="B2519" s="7" t="n">
        <v>46042</v>
      </c>
      <c r="C2519" s="8" t="n">
        <v>7045</v>
      </c>
      <c r="D2519" s="8" t="n">
        <v>4810</v>
      </c>
      <c r="E2519" s="8" t="n">
        <v>10210</v>
      </c>
      <c r="F2519" s="8" t="s">
        <v>2200</v>
      </c>
      <c r="G2519" s="8" t="s">
        <v>2201</v>
      </c>
      <c r="H2519" s="8" t="s">
        <v>2742</v>
      </c>
    </row>
    <row r="2520" customFormat="false" ht="15" hidden="false" customHeight="false" outlineLevel="0" collapsed="false">
      <c r="A2520" s="7" t="n">
        <v>45993</v>
      </c>
      <c r="B2520" s="7" t="n">
        <v>46073</v>
      </c>
      <c r="C2520" s="8" t="n">
        <v>6972</v>
      </c>
      <c r="D2520" s="8" t="n">
        <v>10</v>
      </c>
      <c r="E2520" s="8" t="n">
        <v>10</v>
      </c>
      <c r="F2520" s="8" t="s">
        <v>2200</v>
      </c>
      <c r="G2520" s="8" t="s">
        <v>2201</v>
      </c>
      <c r="H2520" s="8" t="s">
        <v>2742</v>
      </c>
    </row>
    <row r="2521" customFormat="false" ht="15" hidden="false" customHeight="false" outlineLevel="0" collapsed="false">
      <c r="A2521" s="7" t="n">
        <v>45993</v>
      </c>
      <c r="B2521" s="7" t="n">
        <v>46101</v>
      </c>
      <c r="C2521" s="8" t="n">
        <v>7006</v>
      </c>
      <c r="D2521" s="8" t="n">
        <v>0</v>
      </c>
      <c r="E2521" s="8" t="n">
        <v>0</v>
      </c>
      <c r="F2521" s="8" t="s">
        <v>2200</v>
      </c>
      <c r="G2521" s="8" t="s">
        <v>2201</v>
      </c>
      <c r="H2521" s="8" t="s">
        <v>2742</v>
      </c>
    </row>
    <row r="2522" customFormat="false" ht="15" hidden="false" customHeight="false" outlineLevel="0" collapsed="false">
      <c r="A2522" s="7" t="n">
        <v>45993</v>
      </c>
      <c r="B2522" s="7" t="n">
        <v>46132</v>
      </c>
      <c r="C2522" s="8" t="n">
        <v>7040</v>
      </c>
      <c r="D2522" s="8" t="n">
        <v>0</v>
      </c>
      <c r="E2522" s="8" t="n">
        <v>0</v>
      </c>
      <c r="F2522" s="8" t="s">
        <v>2200</v>
      </c>
      <c r="G2522" s="8" t="s">
        <v>2201</v>
      </c>
      <c r="H2522" s="8" t="s">
        <v>2742</v>
      </c>
    </row>
    <row r="2523" customFormat="false" ht="15" hidden="false" customHeight="false" outlineLevel="0" collapsed="false">
      <c r="A2523" s="7" t="n">
        <v>45994</v>
      </c>
      <c r="B2523" s="7" t="n">
        <v>46010</v>
      </c>
      <c r="C2523" s="8" t="n">
        <v>7035</v>
      </c>
      <c r="D2523" s="8" t="n">
        <v>4435</v>
      </c>
      <c r="E2523" s="8" t="n">
        <v>16240</v>
      </c>
      <c r="F2523" s="8" t="s">
        <v>2200</v>
      </c>
      <c r="G2523" s="8" t="s">
        <v>2201</v>
      </c>
      <c r="H2523" s="8" t="s">
        <v>2743</v>
      </c>
    </row>
    <row r="2524" customFormat="false" ht="15" hidden="false" customHeight="false" outlineLevel="0" collapsed="false">
      <c r="A2524" s="7" t="n">
        <v>45994</v>
      </c>
      <c r="B2524" s="7" t="n">
        <v>46042</v>
      </c>
      <c r="C2524" s="8" t="n">
        <v>7062</v>
      </c>
      <c r="D2524" s="8" t="n">
        <v>5170</v>
      </c>
      <c r="E2524" s="8" t="n">
        <v>12545</v>
      </c>
      <c r="F2524" s="8" t="s">
        <v>2200</v>
      </c>
      <c r="G2524" s="8" t="s">
        <v>2201</v>
      </c>
      <c r="H2524" s="8" t="s">
        <v>2743</v>
      </c>
    </row>
    <row r="2525" customFormat="false" ht="15" hidden="false" customHeight="false" outlineLevel="0" collapsed="false">
      <c r="A2525" s="7" t="n">
        <v>45994</v>
      </c>
      <c r="B2525" s="7" t="n">
        <v>46073</v>
      </c>
      <c r="C2525" s="8" t="n">
        <v>6994</v>
      </c>
      <c r="D2525" s="8" t="n">
        <v>10</v>
      </c>
      <c r="E2525" s="8" t="n">
        <v>15</v>
      </c>
      <c r="F2525" s="8" t="s">
        <v>2200</v>
      </c>
      <c r="G2525" s="8" t="s">
        <v>2201</v>
      </c>
      <c r="H2525" s="8" t="s">
        <v>2743</v>
      </c>
    </row>
    <row r="2526" customFormat="false" ht="15" hidden="false" customHeight="false" outlineLevel="0" collapsed="false">
      <c r="A2526" s="7" t="n">
        <v>45994</v>
      </c>
      <c r="B2526" s="7" t="n">
        <v>46101</v>
      </c>
      <c r="C2526" s="8" t="n">
        <v>7031</v>
      </c>
      <c r="D2526" s="8" t="n">
        <v>0</v>
      </c>
      <c r="E2526" s="8" t="n">
        <v>0</v>
      </c>
      <c r="F2526" s="8" t="s">
        <v>2200</v>
      </c>
      <c r="G2526" s="8" t="s">
        <v>2201</v>
      </c>
      <c r="H2526" s="8" t="s">
        <v>2743</v>
      </c>
    </row>
    <row r="2527" customFormat="false" ht="15" hidden="false" customHeight="false" outlineLevel="0" collapsed="false">
      <c r="A2527" s="7" t="n">
        <v>45994</v>
      </c>
      <c r="B2527" s="7" t="n">
        <v>46132</v>
      </c>
      <c r="C2527" s="8" t="n">
        <v>7068</v>
      </c>
      <c r="D2527" s="8" t="n">
        <v>0</v>
      </c>
      <c r="E2527" s="8" t="n">
        <v>0</v>
      </c>
      <c r="F2527" s="8" t="s">
        <v>2200</v>
      </c>
      <c r="G2527" s="8" t="s">
        <v>2201</v>
      </c>
      <c r="H2527" s="8" t="s">
        <v>2743</v>
      </c>
    </row>
    <row r="2528" customFormat="false" ht="15" hidden="false" customHeight="false" outlineLevel="0" collapsed="false">
      <c r="A2528" s="7" t="n">
        <v>45995</v>
      </c>
      <c r="B2528" s="7" t="n">
        <v>46010</v>
      </c>
      <c r="C2528" s="8" t="n">
        <v>7022</v>
      </c>
      <c r="D2528" s="8" t="n">
        <v>2900</v>
      </c>
      <c r="E2528" s="8" t="n">
        <v>14880</v>
      </c>
      <c r="F2528" s="8" t="s">
        <v>2200</v>
      </c>
      <c r="G2528" s="8" t="s">
        <v>2201</v>
      </c>
      <c r="H2528" s="8" t="s">
        <v>2744</v>
      </c>
    </row>
    <row r="2529" customFormat="false" ht="15" hidden="false" customHeight="false" outlineLevel="0" collapsed="false">
      <c r="A2529" s="7" t="n">
        <v>45995</v>
      </c>
      <c r="B2529" s="7" t="n">
        <v>46042</v>
      </c>
      <c r="C2529" s="8" t="n">
        <v>7059</v>
      </c>
      <c r="D2529" s="8" t="n">
        <v>4355</v>
      </c>
      <c r="E2529" s="8" t="n">
        <v>13890</v>
      </c>
      <c r="F2529" s="8" t="s">
        <v>2200</v>
      </c>
      <c r="G2529" s="8" t="s">
        <v>2201</v>
      </c>
      <c r="H2529" s="8" t="s">
        <v>2744</v>
      </c>
    </row>
    <row r="2530" customFormat="false" ht="15" hidden="false" customHeight="false" outlineLevel="0" collapsed="false">
      <c r="A2530" s="7" t="n">
        <v>45995</v>
      </c>
      <c r="B2530" s="7" t="n">
        <v>46073</v>
      </c>
      <c r="C2530" s="8" t="n">
        <v>7096</v>
      </c>
      <c r="D2530" s="8" t="n">
        <v>5</v>
      </c>
      <c r="E2530" s="8" t="n">
        <v>20</v>
      </c>
      <c r="F2530" s="8" t="s">
        <v>2200</v>
      </c>
      <c r="G2530" s="8" t="s">
        <v>2201</v>
      </c>
      <c r="H2530" s="8" t="s">
        <v>2744</v>
      </c>
    </row>
    <row r="2531" customFormat="false" ht="15" hidden="false" customHeight="false" outlineLevel="0" collapsed="false">
      <c r="A2531" s="7" t="n">
        <v>45995</v>
      </c>
      <c r="B2531" s="7" t="n">
        <v>46101</v>
      </c>
      <c r="C2531" s="8" t="n">
        <v>7133</v>
      </c>
      <c r="D2531" s="8" t="n">
        <v>0</v>
      </c>
      <c r="E2531" s="8" t="n">
        <v>0</v>
      </c>
      <c r="F2531" s="8" t="s">
        <v>2200</v>
      </c>
      <c r="G2531" s="8" t="s">
        <v>2201</v>
      </c>
      <c r="H2531" s="8" t="s">
        <v>2744</v>
      </c>
    </row>
    <row r="2532" customFormat="false" ht="15" hidden="false" customHeight="false" outlineLevel="0" collapsed="false">
      <c r="A2532" s="7" t="n">
        <v>45995</v>
      </c>
      <c r="B2532" s="7" t="n">
        <v>46132</v>
      </c>
      <c r="C2532" s="8" t="n">
        <v>7170</v>
      </c>
      <c r="D2532" s="8" t="n">
        <v>0</v>
      </c>
      <c r="E2532" s="8" t="n">
        <v>0</v>
      </c>
      <c r="F2532" s="8" t="s">
        <v>2200</v>
      </c>
      <c r="G2532" s="8" t="s">
        <v>2201</v>
      </c>
      <c r="H2532" s="8" t="s">
        <v>2744</v>
      </c>
    </row>
    <row r="2533" customFormat="false" ht="15" hidden="false" customHeight="false" outlineLevel="0" collapsed="false">
      <c r="A2533" s="7" t="n">
        <v>45996</v>
      </c>
      <c r="B2533" s="7" t="n">
        <v>46010</v>
      </c>
      <c r="C2533" s="8" t="n">
        <v>7007</v>
      </c>
      <c r="D2533" s="8" t="n">
        <v>3090</v>
      </c>
      <c r="E2533" s="8" t="n">
        <v>13785</v>
      </c>
      <c r="F2533" s="8" t="s">
        <v>2200</v>
      </c>
      <c r="G2533" s="8" t="s">
        <v>2201</v>
      </c>
      <c r="H2533" s="8" t="s">
        <v>2745</v>
      </c>
    </row>
    <row r="2534" customFormat="false" ht="15" hidden="false" customHeight="false" outlineLevel="0" collapsed="false">
      <c r="A2534" s="7" t="n">
        <v>45996</v>
      </c>
      <c r="B2534" s="7" t="n">
        <v>46042</v>
      </c>
      <c r="C2534" s="8" t="n">
        <v>7038</v>
      </c>
      <c r="D2534" s="8" t="n">
        <v>4300</v>
      </c>
      <c r="E2534" s="8" t="n">
        <v>15585</v>
      </c>
      <c r="F2534" s="8" t="s">
        <v>2200</v>
      </c>
      <c r="G2534" s="8" t="s">
        <v>2201</v>
      </c>
      <c r="H2534" s="8" t="s">
        <v>2745</v>
      </c>
    </row>
    <row r="2535" customFormat="false" ht="15" hidden="false" customHeight="false" outlineLevel="0" collapsed="false">
      <c r="A2535" s="7" t="n">
        <v>45996</v>
      </c>
      <c r="B2535" s="7" t="n">
        <v>46073</v>
      </c>
      <c r="C2535" s="8" t="n">
        <v>7069</v>
      </c>
      <c r="D2535" s="8" t="n">
        <v>0</v>
      </c>
      <c r="E2535" s="8" t="n">
        <v>20</v>
      </c>
      <c r="F2535" s="8" t="s">
        <v>2200</v>
      </c>
      <c r="G2535" s="8" t="s">
        <v>2201</v>
      </c>
      <c r="H2535" s="8" t="s">
        <v>2745</v>
      </c>
    </row>
    <row r="2536" customFormat="false" ht="15" hidden="false" customHeight="false" outlineLevel="0" collapsed="false">
      <c r="A2536" s="7" t="n">
        <v>45996</v>
      </c>
      <c r="B2536" s="7" t="n">
        <v>46101</v>
      </c>
      <c r="C2536" s="8" t="n">
        <v>7100</v>
      </c>
      <c r="D2536" s="8" t="n">
        <v>0</v>
      </c>
      <c r="E2536" s="8" t="n">
        <v>0</v>
      </c>
      <c r="F2536" s="8" t="s">
        <v>2200</v>
      </c>
      <c r="G2536" s="8" t="s">
        <v>2201</v>
      </c>
      <c r="H2536" s="8" t="s">
        <v>2745</v>
      </c>
    </row>
    <row r="2537" customFormat="false" ht="15" hidden="false" customHeight="false" outlineLevel="0" collapsed="false">
      <c r="A2537" s="7" t="n">
        <v>45996</v>
      </c>
      <c r="B2537" s="7" t="n">
        <v>46132</v>
      </c>
      <c r="C2537" s="8" t="n">
        <v>7131</v>
      </c>
      <c r="D2537" s="8" t="n">
        <v>0</v>
      </c>
      <c r="E2537" s="8" t="n">
        <v>0</v>
      </c>
      <c r="F2537" s="8" t="s">
        <v>2200</v>
      </c>
      <c r="G2537" s="8" t="s">
        <v>2201</v>
      </c>
      <c r="H2537" s="8" t="s">
        <v>2745</v>
      </c>
    </row>
    <row r="2538" customFormat="false" ht="15" hidden="false" customHeight="false" outlineLevel="0" collapsed="false">
      <c r="A2538" s="7" t="n">
        <v>45999</v>
      </c>
      <c r="B2538" s="7" t="n">
        <v>46010</v>
      </c>
      <c r="C2538" s="8" t="n">
        <v>6958</v>
      </c>
      <c r="D2538" s="8" t="n">
        <v>3290</v>
      </c>
      <c r="E2538" s="8" t="n">
        <v>12630</v>
      </c>
      <c r="F2538" s="8" t="s">
        <v>2200</v>
      </c>
      <c r="G2538" s="8" t="s">
        <v>2201</v>
      </c>
      <c r="H2538" s="8" t="s">
        <v>2746</v>
      </c>
    </row>
    <row r="2539" customFormat="false" ht="15" hidden="false" customHeight="false" outlineLevel="0" collapsed="false">
      <c r="A2539" s="7" t="n">
        <v>45999</v>
      </c>
      <c r="B2539" s="7" t="n">
        <v>46042</v>
      </c>
      <c r="C2539" s="8" t="n">
        <v>6984</v>
      </c>
      <c r="D2539" s="8" t="n">
        <v>4180</v>
      </c>
      <c r="E2539" s="8" t="n">
        <v>14990</v>
      </c>
      <c r="F2539" s="8" t="s">
        <v>2200</v>
      </c>
      <c r="G2539" s="8" t="s">
        <v>2201</v>
      </c>
      <c r="H2539" s="8" t="s">
        <v>2746</v>
      </c>
    </row>
    <row r="2540" customFormat="false" ht="15" hidden="false" customHeight="false" outlineLevel="0" collapsed="false">
      <c r="A2540" s="7" t="n">
        <v>45999</v>
      </c>
      <c r="B2540" s="7" t="n">
        <v>46073</v>
      </c>
      <c r="C2540" s="8" t="n">
        <v>7010</v>
      </c>
      <c r="D2540" s="8" t="n">
        <v>0</v>
      </c>
      <c r="E2540" s="8" t="n">
        <v>20</v>
      </c>
      <c r="F2540" s="8" t="s">
        <v>2200</v>
      </c>
      <c r="G2540" s="8" t="s">
        <v>2201</v>
      </c>
      <c r="H2540" s="8" t="s">
        <v>2746</v>
      </c>
    </row>
    <row r="2541" customFormat="false" ht="15" hidden="false" customHeight="false" outlineLevel="0" collapsed="false">
      <c r="A2541" s="7" t="n">
        <v>45999</v>
      </c>
      <c r="B2541" s="7" t="n">
        <v>46101</v>
      </c>
      <c r="C2541" s="8" t="n">
        <v>7036</v>
      </c>
      <c r="D2541" s="8" t="n">
        <v>0</v>
      </c>
      <c r="E2541" s="8" t="n">
        <v>0</v>
      </c>
      <c r="F2541" s="8" t="s">
        <v>2200</v>
      </c>
      <c r="G2541" s="8" t="s">
        <v>2201</v>
      </c>
      <c r="H2541" s="8" t="s">
        <v>2746</v>
      </c>
    </row>
    <row r="2542" customFormat="false" ht="15" hidden="false" customHeight="false" outlineLevel="0" collapsed="false">
      <c r="A2542" s="7" t="n">
        <v>45999</v>
      </c>
      <c r="B2542" s="7" t="n">
        <v>46132</v>
      </c>
      <c r="C2542" s="8" t="n">
        <v>7062</v>
      </c>
      <c r="D2542" s="8" t="n">
        <v>0</v>
      </c>
      <c r="E2542" s="8" t="n">
        <v>0</v>
      </c>
      <c r="F2542" s="8" t="s">
        <v>2200</v>
      </c>
      <c r="G2542" s="8" t="s">
        <v>2201</v>
      </c>
      <c r="H2542" s="8" t="s">
        <v>2746</v>
      </c>
    </row>
    <row r="2543" customFormat="false" ht="15" hidden="false" customHeight="false" outlineLevel="0" collapsed="false">
      <c r="A2543" s="7" t="n">
        <v>46000</v>
      </c>
      <c r="B2543" s="7" t="n">
        <v>46010</v>
      </c>
      <c r="C2543" s="8" t="n">
        <v>6971</v>
      </c>
      <c r="D2543" s="8" t="n">
        <v>5670</v>
      </c>
      <c r="E2543" s="8" t="n">
        <v>10740</v>
      </c>
      <c r="F2543" s="8" t="s">
        <v>2200</v>
      </c>
      <c r="G2543" s="8" t="s">
        <v>2201</v>
      </c>
      <c r="H2543" s="8" t="s">
        <v>2747</v>
      </c>
    </row>
    <row r="2544" customFormat="false" ht="15" hidden="false" customHeight="false" outlineLevel="0" collapsed="false">
      <c r="A2544" s="7" t="n">
        <v>46000</v>
      </c>
      <c r="B2544" s="7" t="n">
        <v>46042</v>
      </c>
      <c r="C2544" s="8" t="n">
        <v>6994</v>
      </c>
      <c r="D2544" s="8" t="n">
        <v>5865</v>
      </c>
      <c r="E2544" s="8" t="n">
        <v>14975</v>
      </c>
      <c r="F2544" s="8" t="s">
        <v>2200</v>
      </c>
      <c r="G2544" s="8" t="s">
        <v>2201</v>
      </c>
      <c r="H2544" s="8" t="s">
        <v>2747</v>
      </c>
    </row>
    <row r="2545" customFormat="false" ht="15" hidden="false" customHeight="false" outlineLevel="0" collapsed="false">
      <c r="A2545" s="7" t="n">
        <v>46000</v>
      </c>
      <c r="B2545" s="7" t="n">
        <v>46073</v>
      </c>
      <c r="C2545" s="8" t="n">
        <v>6900</v>
      </c>
      <c r="D2545" s="8" t="n">
        <v>155</v>
      </c>
      <c r="E2545" s="8" t="n">
        <v>155</v>
      </c>
      <c r="F2545" s="8" t="s">
        <v>2200</v>
      </c>
      <c r="G2545" s="8" t="s">
        <v>2201</v>
      </c>
      <c r="H2545" s="8" t="s">
        <v>2747</v>
      </c>
    </row>
    <row r="2546" customFormat="false" ht="15" hidden="false" customHeight="false" outlineLevel="0" collapsed="false">
      <c r="A2546" s="7" t="n">
        <v>46000</v>
      </c>
      <c r="B2546" s="7" t="n">
        <v>46101</v>
      </c>
      <c r="C2546" s="8" t="n">
        <v>7006</v>
      </c>
      <c r="D2546" s="8" t="n">
        <v>0</v>
      </c>
      <c r="E2546" s="8" t="n">
        <v>0</v>
      </c>
      <c r="F2546" s="8" t="s">
        <v>2200</v>
      </c>
      <c r="G2546" s="8" t="s">
        <v>2201</v>
      </c>
      <c r="H2546" s="8" t="s">
        <v>2747</v>
      </c>
    </row>
    <row r="2547" customFormat="false" ht="15" hidden="false" customHeight="false" outlineLevel="0" collapsed="false">
      <c r="A2547" s="7" t="n">
        <v>46000</v>
      </c>
      <c r="B2547" s="7" t="n">
        <v>46132</v>
      </c>
      <c r="C2547" s="8" t="n">
        <v>7112</v>
      </c>
      <c r="D2547" s="8" t="n">
        <v>0</v>
      </c>
      <c r="E2547" s="8" t="n">
        <v>0</v>
      </c>
      <c r="F2547" s="8" t="s">
        <v>2200</v>
      </c>
      <c r="G2547" s="8" t="s">
        <v>2201</v>
      </c>
      <c r="H2547" s="8" t="s">
        <v>2747</v>
      </c>
    </row>
    <row r="2548" customFormat="false" ht="15" hidden="false" customHeight="false" outlineLevel="0" collapsed="false">
      <c r="A2548" s="7" t="n">
        <v>46001</v>
      </c>
      <c r="B2548" s="7" t="n">
        <v>46010</v>
      </c>
      <c r="C2548" s="8" t="n">
        <v>6967</v>
      </c>
      <c r="D2548" s="8" t="n">
        <v>3380</v>
      </c>
      <c r="E2548" s="8" t="n">
        <v>8695</v>
      </c>
      <c r="F2548" s="8" t="s">
        <v>2200</v>
      </c>
      <c r="G2548" s="8" t="s">
        <v>2201</v>
      </c>
      <c r="H2548" s="8" t="s">
        <v>2748</v>
      </c>
    </row>
    <row r="2549" customFormat="false" ht="15" hidden="false" customHeight="false" outlineLevel="0" collapsed="false">
      <c r="A2549" s="7" t="n">
        <v>46001</v>
      </c>
      <c r="B2549" s="7" t="n">
        <v>46042</v>
      </c>
      <c r="C2549" s="8" t="n">
        <v>6965</v>
      </c>
      <c r="D2549" s="8" t="n">
        <v>4535</v>
      </c>
      <c r="E2549" s="8" t="n">
        <v>16050</v>
      </c>
      <c r="F2549" s="8" t="s">
        <v>2200</v>
      </c>
      <c r="G2549" s="8" t="s">
        <v>2201</v>
      </c>
      <c r="H2549" s="8" t="s">
        <v>2748</v>
      </c>
    </row>
    <row r="2550" customFormat="false" ht="15" hidden="false" customHeight="false" outlineLevel="0" collapsed="false">
      <c r="A2550" s="7" t="n">
        <v>46001</v>
      </c>
      <c r="B2550" s="7" t="n">
        <v>46073</v>
      </c>
      <c r="C2550" s="8" t="n">
        <v>6900</v>
      </c>
      <c r="D2550" s="8" t="n">
        <v>75</v>
      </c>
      <c r="E2550" s="8" t="n">
        <v>180</v>
      </c>
      <c r="F2550" s="8" t="s">
        <v>2200</v>
      </c>
      <c r="G2550" s="8" t="s">
        <v>2201</v>
      </c>
      <c r="H2550" s="8" t="s">
        <v>2748</v>
      </c>
    </row>
    <row r="2551" customFormat="false" ht="15" hidden="false" customHeight="false" outlineLevel="0" collapsed="false">
      <c r="A2551" s="7" t="n">
        <v>46001</v>
      </c>
      <c r="B2551" s="7" t="n">
        <v>46101</v>
      </c>
      <c r="C2551" s="8" t="n">
        <v>7010</v>
      </c>
      <c r="D2551" s="8" t="n">
        <v>0</v>
      </c>
      <c r="E2551" s="8" t="n">
        <v>0</v>
      </c>
      <c r="F2551" s="8" t="s">
        <v>2200</v>
      </c>
      <c r="G2551" s="8" t="s">
        <v>2201</v>
      </c>
      <c r="H2551" s="8" t="s">
        <v>2748</v>
      </c>
    </row>
    <row r="2552" customFormat="false" ht="15" hidden="false" customHeight="false" outlineLevel="0" collapsed="false">
      <c r="A2552" s="7" t="n">
        <v>46001</v>
      </c>
      <c r="B2552" s="7" t="n">
        <v>46132</v>
      </c>
      <c r="C2552" s="8" t="n">
        <v>7120</v>
      </c>
      <c r="D2552" s="8" t="n">
        <v>0</v>
      </c>
      <c r="E2552" s="8" t="n">
        <v>0</v>
      </c>
      <c r="F2552" s="8" t="s">
        <v>2200</v>
      </c>
      <c r="G2552" s="8" t="s">
        <v>2201</v>
      </c>
      <c r="H2552" s="8" t="s">
        <v>2748</v>
      </c>
    </row>
    <row r="2553" customFormat="false" ht="15" hidden="false" customHeight="false" outlineLevel="0" collapsed="false">
      <c r="A2553" s="7" t="n">
        <v>46002</v>
      </c>
      <c r="B2553" s="7" t="n">
        <v>46010</v>
      </c>
      <c r="C2553" s="8" t="n">
        <v>6963</v>
      </c>
      <c r="D2553" s="8" t="n">
        <v>1210</v>
      </c>
      <c r="E2553" s="8" t="n">
        <v>8065</v>
      </c>
      <c r="F2553" s="8" t="s">
        <v>2200</v>
      </c>
      <c r="G2553" s="8" t="s">
        <v>2201</v>
      </c>
      <c r="H2553" s="8" t="s">
        <v>2749</v>
      </c>
    </row>
    <row r="2554" customFormat="false" ht="15" hidden="false" customHeight="false" outlineLevel="0" collapsed="false">
      <c r="A2554" s="7" t="n">
        <v>46002</v>
      </c>
      <c r="B2554" s="7" t="n">
        <v>46042</v>
      </c>
      <c r="C2554" s="8" t="n">
        <v>6964</v>
      </c>
      <c r="D2554" s="8" t="n">
        <v>1945</v>
      </c>
      <c r="E2554" s="8" t="n">
        <v>16255</v>
      </c>
      <c r="F2554" s="8" t="s">
        <v>2200</v>
      </c>
      <c r="G2554" s="8" t="s">
        <v>2201</v>
      </c>
      <c r="H2554" s="8" t="s">
        <v>2749</v>
      </c>
    </row>
    <row r="2555" customFormat="false" ht="15" hidden="false" customHeight="false" outlineLevel="0" collapsed="false">
      <c r="A2555" s="7" t="n">
        <v>46002</v>
      </c>
      <c r="B2555" s="7" t="n">
        <v>46073</v>
      </c>
      <c r="C2555" s="8" t="n">
        <v>6890</v>
      </c>
      <c r="D2555" s="8" t="n">
        <v>245</v>
      </c>
      <c r="E2555" s="8" t="n">
        <v>380</v>
      </c>
      <c r="F2555" s="8" t="s">
        <v>2200</v>
      </c>
      <c r="G2555" s="8" t="s">
        <v>2201</v>
      </c>
      <c r="H2555" s="8" t="s">
        <v>2749</v>
      </c>
    </row>
    <row r="2556" customFormat="false" ht="15" hidden="false" customHeight="false" outlineLevel="0" collapsed="false">
      <c r="A2556" s="7" t="n">
        <v>46002</v>
      </c>
      <c r="B2556" s="7" t="n">
        <v>46101</v>
      </c>
      <c r="C2556" s="8" t="n">
        <v>6992</v>
      </c>
      <c r="D2556" s="8" t="n">
        <v>0</v>
      </c>
      <c r="E2556" s="8" t="n">
        <v>0</v>
      </c>
      <c r="F2556" s="8" t="s">
        <v>2200</v>
      </c>
      <c r="G2556" s="8" t="s">
        <v>2201</v>
      </c>
      <c r="H2556" s="8" t="s">
        <v>2749</v>
      </c>
    </row>
    <row r="2557" customFormat="false" ht="15" hidden="false" customHeight="false" outlineLevel="0" collapsed="false">
      <c r="A2557" s="7" t="n">
        <v>46002</v>
      </c>
      <c r="B2557" s="7" t="n">
        <v>46132</v>
      </c>
      <c r="C2557" s="8" t="n">
        <v>7094</v>
      </c>
      <c r="D2557" s="8" t="n">
        <v>0</v>
      </c>
      <c r="E2557" s="8" t="n">
        <v>0</v>
      </c>
      <c r="F2557" s="8" t="s">
        <v>2200</v>
      </c>
      <c r="G2557" s="8" t="s">
        <v>2201</v>
      </c>
      <c r="H2557" s="8" t="s">
        <v>2749</v>
      </c>
    </row>
    <row r="2558" customFormat="false" ht="15" hidden="false" customHeight="false" outlineLevel="0" collapsed="false">
      <c r="A2558" s="7" t="n">
        <v>46003</v>
      </c>
      <c r="B2558" s="7" t="n">
        <v>46010</v>
      </c>
      <c r="C2558" s="8" t="n">
        <v>6929</v>
      </c>
      <c r="D2558" s="8" t="n">
        <v>1840</v>
      </c>
      <c r="E2558" s="8" t="n">
        <v>6810</v>
      </c>
      <c r="F2558" s="8" t="s">
        <v>2200</v>
      </c>
      <c r="G2558" s="8" t="s">
        <v>2201</v>
      </c>
      <c r="H2558" s="8" t="s">
        <v>2750</v>
      </c>
    </row>
    <row r="2559" customFormat="false" ht="15" hidden="false" customHeight="false" outlineLevel="0" collapsed="false">
      <c r="A2559" s="7" t="n">
        <v>46003</v>
      </c>
      <c r="B2559" s="7" t="n">
        <v>46042</v>
      </c>
      <c r="C2559" s="8" t="n">
        <v>6947</v>
      </c>
      <c r="D2559" s="8" t="n">
        <v>2730</v>
      </c>
      <c r="E2559" s="8" t="n">
        <v>17160</v>
      </c>
      <c r="F2559" s="8" t="s">
        <v>2200</v>
      </c>
      <c r="G2559" s="8" t="s">
        <v>2201</v>
      </c>
      <c r="H2559" s="8" t="s">
        <v>2750</v>
      </c>
    </row>
    <row r="2560" customFormat="false" ht="15" hidden="false" customHeight="false" outlineLevel="0" collapsed="false">
      <c r="A2560" s="7" t="n">
        <v>46003</v>
      </c>
      <c r="B2560" s="7" t="n">
        <v>46073</v>
      </c>
      <c r="C2560" s="8" t="n">
        <v>6867</v>
      </c>
      <c r="D2560" s="8" t="n">
        <v>65</v>
      </c>
      <c r="E2560" s="8" t="n">
        <v>430</v>
      </c>
      <c r="F2560" s="8" t="s">
        <v>2200</v>
      </c>
      <c r="G2560" s="8" t="s">
        <v>2201</v>
      </c>
      <c r="H2560" s="8" t="s">
        <v>2750</v>
      </c>
    </row>
    <row r="2561" customFormat="false" ht="15" hidden="false" customHeight="false" outlineLevel="0" collapsed="false">
      <c r="A2561" s="7" t="n">
        <v>46003</v>
      </c>
      <c r="B2561" s="7" t="n">
        <v>46101</v>
      </c>
      <c r="C2561" s="8" t="n">
        <v>7010</v>
      </c>
      <c r="D2561" s="8" t="n">
        <v>0</v>
      </c>
      <c r="E2561" s="8" t="n">
        <v>0</v>
      </c>
      <c r="F2561" s="8" t="s">
        <v>2200</v>
      </c>
      <c r="G2561" s="8" t="s">
        <v>2201</v>
      </c>
      <c r="H2561" s="8" t="s">
        <v>2750</v>
      </c>
    </row>
    <row r="2562" customFormat="false" ht="15" hidden="false" customHeight="false" outlineLevel="0" collapsed="false">
      <c r="A2562" s="7" t="n">
        <v>46003</v>
      </c>
      <c r="B2562" s="7" t="n">
        <v>46132</v>
      </c>
      <c r="C2562" s="8" t="n">
        <v>7153</v>
      </c>
      <c r="D2562" s="8" t="n">
        <v>0</v>
      </c>
      <c r="E2562" s="8" t="n">
        <v>0</v>
      </c>
      <c r="F2562" s="8" t="s">
        <v>2200</v>
      </c>
      <c r="G2562" s="8" t="s">
        <v>2201</v>
      </c>
      <c r="H2562" s="8" t="s">
        <v>2750</v>
      </c>
    </row>
    <row r="2563" customFormat="false" ht="15" hidden="false" customHeight="false" outlineLevel="0" collapsed="false">
      <c r="A2563" s="7" t="n">
        <v>46006</v>
      </c>
      <c r="B2563" s="7" t="n">
        <v>46010</v>
      </c>
      <c r="C2563" s="8" t="n">
        <v>6881</v>
      </c>
      <c r="D2563" s="8" t="n">
        <v>3200</v>
      </c>
      <c r="E2563" s="8" t="n">
        <v>4995</v>
      </c>
      <c r="F2563" s="8" t="s">
        <v>2200</v>
      </c>
      <c r="G2563" s="8" t="s">
        <v>2201</v>
      </c>
      <c r="H2563" s="8" t="s">
        <v>2751</v>
      </c>
    </row>
    <row r="2564" customFormat="false" ht="15" hidden="false" customHeight="false" outlineLevel="0" collapsed="false">
      <c r="A2564" s="7" t="n">
        <v>46006</v>
      </c>
      <c r="B2564" s="7" t="n">
        <v>46042</v>
      </c>
      <c r="C2564" s="8" t="n">
        <v>6922</v>
      </c>
      <c r="D2564" s="8" t="n">
        <v>3820</v>
      </c>
      <c r="E2564" s="8" t="n">
        <v>18545</v>
      </c>
      <c r="F2564" s="8" t="s">
        <v>2200</v>
      </c>
      <c r="G2564" s="8" t="s">
        <v>2201</v>
      </c>
      <c r="H2564" s="8" t="s">
        <v>2751</v>
      </c>
    </row>
    <row r="2565" customFormat="false" ht="15" hidden="false" customHeight="false" outlineLevel="0" collapsed="false">
      <c r="A2565" s="7" t="n">
        <v>46006</v>
      </c>
      <c r="B2565" s="7" t="n">
        <v>46073</v>
      </c>
      <c r="C2565" s="8" t="n">
        <v>6870</v>
      </c>
      <c r="D2565" s="8" t="n">
        <v>215</v>
      </c>
      <c r="E2565" s="8" t="n">
        <v>630</v>
      </c>
      <c r="F2565" s="8" t="s">
        <v>2200</v>
      </c>
      <c r="G2565" s="8" t="s">
        <v>2201</v>
      </c>
      <c r="H2565" s="8" t="s">
        <v>2751</v>
      </c>
    </row>
    <row r="2566" customFormat="false" ht="15" hidden="false" customHeight="false" outlineLevel="0" collapsed="false">
      <c r="A2566" s="7" t="n">
        <v>46006</v>
      </c>
      <c r="B2566" s="7" t="n">
        <v>46101</v>
      </c>
      <c r="C2566" s="8" t="n">
        <v>6964</v>
      </c>
      <c r="D2566" s="8" t="n">
        <v>0</v>
      </c>
      <c r="E2566" s="8" t="n">
        <v>0</v>
      </c>
      <c r="F2566" s="8" t="s">
        <v>2200</v>
      </c>
      <c r="G2566" s="8" t="s">
        <v>2201</v>
      </c>
      <c r="H2566" s="8" t="s">
        <v>2751</v>
      </c>
    </row>
    <row r="2567" customFormat="false" ht="15" hidden="false" customHeight="false" outlineLevel="0" collapsed="false">
      <c r="A2567" s="7" t="n">
        <v>46006</v>
      </c>
      <c r="B2567" s="7" t="n">
        <v>46132</v>
      </c>
      <c r="C2567" s="8" t="n">
        <v>7058</v>
      </c>
      <c r="D2567" s="8" t="n">
        <v>0</v>
      </c>
      <c r="E2567" s="8" t="n">
        <v>0</v>
      </c>
      <c r="F2567" s="8" t="s">
        <v>2200</v>
      </c>
      <c r="G2567" s="8" t="s">
        <v>2201</v>
      </c>
      <c r="H2567" s="8" t="s">
        <v>2751</v>
      </c>
    </row>
    <row r="2568" customFormat="false" ht="15" hidden="false" customHeight="false" outlineLevel="0" collapsed="false">
      <c r="A2568" s="7" t="n">
        <v>46007</v>
      </c>
      <c r="B2568" s="7" t="n">
        <v>46010</v>
      </c>
      <c r="C2568" s="8" t="n">
        <v>6812</v>
      </c>
      <c r="D2568" s="8" t="n">
        <v>2680</v>
      </c>
      <c r="E2568" s="8" t="n">
        <v>3250</v>
      </c>
      <c r="F2568" s="8" t="s">
        <v>2200</v>
      </c>
      <c r="G2568" s="8" t="s">
        <v>2201</v>
      </c>
      <c r="H2568" s="8" t="s">
        <v>2752</v>
      </c>
    </row>
    <row r="2569" customFormat="false" ht="15" hidden="false" customHeight="false" outlineLevel="0" collapsed="false">
      <c r="A2569" s="7" t="n">
        <v>46007</v>
      </c>
      <c r="B2569" s="7" t="n">
        <v>46042</v>
      </c>
      <c r="C2569" s="8" t="n">
        <v>6883</v>
      </c>
      <c r="D2569" s="8" t="n">
        <v>4690</v>
      </c>
      <c r="E2569" s="8" t="n">
        <v>20810</v>
      </c>
      <c r="F2569" s="8" t="s">
        <v>2200</v>
      </c>
      <c r="G2569" s="8" t="s">
        <v>2201</v>
      </c>
      <c r="H2569" s="8" t="s">
        <v>2752</v>
      </c>
    </row>
    <row r="2570" customFormat="false" ht="15" hidden="false" customHeight="false" outlineLevel="0" collapsed="false">
      <c r="A2570" s="7" t="n">
        <v>46007</v>
      </c>
      <c r="B2570" s="7" t="n">
        <v>46073</v>
      </c>
      <c r="C2570" s="8" t="n">
        <v>6859</v>
      </c>
      <c r="D2570" s="8" t="n">
        <v>550</v>
      </c>
      <c r="E2570" s="8" t="n">
        <v>1045</v>
      </c>
      <c r="F2570" s="8" t="s">
        <v>2200</v>
      </c>
      <c r="G2570" s="8" t="s">
        <v>2201</v>
      </c>
      <c r="H2570" s="8" t="s">
        <v>2752</v>
      </c>
    </row>
    <row r="2571" customFormat="false" ht="15" hidden="false" customHeight="false" outlineLevel="0" collapsed="false">
      <c r="A2571" s="7" t="n">
        <v>46007</v>
      </c>
      <c r="B2571" s="7" t="n">
        <v>46101</v>
      </c>
      <c r="C2571" s="8" t="n">
        <v>6950</v>
      </c>
      <c r="D2571" s="8" t="n">
        <v>0</v>
      </c>
      <c r="E2571" s="8" t="n">
        <v>0</v>
      </c>
      <c r="F2571" s="8" t="s">
        <v>2200</v>
      </c>
      <c r="G2571" s="8" t="s">
        <v>2201</v>
      </c>
      <c r="H2571" s="8" t="s">
        <v>2752</v>
      </c>
    </row>
    <row r="2572" customFormat="false" ht="15" hidden="false" customHeight="false" outlineLevel="0" collapsed="false">
      <c r="A2572" s="7" t="n">
        <v>46007</v>
      </c>
      <c r="B2572" s="7" t="n">
        <v>46132</v>
      </c>
      <c r="C2572" s="8" t="n">
        <v>7041</v>
      </c>
      <c r="D2572" s="8" t="n">
        <v>0</v>
      </c>
      <c r="E2572" s="8" t="n">
        <v>0</v>
      </c>
      <c r="F2572" s="8" t="s">
        <v>2200</v>
      </c>
      <c r="G2572" s="8" t="s">
        <v>2201</v>
      </c>
      <c r="H2572" s="8" t="s">
        <v>2752</v>
      </c>
    </row>
    <row r="2573" customFormat="false" ht="15" hidden="false" customHeight="false" outlineLevel="0" collapsed="false">
      <c r="A2573" s="7" t="n">
        <v>46008</v>
      </c>
      <c r="B2573" s="7" t="n">
        <v>46010</v>
      </c>
      <c r="C2573" s="8" t="n">
        <v>6800</v>
      </c>
      <c r="D2573" s="8" t="n">
        <v>3080</v>
      </c>
      <c r="E2573" s="8" t="n">
        <v>920</v>
      </c>
      <c r="F2573" s="8" t="s">
        <v>2200</v>
      </c>
      <c r="G2573" s="8" t="s">
        <v>2201</v>
      </c>
      <c r="H2573" s="8" t="s">
        <v>2753</v>
      </c>
    </row>
    <row r="2574" customFormat="false" ht="15" hidden="false" customHeight="false" outlineLevel="0" collapsed="false">
      <c r="A2574" s="7" t="n">
        <v>46008</v>
      </c>
      <c r="B2574" s="7" t="n">
        <v>46042</v>
      </c>
      <c r="C2574" s="8" t="n">
        <v>6901</v>
      </c>
      <c r="D2574" s="8" t="n">
        <v>6075</v>
      </c>
      <c r="E2574" s="8" t="n">
        <v>22940</v>
      </c>
      <c r="F2574" s="8" t="s">
        <v>2200</v>
      </c>
      <c r="G2574" s="8" t="s">
        <v>2201</v>
      </c>
      <c r="H2574" s="8" t="s">
        <v>2753</v>
      </c>
    </row>
    <row r="2575" customFormat="false" ht="15" hidden="false" customHeight="false" outlineLevel="0" collapsed="false">
      <c r="A2575" s="7" t="n">
        <v>46008</v>
      </c>
      <c r="B2575" s="7" t="n">
        <v>46073</v>
      </c>
      <c r="C2575" s="8" t="n">
        <v>6869</v>
      </c>
      <c r="D2575" s="8" t="n">
        <v>505</v>
      </c>
      <c r="E2575" s="8" t="n">
        <v>1335</v>
      </c>
      <c r="F2575" s="8" t="s">
        <v>2200</v>
      </c>
      <c r="G2575" s="8" t="s">
        <v>2201</v>
      </c>
      <c r="H2575" s="8" t="s">
        <v>2753</v>
      </c>
    </row>
    <row r="2576" customFormat="false" ht="15" hidden="false" customHeight="false" outlineLevel="0" collapsed="false">
      <c r="A2576" s="7" t="n">
        <v>46008</v>
      </c>
      <c r="B2576" s="7" t="n">
        <v>46101</v>
      </c>
      <c r="C2576" s="8" t="n">
        <v>6923</v>
      </c>
      <c r="D2576" s="8" t="n">
        <v>0</v>
      </c>
      <c r="E2576" s="8" t="n">
        <v>0</v>
      </c>
      <c r="F2576" s="8" t="s">
        <v>2200</v>
      </c>
      <c r="G2576" s="8" t="s">
        <v>2201</v>
      </c>
      <c r="H2576" s="8" t="s">
        <v>2753</v>
      </c>
    </row>
    <row r="2577" customFormat="false" ht="15" hidden="false" customHeight="false" outlineLevel="0" collapsed="false">
      <c r="A2577" s="7" t="n">
        <v>46008</v>
      </c>
      <c r="B2577" s="7" t="n">
        <v>46132</v>
      </c>
      <c r="C2577" s="8" t="n">
        <v>6977</v>
      </c>
      <c r="D2577" s="8" t="n">
        <v>0</v>
      </c>
      <c r="E2577" s="8" t="n">
        <v>0</v>
      </c>
      <c r="F2577" s="8" t="s">
        <v>2200</v>
      </c>
      <c r="G2577" s="8" t="s">
        <v>2201</v>
      </c>
      <c r="H2577" s="8" t="s">
        <v>2753</v>
      </c>
    </row>
    <row r="2578" customFormat="false" ht="15" hidden="false" customHeight="false" outlineLevel="0" collapsed="false">
      <c r="A2578" s="7" t="n">
        <v>46009</v>
      </c>
      <c r="B2578" s="7" t="n">
        <v>46010</v>
      </c>
      <c r="C2578" s="8" t="n">
        <v>6891</v>
      </c>
      <c r="D2578" s="8" t="n">
        <v>250</v>
      </c>
      <c r="E2578" s="8" t="n">
        <v>270</v>
      </c>
      <c r="F2578" s="8" t="s">
        <v>2200</v>
      </c>
      <c r="G2578" s="8" t="s">
        <v>2201</v>
      </c>
      <c r="H2578" s="8" t="s">
        <v>2754</v>
      </c>
    </row>
    <row r="2579" customFormat="false" ht="15" hidden="false" customHeight="false" outlineLevel="0" collapsed="false">
      <c r="A2579" s="7" t="n">
        <v>46009</v>
      </c>
      <c r="B2579" s="7" t="n">
        <v>46042</v>
      </c>
      <c r="C2579" s="8" t="n">
        <v>6953</v>
      </c>
      <c r="D2579" s="8" t="n">
        <v>5870</v>
      </c>
      <c r="E2579" s="8" t="n">
        <v>21445</v>
      </c>
      <c r="F2579" s="8" t="s">
        <v>2200</v>
      </c>
      <c r="G2579" s="8" t="s">
        <v>2201</v>
      </c>
      <c r="H2579" s="8" t="s">
        <v>2754</v>
      </c>
    </row>
    <row r="2580" customFormat="false" ht="15" hidden="false" customHeight="false" outlineLevel="0" collapsed="false">
      <c r="A2580" s="7" t="n">
        <v>46009</v>
      </c>
      <c r="B2580" s="7" t="n">
        <v>46073</v>
      </c>
      <c r="C2580" s="8" t="n">
        <v>6918</v>
      </c>
      <c r="D2580" s="8" t="n">
        <v>1405</v>
      </c>
      <c r="E2580" s="8" t="n">
        <v>2275</v>
      </c>
      <c r="F2580" s="8" t="s">
        <v>2200</v>
      </c>
      <c r="G2580" s="8" t="s">
        <v>2201</v>
      </c>
      <c r="H2580" s="8" t="s">
        <v>2754</v>
      </c>
    </row>
    <row r="2581" customFormat="false" ht="15" hidden="false" customHeight="false" outlineLevel="0" collapsed="false">
      <c r="A2581" s="7" t="n">
        <v>46009</v>
      </c>
      <c r="B2581" s="7" t="n">
        <v>46101</v>
      </c>
      <c r="C2581" s="8" t="n">
        <v>6958</v>
      </c>
      <c r="D2581" s="8" t="n">
        <v>0</v>
      </c>
      <c r="E2581" s="8" t="n">
        <v>0</v>
      </c>
      <c r="F2581" s="8" t="s">
        <v>2200</v>
      </c>
      <c r="G2581" s="8" t="s">
        <v>2201</v>
      </c>
      <c r="H2581" s="8" t="s">
        <v>2754</v>
      </c>
    </row>
    <row r="2582" customFormat="false" ht="15" hidden="false" customHeight="false" outlineLevel="0" collapsed="false">
      <c r="A2582" s="7" t="n">
        <v>46009</v>
      </c>
      <c r="B2582" s="7" t="n">
        <v>46132</v>
      </c>
      <c r="C2582" s="8" t="n">
        <v>6998</v>
      </c>
      <c r="D2582" s="8" t="n">
        <v>0</v>
      </c>
      <c r="E2582" s="8" t="n">
        <v>0</v>
      </c>
      <c r="F2582" s="8" t="s">
        <v>2200</v>
      </c>
      <c r="G2582" s="8" t="s">
        <v>2201</v>
      </c>
      <c r="H2582" s="8" t="s">
        <v>2754</v>
      </c>
    </row>
    <row r="2583" customFormat="false" ht="15" hidden="false" customHeight="false" outlineLevel="0" collapsed="false">
      <c r="A2583" s="7" t="n">
        <v>46010</v>
      </c>
      <c r="B2583" s="7" t="n">
        <v>46010</v>
      </c>
      <c r="C2583" s="8" t="n">
        <v>6891</v>
      </c>
      <c r="D2583" s="8" t="n">
        <v>90</v>
      </c>
      <c r="E2583" s="8" t="n">
        <v>150</v>
      </c>
      <c r="F2583" s="8" t="s">
        <v>2200</v>
      </c>
      <c r="G2583" s="8" t="s">
        <v>2201</v>
      </c>
      <c r="H2583" s="8" t="s">
        <v>2755</v>
      </c>
    </row>
    <row r="2584" customFormat="false" ht="15" hidden="false" customHeight="false" outlineLevel="0" collapsed="false">
      <c r="A2584" s="7" t="n">
        <v>46010</v>
      </c>
      <c r="B2584" s="7" t="n">
        <v>46042</v>
      </c>
      <c r="C2584" s="8" t="n">
        <v>6933</v>
      </c>
      <c r="D2584" s="8" t="n">
        <v>2400</v>
      </c>
      <c r="E2584" s="8" t="n">
        <v>21365</v>
      </c>
      <c r="F2584" s="8" t="s">
        <v>2200</v>
      </c>
      <c r="G2584" s="8" t="s">
        <v>2201</v>
      </c>
      <c r="H2584" s="8" t="s">
        <v>2755</v>
      </c>
    </row>
    <row r="2585" customFormat="false" ht="15" hidden="false" customHeight="false" outlineLevel="0" collapsed="false">
      <c r="A2585" s="7" t="n">
        <v>46010</v>
      </c>
      <c r="B2585" s="7" t="n">
        <v>46073</v>
      </c>
      <c r="C2585" s="8" t="n">
        <v>6909</v>
      </c>
      <c r="D2585" s="8" t="n">
        <v>510</v>
      </c>
      <c r="E2585" s="8" t="n">
        <v>2630</v>
      </c>
      <c r="F2585" s="8" t="s">
        <v>2200</v>
      </c>
      <c r="G2585" s="8" t="s">
        <v>2201</v>
      </c>
      <c r="H2585" s="8" t="s">
        <v>2755</v>
      </c>
    </row>
    <row r="2586" customFormat="false" ht="15" hidden="false" customHeight="false" outlineLevel="0" collapsed="false">
      <c r="A2586" s="7" t="n">
        <v>46010</v>
      </c>
      <c r="B2586" s="7" t="n">
        <v>46101</v>
      </c>
      <c r="C2586" s="8" t="n">
        <v>6962</v>
      </c>
      <c r="D2586" s="8" t="n">
        <v>0</v>
      </c>
      <c r="E2586" s="8" t="n">
        <v>0</v>
      </c>
      <c r="F2586" s="8" t="s">
        <v>2200</v>
      </c>
      <c r="G2586" s="8" t="s">
        <v>2201</v>
      </c>
      <c r="H2586" s="8" t="s">
        <v>2755</v>
      </c>
    </row>
    <row r="2587" customFormat="false" ht="15" hidden="false" customHeight="false" outlineLevel="0" collapsed="false">
      <c r="A2587" s="7" t="n">
        <v>46010</v>
      </c>
      <c r="B2587" s="7" t="n">
        <v>46132</v>
      </c>
      <c r="C2587" s="8" t="n">
        <v>7015</v>
      </c>
      <c r="D2587" s="8" t="n">
        <v>0</v>
      </c>
      <c r="E2587" s="8" t="n">
        <v>0</v>
      </c>
      <c r="F2587" s="8" t="s">
        <v>2200</v>
      </c>
      <c r="G2587" s="8" t="s">
        <v>2201</v>
      </c>
      <c r="H2587" s="8" t="s">
        <v>2755</v>
      </c>
    </row>
    <row r="2588" customFormat="false" ht="15" hidden="false" customHeight="false" outlineLevel="0" collapsed="false">
      <c r="A2588" s="7" t="n">
        <v>46013</v>
      </c>
      <c r="B2588" s="7" t="n">
        <v>46042</v>
      </c>
      <c r="C2588" s="8" t="n">
        <v>6886</v>
      </c>
      <c r="D2588" s="8" t="n">
        <v>1910</v>
      </c>
      <c r="E2588" s="8" t="n">
        <v>20935</v>
      </c>
      <c r="F2588" s="8" t="s">
        <v>2200</v>
      </c>
      <c r="G2588" s="8" t="s">
        <v>2201</v>
      </c>
      <c r="H2588" s="8" t="s">
        <v>2756</v>
      </c>
    </row>
    <row r="2589" customFormat="false" ht="15" hidden="false" customHeight="false" outlineLevel="0" collapsed="false">
      <c r="A2589" s="7" t="n">
        <v>46013</v>
      </c>
      <c r="B2589" s="7" t="n">
        <v>46073</v>
      </c>
      <c r="C2589" s="8" t="n">
        <v>6865</v>
      </c>
      <c r="D2589" s="8" t="n">
        <v>140</v>
      </c>
      <c r="E2589" s="8" t="n">
        <v>2640</v>
      </c>
      <c r="F2589" s="8" t="s">
        <v>2200</v>
      </c>
      <c r="G2589" s="8" t="s">
        <v>2201</v>
      </c>
      <c r="H2589" s="8" t="s">
        <v>2756</v>
      </c>
    </row>
    <row r="2590" customFormat="false" ht="15" hidden="false" customHeight="false" outlineLevel="0" collapsed="false">
      <c r="A2590" s="7" t="n">
        <v>46013</v>
      </c>
      <c r="B2590" s="7" t="n">
        <v>46101</v>
      </c>
      <c r="C2590" s="8" t="n">
        <v>6943</v>
      </c>
      <c r="D2590" s="8" t="n">
        <v>0</v>
      </c>
      <c r="E2590" s="8" t="n">
        <v>0</v>
      </c>
      <c r="F2590" s="8" t="s">
        <v>2200</v>
      </c>
      <c r="G2590" s="8" t="s">
        <v>2201</v>
      </c>
      <c r="H2590" s="8" t="s">
        <v>2756</v>
      </c>
    </row>
    <row r="2591" customFormat="false" ht="15" hidden="false" customHeight="false" outlineLevel="0" collapsed="false">
      <c r="A2591" s="7" t="n">
        <v>46013</v>
      </c>
      <c r="B2591" s="7" t="n">
        <v>46132</v>
      </c>
      <c r="C2591" s="8" t="n">
        <v>7021</v>
      </c>
      <c r="D2591" s="8" t="n">
        <v>0</v>
      </c>
      <c r="E2591" s="8" t="n">
        <v>0</v>
      </c>
      <c r="F2591" s="8" t="s">
        <v>2200</v>
      </c>
      <c r="G2591" s="8" t="s">
        <v>2201</v>
      </c>
      <c r="H2591" s="8" t="s">
        <v>2756</v>
      </c>
    </row>
    <row r="2592" customFormat="false" ht="15" hidden="false" customHeight="false" outlineLevel="0" collapsed="false">
      <c r="A2592" s="7" t="n">
        <v>46014</v>
      </c>
      <c r="B2592" s="7" t="n">
        <v>46042</v>
      </c>
      <c r="C2592" s="8" t="n">
        <v>6853</v>
      </c>
      <c r="D2592" s="8" t="n">
        <v>2780</v>
      </c>
      <c r="E2592" s="8" t="n">
        <v>20315</v>
      </c>
      <c r="F2592" s="8" t="s">
        <v>2200</v>
      </c>
      <c r="G2592" s="8" t="s">
        <v>2201</v>
      </c>
      <c r="H2592" s="8" t="s">
        <v>2757</v>
      </c>
    </row>
    <row r="2593" customFormat="false" ht="15" hidden="false" customHeight="false" outlineLevel="0" collapsed="false">
      <c r="A2593" s="7" t="n">
        <v>46014</v>
      </c>
      <c r="B2593" s="7" t="n">
        <v>46073</v>
      </c>
      <c r="C2593" s="8" t="n">
        <v>6830</v>
      </c>
      <c r="D2593" s="8" t="n">
        <v>490</v>
      </c>
      <c r="E2593" s="8" t="n">
        <v>2915</v>
      </c>
      <c r="F2593" s="8" t="s">
        <v>2200</v>
      </c>
      <c r="G2593" s="8" t="s">
        <v>2201</v>
      </c>
      <c r="H2593" s="8" t="s">
        <v>2757</v>
      </c>
    </row>
    <row r="2594" customFormat="false" ht="15" hidden="false" customHeight="false" outlineLevel="0" collapsed="false">
      <c r="A2594" s="7" t="n">
        <v>46014</v>
      </c>
      <c r="B2594" s="7" t="n">
        <v>46101</v>
      </c>
      <c r="C2594" s="8" t="n">
        <v>6909</v>
      </c>
      <c r="D2594" s="8" t="n">
        <v>0</v>
      </c>
      <c r="E2594" s="8" t="n">
        <v>0</v>
      </c>
      <c r="F2594" s="8" t="s">
        <v>2200</v>
      </c>
      <c r="G2594" s="8" t="s">
        <v>2201</v>
      </c>
      <c r="H2594" s="8" t="s">
        <v>2757</v>
      </c>
    </row>
    <row r="2595" customFormat="false" ht="15" hidden="false" customHeight="false" outlineLevel="0" collapsed="false">
      <c r="A2595" s="7" t="n">
        <v>46014</v>
      </c>
      <c r="B2595" s="7" t="n">
        <v>46132</v>
      </c>
      <c r="C2595" s="8" t="n">
        <v>6988</v>
      </c>
      <c r="D2595" s="8" t="n">
        <v>0</v>
      </c>
      <c r="E2595" s="8" t="n">
        <v>0</v>
      </c>
      <c r="F2595" s="8" t="s">
        <v>2200</v>
      </c>
      <c r="G2595" s="8" t="s">
        <v>2201</v>
      </c>
      <c r="H2595" s="8" t="s">
        <v>2757</v>
      </c>
    </row>
    <row r="2596" customFormat="false" ht="15" hidden="false" customHeight="false" outlineLevel="0" collapsed="false">
      <c r="A2596" s="7" t="n">
        <v>46015</v>
      </c>
      <c r="B2596" s="7" t="n">
        <v>46042</v>
      </c>
      <c r="C2596" s="8" t="n">
        <v>6844</v>
      </c>
      <c r="D2596" s="8" t="n">
        <v>9245</v>
      </c>
      <c r="E2596" s="8" t="n">
        <v>19835</v>
      </c>
      <c r="F2596" s="8" t="s">
        <v>2200</v>
      </c>
      <c r="G2596" s="8" t="s">
        <v>2201</v>
      </c>
      <c r="H2596" s="8" t="s">
        <v>2758</v>
      </c>
    </row>
    <row r="2597" customFormat="false" ht="15" hidden="false" customHeight="false" outlineLevel="0" collapsed="false">
      <c r="A2597" s="7" t="n">
        <v>46015</v>
      </c>
      <c r="B2597" s="7" t="n">
        <v>46073</v>
      </c>
      <c r="C2597" s="8" t="n">
        <v>6844</v>
      </c>
      <c r="D2597" s="8" t="n">
        <v>5215</v>
      </c>
      <c r="E2597" s="8" t="n">
        <v>6160</v>
      </c>
      <c r="F2597" s="8" t="s">
        <v>2200</v>
      </c>
      <c r="G2597" s="8" t="s">
        <v>2201</v>
      </c>
      <c r="H2597" s="8" t="s">
        <v>2758</v>
      </c>
    </row>
    <row r="2598" customFormat="false" ht="15" hidden="false" customHeight="false" outlineLevel="0" collapsed="false">
      <c r="A2598" s="7" t="n">
        <v>46015</v>
      </c>
      <c r="B2598" s="7" t="n">
        <v>46101</v>
      </c>
      <c r="C2598" s="8" t="n">
        <v>6800</v>
      </c>
      <c r="D2598" s="8" t="n">
        <v>10</v>
      </c>
      <c r="E2598" s="8" t="n">
        <v>5</v>
      </c>
      <c r="F2598" s="8" t="s">
        <v>2200</v>
      </c>
      <c r="G2598" s="8" t="s">
        <v>2201</v>
      </c>
      <c r="H2598" s="8" t="s">
        <v>2758</v>
      </c>
    </row>
    <row r="2599" customFormat="false" ht="15" hidden="false" customHeight="false" outlineLevel="0" collapsed="false">
      <c r="A2599" s="7" t="n">
        <v>46015</v>
      </c>
      <c r="B2599" s="7" t="n">
        <v>46132</v>
      </c>
      <c r="C2599" s="8" t="n">
        <v>6943</v>
      </c>
      <c r="D2599" s="8" t="n">
        <v>0</v>
      </c>
      <c r="E2599" s="8" t="n">
        <v>0</v>
      </c>
      <c r="F2599" s="8" t="s">
        <v>2200</v>
      </c>
      <c r="G2599" s="8" t="s">
        <v>2201</v>
      </c>
      <c r="H2599" s="8" t="s">
        <v>2758</v>
      </c>
    </row>
    <row r="2600" customFormat="false" ht="15" hidden="false" customHeight="false" outlineLevel="0" collapsed="false">
      <c r="A2600" s="7" t="n">
        <v>46017</v>
      </c>
      <c r="B2600" s="7" t="n">
        <v>46042</v>
      </c>
      <c r="C2600" s="8" t="n">
        <v>6835</v>
      </c>
      <c r="D2600" s="8" t="n">
        <v>5960</v>
      </c>
      <c r="E2600" s="8" t="n">
        <v>19200</v>
      </c>
      <c r="F2600" s="8" t="s">
        <v>2200</v>
      </c>
      <c r="G2600" s="8" t="s">
        <v>2201</v>
      </c>
      <c r="H2600" s="8" t="s">
        <v>2759</v>
      </c>
    </row>
    <row r="2601" customFormat="false" ht="15" hidden="false" customHeight="false" outlineLevel="0" collapsed="false">
      <c r="A2601" s="7" t="n">
        <v>46017</v>
      </c>
      <c r="B2601" s="7" t="n">
        <v>46073</v>
      </c>
      <c r="C2601" s="8" t="n">
        <v>6843</v>
      </c>
      <c r="D2601" s="8" t="n">
        <v>3825</v>
      </c>
      <c r="E2601" s="8" t="n">
        <v>7235</v>
      </c>
      <c r="F2601" s="8" t="s">
        <v>2200</v>
      </c>
      <c r="G2601" s="8" t="s">
        <v>2201</v>
      </c>
      <c r="H2601" s="8" t="s">
        <v>2759</v>
      </c>
    </row>
    <row r="2602" customFormat="false" ht="15" hidden="false" customHeight="false" outlineLevel="0" collapsed="false">
      <c r="A2602" s="7" t="n">
        <v>46017</v>
      </c>
      <c r="B2602" s="7" t="n">
        <v>46101</v>
      </c>
      <c r="C2602" s="8" t="n">
        <v>6759</v>
      </c>
      <c r="D2602" s="8" t="n">
        <v>330</v>
      </c>
      <c r="E2602" s="8" t="n">
        <v>305</v>
      </c>
      <c r="F2602" s="8" t="s">
        <v>2200</v>
      </c>
      <c r="G2602" s="8" t="s">
        <v>2201</v>
      </c>
      <c r="H2602" s="8" t="s">
        <v>2759</v>
      </c>
    </row>
    <row r="2603" customFormat="false" ht="15" hidden="false" customHeight="false" outlineLevel="0" collapsed="false">
      <c r="A2603" s="7" t="n">
        <v>46017</v>
      </c>
      <c r="B2603" s="7" t="n">
        <v>46132</v>
      </c>
      <c r="C2603" s="8" t="n">
        <v>6923</v>
      </c>
      <c r="D2603" s="8" t="n">
        <v>0</v>
      </c>
      <c r="E2603" s="8" t="n">
        <v>0</v>
      </c>
      <c r="F2603" s="8" t="s">
        <v>2200</v>
      </c>
      <c r="G2603" s="8" t="s">
        <v>2201</v>
      </c>
      <c r="H2603" s="8" t="s">
        <v>2759</v>
      </c>
    </row>
    <row r="2604" customFormat="false" ht="15" hidden="false" customHeight="false" outlineLevel="0" collapsed="false">
      <c r="A2604" s="7" t="n">
        <v>46020</v>
      </c>
      <c r="B2604" s="7" t="n">
        <v>46042</v>
      </c>
      <c r="C2604" s="8" t="n">
        <v>6700</v>
      </c>
      <c r="D2604" s="8" t="n">
        <v>5875</v>
      </c>
      <c r="E2604" s="8" t="n">
        <v>17735</v>
      </c>
      <c r="F2604" s="8" t="s">
        <v>2200</v>
      </c>
      <c r="G2604" s="8" t="s">
        <v>2201</v>
      </c>
      <c r="H2604" s="8" t="s">
        <v>2760</v>
      </c>
    </row>
    <row r="2605" customFormat="false" ht="15" hidden="false" customHeight="false" outlineLevel="0" collapsed="false">
      <c r="A2605" s="7" t="n">
        <v>46020</v>
      </c>
      <c r="B2605" s="7" t="n">
        <v>46073</v>
      </c>
      <c r="C2605" s="8" t="n">
        <v>6732</v>
      </c>
      <c r="D2605" s="8" t="n">
        <v>3310</v>
      </c>
      <c r="E2605" s="8" t="n">
        <v>7640</v>
      </c>
      <c r="F2605" s="8" t="s">
        <v>2200</v>
      </c>
      <c r="G2605" s="8" t="s">
        <v>2201</v>
      </c>
      <c r="H2605" s="8" t="s">
        <v>2760</v>
      </c>
    </row>
    <row r="2606" customFormat="false" ht="15" hidden="false" customHeight="false" outlineLevel="0" collapsed="false">
      <c r="A2606" s="7" t="n">
        <v>46020</v>
      </c>
      <c r="B2606" s="7" t="n">
        <v>46101</v>
      </c>
      <c r="C2606" s="8" t="n">
        <v>6685</v>
      </c>
      <c r="D2606" s="8" t="n">
        <v>35</v>
      </c>
      <c r="E2606" s="8" t="n">
        <v>325</v>
      </c>
      <c r="F2606" s="8" t="s">
        <v>2200</v>
      </c>
      <c r="G2606" s="8" t="s">
        <v>2201</v>
      </c>
      <c r="H2606" s="8" t="s">
        <v>2760</v>
      </c>
    </row>
    <row r="2607" customFormat="false" ht="15" hidden="false" customHeight="false" outlineLevel="0" collapsed="false">
      <c r="A2607" s="7" t="n">
        <v>46020</v>
      </c>
      <c r="B2607" s="7" t="n">
        <v>46132</v>
      </c>
      <c r="C2607" s="8" t="n">
        <v>6858</v>
      </c>
      <c r="D2607" s="8" t="n">
        <v>0</v>
      </c>
      <c r="E2607" s="8" t="n">
        <v>0</v>
      </c>
      <c r="F2607" s="8" t="s">
        <v>2200</v>
      </c>
      <c r="G2607" s="8" t="s">
        <v>2201</v>
      </c>
      <c r="H2607" s="8" t="s">
        <v>2760</v>
      </c>
    </row>
    <row r="2608" customFormat="false" ht="15" hidden="false" customHeight="false" outlineLevel="0" collapsed="false">
      <c r="A2608" s="7" t="n">
        <v>46021</v>
      </c>
      <c r="B2608" s="7" t="n">
        <v>46042</v>
      </c>
      <c r="C2608" s="8" t="n">
        <v>6742</v>
      </c>
      <c r="D2608" s="8" t="n">
        <v>4960</v>
      </c>
      <c r="E2608" s="8" t="n">
        <v>15905</v>
      </c>
      <c r="F2608" s="8" t="s">
        <v>2200</v>
      </c>
      <c r="G2608" s="8" t="s">
        <v>2201</v>
      </c>
      <c r="H2608" s="8" t="s">
        <v>2761</v>
      </c>
    </row>
    <row r="2609" customFormat="false" ht="15" hidden="false" customHeight="false" outlineLevel="0" collapsed="false">
      <c r="A2609" s="7" t="n">
        <v>46021</v>
      </c>
      <c r="B2609" s="7" t="n">
        <v>46073</v>
      </c>
      <c r="C2609" s="8" t="n">
        <v>6768</v>
      </c>
      <c r="D2609" s="8" t="n">
        <v>2355</v>
      </c>
      <c r="E2609" s="8" t="n">
        <v>7830</v>
      </c>
      <c r="F2609" s="8" t="s">
        <v>2200</v>
      </c>
      <c r="G2609" s="8" t="s">
        <v>2201</v>
      </c>
      <c r="H2609" s="8" t="s">
        <v>2761</v>
      </c>
    </row>
    <row r="2610" customFormat="false" ht="15" hidden="false" customHeight="false" outlineLevel="0" collapsed="false">
      <c r="A2610" s="7" t="n">
        <v>46021</v>
      </c>
      <c r="B2610" s="7" t="n">
        <v>46101</v>
      </c>
      <c r="C2610" s="8" t="n">
        <v>6703</v>
      </c>
      <c r="D2610" s="8" t="n">
        <v>45</v>
      </c>
      <c r="E2610" s="8" t="n">
        <v>355</v>
      </c>
      <c r="F2610" s="8" t="s">
        <v>2200</v>
      </c>
      <c r="G2610" s="8" t="s">
        <v>2201</v>
      </c>
      <c r="H2610" s="8" t="s">
        <v>2761</v>
      </c>
    </row>
    <row r="2611" customFormat="false" ht="15" hidden="false" customHeight="false" outlineLevel="0" collapsed="false">
      <c r="A2611" s="7" t="n">
        <v>46021</v>
      </c>
      <c r="B2611" s="7" t="n">
        <v>46132</v>
      </c>
      <c r="C2611" s="8" t="n">
        <v>6855</v>
      </c>
      <c r="D2611" s="8" t="n">
        <v>0</v>
      </c>
      <c r="E2611" s="8" t="n">
        <v>0</v>
      </c>
      <c r="F2611" s="8" t="s">
        <v>2200</v>
      </c>
      <c r="G2611" s="8" t="s">
        <v>2201</v>
      </c>
      <c r="H2611" s="8" t="s">
        <v>2761</v>
      </c>
    </row>
    <row r="2612" customFormat="false" ht="15" hidden="false" customHeight="false" outlineLevel="0" collapsed="false">
      <c r="A2612" s="7" t="n">
        <v>46022</v>
      </c>
      <c r="B2612" s="7" t="n">
        <v>46042</v>
      </c>
      <c r="C2612" s="8" t="n">
        <v>6697</v>
      </c>
      <c r="D2612" s="8" t="n">
        <v>4140</v>
      </c>
      <c r="E2612" s="8" t="n">
        <v>15310</v>
      </c>
      <c r="F2612" s="8" t="s">
        <v>2200</v>
      </c>
      <c r="G2612" s="8" t="s">
        <v>2201</v>
      </c>
      <c r="H2612" s="8" t="s">
        <v>2762</v>
      </c>
    </row>
    <row r="2613" customFormat="false" ht="15" hidden="false" customHeight="false" outlineLevel="0" collapsed="false">
      <c r="A2613" s="7" t="n">
        <v>46022</v>
      </c>
      <c r="B2613" s="7" t="n">
        <v>46073</v>
      </c>
      <c r="C2613" s="8" t="n">
        <v>6724</v>
      </c>
      <c r="D2613" s="8" t="n">
        <v>2460</v>
      </c>
      <c r="E2613" s="8" t="n">
        <v>8440</v>
      </c>
      <c r="F2613" s="8" t="s">
        <v>2200</v>
      </c>
      <c r="G2613" s="8" t="s">
        <v>2201</v>
      </c>
      <c r="H2613" s="8" t="s">
        <v>2762</v>
      </c>
    </row>
    <row r="2614" customFormat="false" ht="15" hidden="false" customHeight="false" outlineLevel="0" collapsed="false">
      <c r="A2614" s="7" t="n">
        <v>46022</v>
      </c>
      <c r="B2614" s="7" t="n">
        <v>46101</v>
      </c>
      <c r="C2614" s="8" t="n">
        <v>6678</v>
      </c>
      <c r="D2614" s="8" t="n">
        <v>190</v>
      </c>
      <c r="E2614" s="8" t="n">
        <v>475</v>
      </c>
      <c r="F2614" s="8" t="s">
        <v>2200</v>
      </c>
      <c r="G2614" s="8" t="s">
        <v>2201</v>
      </c>
      <c r="H2614" s="8" t="s">
        <v>2762</v>
      </c>
    </row>
    <row r="2615" customFormat="false" ht="15" hidden="false" customHeight="false" outlineLevel="0" collapsed="false">
      <c r="A2615" s="7" t="n">
        <v>46022</v>
      </c>
      <c r="B2615" s="7" t="n">
        <v>46132</v>
      </c>
      <c r="C2615" s="8" t="n">
        <v>6820</v>
      </c>
      <c r="D2615" s="8" t="n">
        <v>0</v>
      </c>
      <c r="E2615" s="8" t="n">
        <v>0</v>
      </c>
      <c r="F2615" s="8" t="s">
        <v>2200</v>
      </c>
      <c r="G2615" s="8" t="s">
        <v>2201</v>
      </c>
      <c r="H2615" s="8" t="s">
        <v>2762</v>
      </c>
    </row>
    <row r="2616" customFormat="false" ht="15" hidden="false" customHeight="false" outlineLevel="0" collapsed="false">
      <c r="A2616" s="7" t="n">
        <v>46023</v>
      </c>
      <c r="B2616" s="7" t="n">
        <v>46042</v>
      </c>
      <c r="C2616" s="8" t="n">
        <v>6681</v>
      </c>
      <c r="D2616" s="8" t="n">
        <v>2245</v>
      </c>
      <c r="E2616" s="8" t="n">
        <v>15095</v>
      </c>
      <c r="F2616" s="8" t="s">
        <v>2200</v>
      </c>
      <c r="G2616" s="8" t="s">
        <v>2201</v>
      </c>
      <c r="H2616" s="8" t="s">
        <v>2763</v>
      </c>
    </row>
    <row r="2617" customFormat="false" ht="15" hidden="false" customHeight="false" outlineLevel="0" collapsed="false">
      <c r="A2617" s="7" t="n">
        <v>46023</v>
      </c>
      <c r="B2617" s="7" t="n">
        <v>46073</v>
      </c>
      <c r="C2617" s="8" t="n">
        <v>6703</v>
      </c>
      <c r="D2617" s="8" t="n">
        <v>2155</v>
      </c>
      <c r="E2617" s="8" t="n">
        <v>9460</v>
      </c>
      <c r="F2617" s="8" t="s">
        <v>2200</v>
      </c>
      <c r="G2617" s="8" t="s">
        <v>2201</v>
      </c>
      <c r="H2617" s="8" t="s">
        <v>2763</v>
      </c>
    </row>
    <row r="2618" customFormat="false" ht="15" hidden="false" customHeight="false" outlineLevel="0" collapsed="false">
      <c r="A2618" s="7" t="n">
        <v>46023</v>
      </c>
      <c r="B2618" s="7" t="n">
        <v>46101</v>
      </c>
      <c r="C2618" s="8" t="n">
        <v>6681</v>
      </c>
      <c r="D2618" s="8" t="n">
        <v>330</v>
      </c>
      <c r="E2618" s="8" t="n">
        <v>795</v>
      </c>
      <c r="F2618" s="8" t="s">
        <v>2200</v>
      </c>
      <c r="G2618" s="8" t="s">
        <v>2201</v>
      </c>
      <c r="H2618" s="8" t="s">
        <v>2763</v>
      </c>
    </row>
    <row r="2619" customFormat="false" ht="15" hidden="false" customHeight="false" outlineLevel="0" collapsed="false">
      <c r="A2619" s="7" t="n">
        <v>46023</v>
      </c>
      <c r="B2619" s="7" t="n">
        <v>46132</v>
      </c>
      <c r="C2619" s="8" t="n">
        <v>6831</v>
      </c>
      <c r="D2619" s="8" t="n">
        <v>0</v>
      </c>
      <c r="E2619" s="8" t="n">
        <v>0</v>
      </c>
      <c r="F2619" s="8" t="s">
        <v>2200</v>
      </c>
      <c r="G2619" s="8" t="s">
        <v>2201</v>
      </c>
      <c r="H2619" s="8" t="s">
        <v>2763</v>
      </c>
    </row>
    <row r="2620" customFormat="false" ht="15" hidden="false" customHeight="false" outlineLevel="0" collapsed="false">
      <c r="A2620" s="7" t="n">
        <v>46023</v>
      </c>
      <c r="B2620" s="7" t="n">
        <v>46162</v>
      </c>
      <c r="C2620" s="8" t="n">
        <v>6981</v>
      </c>
      <c r="D2620" s="8" t="n">
        <v>0</v>
      </c>
      <c r="E2620" s="8" t="n">
        <v>0</v>
      </c>
      <c r="F2620" s="8" t="s">
        <v>2200</v>
      </c>
      <c r="G2620" s="8" t="s">
        <v>2201</v>
      </c>
      <c r="H2620" s="8" t="s">
        <v>2763</v>
      </c>
    </row>
    <row r="2621" customFormat="false" ht="15" hidden="false" customHeight="false" outlineLevel="0" collapsed="false">
      <c r="A2621" s="7" t="n">
        <v>46024</v>
      </c>
      <c r="B2621" s="7" t="n">
        <v>46042</v>
      </c>
      <c r="C2621" s="8" t="n">
        <v>6680</v>
      </c>
      <c r="D2621" s="8" t="n">
        <v>2320</v>
      </c>
      <c r="E2621" s="8" t="n">
        <v>15330</v>
      </c>
      <c r="F2621" s="8" t="s">
        <v>2200</v>
      </c>
      <c r="G2621" s="8" t="s">
        <v>2201</v>
      </c>
      <c r="H2621" s="8" t="s">
        <v>2764</v>
      </c>
    </row>
    <row r="2622" customFormat="false" ht="15" hidden="false" customHeight="false" outlineLevel="0" collapsed="false">
      <c r="A2622" s="7" t="n">
        <v>46024</v>
      </c>
      <c r="B2622" s="7" t="n">
        <v>46073</v>
      </c>
      <c r="C2622" s="8" t="n">
        <v>6729</v>
      </c>
      <c r="D2622" s="8" t="n">
        <v>1680</v>
      </c>
      <c r="E2622" s="8" t="n">
        <v>9650</v>
      </c>
      <c r="F2622" s="8" t="s">
        <v>2200</v>
      </c>
      <c r="G2622" s="8" t="s">
        <v>2201</v>
      </c>
      <c r="H2622" s="8" t="s">
        <v>2764</v>
      </c>
    </row>
    <row r="2623" customFormat="false" ht="15" hidden="false" customHeight="false" outlineLevel="0" collapsed="false">
      <c r="A2623" s="7" t="n">
        <v>46024</v>
      </c>
      <c r="B2623" s="7" t="n">
        <v>46101</v>
      </c>
      <c r="C2623" s="8" t="n">
        <v>6690</v>
      </c>
      <c r="D2623" s="8" t="n">
        <v>15</v>
      </c>
      <c r="E2623" s="8" t="n">
        <v>805</v>
      </c>
      <c r="F2623" s="8" t="s">
        <v>2200</v>
      </c>
      <c r="G2623" s="8" t="s">
        <v>2201</v>
      </c>
      <c r="H2623" s="8" t="s">
        <v>2764</v>
      </c>
    </row>
    <row r="2624" customFormat="false" ht="15" hidden="false" customHeight="false" outlineLevel="0" collapsed="false">
      <c r="A2624" s="7" t="n">
        <v>46024</v>
      </c>
      <c r="B2624" s="7" t="n">
        <v>46132</v>
      </c>
      <c r="C2624" s="8" t="n">
        <v>6824</v>
      </c>
      <c r="D2624" s="8" t="n">
        <v>0</v>
      </c>
      <c r="E2624" s="8" t="n">
        <v>0</v>
      </c>
      <c r="F2624" s="8" t="s">
        <v>2200</v>
      </c>
      <c r="G2624" s="8" t="s">
        <v>2201</v>
      </c>
      <c r="H2624" s="8" t="s">
        <v>2764</v>
      </c>
    </row>
    <row r="2625" customFormat="false" ht="15" hidden="false" customHeight="false" outlineLevel="0" collapsed="false">
      <c r="A2625" s="7" t="n">
        <v>46024</v>
      </c>
      <c r="B2625" s="7" t="n">
        <v>46162</v>
      </c>
      <c r="C2625" s="8" t="n">
        <v>6958</v>
      </c>
      <c r="D2625" s="8" t="n">
        <v>0</v>
      </c>
      <c r="E2625" s="8" t="n">
        <v>0</v>
      </c>
      <c r="F2625" s="8" t="s">
        <v>2200</v>
      </c>
      <c r="G2625" s="8" t="s">
        <v>2201</v>
      </c>
      <c r="H2625" s="8" t="s">
        <v>2764</v>
      </c>
    </row>
    <row r="2626" customFormat="false" ht="15" hidden="false" customHeight="false" outlineLevel="0" collapsed="false">
      <c r="A2626" s="7" t="n">
        <v>46027</v>
      </c>
      <c r="B2626" s="7" t="n">
        <v>46042</v>
      </c>
      <c r="C2626" s="8" t="n">
        <v>6642</v>
      </c>
      <c r="D2626" s="8" t="n">
        <v>2370</v>
      </c>
      <c r="E2626" s="8" t="n">
        <v>14800</v>
      </c>
      <c r="F2626" s="8" t="s">
        <v>2200</v>
      </c>
      <c r="G2626" s="8" t="s">
        <v>2201</v>
      </c>
      <c r="H2626" s="8" t="s">
        <v>2765</v>
      </c>
    </row>
    <row r="2627" customFormat="false" ht="15" hidden="false" customHeight="false" outlineLevel="0" collapsed="false">
      <c r="A2627" s="7" t="n">
        <v>46027</v>
      </c>
      <c r="B2627" s="7" t="n">
        <v>46073</v>
      </c>
      <c r="C2627" s="8" t="n">
        <v>6696</v>
      </c>
      <c r="D2627" s="8" t="n">
        <v>4040</v>
      </c>
      <c r="E2627" s="8" t="n">
        <v>10575</v>
      </c>
      <c r="F2627" s="8" t="s">
        <v>2200</v>
      </c>
      <c r="G2627" s="8" t="s">
        <v>2201</v>
      </c>
      <c r="H2627" s="8" t="s">
        <v>2765</v>
      </c>
    </row>
    <row r="2628" customFormat="false" ht="15" hidden="false" customHeight="false" outlineLevel="0" collapsed="false">
      <c r="A2628" s="7" t="n">
        <v>46027</v>
      </c>
      <c r="B2628" s="7" t="n">
        <v>46101</v>
      </c>
      <c r="C2628" s="8" t="n">
        <v>6690</v>
      </c>
      <c r="D2628" s="8" t="n">
        <v>1025</v>
      </c>
      <c r="E2628" s="8" t="n">
        <v>1740</v>
      </c>
      <c r="F2628" s="8" t="s">
        <v>2200</v>
      </c>
      <c r="G2628" s="8" t="s">
        <v>2201</v>
      </c>
      <c r="H2628" s="8" t="s">
        <v>2765</v>
      </c>
    </row>
    <row r="2629" customFormat="false" ht="15" hidden="false" customHeight="false" outlineLevel="0" collapsed="false">
      <c r="A2629" s="7" t="n">
        <v>46027</v>
      </c>
      <c r="B2629" s="7" t="n">
        <v>46132</v>
      </c>
      <c r="C2629" s="8" t="n">
        <v>6817</v>
      </c>
      <c r="D2629" s="8" t="n">
        <v>0</v>
      </c>
      <c r="E2629" s="8" t="n">
        <v>0</v>
      </c>
      <c r="F2629" s="8" t="s">
        <v>2200</v>
      </c>
      <c r="G2629" s="8" t="s">
        <v>2201</v>
      </c>
      <c r="H2629" s="8" t="s">
        <v>2765</v>
      </c>
    </row>
    <row r="2630" customFormat="false" ht="15" hidden="false" customHeight="false" outlineLevel="0" collapsed="false">
      <c r="A2630" s="7" t="n">
        <v>46027</v>
      </c>
      <c r="B2630" s="7" t="n">
        <v>46162</v>
      </c>
      <c r="C2630" s="8" t="n">
        <v>6944</v>
      </c>
      <c r="D2630" s="8" t="n">
        <v>0</v>
      </c>
      <c r="E2630" s="8" t="n">
        <v>0</v>
      </c>
      <c r="F2630" s="8" t="s">
        <v>2200</v>
      </c>
      <c r="G2630" s="8" t="s">
        <v>2201</v>
      </c>
      <c r="H2630" s="8" t="s">
        <v>2765</v>
      </c>
    </row>
    <row r="2631" customFormat="false" ht="15" hidden="false" customHeight="false" outlineLevel="0" collapsed="false">
      <c r="A2631" s="7" t="n">
        <v>46028</v>
      </c>
      <c r="B2631" s="7" t="n">
        <v>46042</v>
      </c>
      <c r="C2631" s="8" t="n">
        <v>6582</v>
      </c>
      <c r="D2631" s="8" t="n">
        <v>2865</v>
      </c>
      <c r="E2631" s="8" t="n">
        <v>14295</v>
      </c>
      <c r="F2631" s="8" t="s">
        <v>2200</v>
      </c>
      <c r="G2631" s="8" t="s">
        <v>2201</v>
      </c>
      <c r="H2631" s="8" t="s">
        <v>2766</v>
      </c>
    </row>
    <row r="2632" customFormat="false" ht="15" hidden="false" customHeight="false" outlineLevel="0" collapsed="false">
      <c r="A2632" s="7" t="n">
        <v>46028</v>
      </c>
      <c r="B2632" s="7" t="n">
        <v>46073</v>
      </c>
      <c r="C2632" s="8" t="n">
        <v>6640</v>
      </c>
      <c r="D2632" s="8" t="n">
        <v>6795</v>
      </c>
      <c r="E2632" s="8" t="n">
        <v>12450</v>
      </c>
      <c r="F2632" s="8" t="s">
        <v>2200</v>
      </c>
      <c r="G2632" s="8" t="s">
        <v>2201</v>
      </c>
      <c r="H2632" s="8" t="s">
        <v>2766</v>
      </c>
    </row>
    <row r="2633" customFormat="false" ht="15" hidden="false" customHeight="false" outlineLevel="0" collapsed="false">
      <c r="A2633" s="7" t="n">
        <v>46028</v>
      </c>
      <c r="B2633" s="7" t="n">
        <v>46101</v>
      </c>
      <c r="C2633" s="8" t="n">
        <v>6641</v>
      </c>
      <c r="D2633" s="8" t="n">
        <v>2355</v>
      </c>
      <c r="E2633" s="8" t="n">
        <v>3900</v>
      </c>
      <c r="F2633" s="8" t="s">
        <v>2200</v>
      </c>
      <c r="G2633" s="8" t="s">
        <v>2201</v>
      </c>
      <c r="H2633" s="8" t="s">
        <v>2766</v>
      </c>
    </row>
    <row r="2634" customFormat="false" ht="15" hidden="false" customHeight="false" outlineLevel="0" collapsed="false">
      <c r="A2634" s="7" t="n">
        <v>46028</v>
      </c>
      <c r="B2634" s="7" t="n">
        <v>46132</v>
      </c>
      <c r="C2634" s="8" t="n">
        <v>6699</v>
      </c>
      <c r="D2634" s="8" t="n">
        <v>0</v>
      </c>
      <c r="E2634" s="8" t="n">
        <v>0</v>
      </c>
      <c r="F2634" s="8" t="s">
        <v>2200</v>
      </c>
      <c r="G2634" s="8" t="s">
        <v>2201</v>
      </c>
      <c r="H2634" s="8" t="s">
        <v>2766</v>
      </c>
    </row>
    <row r="2635" customFormat="false" ht="15" hidden="false" customHeight="false" outlineLevel="0" collapsed="false">
      <c r="A2635" s="7" t="n">
        <v>46028</v>
      </c>
      <c r="B2635" s="7" t="n">
        <v>46162</v>
      </c>
      <c r="C2635" s="8" t="n">
        <v>6757</v>
      </c>
      <c r="D2635" s="8" t="n">
        <v>0</v>
      </c>
      <c r="E2635" s="8" t="n">
        <v>0</v>
      </c>
      <c r="F2635" s="8" t="s">
        <v>2200</v>
      </c>
      <c r="G2635" s="8" t="s">
        <v>2201</v>
      </c>
      <c r="H2635" s="8" t="s">
        <v>2766</v>
      </c>
    </row>
    <row r="2636" customFormat="false" ht="15" hidden="false" customHeight="false" outlineLevel="0" collapsed="false">
      <c r="A2636" s="7" t="n">
        <v>46029</v>
      </c>
      <c r="B2636" s="7" t="n">
        <v>46042</v>
      </c>
      <c r="C2636" s="8" t="n">
        <v>6638</v>
      </c>
      <c r="D2636" s="8" t="n">
        <v>3600</v>
      </c>
      <c r="E2636" s="8" t="n">
        <v>13385</v>
      </c>
      <c r="F2636" s="8" t="s">
        <v>2200</v>
      </c>
      <c r="G2636" s="8" t="s">
        <v>2201</v>
      </c>
      <c r="H2636" s="8" t="s">
        <v>2767</v>
      </c>
    </row>
    <row r="2637" customFormat="false" ht="15" hidden="false" customHeight="false" outlineLevel="0" collapsed="false">
      <c r="A2637" s="7" t="n">
        <v>46029</v>
      </c>
      <c r="B2637" s="7" t="n">
        <v>46073</v>
      </c>
      <c r="C2637" s="8" t="n">
        <v>6685</v>
      </c>
      <c r="D2637" s="8" t="n">
        <v>5620</v>
      </c>
      <c r="E2637" s="8" t="n">
        <v>13030</v>
      </c>
      <c r="F2637" s="8" t="s">
        <v>2200</v>
      </c>
      <c r="G2637" s="8" t="s">
        <v>2201</v>
      </c>
      <c r="H2637" s="8" t="s">
        <v>2767</v>
      </c>
    </row>
    <row r="2638" customFormat="false" ht="15" hidden="false" customHeight="false" outlineLevel="0" collapsed="false">
      <c r="A2638" s="7" t="n">
        <v>46029</v>
      </c>
      <c r="B2638" s="7" t="n">
        <v>46101</v>
      </c>
      <c r="C2638" s="8" t="n">
        <v>6679</v>
      </c>
      <c r="D2638" s="8" t="n">
        <v>1430</v>
      </c>
      <c r="E2638" s="8" t="n">
        <v>4700</v>
      </c>
      <c r="F2638" s="8" t="s">
        <v>2200</v>
      </c>
      <c r="G2638" s="8" t="s">
        <v>2201</v>
      </c>
      <c r="H2638" s="8" t="s">
        <v>2767</v>
      </c>
    </row>
    <row r="2639" customFormat="false" ht="15" hidden="false" customHeight="false" outlineLevel="0" collapsed="false">
      <c r="A2639" s="7" t="n">
        <v>46029</v>
      </c>
      <c r="B2639" s="7" t="n">
        <v>46132</v>
      </c>
      <c r="C2639" s="8" t="n">
        <v>6774</v>
      </c>
      <c r="D2639" s="8" t="n">
        <v>0</v>
      </c>
      <c r="E2639" s="8" t="n">
        <v>0</v>
      </c>
      <c r="F2639" s="8" t="s">
        <v>2200</v>
      </c>
      <c r="G2639" s="8" t="s">
        <v>2201</v>
      </c>
      <c r="H2639" s="8" t="s">
        <v>2767</v>
      </c>
    </row>
    <row r="2640" customFormat="false" ht="15" hidden="false" customHeight="false" outlineLevel="0" collapsed="false">
      <c r="A2640" s="7" t="n">
        <v>46029</v>
      </c>
      <c r="B2640" s="7" t="n">
        <v>46162</v>
      </c>
      <c r="C2640" s="8" t="n">
        <v>6869</v>
      </c>
      <c r="D2640" s="8" t="n">
        <v>0</v>
      </c>
      <c r="E2640" s="8" t="n">
        <v>0</v>
      </c>
      <c r="F2640" s="8" t="s">
        <v>2200</v>
      </c>
      <c r="G2640" s="8" t="s">
        <v>2201</v>
      </c>
      <c r="H2640" s="8" t="s">
        <v>2767</v>
      </c>
    </row>
    <row r="2641" customFormat="false" ht="15" hidden="false" customHeight="false" outlineLevel="0" collapsed="false">
      <c r="A2641" s="7" t="n">
        <v>46030</v>
      </c>
      <c r="B2641" s="7" t="n">
        <v>46042</v>
      </c>
      <c r="C2641" s="8" t="n">
        <v>6618</v>
      </c>
      <c r="D2641" s="8" t="n">
        <v>2740</v>
      </c>
      <c r="E2641" s="8" t="n">
        <v>12415</v>
      </c>
      <c r="F2641" s="8" t="s">
        <v>2200</v>
      </c>
      <c r="G2641" s="8" t="s">
        <v>2201</v>
      </c>
      <c r="H2641" s="8" t="s">
        <v>2768</v>
      </c>
    </row>
    <row r="2642" customFormat="false" ht="15" hidden="false" customHeight="false" outlineLevel="0" collapsed="false">
      <c r="A2642" s="7" t="n">
        <v>46030</v>
      </c>
      <c r="B2642" s="7" t="n">
        <v>46073</v>
      </c>
      <c r="C2642" s="8" t="n">
        <v>6667</v>
      </c>
      <c r="D2642" s="8" t="n">
        <v>3880</v>
      </c>
      <c r="E2642" s="8" t="n">
        <v>14460</v>
      </c>
      <c r="F2642" s="8" t="s">
        <v>2200</v>
      </c>
      <c r="G2642" s="8" t="s">
        <v>2201</v>
      </c>
      <c r="H2642" s="8" t="s">
        <v>2768</v>
      </c>
    </row>
    <row r="2643" customFormat="false" ht="15" hidden="false" customHeight="false" outlineLevel="0" collapsed="false">
      <c r="A2643" s="7" t="n">
        <v>46030</v>
      </c>
      <c r="B2643" s="7" t="n">
        <v>46101</v>
      </c>
      <c r="C2643" s="8" t="n">
        <v>6654</v>
      </c>
      <c r="D2643" s="8" t="n">
        <v>470</v>
      </c>
      <c r="E2643" s="8" t="n">
        <v>5080</v>
      </c>
      <c r="F2643" s="8" t="s">
        <v>2200</v>
      </c>
      <c r="G2643" s="8" t="s">
        <v>2201</v>
      </c>
      <c r="H2643" s="8" t="s">
        <v>2768</v>
      </c>
    </row>
    <row r="2644" customFormat="false" ht="15" hidden="false" customHeight="false" outlineLevel="0" collapsed="false">
      <c r="A2644" s="7" t="n">
        <v>46030</v>
      </c>
      <c r="B2644" s="7" t="n">
        <v>46132</v>
      </c>
      <c r="C2644" s="8" t="n">
        <v>6779</v>
      </c>
      <c r="D2644" s="8" t="n">
        <v>0</v>
      </c>
      <c r="E2644" s="8" t="n">
        <v>0</v>
      </c>
      <c r="F2644" s="8" t="s">
        <v>2200</v>
      </c>
      <c r="G2644" s="8" t="s">
        <v>2201</v>
      </c>
      <c r="H2644" s="8" t="s">
        <v>2768</v>
      </c>
    </row>
    <row r="2645" customFormat="false" ht="15" hidden="false" customHeight="false" outlineLevel="0" collapsed="false">
      <c r="A2645" s="7" t="n">
        <v>46030</v>
      </c>
      <c r="B2645" s="7" t="n">
        <v>46162</v>
      </c>
      <c r="C2645" s="8" t="n">
        <v>6904</v>
      </c>
      <c r="D2645" s="8" t="n">
        <v>0</v>
      </c>
      <c r="E2645" s="8" t="n">
        <v>0</v>
      </c>
      <c r="F2645" s="8" t="s">
        <v>2200</v>
      </c>
      <c r="G2645" s="8" t="s">
        <v>2201</v>
      </c>
      <c r="H2645" s="8" t="s">
        <v>2768</v>
      </c>
    </row>
    <row r="2646" customFormat="false" ht="15" hidden="false" customHeight="false" outlineLevel="0" collapsed="false">
      <c r="A2646" s="7" t="n">
        <v>46031</v>
      </c>
      <c r="B2646" s="7" t="n">
        <v>46042</v>
      </c>
      <c r="C2646" s="8" t="n">
        <v>6622</v>
      </c>
      <c r="D2646" s="8" t="n">
        <v>1935</v>
      </c>
      <c r="E2646" s="8" t="n">
        <v>11555</v>
      </c>
      <c r="F2646" s="8" t="s">
        <v>2200</v>
      </c>
      <c r="G2646" s="8" t="s">
        <v>2201</v>
      </c>
      <c r="H2646" s="8" t="s">
        <v>2769</v>
      </c>
    </row>
    <row r="2647" customFormat="false" ht="15" hidden="false" customHeight="false" outlineLevel="0" collapsed="false">
      <c r="A2647" s="7" t="n">
        <v>46031</v>
      </c>
      <c r="B2647" s="7" t="n">
        <v>46073</v>
      </c>
      <c r="C2647" s="8" t="n">
        <v>6666</v>
      </c>
      <c r="D2647" s="8" t="n">
        <v>2550</v>
      </c>
      <c r="E2647" s="8" t="n">
        <v>15530</v>
      </c>
      <c r="F2647" s="8" t="s">
        <v>2200</v>
      </c>
      <c r="G2647" s="8" t="s">
        <v>2201</v>
      </c>
      <c r="H2647" s="8" t="s">
        <v>2769</v>
      </c>
    </row>
    <row r="2648" customFormat="false" ht="15" hidden="false" customHeight="false" outlineLevel="0" collapsed="false">
      <c r="A2648" s="7" t="n">
        <v>46031</v>
      </c>
      <c r="B2648" s="7" t="n">
        <v>46101</v>
      </c>
      <c r="C2648" s="8" t="n">
        <v>6662</v>
      </c>
      <c r="D2648" s="8" t="n">
        <v>370</v>
      </c>
      <c r="E2648" s="8" t="n">
        <v>5400</v>
      </c>
      <c r="F2648" s="8" t="s">
        <v>2200</v>
      </c>
      <c r="G2648" s="8" t="s">
        <v>2201</v>
      </c>
      <c r="H2648" s="8" t="s">
        <v>2769</v>
      </c>
    </row>
    <row r="2649" customFormat="false" ht="15" hidden="false" customHeight="false" outlineLevel="0" collapsed="false">
      <c r="A2649" s="7" t="n">
        <v>46031</v>
      </c>
      <c r="B2649" s="7" t="n">
        <v>46132</v>
      </c>
      <c r="C2649" s="8" t="n">
        <v>6810</v>
      </c>
      <c r="D2649" s="8" t="n">
        <v>0</v>
      </c>
      <c r="E2649" s="8" t="n">
        <v>0</v>
      </c>
      <c r="F2649" s="8" t="s">
        <v>2200</v>
      </c>
      <c r="G2649" s="8" t="s">
        <v>2201</v>
      </c>
      <c r="H2649" s="8" t="s">
        <v>2769</v>
      </c>
    </row>
    <row r="2650" customFormat="false" ht="15" hidden="false" customHeight="false" outlineLevel="0" collapsed="false">
      <c r="A2650" s="7" t="n">
        <v>46031</v>
      </c>
      <c r="B2650" s="7" t="n">
        <v>46162</v>
      </c>
      <c r="C2650" s="8" t="n">
        <v>6958</v>
      </c>
      <c r="D2650" s="8" t="n">
        <v>0</v>
      </c>
      <c r="E2650" s="8" t="n">
        <v>0</v>
      </c>
      <c r="F2650" s="8" t="s">
        <v>2200</v>
      </c>
      <c r="G2650" s="8" t="s">
        <v>2201</v>
      </c>
      <c r="H2650" s="8" t="s">
        <v>2769</v>
      </c>
    </row>
    <row r="2651" customFormat="false" ht="15" hidden="false" customHeight="false" outlineLevel="0" collapsed="false">
      <c r="A2651" s="7" t="n">
        <v>46034</v>
      </c>
      <c r="B2651" s="7" t="n">
        <v>46042</v>
      </c>
      <c r="C2651" s="8" t="n">
        <v>6566</v>
      </c>
      <c r="D2651" s="8" t="n">
        <v>5740</v>
      </c>
      <c r="E2651" s="8" t="n">
        <v>7375</v>
      </c>
      <c r="F2651" s="8" t="s">
        <v>2200</v>
      </c>
      <c r="G2651" s="8" t="s">
        <v>2201</v>
      </c>
      <c r="H2651" s="8" t="s">
        <v>2770</v>
      </c>
    </row>
    <row r="2652" customFormat="false" ht="15" hidden="false" customHeight="false" outlineLevel="0" collapsed="false">
      <c r="A2652" s="7" t="n">
        <v>46034</v>
      </c>
      <c r="B2652" s="7" t="n">
        <v>46073</v>
      </c>
      <c r="C2652" s="8" t="n">
        <v>6628</v>
      </c>
      <c r="D2652" s="8" t="n">
        <v>6635</v>
      </c>
      <c r="E2652" s="8" t="n">
        <v>19395</v>
      </c>
      <c r="F2652" s="8" t="s">
        <v>2200</v>
      </c>
      <c r="G2652" s="8" t="s">
        <v>2201</v>
      </c>
      <c r="H2652" s="8" t="s">
        <v>2770</v>
      </c>
    </row>
    <row r="2653" customFormat="false" ht="15" hidden="false" customHeight="false" outlineLevel="0" collapsed="false">
      <c r="A2653" s="7" t="n">
        <v>46034</v>
      </c>
      <c r="B2653" s="7" t="n">
        <v>46101</v>
      </c>
      <c r="C2653" s="8" t="n">
        <v>6632</v>
      </c>
      <c r="D2653" s="8" t="n">
        <v>160</v>
      </c>
      <c r="E2653" s="8" t="n">
        <v>5540</v>
      </c>
      <c r="F2653" s="8" t="s">
        <v>2200</v>
      </c>
      <c r="G2653" s="8" t="s">
        <v>2201</v>
      </c>
      <c r="H2653" s="8" t="s">
        <v>2770</v>
      </c>
    </row>
    <row r="2654" customFormat="false" ht="15" hidden="false" customHeight="false" outlineLevel="0" collapsed="false">
      <c r="A2654" s="7" t="n">
        <v>46034</v>
      </c>
      <c r="B2654" s="7" t="n">
        <v>46132</v>
      </c>
      <c r="C2654" s="8" t="n">
        <v>6694</v>
      </c>
      <c r="D2654" s="8" t="n">
        <v>0</v>
      </c>
      <c r="E2654" s="8" t="n">
        <v>0</v>
      </c>
      <c r="F2654" s="8" t="s">
        <v>2200</v>
      </c>
      <c r="G2654" s="8" t="s">
        <v>2201</v>
      </c>
      <c r="H2654" s="8" t="s">
        <v>2770</v>
      </c>
    </row>
    <row r="2655" customFormat="false" ht="15" hidden="false" customHeight="false" outlineLevel="0" collapsed="false">
      <c r="A2655" s="7" t="n">
        <v>46034</v>
      </c>
      <c r="B2655" s="7" t="n">
        <v>46162</v>
      </c>
      <c r="C2655" s="8" t="n">
        <v>6756</v>
      </c>
      <c r="D2655" s="8" t="n">
        <v>0</v>
      </c>
      <c r="E2655" s="8" t="n">
        <v>0</v>
      </c>
      <c r="F2655" s="8" t="s">
        <v>2200</v>
      </c>
      <c r="G2655" s="8" t="s">
        <v>2201</v>
      </c>
      <c r="H2655" s="8" t="s">
        <v>2770</v>
      </c>
    </row>
    <row r="2656" customFormat="false" ht="15" hidden="false" customHeight="false" outlineLevel="0" collapsed="false">
      <c r="A2656" s="7" t="n">
        <v>46035</v>
      </c>
      <c r="B2656" s="7" t="n">
        <v>46042</v>
      </c>
      <c r="C2656" s="8" t="n">
        <v>6475</v>
      </c>
      <c r="D2656" s="8" t="n">
        <v>3730</v>
      </c>
      <c r="E2656" s="8" t="n">
        <v>4405</v>
      </c>
      <c r="F2656" s="8" t="s">
        <v>2200</v>
      </c>
      <c r="G2656" s="8" t="s">
        <v>2201</v>
      </c>
      <c r="H2656" s="8" t="s">
        <v>2771</v>
      </c>
    </row>
    <row r="2657" customFormat="false" ht="15" hidden="false" customHeight="false" outlineLevel="0" collapsed="false">
      <c r="A2657" s="7" t="n">
        <v>46035</v>
      </c>
      <c r="B2657" s="7" t="n">
        <v>46073</v>
      </c>
      <c r="C2657" s="8" t="n">
        <v>6557</v>
      </c>
      <c r="D2657" s="8" t="n">
        <v>5585</v>
      </c>
      <c r="E2657" s="8" t="n">
        <v>21125</v>
      </c>
      <c r="F2657" s="8" t="s">
        <v>2200</v>
      </c>
      <c r="G2657" s="8" t="s">
        <v>2201</v>
      </c>
      <c r="H2657" s="8" t="s">
        <v>2771</v>
      </c>
    </row>
    <row r="2658" customFormat="false" ht="15" hidden="false" customHeight="false" outlineLevel="0" collapsed="false">
      <c r="A2658" s="7" t="n">
        <v>46035</v>
      </c>
      <c r="B2658" s="7" t="n">
        <v>46101</v>
      </c>
      <c r="C2658" s="8" t="n">
        <v>6541</v>
      </c>
      <c r="D2658" s="8" t="n">
        <v>930</v>
      </c>
      <c r="E2658" s="8" t="n">
        <v>5900</v>
      </c>
      <c r="F2658" s="8" t="s">
        <v>2200</v>
      </c>
      <c r="G2658" s="8" t="s">
        <v>2201</v>
      </c>
      <c r="H2658" s="8" t="s">
        <v>2771</v>
      </c>
    </row>
    <row r="2659" customFormat="false" ht="15" hidden="false" customHeight="false" outlineLevel="0" collapsed="false">
      <c r="A2659" s="7" t="n">
        <v>46035</v>
      </c>
      <c r="B2659" s="7" t="n">
        <v>46132</v>
      </c>
      <c r="C2659" s="8" t="n">
        <v>6691</v>
      </c>
      <c r="D2659" s="8" t="n">
        <v>0</v>
      </c>
      <c r="E2659" s="8" t="n">
        <v>0</v>
      </c>
      <c r="F2659" s="8" t="s">
        <v>2200</v>
      </c>
      <c r="G2659" s="8" t="s">
        <v>2201</v>
      </c>
      <c r="H2659" s="8" t="s">
        <v>2771</v>
      </c>
    </row>
    <row r="2660" customFormat="false" ht="15" hidden="false" customHeight="false" outlineLevel="0" collapsed="false">
      <c r="A2660" s="7" t="n">
        <v>46035</v>
      </c>
      <c r="B2660" s="7" t="n">
        <v>46162</v>
      </c>
      <c r="C2660" s="8" t="n">
        <v>6841</v>
      </c>
      <c r="D2660" s="8" t="n">
        <v>0</v>
      </c>
      <c r="E2660" s="8" t="n">
        <v>0</v>
      </c>
      <c r="F2660" s="8" t="s">
        <v>2200</v>
      </c>
      <c r="G2660" s="8" t="s">
        <v>2201</v>
      </c>
      <c r="H2660" s="8" t="s">
        <v>2771</v>
      </c>
    </row>
    <row r="2661" customFormat="false" ht="15" hidden="false" customHeight="false" outlineLevel="0" collapsed="false">
      <c r="A2661" s="7" t="n">
        <v>46036</v>
      </c>
      <c r="B2661" s="7" t="n">
        <v>46042</v>
      </c>
      <c r="C2661" s="8" t="n">
        <v>6402</v>
      </c>
      <c r="D2661" s="8" t="n">
        <v>3540</v>
      </c>
      <c r="E2661" s="8" t="n">
        <v>2335</v>
      </c>
      <c r="F2661" s="8" t="s">
        <v>2200</v>
      </c>
      <c r="G2661" s="8" t="s">
        <v>2201</v>
      </c>
      <c r="H2661" s="8" t="s">
        <v>2772</v>
      </c>
    </row>
    <row r="2662" customFormat="false" ht="15" hidden="false" customHeight="false" outlineLevel="0" collapsed="false">
      <c r="A2662" s="7" t="n">
        <v>46036</v>
      </c>
      <c r="B2662" s="7" t="n">
        <v>46073</v>
      </c>
      <c r="C2662" s="8" t="n">
        <v>6488</v>
      </c>
      <c r="D2662" s="8" t="n">
        <v>4115</v>
      </c>
      <c r="E2662" s="8" t="n">
        <v>23600</v>
      </c>
      <c r="F2662" s="8" t="s">
        <v>2200</v>
      </c>
      <c r="G2662" s="8" t="s">
        <v>2201</v>
      </c>
      <c r="H2662" s="8" t="s">
        <v>2772</v>
      </c>
    </row>
    <row r="2663" customFormat="false" ht="15" hidden="false" customHeight="false" outlineLevel="0" collapsed="false">
      <c r="A2663" s="7" t="n">
        <v>46036</v>
      </c>
      <c r="B2663" s="7" t="n">
        <v>46101</v>
      </c>
      <c r="C2663" s="8" t="n">
        <v>6481</v>
      </c>
      <c r="D2663" s="8" t="n">
        <v>155</v>
      </c>
      <c r="E2663" s="8" t="n">
        <v>6015</v>
      </c>
      <c r="F2663" s="8" t="s">
        <v>2200</v>
      </c>
      <c r="G2663" s="8" t="s">
        <v>2201</v>
      </c>
      <c r="H2663" s="8" t="s">
        <v>2772</v>
      </c>
    </row>
    <row r="2664" customFormat="false" ht="15" hidden="false" customHeight="false" outlineLevel="0" collapsed="false">
      <c r="A2664" s="7" t="n">
        <v>46036</v>
      </c>
      <c r="B2664" s="7" t="n">
        <v>46132</v>
      </c>
      <c r="C2664" s="8" t="n">
        <v>6690</v>
      </c>
      <c r="D2664" s="8" t="n">
        <v>0</v>
      </c>
      <c r="E2664" s="8" t="n">
        <v>0</v>
      </c>
      <c r="F2664" s="8" t="s">
        <v>2200</v>
      </c>
      <c r="G2664" s="8" t="s">
        <v>2201</v>
      </c>
      <c r="H2664" s="8" t="s">
        <v>2772</v>
      </c>
    </row>
    <row r="2665" customFormat="false" ht="15" hidden="false" customHeight="false" outlineLevel="0" collapsed="false">
      <c r="A2665" s="7" t="n">
        <v>46036</v>
      </c>
      <c r="B2665" s="7" t="n">
        <v>46162</v>
      </c>
      <c r="C2665" s="8" t="n">
        <v>6899</v>
      </c>
      <c r="D2665" s="8" t="n">
        <v>0</v>
      </c>
      <c r="E2665" s="8" t="n">
        <v>0</v>
      </c>
      <c r="F2665" s="8" t="s">
        <v>2200</v>
      </c>
      <c r="G2665" s="8" t="s">
        <v>2201</v>
      </c>
      <c r="H2665" s="8" t="s">
        <v>2772</v>
      </c>
    </row>
    <row r="2666" customFormat="false" ht="15" hidden="false" customHeight="false" outlineLevel="0" collapsed="false">
      <c r="A2666" s="7" t="n">
        <v>46038</v>
      </c>
      <c r="B2666" s="7" t="n">
        <v>46042</v>
      </c>
      <c r="C2666" s="8" t="n">
        <v>6413</v>
      </c>
      <c r="D2666" s="8" t="n">
        <v>1120</v>
      </c>
      <c r="E2666" s="8" t="n">
        <v>1460</v>
      </c>
      <c r="F2666" s="8" t="s">
        <v>2200</v>
      </c>
      <c r="G2666" s="8" t="s">
        <v>2201</v>
      </c>
      <c r="H2666" s="8" t="s">
        <v>2773</v>
      </c>
    </row>
    <row r="2667" customFormat="false" ht="15" hidden="false" customHeight="false" outlineLevel="0" collapsed="false">
      <c r="A2667" s="7" t="n">
        <v>46038</v>
      </c>
      <c r="B2667" s="7" t="n">
        <v>46073</v>
      </c>
      <c r="C2667" s="8" t="n">
        <v>6499</v>
      </c>
      <c r="D2667" s="8" t="n">
        <v>4695</v>
      </c>
      <c r="E2667" s="8" t="n">
        <v>25470</v>
      </c>
      <c r="F2667" s="8" t="s">
        <v>2200</v>
      </c>
      <c r="G2667" s="8" t="s">
        <v>2201</v>
      </c>
      <c r="H2667" s="8" t="s">
        <v>2773</v>
      </c>
    </row>
    <row r="2668" customFormat="false" ht="15" hidden="false" customHeight="false" outlineLevel="0" collapsed="false">
      <c r="A2668" s="7" t="n">
        <v>46038</v>
      </c>
      <c r="B2668" s="7" t="n">
        <v>46101</v>
      </c>
      <c r="C2668" s="8" t="n">
        <v>6500</v>
      </c>
      <c r="D2668" s="8" t="n">
        <v>505</v>
      </c>
      <c r="E2668" s="8" t="n">
        <v>6325</v>
      </c>
      <c r="F2668" s="8" t="s">
        <v>2200</v>
      </c>
      <c r="G2668" s="8" t="s">
        <v>2201</v>
      </c>
      <c r="H2668" s="8" t="s">
        <v>2773</v>
      </c>
    </row>
    <row r="2669" customFormat="false" ht="15" hidden="false" customHeight="false" outlineLevel="0" collapsed="false">
      <c r="A2669" s="7" t="n">
        <v>46038</v>
      </c>
      <c r="B2669" s="7" t="n">
        <v>46132</v>
      </c>
      <c r="C2669" s="8" t="n">
        <v>6690</v>
      </c>
      <c r="D2669" s="8" t="n">
        <v>0</v>
      </c>
      <c r="E2669" s="8" t="n">
        <v>0</v>
      </c>
      <c r="F2669" s="8" t="s">
        <v>2200</v>
      </c>
      <c r="G2669" s="8" t="s">
        <v>2201</v>
      </c>
      <c r="H2669" s="8" t="s">
        <v>2773</v>
      </c>
    </row>
    <row r="2670" customFormat="false" ht="15" hidden="false" customHeight="false" outlineLevel="0" collapsed="false">
      <c r="A2670" s="7" t="n">
        <v>46038</v>
      </c>
      <c r="B2670" s="7" t="n">
        <v>46162</v>
      </c>
      <c r="C2670" s="8" t="n">
        <v>6899</v>
      </c>
      <c r="D2670" s="8" t="n">
        <v>0</v>
      </c>
      <c r="E2670" s="8" t="n">
        <v>0</v>
      </c>
      <c r="F2670" s="8" t="s">
        <v>2200</v>
      </c>
      <c r="G2670" s="8" t="s">
        <v>2201</v>
      </c>
      <c r="H2670" s="8" t="s">
        <v>2773</v>
      </c>
    </row>
    <row r="2671" customFormat="false" ht="15" hidden="false" customHeight="false" outlineLevel="0" collapsed="false">
      <c r="A2671" s="7" t="n">
        <v>46041</v>
      </c>
      <c r="B2671" s="7" t="n">
        <v>46042</v>
      </c>
      <c r="C2671" s="8" t="n">
        <v>6487</v>
      </c>
      <c r="D2671" s="8" t="n">
        <v>0</v>
      </c>
      <c r="E2671" s="8" t="n">
        <v>0</v>
      </c>
      <c r="F2671" s="8" t="s">
        <v>2200</v>
      </c>
      <c r="G2671" s="8" t="s">
        <v>2201</v>
      </c>
      <c r="H2671" s="8" t="s">
        <v>2774</v>
      </c>
    </row>
    <row r="2672" customFormat="false" ht="15" hidden="false" customHeight="false" outlineLevel="0" collapsed="false">
      <c r="A2672" s="7" t="n">
        <v>46041</v>
      </c>
      <c r="B2672" s="7" t="n">
        <v>46073</v>
      </c>
      <c r="C2672" s="8" t="n">
        <v>6446</v>
      </c>
      <c r="D2672" s="8" t="n">
        <v>3105</v>
      </c>
      <c r="E2672" s="8" t="n">
        <v>25285</v>
      </c>
      <c r="F2672" s="8" t="s">
        <v>2200</v>
      </c>
      <c r="G2672" s="8" t="s">
        <v>2201</v>
      </c>
      <c r="H2672" s="8" t="s">
        <v>2774</v>
      </c>
    </row>
    <row r="2673" customFormat="false" ht="15" hidden="false" customHeight="false" outlineLevel="0" collapsed="false">
      <c r="A2673" s="7" t="n">
        <v>46041</v>
      </c>
      <c r="B2673" s="7" t="n">
        <v>46101</v>
      </c>
      <c r="C2673" s="8" t="n">
        <v>6489</v>
      </c>
      <c r="D2673" s="8" t="n">
        <v>1675</v>
      </c>
      <c r="E2673" s="8" t="n">
        <v>7430</v>
      </c>
      <c r="F2673" s="8" t="s">
        <v>2200</v>
      </c>
      <c r="G2673" s="8" t="s">
        <v>2201</v>
      </c>
      <c r="H2673" s="8" t="s">
        <v>2774</v>
      </c>
    </row>
    <row r="2674" customFormat="false" ht="15" hidden="false" customHeight="false" outlineLevel="0" collapsed="false">
      <c r="A2674" s="7" t="n">
        <v>46041</v>
      </c>
      <c r="B2674" s="7" t="n">
        <v>46132</v>
      </c>
      <c r="C2674" s="8" t="n">
        <v>6690</v>
      </c>
      <c r="D2674" s="8" t="n">
        <v>0</v>
      </c>
      <c r="E2674" s="8" t="n">
        <v>0</v>
      </c>
      <c r="F2674" s="8" t="s">
        <v>2200</v>
      </c>
      <c r="G2674" s="8" t="s">
        <v>2201</v>
      </c>
      <c r="H2674" s="8" t="s">
        <v>2774</v>
      </c>
    </row>
    <row r="2675" customFormat="false" ht="15" hidden="false" customHeight="false" outlineLevel="0" collapsed="false">
      <c r="A2675" s="7" t="n">
        <v>46041</v>
      </c>
      <c r="B2675" s="7" t="n">
        <v>46162</v>
      </c>
      <c r="C2675" s="8" t="n">
        <v>6899</v>
      </c>
      <c r="D2675" s="8" t="n">
        <v>0</v>
      </c>
      <c r="E2675" s="8" t="n">
        <v>0</v>
      </c>
      <c r="F2675" s="8" t="s">
        <v>2200</v>
      </c>
      <c r="G2675" s="8" t="s">
        <v>2201</v>
      </c>
      <c r="H2675" s="8" t="s">
        <v>2774</v>
      </c>
    </row>
    <row r="2676" customFormat="false" ht="15" hidden="false" customHeight="false" outlineLevel="0" collapsed="false">
      <c r="A2676" s="7" t="n">
        <v>46042</v>
      </c>
      <c r="B2676" s="7" t="n">
        <v>46042</v>
      </c>
      <c r="C2676" s="8" t="n">
        <v>6264</v>
      </c>
      <c r="D2676" s="8" t="n">
        <v>10</v>
      </c>
      <c r="E2676" s="8" t="n">
        <v>5</v>
      </c>
      <c r="F2676" s="8" t="s">
        <v>2200</v>
      </c>
      <c r="G2676" s="8" t="s">
        <v>2201</v>
      </c>
      <c r="H2676" s="8" t="s">
        <v>2775</v>
      </c>
    </row>
    <row r="2677" customFormat="false" ht="15" hidden="false" customHeight="false" outlineLevel="0" collapsed="false">
      <c r="A2677" s="7" t="n">
        <v>46042</v>
      </c>
      <c r="B2677" s="7" t="n">
        <v>46073</v>
      </c>
      <c r="C2677" s="8" t="n">
        <v>6461</v>
      </c>
      <c r="D2677" s="8" t="n">
        <v>1950</v>
      </c>
      <c r="E2677" s="8" t="n">
        <v>25260</v>
      </c>
      <c r="F2677" s="8" t="s">
        <v>2200</v>
      </c>
      <c r="G2677" s="8" t="s">
        <v>2201</v>
      </c>
      <c r="H2677" s="8" t="s">
        <v>2775</v>
      </c>
    </row>
    <row r="2678" customFormat="false" ht="15" hidden="false" customHeight="false" outlineLevel="0" collapsed="false">
      <c r="A2678" s="7" t="n">
        <v>46042</v>
      </c>
      <c r="B2678" s="7" t="n">
        <v>46101</v>
      </c>
      <c r="C2678" s="8" t="n">
        <v>6499</v>
      </c>
      <c r="D2678" s="8" t="n">
        <v>550</v>
      </c>
      <c r="E2678" s="8" t="n">
        <v>7560</v>
      </c>
      <c r="F2678" s="8" t="s">
        <v>2200</v>
      </c>
      <c r="G2678" s="8" t="s">
        <v>2201</v>
      </c>
      <c r="H2678" s="8" t="s">
        <v>2775</v>
      </c>
    </row>
    <row r="2679" customFormat="false" ht="15" hidden="false" customHeight="false" outlineLevel="0" collapsed="false">
      <c r="A2679" s="7" t="n">
        <v>46042</v>
      </c>
      <c r="B2679" s="7" t="n">
        <v>46132</v>
      </c>
      <c r="C2679" s="8" t="n">
        <v>6690</v>
      </c>
      <c r="D2679" s="8" t="n">
        <v>0</v>
      </c>
      <c r="E2679" s="8" t="n">
        <v>0</v>
      </c>
      <c r="F2679" s="8" t="s">
        <v>2200</v>
      </c>
      <c r="G2679" s="8" t="s">
        <v>2201</v>
      </c>
      <c r="H2679" s="8" t="s">
        <v>2775</v>
      </c>
    </row>
    <row r="2680" customFormat="false" ht="15" hidden="false" customHeight="false" outlineLevel="0" collapsed="false">
      <c r="A2680" s="7" t="n">
        <v>46042</v>
      </c>
      <c r="B2680" s="7" t="n">
        <v>46162</v>
      </c>
      <c r="C2680" s="8" t="n">
        <v>6899</v>
      </c>
      <c r="D2680" s="8" t="n">
        <v>0</v>
      </c>
      <c r="E2680" s="8" t="n">
        <v>0</v>
      </c>
      <c r="F2680" s="8" t="s">
        <v>2200</v>
      </c>
      <c r="G2680" s="8" t="s">
        <v>2201</v>
      </c>
      <c r="H2680" s="8" t="s">
        <v>2775</v>
      </c>
    </row>
    <row r="2681" customFormat="false" ht="15" hidden="false" customHeight="false" outlineLevel="0" collapsed="false">
      <c r="A2681" s="7" t="n">
        <v>46043</v>
      </c>
      <c r="B2681" s="7" t="n">
        <v>46073</v>
      </c>
      <c r="C2681" s="8" t="n">
        <v>6534</v>
      </c>
      <c r="D2681" s="8" t="n">
        <v>3575</v>
      </c>
      <c r="E2681" s="8" t="n">
        <v>25780</v>
      </c>
      <c r="F2681" s="8" t="s">
        <v>2200</v>
      </c>
      <c r="G2681" s="8" t="s">
        <v>2201</v>
      </c>
      <c r="H2681" s="8" t="s">
        <v>2776</v>
      </c>
    </row>
    <row r="2682" customFormat="false" ht="15" hidden="false" customHeight="false" outlineLevel="0" collapsed="false">
      <c r="A2682" s="7" t="n">
        <v>46043</v>
      </c>
      <c r="B2682" s="7" t="n">
        <v>46101</v>
      </c>
      <c r="C2682" s="8" t="n">
        <v>6563</v>
      </c>
      <c r="D2682" s="8" t="n">
        <v>1820</v>
      </c>
      <c r="E2682" s="8" t="n">
        <v>8560</v>
      </c>
      <c r="F2682" s="8" t="s">
        <v>2200</v>
      </c>
      <c r="G2682" s="8" t="s">
        <v>2201</v>
      </c>
      <c r="H2682" s="8" t="s">
        <v>2776</v>
      </c>
    </row>
    <row r="2683" customFormat="false" ht="15" hidden="false" customHeight="false" outlineLevel="0" collapsed="false">
      <c r="A2683" s="7" t="n">
        <v>46043</v>
      </c>
      <c r="B2683" s="7" t="n">
        <v>46132</v>
      </c>
      <c r="C2683" s="8" t="n">
        <v>6592</v>
      </c>
      <c r="D2683" s="8" t="n">
        <v>0</v>
      </c>
      <c r="E2683" s="8" t="n">
        <v>0</v>
      </c>
      <c r="F2683" s="8" t="s">
        <v>2200</v>
      </c>
      <c r="G2683" s="8" t="s">
        <v>2201</v>
      </c>
      <c r="H2683" s="8" t="s">
        <v>2776</v>
      </c>
    </row>
    <row r="2684" customFormat="false" ht="15" hidden="false" customHeight="false" outlineLevel="0" collapsed="false">
      <c r="A2684" s="7" t="n">
        <v>46043</v>
      </c>
      <c r="B2684" s="7" t="n">
        <v>46162</v>
      </c>
      <c r="C2684" s="8" t="n">
        <v>6899</v>
      </c>
      <c r="D2684" s="8" t="n">
        <v>0</v>
      </c>
      <c r="E2684" s="8" t="n">
        <v>0</v>
      </c>
      <c r="F2684" s="8" t="s">
        <v>2200</v>
      </c>
      <c r="G2684" s="8" t="s">
        <v>2201</v>
      </c>
      <c r="H2684" s="8" t="s">
        <v>2776</v>
      </c>
    </row>
    <row r="2685" customFormat="false" ht="15" hidden="false" customHeight="false" outlineLevel="0" collapsed="false">
      <c r="A2685" s="7" t="n">
        <v>46044</v>
      </c>
      <c r="B2685" s="7" t="n">
        <v>46073</v>
      </c>
      <c r="C2685" s="8" t="n">
        <v>6493</v>
      </c>
      <c r="D2685" s="8" t="n">
        <v>3210</v>
      </c>
      <c r="E2685" s="8" t="n">
        <v>25345</v>
      </c>
      <c r="F2685" s="8" t="s">
        <v>2200</v>
      </c>
      <c r="G2685" s="8" t="s">
        <v>2201</v>
      </c>
      <c r="H2685" s="8" t="s">
        <v>2777</v>
      </c>
    </row>
    <row r="2686" customFormat="false" ht="15" hidden="false" customHeight="false" outlineLevel="0" collapsed="false">
      <c r="A2686" s="7" t="n">
        <v>46044</v>
      </c>
      <c r="B2686" s="7" t="n">
        <v>46101</v>
      </c>
      <c r="C2686" s="8" t="n">
        <v>6528</v>
      </c>
      <c r="D2686" s="8" t="n">
        <v>890</v>
      </c>
      <c r="E2686" s="8" t="n">
        <v>8875</v>
      </c>
      <c r="F2686" s="8" t="s">
        <v>2200</v>
      </c>
      <c r="G2686" s="8" t="s">
        <v>2201</v>
      </c>
      <c r="H2686" s="8" t="s">
        <v>2777</v>
      </c>
    </row>
    <row r="2687" customFormat="false" ht="15" hidden="false" customHeight="false" outlineLevel="0" collapsed="false">
      <c r="A2687" s="7" t="n">
        <v>46044</v>
      </c>
      <c r="B2687" s="7" t="n">
        <v>46132</v>
      </c>
      <c r="C2687" s="8" t="n">
        <v>6563</v>
      </c>
      <c r="D2687" s="8" t="n">
        <v>0</v>
      </c>
      <c r="E2687" s="8" t="n">
        <v>0</v>
      </c>
      <c r="F2687" s="8" t="s">
        <v>2200</v>
      </c>
      <c r="G2687" s="8" t="s">
        <v>2201</v>
      </c>
      <c r="H2687" s="8" t="s">
        <v>2777</v>
      </c>
    </row>
    <row r="2688" customFormat="false" ht="15" hidden="false" customHeight="false" outlineLevel="0" collapsed="false">
      <c r="A2688" s="7" t="n">
        <v>46044</v>
      </c>
      <c r="B2688" s="7" t="n">
        <v>46162</v>
      </c>
      <c r="C2688" s="8" t="n">
        <v>6899</v>
      </c>
      <c r="D2688" s="8" t="n">
        <v>0</v>
      </c>
      <c r="E2688" s="8" t="n">
        <v>0</v>
      </c>
      <c r="F2688" s="8" t="s">
        <v>2200</v>
      </c>
      <c r="G2688" s="8" t="s">
        <v>2201</v>
      </c>
      <c r="H2688" s="8" t="s">
        <v>2777</v>
      </c>
    </row>
    <row r="2689" customFormat="false" ht="15" hidden="false" customHeight="false" outlineLevel="0" collapsed="false">
      <c r="A2689" s="7" t="n">
        <v>46045</v>
      </c>
      <c r="B2689" s="7" t="n">
        <v>46073</v>
      </c>
      <c r="C2689" s="8" t="n">
        <v>6474</v>
      </c>
      <c r="D2689" s="8" t="n">
        <v>2055</v>
      </c>
      <c r="E2689" s="8" t="n">
        <v>25205</v>
      </c>
      <c r="F2689" s="8" t="s">
        <v>2200</v>
      </c>
      <c r="G2689" s="8" t="s">
        <v>2201</v>
      </c>
      <c r="H2689" s="8" t="s">
        <v>2778</v>
      </c>
    </row>
    <row r="2690" customFormat="false" ht="15" hidden="false" customHeight="false" outlineLevel="0" collapsed="false">
      <c r="A2690" s="7" t="n">
        <v>46045</v>
      </c>
      <c r="B2690" s="7" t="n">
        <v>46101</v>
      </c>
      <c r="C2690" s="8" t="n">
        <v>6516</v>
      </c>
      <c r="D2690" s="8" t="n">
        <v>890</v>
      </c>
      <c r="E2690" s="8" t="n">
        <v>9370</v>
      </c>
      <c r="F2690" s="8" t="s">
        <v>2200</v>
      </c>
      <c r="G2690" s="8" t="s">
        <v>2201</v>
      </c>
      <c r="H2690" s="8" t="s">
        <v>2778</v>
      </c>
    </row>
    <row r="2691" customFormat="false" ht="15" hidden="false" customHeight="false" outlineLevel="0" collapsed="false">
      <c r="A2691" s="7" t="n">
        <v>46045</v>
      </c>
      <c r="B2691" s="7" t="n">
        <v>46132</v>
      </c>
      <c r="C2691" s="8" t="n">
        <v>6558</v>
      </c>
      <c r="D2691" s="8" t="n">
        <v>0</v>
      </c>
      <c r="E2691" s="8" t="n">
        <v>0</v>
      </c>
      <c r="F2691" s="8" t="s">
        <v>2200</v>
      </c>
      <c r="G2691" s="8" t="s">
        <v>2201</v>
      </c>
      <c r="H2691" s="8" t="s">
        <v>2778</v>
      </c>
    </row>
    <row r="2692" customFormat="false" ht="15" hidden="false" customHeight="false" outlineLevel="0" collapsed="false">
      <c r="A2692" s="7" t="n">
        <v>46045</v>
      </c>
      <c r="B2692" s="7" t="n">
        <v>46162</v>
      </c>
      <c r="C2692" s="8" t="n">
        <v>6899</v>
      </c>
      <c r="D2692" s="8" t="n">
        <v>0</v>
      </c>
      <c r="E2692" s="8" t="n">
        <v>0</v>
      </c>
      <c r="F2692" s="8" t="s">
        <v>2200</v>
      </c>
      <c r="G2692" s="8" t="s">
        <v>2201</v>
      </c>
      <c r="H2692" s="8" t="s">
        <v>2778</v>
      </c>
    </row>
    <row r="2693" customFormat="false" ht="15" hidden="false" customHeight="false" outlineLevel="0" collapsed="false">
      <c r="A2693" s="7" t="n">
        <v>46049</v>
      </c>
      <c r="B2693" s="7" t="n">
        <v>46073</v>
      </c>
      <c r="C2693" s="8" t="n">
        <v>6381</v>
      </c>
      <c r="D2693" s="8" t="n">
        <v>3530</v>
      </c>
      <c r="E2693" s="8" t="n">
        <v>24910</v>
      </c>
      <c r="F2693" s="8" t="s">
        <v>2200</v>
      </c>
      <c r="G2693" s="8" t="s">
        <v>2201</v>
      </c>
      <c r="H2693" s="8" t="s">
        <v>2779</v>
      </c>
    </row>
    <row r="2694" customFormat="false" ht="15" hidden="false" customHeight="false" outlineLevel="0" collapsed="false">
      <c r="A2694" s="7" t="n">
        <v>46049</v>
      </c>
      <c r="B2694" s="7" t="n">
        <v>46101</v>
      </c>
      <c r="C2694" s="8" t="n">
        <v>6423</v>
      </c>
      <c r="D2694" s="8" t="n">
        <v>2410</v>
      </c>
      <c r="E2694" s="8" t="n">
        <v>9680</v>
      </c>
      <c r="F2694" s="8" t="s">
        <v>2200</v>
      </c>
      <c r="G2694" s="8" t="s">
        <v>2201</v>
      </c>
      <c r="H2694" s="8" t="s">
        <v>2779</v>
      </c>
    </row>
    <row r="2695" customFormat="false" ht="15" hidden="false" customHeight="false" outlineLevel="0" collapsed="false">
      <c r="A2695" s="7" t="n">
        <v>46049</v>
      </c>
      <c r="B2695" s="7" t="n">
        <v>46132</v>
      </c>
      <c r="C2695" s="8" t="n">
        <v>6500</v>
      </c>
      <c r="D2695" s="8" t="n">
        <v>610</v>
      </c>
      <c r="E2695" s="8" t="n">
        <v>610</v>
      </c>
      <c r="F2695" s="8" t="s">
        <v>2200</v>
      </c>
      <c r="G2695" s="8" t="s">
        <v>2201</v>
      </c>
      <c r="H2695" s="8" t="s">
        <v>2779</v>
      </c>
    </row>
    <row r="2696" customFormat="false" ht="15" hidden="false" customHeight="false" outlineLevel="0" collapsed="false">
      <c r="A2696" s="7" t="n">
        <v>46049</v>
      </c>
      <c r="B2696" s="7" t="n">
        <v>46162</v>
      </c>
      <c r="C2696" s="8" t="n">
        <v>6899</v>
      </c>
      <c r="D2696" s="8" t="n">
        <v>0</v>
      </c>
      <c r="E2696" s="8" t="n">
        <v>0</v>
      </c>
      <c r="F2696" s="8" t="s">
        <v>2200</v>
      </c>
      <c r="G2696" s="8" t="s">
        <v>2201</v>
      </c>
      <c r="H2696" s="8" t="s">
        <v>2779</v>
      </c>
    </row>
    <row r="2697" customFormat="false" ht="15" hidden="false" customHeight="false" outlineLevel="0" collapsed="false">
      <c r="A2697" s="7" t="n">
        <v>46050</v>
      </c>
      <c r="B2697" s="7" t="n">
        <v>46073</v>
      </c>
      <c r="C2697" s="8" t="n">
        <v>6385</v>
      </c>
      <c r="D2697" s="8" t="n">
        <v>3925</v>
      </c>
      <c r="E2697" s="8" t="n">
        <v>25620</v>
      </c>
      <c r="F2697" s="8" t="s">
        <v>2200</v>
      </c>
      <c r="G2697" s="8" t="s">
        <v>2201</v>
      </c>
      <c r="H2697" s="8" t="s">
        <v>2780</v>
      </c>
    </row>
    <row r="2698" customFormat="false" ht="15" hidden="false" customHeight="false" outlineLevel="0" collapsed="false">
      <c r="A2698" s="7" t="n">
        <v>46050</v>
      </c>
      <c r="B2698" s="7" t="n">
        <v>46101</v>
      </c>
      <c r="C2698" s="8" t="n">
        <v>6419</v>
      </c>
      <c r="D2698" s="8" t="n">
        <v>2265</v>
      </c>
      <c r="E2698" s="8" t="n">
        <v>9725</v>
      </c>
      <c r="F2698" s="8" t="s">
        <v>2200</v>
      </c>
      <c r="G2698" s="8" t="s">
        <v>2201</v>
      </c>
      <c r="H2698" s="8" t="s">
        <v>2780</v>
      </c>
    </row>
    <row r="2699" customFormat="false" ht="15" hidden="false" customHeight="false" outlineLevel="0" collapsed="false">
      <c r="A2699" s="7" t="n">
        <v>46050</v>
      </c>
      <c r="B2699" s="7" t="n">
        <v>46132</v>
      </c>
      <c r="C2699" s="8" t="n">
        <v>6480</v>
      </c>
      <c r="D2699" s="8" t="n">
        <v>5</v>
      </c>
      <c r="E2699" s="8" t="n">
        <v>610</v>
      </c>
      <c r="F2699" s="8" t="s">
        <v>2200</v>
      </c>
      <c r="G2699" s="8" t="s">
        <v>2201</v>
      </c>
      <c r="H2699" s="8" t="s">
        <v>2780</v>
      </c>
    </row>
    <row r="2700" customFormat="false" ht="15" hidden="false" customHeight="false" outlineLevel="0" collapsed="false">
      <c r="A2700" s="7" t="n">
        <v>46050</v>
      </c>
      <c r="B2700" s="7" t="n">
        <v>46162</v>
      </c>
      <c r="C2700" s="8" t="n">
        <v>6899</v>
      </c>
      <c r="D2700" s="8" t="n">
        <v>0</v>
      </c>
      <c r="E2700" s="8" t="n">
        <v>0</v>
      </c>
      <c r="F2700" s="8" t="s">
        <v>2200</v>
      </c>
      <c r="G2700" s="8" t="s">
        <v>2201</v>
      </c>
      <c r="H2700" s="8" t="s">
        <v>2780</v>
      </c>
    </row>
    <row r="2701" customFormat="false" ht="15" hidden="false" customHeight="false" outlineLevel="0" collapsed="false">
      <c r="A2701" s="7" t="n">
        <v>46051</v>
      </c>
      <c r="B2701" s="7" t="n">
        <v>46073</v>
      </c>
      <c r="C2701" s="8" t="n">
        <v>6406</v>
      </c>
      <c r="D2701" s="8" t="n">
        <v>1830</v>
      </c>
      <c r="E2701" s="8" t="n">
        <v>25105</v>
      </c>
      <c r="F2701" s="8" t="s">
        <v>2200</v>
      </c>
      <c r="G2701" s="8" t="s">
        <v>2201</v>
      </c>
      <c r="H2701" s="8" t="s">
        <v>2781</v>
      </c>
    </row>
    <row r="2702" customFormat="false" ht="15" hidden="false" customHeight="false" outlineLevel="0" collapsed="false">
      <c r="A2702" s="7" t="n">
        <v>46051</v>
      </c>
      <c r="B2702" s="7" t="n">
        <v>46101</v>
      </c>
      <c r="C2702" s="8" t="n">
        <v>6457</v>
      </c>
      <c r="D2702" s="8" t="n">
        <v>1260</v>
      </c>
      <c r="E2702" s="8" t="n">
        <v>9795</v>
      </c>
      <c r="F2702" s="8" t="s">
        <v>2200</v>
      </c>
      <c r="G2702" s="8" t="s">
        <v>2201</v>
      </c>
      <c r="H2702" s="8" t="s">
        <v>2781</v>
      </c>
    </row>
    <row r="2703" customFormat="false" ht="15" hidden="false" customHeight="false" outlineLevel="0" collapsed="false">
      <c r="A2703" s="7" t="n">
        <v>46051</v>
      </c>
      <c r="B2703" s="7" t="n">
        <v>46132</v>
      </c>
      <c r="C2703" s="8" t="n">
        <v>6451</v>
      </c>
      <c r="D2703" s="8" t="n">
        <v>70</v>
      </c>
      <c r="E2703" s="8" t="n">
        <v>660</v>
      </c>
      <c r="F2703" s="8" t="s">
        <v>2200</v>
      </c>
      <c r="G2703" s="8" t="s">
        <v>2201</v>
      </c>
      <c r="H2703" s="8" t="s">
        <v>2781</v>
      </c>
    </row>
    <row r="2704" customFormat="false" ht="15" hidden="false" customHeight="false" outlineLevel="0" collapsed="false">
      <c r="A2704" s="7" t="n">
        <v>46051</v>
      </c>
      <c r="B2704" s="7" t="n">
        <v>46162</v>
      </c>
      <c r="C2704" s="8" t="n">
        <v>6899</v>
      </c>
      <c r="D2704" s="8" t="n">
        <v>0</v>
      </c>
      <c r="E2704" s="8" t="n">
        <v>0</v>
      </c>
      <c r="F2704" s="8" t="s">
        <v>2200</v>
      </c>
      <c r="G2704" s="8" t="s">
        <v>2201</v>
      </c>
      <c r="H2704" s="8" t="s">
        <v>2781</v>
      </c>
    </row>
    <row r="2705" customFormat="false" ht="15" hidden="false" customHeight="false" outlineLevel="0" collapsed="false">
      <c r="A2705" s="7" t="n">
        <v>46052</v>
      </c>
      <c r="B2705" s="7" t="n">
        <v>46073</v>
      </c>
      <c r="C2705" s="8" t="n">
        <v>6402</v>
      </c>
      <c r="D2705" s="8" t="n">
        <v>2255</v>
      </c>
      <c r="E2705" s="8" t="n">
        <v>24725</v>
      </c>
      <c r="F2705" s="8" t="s">
        <v>2200</v>
      </c>
      <c r="G2705" s="8" t="s">
        <v>2201</v>
      </c>
      <c r="H2705" s="8" t="s">
        <v>2782</v>
      </c>
    </row>
    <row r="2706" customFormat="false" ht="15" hidden="false" customHeight="false" outlineLevel="0" collapsed="false">
      <c r="A2706" s="7" t="n">
        <v>46052</v>
      </c>
      <c r="B2706" s="7" t="n">
        <v>46101</v>
      </c>
      <c r="C2706" s="8" t="n">
        <v>6462</v>
      </c>
      <c r="D2706" s="8" t="n">
        <v>2870</v>
      </c>
      <c r="E2706" s="8" t="n">
        <v>9970</v>
      </c>
      <c r="F2706" s="8" t="s">
        <v>2200</v>
      </c>
      <c r="G2706" s="8" t="s">
        <v>2201</v>
      </c>
      <c r="H2706" s="8" t="s">
        <v>2782</v>
      </c>
    </row>
    <row r="2707" customFormat="false" ht="15" hidden="false" customHeight="false" outlineLevel="0" collapsed="false">
      <c r="A2707" s="7" t="n">
        <v>46052</v>
      </c>
      <c r="B2707" s="7" t="n">
        <v>46132</v>
      </c>
      <c r="C2707" s="8" t="n">
        <v>6481</v>
      </c>
      <c r="D2707" s="8" t="n">
        <v>135</v>
      </c>
      <c r="E2707" s="8" t="n">
        <v>795</v>
      </c>
      <c r="F2707" s="8" t="s">
        <v>2200</v>
      </c>
      <c r="G2707" s="8" t="s">
        <v>2201</v>
      </c>
      <c r="H2707" s="8" t="s">
        <v>2782</v>
      </c>
    </row>
    <row r="2708" customFormat="false" ht="15" hidden="false" customHeight="false" outlineLevel="0" collapsed="false">
      <c r="A2708" s="7" t="n">
        <v>46052</v>
      </c>
      <c r="B2708" s="7" t="n">
        <v>46162</v>
      </c>
      <c r="C2708" s="8" t="n">
        <v>6899</v>
      </c>
      <c r="D2708" s="8" t="n">
        <v>0</v>
      </c>
      <c r="E2708" s="8" t="n">
        <v>0</v>
      </c>
      <c r="F2708" s="8" t="s">
        <v>2200</v>
      </c>
      <c r="G2708" s="8" t="s">
        <v>2201</v>
      </c>
      <c r="H2708" s="8" t="s">
        <v>2782</v>
      </c>
    </row>
    <row r="2709" customFormat="false" ht="15" hidden="false" customHeight="false" outlineLevel="0" collapsed="false">
      <c r="A2709" s="7" t="n">
        <v>46054</v>
      </c>
      <c r="B2709" s="7" t="n">
        <v>46073</v>
      </c>
      <c r="C2709" s="8" t="n">
        <v>6357</v>
      </c>
      <c r="D2709" s="8" t="n">
        <v>1365</v>
      </c>
      <c r="E2709" s="8" t="n">
        <v>24260</v>
      </c>
      <c r="F2709" s="8" t="s">
        <v>2200</v>
      </c>
      <c r="G2709" s="8" t="s">
        <v>2201</v>
      </c>
      <c r="H2709" s="8" t="s">
        <v>2783</v>
      </c>
    </row>
    <row r="2710" customFormat="false" ht="15" hidden="false" customHeight="false" outlineLevel="0" collapsed="false">
      <c r="A2710" s="7" t="n">
        <v>46054</v>
      </c>
      <c r="B2710" s="7" t="n">
        <v>46101</v>
      </c>
      <c r="C2710" s="8" t="n">
        <v>6416</v>
      </c>
      <c r="D2710" s="8" t="n">
        <v>1190</v>
      </c>
      <c r="E2710" s="8" t="n">
        <v>10020</v>
      </c>
      <c r="F2710" s="8" t="s">
        <v>2200</v>
      </c>
      <c r="G2710" s="8" t="s">
        <v>2201</v>
      </c>
      <c r="H2710" s="8" t="s">
        <v>2783</v>
      </c>
    </row>
    <row r="2711" customFormat="false" ht="15" hidden="false" customHeight="false" outlineLevel="0" collapsed="false">
      <c r="A2711" s="7" t="n">
        <v>46054</v>
      </c>
      <c r="B2711" s="7" t="n">
        <v>46132</v>
      </c>
      <c r="C2711" s="8" t="n">
        <v>6452</v>
      </c>
      <c r="D2711" s="8" t="n">
        <v>5</v>
      </c>
      <c r="E2711" s="8" t="n">
        <v>800</v>
      </c>
      <c r="F2711" s="8" t="s">
        <v>2200</v>
      </c>
      <c r="G2711" s="8" t="s">
        <v>2201</v>
      </c>
      <c r="H2711" s="8" t="s">
        <v>2783</v>
      </c>
    </row>
    <row r="2712" customFormat="false" ht="15" hidden="false" customHeight="false" outlineLevel="0" collapsed="false">
      <c r="A2712" s="7" t="n">
        <v>46054</v>
      </c>
      <c r="B2712" s="7" t="n">
        <v>46162</v>
      </c>
      <c r="C2712" s="8" t="n">
        <v>6899</v>
      </c>
      <c r="D2712" s="8" t="n">
        <v>0</v>
      </c>
      <c r="E2712" s="8" t="n">
        <v>0</v>
      </c>
      <c r="F2712" s="8" t="s">
        <v>2200</v>
      </c>
      <c r="G2712" s="8" t="s">
        <v>2201</v>
      </c>
      <c r="H2712" s="8" t="s">
        <v>2783</v>
      </c>
    </row>
    <row r="2713" customFormat="false" ht="15" hidden="false" customHeight="false" outlineLevel="0" collapsed="false">
      <c r="A2713" s="7" t="n">
        <v>46054</v>
      </c>
      <c r="B2713" s="7" t="n">
        <v>46192</v>
      </c>
      <c r="C2713" s="8" t="n">
        <v>6899</v>
      </c>
      <c r="D2713" s="8" t="n">
        <v>0</v>
      </c>
      <c r="E2713" s="8" t="n">
        <v>0</v>
      </c>
      <c r="F2713" s="8" t="s">
        <v>2200</v>
      </c>
      <c r="G2713" s="8" t="s">
        <v>2201</v>
      </c>
      <c r="H2713" s="8" t="s">
        <v>2783</v>
      </c>
    </row>
    <row r="2714" customFormat="false" ht="15" hidden="false" customHeight="false" outlineLevel="0" collapsed="false">
      <c r="A2714" s="7" t="n">
        <v>46055</v>
      </c>
      <c r="B2714" s="7" t="n">
        <v>46073</v>
      </c>
      <c r="C2714" s="8" t="n">
        <v>6394</v>
      </c>
      <c r="D2714" s="8" t="n">
        <v>1670</v>
      </c>
      <c r="E2714" s="8" t="n">
        <v>24080</v>
      </c>
      <c r="F2714" s="8" t="s">
        <v>2200</v>
      </c>
      <c r="G2714" s="8" t="s">
        <v>2201</v>
      </c>
      <c r="H2714" s="8" t="s">
        <v>2784</v>
      </c>
    </row>
    <row r="2715" customFormat="false" ht="15" hidden="false" customHeight="false" outlineLevel="0" collapsed="false">
      <c r="A2715" s="7" t="n">
        <v>46055</v>
      </c>
      <c r="B2715" s="7" t="n">
        <v>46101</v>
      </c>
      <c r="C2715" s="8" t="n">
        <v>6437</v>
      </c>
      <c r="D2715" s="8" t="n">
        <v>1425</v>
      </c>
      <c r="E2715" s="8" t="n">
        <v>10065</v>
      </c>
      <c r="F2715" s="8" t="s">
        <v>2200</v>
      </c>
      <c r="G2715" s="8" t="s">
        <v>2201</v>
      </c>
      <c r="H2715" s="8" t="s">
        <v>2784</v>
      </c>
    </row>
    <row r="2716" customFormat="false" ht="15" hidden="false" customHeight="false" outlineLevel="0" collapsed="false">
      <c r="A2716" s="7" t="n">
        <v>46055</v>
      </c>
      <c r="B2716" s="7" t="n">
        <v>46132</v>
      </c>
      <c r="C2716" s="8" t="n">
        <v>6450</v>
      </c>
      <c r="D2716" s="8" t="n">
        <v>175</v>
      </c>
      <c r="E2716" s="8" t="n">
        <v>925</v>
      </c>
      <c r="F2716" s="8" t="s">
        <v>2200</v>
      </c>
      <c r="G2716" s="8" t="s">
        <v>2201</v>
      </c>
      <c r="H2716" s="8" t="s">
        <v>2784</v>
      </c>
    </row>
    <row r="2717" customFormat="false" ht="15" hidden="false" customHeight="false" outlineLevel="0" collapsed="false">
      <c r="A2717" s="7" t="n">
        <v>46055</v>
      </c>
      <c r="B2717" s="7" t="n">
        <v>46162</v>
      </c>
      <c r="C2717" s="8" t="n">
        <v>6899</v>
      </c>
      <c r="D2717" s="8" t="n">
        <v>0</v>
      </c>
      <c r="E2717" s="8" t="n">
        <v>0</v>
      </c>
      <c r="F2717" s="8" t="s">
        <v>2200</v>
      </c>
      <c r="G2717" s="8" t="s">
        <v>2201</v>
      </c>
      <c r="H2717" s="8" t="s">
        <v>2784</v>
      </c>
    </row>
    <row r="2718" customFormat="false" ht="15" hidden="false" customHeight="false" outlineLevel="0" collapsed="false">
      <c r="A2718" s="7" t="n">
        <v>46055</v>
      </c>
      <c r="B2718" s="7" t="n">
        <v>46192</v>
      </c>
      <c r="C2718" s="8" t="n">
        <v>6899</v>
      </c>
      <c r="D2718" s="8" t="n">
        <v>0</v>
      </c>
      <c r="E2718" s="8" t="n">
        <v>0</v>
      </c>
      <c r="F2718" s="8" t="s">
        <v>2200</v>
      </c>
      <c r="G2718" s="8" t="s">
        <v>2201</v>
      </c>
      <c r="H2718" s="8" t="s">
        <v>2784</v>
      </c>
    </row>
    <row r="2719" customFormat="false" ht="15" hidden="false" customHeight="false" outlineLevel="0" collapsed="false">
      <c r="A2719" s="7" t="n">
        <v>46056</v>
      </c>
      <c r="B2719" s="7" t="n">
        <v>46073</v>
      </c>
      <c r="C2719" s="8" t="n">
        <v>6349</v>
      </c>
      <c r="D2719" s="8" t="n">
        <v>2520</v>
      </c>
      <c r="E2719" s="8" t="n">
        <v>23600</v>
      </c>
      <c r="F2719" s="8" t="s">
        <v>2200</v>
      </c>
      <c r="G2719" s="8" t="s">
        <v>2201</v>
      </c>
      <c r="H2719" s="8" t="s">
        <v>2785</v>
      </c>
    </row>
    <row r="2720" customFormat="false" ht="15" hidden="false" customHeight="false" outlineLevel="0" collapsed="false">
      <c r="A2720" s="7" t="n">
        <v>46056</v>
      </c>
      <c r="B2720" s="7" t="n">
        <v>46101</v>
      </c>
      <c r="C2720" s="8" t="n">
        <v>6408</v>
      </c>
      <c r="D2720" s="8" t="n">
        <v>1895</v>
      </c>
      <c r="E2720" s="8" t="n">
        <v>10805</v>
      </c>
      <c r="F2720" s="8" t="s">
        <v>2200</v>
      </c>
      <c r="G2720" s="8" t="s">
        <v>2201</v>
      </c>
      <c r="H2720" s="8" t="s">
        <v>2785</v>
      </c>
    </row>
    <row r="2721" customFormat="false" ht="15" hidden="false" customHeight="false" outlineLevel="0" collapsed="false">
      <c r="A2721" s="7" t="n">
        <v>46056</v>
      </c>
      <c r="B2721" s="7" t="n">
        <v>46132</v>
      </c>
      <c r="C2721" s="8" t="n">
        <v>6450</v>
      </c>
      <c r="D2721" s="8" t="n">
        <v>100</v>
      </c>
      <c r="E2721" s="8" t="n">
        <v>1025</v>
      </c>
      <c r="F2721" s="8" t="s">
        <v>2200</v>
      </c>
      <c r="G2721" s="8" t="s">
        <v>2201</v>
      </c>
      <c r="H2721" s="8" t="s">
        <v>2785</v>
      </c>
    </row>
    <row r="2722" customFormat="false" ht="15" hidden="false" customHeight="false" outlineLevel="0" collapsed="false">
      <c r="A2722" s="7" t="n">
        <v>46056</v>
      </c>
      <c r="B2722" s="7" t="n">
        <v>46162</v>
      </c>
      <c r="C2722" s="8" t="n">
        <v>6899</v>
      </c>
      <c r="D2722" s="8" t="n">
        <v>0</v>
      </c>
      <c r="E2722" s="8" t="n">
        <v>0</v>
      </c>
      <c r="F2722" s="8" t="s">
        <v>2200</v>
      </c>
      <c r="G2722" s="8" t="s">
        <v>2201</v>
      </c>
      <c r="H2722" s="8" t="s">
        <v>2785</v>
      </c>
    </row>
    <row r="2723" customFormat="false" ht="15" hidden="false" customHeight="false" outlineLevel="0" collapsed="false">
      <c r="A2723" s="7" t="n">
        <v>46056</v>
      </c>
      <c r="B2723" s="7" t="n">
        <v>46192</v>
      </c>
      <c r="C2723" s="8" t="n">
        <v>6899</v>
      </c>
      <c r="D2723" s="8" t="n">
        <v>0</v>
      </c>
      <c r="E2723" s="8" t="n">
        <v>0</v>
      </c>
      <c r="F2723" s="8" t="s">
        <v>2200</v>
      </c>
      <c r="G2723" s="8" t="s">
        <v>2201</v>
      </c>
      <c r="H2723" s="8" t="s">
        <v>2785</v>
      </c>
    </row>
    <row r="2724" customFormat="false" ht="15" hidden="false" customHeight="false" outlineLevel="0" collapsed="false">
      <c r="A2724" s="7" t="n">
        <v>46057</v>
      </c>
      <c r="B2724" s="7" t="n">
        <v>46073</v>
      </c>
      <c r="C2724" s="8" t="n">
        <v>6392</v>
      </c>
      <c r="D2724" s="8" t="n">
        <v>1550</v>
      </c>
      <c r="E2724" s="8" t="n">
        <v>22915</v>
      </c>
      <c r="F2724" s="8" t="s">
        <v>2200</v>
      </c>
      <c r="G2724" s="8" t="s">
        <v>2201</v>
      </c>
      <c r="H2724" s="8" t="s">
        <v>2786</v>
      </c>
    </row>
    <row r="2725" customFormat="false" ht="15" hidden="false" customHeight="false" outlineLevel="0" collapsed="false">
      <c r="A2725" s="7" t="n">
        <v>46057</v>
      </c>
      <c r="B2725" s="7" t="n">
        <v>46101</v>
      </c>
      <c r="C2725" s="8" t="n">
        <v>6453</v>
      </c>
      <c r="D2725" s="8" t="n">
        <v>1880</v>
      </c>
      <c r="E2725" s="8" t="n">
        <v>11255</v>
      </c>
      <c r="F2725" s="8" t="s">
        <v>2200</v>
      </c>
      <c r="G2725" s="8" t="s">
        <v>2201</v>
      </c>
      <c r="H2725" s="8" t="s">
        <v>2786</v>
      </c>
    </row>
    <row r="2726" customFormat="false" ht="15" hidden="false" customHeight="false" outlineLevel="0" collapsed="false">
      <c r="A2726" s="7" t="n">
        <v>46057</v>
      </c>
      <c r="B2726" s="7" t="n">
        <v>46132</v>
      </c>
      <c r="C2726" s="8" t="n">
        <v>6514</v>
      </c>
      <c r="D2726" s="8" t="n">
        <v>70</v>
      </c>
      <c r="E2726" s="8" t="n">
        <v>1045</v>
      </c>
      <c r="F2726" s="8" t="s">
        <v>2200</v>
      </c>
      <c r="G2726" s="8" t="s">
        <v>2201</v>
      </c>
      <c r="H2726" s="8" t="s">
        <v>2786</v>
      </c>
    </row>
    <row r="2727" customFormat="false" ht="15" hidden="false" customHeight="false" outlineLevel="0" collapsed="false">
      <c r="A2727" s="7" t="n">
        <v>46057</v>
      </c>
      <c r="B2727" s="7" t="n">
        <v>46162</v>
      </c>
      <c r="C2727" s="8" t="n">
        <v>6899</v>
      </c>
      <c r="D2727" s="8" t="n">
        <v>0</v>
      </c>
      <c r="E2727" s="8" t="n">
        <v>0</v>
      </c>
      <c r="F2727" s="8" t="s">
        <v>2200</v>
      </c>
      <c r="G2727" s="8" t="s">
        <v>2201</v>
      </c>
      <c r="H2727" s="8" t="s">
        <v>2786</v>
      </c>
    </row>
    <row r="2728" customFormat="false" ht="15" hidden="false" customHeight="false" outlineLevel="0" collapsed="false">
      <c r="A2728" s="7" t="n">
        <v>46057</v>
      </c>
      <c r="B2728" s="7" t="n">
        <v>46192</v>
      </c>
      <c r="C2728" s="8" t="n">
        <v>6899</v>
      </c>
      <c r="D2728" s="8" t="n">
        <v>0</v>
      </c>
      <c r="E2728" s="8" t="n">
        <v>0</v>
      </c>
      <c r="F2728" s="8" t="s">
        <v>2200</v>
      </c>
      <c r="G2728" s="8" t="s">
        <v>2201</v>
      </c>
      <c r="H2728" s="8" t="s">
        <v>2786</v>
      </c>
    </row>
    <row r="2729" customFormat="false" ht="15" hidden="false" customHeight="false" outlineLevel="0" collapsed="false">
      <c r="A2729" s="7" t="n">
        <v>46058</v>
      </c>
      <c r="B2729" s="7" t="n">
        <v>46073</v>
      </c>
      <c r="C2729" s="8" t="n">
        <v>6433</v>
      </c>
      <c r="D2729" s="8" t="n">
        <v>3700</v>
      </c>
      <c r="E2729" s="8" t="n">
        <v>21235</v>
      </c>
      <c r="F2729" s="8" t="s">
        <v>2200</v>
      </c>
      <c r="G2729" s="8" t="s">
        <v>2201</v>
      </c>
      <c r="H2729" s="8" t="s">
        <v>2787</v>
      </c>
    </row>
    <row r="2730" customFormat="false" ht="15" hidden="false" customHeight="false" outlineLevel="0" collapsed="false">
      <c r="A2730" s="7" t="n">
        <v>46058</v>
      </c>
      <c r="B2730" s="7" t="n">
        <v>46101</v>
      </c>
      <c r="C2730" s="8" t="n">
        <v>6480</v>
      </c>
      <c r="D2730" s="8" t="n">
        <v>3670</v>
      </c>
      <c r="E2730" s="8" t="n">
        <v>11960</v>
      </c>
      <c r="F2730" s="8" t="s">
        <v>2200</v>
      </c>
      <c r="G2730" s="8" t="s">
        <v>2201</v>
      </c>
      <c r="H2730" s="8" t="s">
        <v>2787</v>
      </c>
    </row>
    <row r="2731" customFormat="false" ht="15" hidden="false" customHeight="false" outlineLevel="0" collapsed="false">
      <c r="A2731" s="7" t="n">
        <v>46058</v>
      </c>
      <c r="B2731" s="7" t="n">
        <v>46132</v>
      </c>
      <c r="C2731" s="8" t="n">
        <v>6512</v>
      </c>
      <c r="D2731" s="8" t="n">
        <v>30</v>
      </c>
      <c r="E2731" s="8" t="n">
        <v>1045</v>
      </c>
      <c r="F2731" s="8" t="s">
        <v>2200</v>
      </c>
      <c r="G2731" s="8" t="s">
        <v>2201</v>
      </c>
      <c r="H2731" s="8" t="s">
        <v>2787</v>
      </c>
    </row>
    <row r="2732" customFormat="false" ht="15" hidden="false" customHeight="false" outlineLevel="0" collapsed="false">
      <c r="A2732" s="7" t="n">
        <v>46058</v>
      </c>
      <c r="B2732" s="7" t="n">
        <v>46162</v>
      </c>
      <c r="C2732" s="8" t="n">
        <v>6899</v>
      </c>
      <c r="D2732" s="8" t="n">
        <v>0</v>
      </c>
      <c r="E2732" s="8" t="n">
        <v>0</v>
      </c>
      <c r="F2732" s="8" t="s">
        <v>2200</v>
      </c>
      <c r="G2732" s="8" t="s">
        <v>2201</v>
      </c>
      <c r="H2732" s="8" t="s">
        <v>2787</v>
      </c>
    </row>
    <row r="2733" customFormat="false" ht="15" hidden="false" customHeight="false" outlineLevel="0" collapsed="false">
      <c r="A2733" s="7" t="n">
        <v>46058</v>
      </c>
      <c r="B2733" s="7" t="n">
        <v>46192</v>
      </c>
      <c r="C2733" s="8" t="n">
        <v>6899</v>
      </c>
      <c r="D2733" s="8" t="n">
        <v>0</v>
      </c>
      <c r="E2733" s="8" t="n">
        <v>0</v>
      </c>
      <c r="F2733" s="8" t="s">
        <v>2200</v>
      </c>
      <c r="G2733" s="8" t="s">
        <v>2201</v>
      </c>
      <c r="H2733" s="8" t="s">
        <v>2787</v>
      </c>
    </row>
    <row r="2734" customFormat="false" ht="15" hidden="false" customHeight="false" outlineLevel="0" collapsed="false">
      <c r="A2734" s="7" t="n">
        <v>46059</v>
      </c>
      <c r="B2734" s="7" t="n">
        <v>46073</v>
      </c>
      <c r="C2734" s="8" t="n">
        <v>6393</v>
      </c>
      <c r="D2734" s="8" t="n">
        <v>4810</v>
      </c>
      <c r="E2734" s="8" t="n">
        <v>18935</v>
      </c>
      <c r="F2734" s="8" t="s">
        <v>2200</v>
      </c>
      <c r="G2734" s="8" t="s">
        <v>2201</v>
      </c>
      <c r="H2734" s="8" t="s">
        <v>2788</v>
      </c>
    </row>
    <row r="2735" customFormat="false" ht="15" hidden="false" customHeight="false" outlineLevel="0" collapsed="false">
      <c r="A2735" s="7" t="n">
        <v>46059</v>
      </c>
      <c r="B2735" s="7" t="n">
        <v>46101</v>
      </c>
      <c r="C2735" s="8" t="n">
        <v>6455</v>
      </c>
      <c r="D2735" s="8" t="n">
        <v>4350</v>
      </c>
      <c r="E2735" s="8" t="n">
        <v>13305</v>
      </c>
      <c r="F2735" s="8" t="s">
        <v>2200</v>
      </c>
      <c r="G2735" s="8" t="s">
        <v>2201</v>
      </c>
      <c r="H2735" s="8" t="s">
        <v>2788</v>
      </c>
    </row>
    <row r="2736" customFormat="false" ht="15" hidden="false" customHeight="false" outlineLevel="0" collapsed="false">
      <c r="A2736" s="7" t="n">
        <v>46059</v>
      </c>
      <c r="B2736" s="7" t="n">
        <v>46132</v>
      </c>
      <c r="C2736" s="8" t="n">
        <v>6462</v>
      </c>
      <c r="D2736" s="8" t="n">
        <v>105</v>
      </c>
      <c r="E2736" s="8" t="n">
        <v>1100</v>
      </c>
      <c r="F2736" s="8" t="s">
        <v>2200</v>
      </c>
      <c r="G2736" s="8" t="s">
        <v>2201</v>
      </c>
      <c r="H2736" s="8" t="s">
        <v>2788</v>
      </c>
    </row>
    <row r="2737" customFormat="false" ht="15" hidden="false" customHeight="false" outlineLevel="0" collapsed="false">
      <c r="A2737" s="7" t="n">
        <v>46059</v>
      </c>
      <c r="B2737" s="7" t="n">
        <v>46162</v>
      </c>
      <c r="C2737" s="8" t="n">
        <v>6899</v>
      </c>
      <c r="D2737" s="8" t="n">
        <v>0</v>
      </c>
      <c r="E2737" s="8" t="n">
        <v>0</v>
      </c>
      <c r="F2737" s="8" t="s">
        <v>2200</v>
      </c>
      <c r="G2737" s="8" t="s">
        <v>2201</v>
      </c>
      <c r="H2737" s="8" t="s">
        <v>2788</v>
      </c>
    </row>
    <row r="2738" customFormat="false" ht="15" hidden="false" customHeight="false" outlineLevel="0" collapsed="false">
      <c r="A2738" s="7" t="n">
        <v>46059</v>
      </c>
      <c r="B2738" s="7" t="n">
        <v>46192</v>
      </c>
      <c r="C2738" s="8" t="n">
        <v>6899</v>
      </c>
      <c r="D2738" s="8" t="n">
        <v>0</v>
      </c>
      <c r="E2738" s="8" t="n">
        <v>0</v>
      </c>
      <c r="F2738" s="8" t="s">
        <v>2200</v>
      </c>
      <c r="G2738" s="8" t="s">
        <v>2201</v>
      </c>
      <c r="H2738" s="8" t="s">
        <v>2788</v>
      </c>
    </row>
    <row r="2739" customFormat="false" ht="15" hidden="false" customHeight="false" outlineLevel="0" collapsed="false">
      <c r="A2739" s="7" t="n">
        <v>46062</v>
      </c>
      <c r="B2739" s="7" t="n">
        <v>46073</v>
      </c>
      <c r="C2739" s="8" t="n">
        <v>6437</v>
      </c>
      <c r="D2739" s="8" t="n">
        <v>3785</v>
      </c>
      <c r="E2739" s="8" t="n">
        <v>17505</v>
      </c>
      <c r="F2739" s="8" t="s">
        <v>2200</v>
      </c>
      <c r="G2739" s="8" t="s">
        <v>2201</v>
      </c>
      <c r="H2739" s="8" t="s">
        <v>2789</v>
      </c>
    </row>
    <row r="2740" customFormat="false" ht="15" hidden="false" customHeight="false" outlineLevel="0" collapsed="false">
      <c r="A2740" s="7" t="n">
        <v>46062</v>
      </c>
      <c r="B2740" s="7" t="n">
        <v>46101</v>
      </c>
      <c r="C2740" s="8" t="n">
        <v>6495</v>
      </c>
      <c r="D2740" s="8" t="n">
        <v>3880</v>
      </c>
      <c r="E2740" s="8" t="n">
        <v>14085</v>
      </c>
      <c r="F2740" s="8" t="s">
        <v>2200</v>
      </c>
      <c r="G2740" s="8" t="s">
        <v>2201</v>
      </c>
      <c r="H2740" s="8" t="s">
        <v>2789</v>
      </c>
    </row>
    <row r="2741" customFormat="false" ht="15" hidden="false" customHeight="false" outlineLevel="0" collapsed="false">
      <c r="A2741" s="7" t="n">
        <v>46062</v>
      </c>
      <c r="B2741" s="7" t="n">
        <v>46132</v>
      </c>
      <c r="C2741" s="8" t="n">
        <v>6512</v>
      </c>
      <c r="D2741" s="8" t="n">
        <v>10</v>
      </c>
      <c r="E2741" s="8" t="n">
        <v>1105</v>
      </c>
      <c r="F2741" s="8" t="s">
        <v>2200</v>
      </c>
      <c r="G2741" s="8" t="s">
        <v>2201</v>
      </c>
      <c r="H2741" s="8" t="s">
        <v>2789</v>
      </c>
    </row>
    <row r="2742" customFormat="false" ht="15" hidden="false" customHeight="false" outlineLevel="0" collapsed="false">
      <c r="A2742" s="7" t="n">
        <v>46062</v>
      </c>
      <c r="B2742" s="7" t="n">
        <v>46162</v>
      </c>
      <c r="C2742" s="8" t="n">
        <v>6899</v>
      </c>
      <c r="D2742" s="8" t="n">
        <v>0</v>
      </c>
      <c r="E2742" s="8" t="n">
        <v>0</v>
      </c>
      <c r="F2742" s="8" t="s">
        <v>2200</v>
      </c>
      <c r="G2742" s="8" t="s">
        <v>2201</v>
      </c>
      <c r="H2742" s="8" t="s">
        <v>2789</v>
      </c>
    </row>
    <row r="2743" customFormat="false" ht="15" hidden="false" customHeight="false" outlineLevel="0" collapsed="false">
      <c r="A2743" s="7" t="n">
        <v>46062</v>
      </c>
      <c r="B2743" s="7" t="n">
        <v>46192</v>
      </c>
      <c r="C2743" s="8" t="n">
        <v>6899</v>
      </c>
      <c r="D2743" s="8" t="n">
        <v>0</v>
      </c>
      <c r="E2743" s="8" t="n">
        <v>0</v>
      </c>
      <c r="F2743" s="8" t="s">
        <v>2200</v>
      </c>
      <c r="G2743" s="8" t="s">
        <v>2201</v>
      </c>
      <c r="H2743" s="8" t="s">
        <v>2789</v>
      </c>
    </row>
    <row r="2744" customFormat="false" ht="15" hidden="false" customHeight="false" outlineLevel="0" collapsed="false">
      <c r="A2744" s="7" t="n">
        <v>46063</v>
      </c>
      <c r="B2744" s="7" t="n">
        <v>46073</v>
      </c>
      <c r="C2744" s="8" t="n">
        <v>6450</v>
      </c>
      <c r="D2744" s="8" t="n">
        <v>4790</v>
      </c>
      <c r="E2744" s="8" t="n">
        <v>14365</v>
      </c>
      <c r="F2744" s="8" t="s">
        <v>2200</v>
      </c>
      <c r="G2744" s="8" t="s">
        <v>2201</v>
      </c>
      <c r="H2744" s="8" t="s">
        <v>2790</v>
      </c>
    </row>
    <row r="2745" customFormat="false" ht="15" hidden="false" customHeight="false" outlineLevel="0" collapsed="false">
      <c r="A2745" s="7" t="n">
        <v>46063</v>
      </c>
      <c r="B2745" s="7" t="n">
        <v>46101</v>
      </c>
      <c r="C2745" s="8" t="n">
        <v>6509</v>
      </c>
      <c r="D2745" s="8" t="n">
        <v>5395</v>
      </c>
      <c r="E2745" s="8" t="n">
        <v>15970</v>
      </c>
      <c r="F2745" s="8" t="s">
        <v>2200</v>
      </c>
      <c r="G2745" s="8" t="s">
        <v>2201</v>
      </c>
      <c r="H2745" s="8" t="s">
        <v>2790</v>
      </c>
    </row>
    <row r="2746" customFormat="false" ht="15" hidden="false" customHeight="false" outlineLevel="0" collapsed="false">
      <c r="A2746" s="7" t="n">
        <v>46063</v>
      </c>
      <c r="B2746" s="7" t="n">
        <v>46132</v>
      </c>
      <c r="C2746" s="8" t="n">
        <v>6532</v>
      </c>
      <c r="D2746" s="8" t="n">
        <v>1150</v>
      </c>
      <c r="E2746" s="8" t="n">
        <v>2015</v>
      </c>
      <c r="F2746" s="8" t="s">
        <v>2200</v>
      </c>
      <c r="G2746" s="8" t="s">
        <v>2201</v>
      </c>
      <c r="H2746" s="8" t="s">
        <v>2790</v>
      </c>
    </row>
    <row r="2747" customFormat="false" ht="15" hidden="false" customHeight="false" outlineLevel="0" collapsed="false">
      <c r="A2747" s="7" t="n">
        <v>46063</v>
      </c>
      <c r="B2747" s="7" t="n">
        <v>46162</v>
      </c>
      <c r="C2747" s="8" t="n">
        <v>6899</v>
      </c>
      <c r="D2747" s="8" t="n">
        <v>0</v>
      </c>
      <c r="E2747" s="8" t="n">
        <v>0</v>
      </c>
      <c r="F2747" s="8" t="s">
        <v>2200</v>
      </c>
      <c r="G2747" s="8" t="s">
        <v>2201</v>
      </c>
      <c r="H2747" s="8" t="s">
        <v>2790</v>
      </c>
    </row>
    <row r="2748" customFormat="false" ht="15" hidden="false" customHeight="false" outlineLevel="0" collapsed="false">
      <c r="A2748" s="7" t="n">
        <v>46063</v>
      </c>
      <c r="B2748" s="7" t="n">
        <v>46192</v>
      </c>
      <c r="C2748" s="8" t="n">
        <v>6899</v>
      </c>
      <c r="D2748" s="8" t="n">
        <v>0</v>
      </c>
      <c r="E2748" s="8" t="n">
        <v>0</v>
      </c>
      <c r="F2748" s="8" t="s">
        <v>2200</v>
      </c>
      <c r="G2748" s="8" t="s">
        <v>2201</v>
      </c>
      <c r="H2748" s="8" t="s">
        <v>2790</v>
      </c>
    </row>
    <row r="2749" customFormat="false" ht="15" hidden="false" customHeight="false" outlineLevel="0" collapsed="false">
      <c r="A2749" s="7" t="n">
        <v>46064</v>
      </c>
      <c r="B2749" s="7" t="n">
        <v>46073</v>
      </c>
      <c r="C2749" s="8" t="n">
        <v>6388</v>
      </c>
      <c r="D2749" s="8" t="n">
        <v>4030</v>
      </c>
      <c r="E2749" s="8" t="n">
        <v>11465</v>
      </c>
      <c r="F2749" s="8" t="s">
        <v>2200</v>
      </c>
      <c r="G2749" s="8" t="s">
        <v>2201</v>
      </c>
      <c r="H2749" s="8" t="s">
        <v>2791</v>
      </c>
    </row>
    <row r="2750" customFormat="false" ht="15" hidden="false" customHeight="false" outlineLevel="0" collapsed="false">
      <c r="A2750" s="7" t="n">
        <v>46064</v>
      </c>
      <c r="B2750" s="7" t="n">
        <v>46101</v>
      </c>
      <c r="C2750" s="8" t="n">
        <v>6445</v>
      </c>
      <c r="D2750" s="8" t="n">
        <v>6120</v>
      </c>
      <c r="E2750" s="8" t="n">
        <v>17575</v>
      </c>
      <c r="F2750" s="8" t="s">
        <v>2200</v>
      </c>
      <c r="G2750" s="8" t="s">
        <v>2201</v>
      </c>
      <c r="H2750" s="8" t="s">
        <v>2791</v>
      </c>
    </row>
    <row r="2751" customFormat="false" ht="15" hidden="false" customHeight="false" outlineLevel="0" collapsed="false">
      <c r="A2751" s="7" t="n">
        <v>46064</v>
      </c>
      <c r="B2751" s="7" t="n">
        <v>46132</v>
      </c>
      <c r="C2751" s="8" t="n">
        <v>6457</v>
      </c>
      <c r="D2751" s="8" t="n">
        <v>895</v>
      </c>
      <c r="E2751" s="8" t="n">
        <v>2670</v>
      </c>
      <c r="F2751" s="8" t="s">
        <v>2200</v>
      </c>
      <c r="G2751" s="8" t="s">
        <v>2201</v>
      </c>
      <c r="H2751" s="8" t="s">
        <v>2791</v>
      </c>
    </row>
    <row r="2752" customFormat="false" ht="15" hidden="false" customHeight="false" outlineLevel="0" collapsed="false">
      <c r="A2752" s="7" t="n">
        <v>46064</v>
      </c>
      <c r="B2752" s="7" t="n">
        <v>46162</v>
      </c>
      <c r="C2752" s="8" t="n">
        <v>6899</v>
      </c>
      <c r="D2752" s="8" t="n">
        <v>0</v>
      </c>
      <c r="E2752" s="8" t="n">
        <v>0</v>
      </c>
      <c r="F2752" s="8" t="s">
        <v>2200</v>
      </c>
      <c r="G2752" s="8" t="s">
        <v>2201</v>
      </c>
      <c r="H2752" s="8" t="s">
        <v>2791</v>
      </c>
    </row>
    <row r="2753" customFormat="false" ht="15" hidden="false" customHeight="false" outlineLevel="0" collapsed="false">
      <c r="A2753" s="7" t="n">
        <v>46064</v>
      </c>
      <c r="B2753" s="7" t="n">
        <v>46192</v>
      </c>
      <c r="C2753" s="8" t="n">
        <v>6899</v>
      </c>
      <c r="D2753" s="8" t="n">
        <v>0</v>
      </c>
      <c r="E2753" s="8" t="n">
        <v>0</v>
      </c>
      <c r="F2753" s="8" t="s">
        <v>2200</v>
      </c>
      <c r="G2753" s="8" t="s">
        <v>2201</v>
      </c>
      <c r="H2753" s="8" t="s">
        <v>2791</v>
      </c>
    </row>
    <row r="2754" customFormat="false" ht="15" hidden="false" customHeight="false" outlineLevel="0" collapsed="false">
      <c r="A2754" s="7" t="n">
        <v>46065</v>
      </c>
      <c r="B2754" s="7" t="n">
        <v>46073</v>
      </c>
      <c r="C2754" s="8" t="n">
        <v>6348</v>
      </c>
      <c r="D2754" s="8" t="n">
        <v>3000</v>
      </c>
      <c r="E2754" s="8" t="n">
        <v>9160</v>
      </c>
      <c r="F2754" s="8" t="s">
        <v>2200</v>
      </c>
      <c r="G2754" s="8" t="s">
        <v>2201</v>
      </c>
      <c r="H2754" s="8" t="s">
        <v>2792</v>
      </c>
    </row>
    <row r="2755" customFormat="false" ht="15" hidden="false" customHeight="false" outlineLevel="0" collapsed="false">
      <c r="A2755" s="7" t="n">
        <v>46065</v>
      </c>
      <c r="B2755" s="7" t="n">
        <v>46101</v>
      </c>
      <c r="C2755" s="8" t="n">
        <v>6409</v>
      </c>
      <c r="D2755" s="8" t="n">
        <v>3220</v>
      </c>
      <c r="E2755" s="8" t="n">
        <v>18395</v>
      </c>
      <c r="F2755" s="8" t="s">
        <v>2200</v>
      </c>
      <c r="G2755" s="8" t="s">
        <v>2201</v>
      </c>
      <c r="H2755" s="8" t="s">
        <v>2792</v>
      </c>
    </row>
    <row r="2756" customFormat="false" ht="15" hidden="false" customHeight="false" outlineLevel="0" collapsed="false">
      <c r="A2756" s="7" t="n">
        <v>46065</v>
      </c>
      <c r="B2756" s="7" t="n">
        <v>46132</v>
      </c>
      <c r="C2756" s="8" t="n">
        <v>6435</v>
      </c>
      <c r="D2756" s="8" t="n">
        <v>445</v>
      </c>
      <c r="E2756" s="8" t="n">
        <v>3030</v>
      </c>
      <c r="F2756" s="8" t="s">
        <v>2200</v>
      </c>
      <c r="G2756" s="8" t="s">
        <v>2201</v>
      </c>
      <c r="H2756" s="8" t="s">
        <v>2792</v>
      </c>
    </row>
    <row r="2757" customFormat="false" ht="15" hidden="false" customHeight="false" outlineLevel="0" collapsed="false">
      <c r="A2757" s="7" t="n">
        <v>46065</v>
      </c>
      <c r="B2757" s="7" t="n">
        <v>46162</v>
      </c>
      <c r="C2757" s="8" t="n">
        <v>6899</v>
      </c>
      <c r="D2757" s="8" t="n">
        <v>0</v>
      </c>
      <c r="E2757" s="8" t="n">
        <v>0</v>
      </c>
      <c r="F2757" s="8" t="s">
        <v>2200</v>
      </c>
      <c r="G2757" s="8" t="s">
        <v>2201</v>
      </c>
      <c r="H2757" s="8" t="s">
        <v>2792</v>
      </c>
    </row>
    <row r="2758" customFormat="false" ht="15" hidden="false" customHeight="false" outlineLevel="0" collapsed="false">
      <c r="A2758" s="7" t="n">
        <v>46065</v>
      </c>
      <c r="B2758" s="7" t="n">
        <v>46192</v>
      </c>
      <c r="C2758" s="8" t="n">
        <v>6899</v>
      </c>
      <c r="D2758" s="8" t="n">
        <v>0</v>
      </c>
      <c r="E2758" s="8" t="n">
        <v>0</v>
      </c>
      <c r="F2758" s="8" t="s">
        <v>2200</v>
      </c>
      <c r="G2758" s="8" t="s">
        <v>2201</v>
      </c>
      <c r="H2758" s="8" t="s">
        <v>2792</v>
      </c>
    </row>
    <row r="2759" customFormat="false" ht="15" hidden="false" customHeight="false" outlineLevel="0" collapsed="false">
      <c r="A2759" s="7" t="n">
        <v>46066</v>
      </c>
      <c r="B2759" s="7" t="n">
        <v>46073</v>
      </c>
      <c r="C2759" s="8" t="n">
        <v>6376</v>
      </c>
      <c r="D2759" s="8" t="n">
        <v>3865</v>
      </c>
      <c r="E2759" s="8" t="n">
        <v>5730</v>
      </c>
      <c r="F2759" s="8" t="s">
        <v>2200</v>
      </c>
      <c r="G2759" s="8" t="s">
        <v>2201</v>
      </c>
      <c r="H2759" s="8" t="s">
        <v>2793</v>
      </c>
    </row>
    <row r="2760" customFormat="false" ht="15" hidden="false" customHeight="false" outlineLevel="0" collapsed="false">
      <c r="A2760" s="7" t="n">
        <v>46066</v>
      </c>
      <c r="B2760" s="7" t="n">
        <v>46101</v>
      </c>
      <c r="C2760" s="8" t="n">
        <v>6436</v>
      </c>
      <c r="D2760" s="8" t="n">
        <v>6480</v>
      </c>
      <c r="E2760" s="8" t="n">
        <v>20770</v>
      </c>
      <c r="F2760" s="8" t="s">
        <v>2200</v>
      </c>
      <c r="G2760" s="8" t="s">
        <v>2201</v>
      </c>
      <c r="H2760" s="8" t="s">
        <v>2793</v>
      </c>
    </row>
    <row r="2761" customFormat="false" ht="15" hidden="false" customHeight="false" outlineLevel="0" collapsed="false">
      <c r="A2761" s="7" t="n">
        <v>46066</v>
      </c>
      <c r="B2761" s="7" t="n">
        <v>46132</v>
      </c>
      <c r="C2761" s="8" t="n">
        <v>6477</v>
      </c>
      <c r="D2761" s="8" t="n">
        <v>1405</v>
      </c>
      <c r="E2761" s="8" t="n">
        <v>4020</v>
      </c>
      <c r="F2761" s="8" t="s">
        <v>2200</v>
      </c>
      <c r="G2761" s="8" t="s">
        <v>2201</v>
      </c>
      <c r="H2761" s="8" t="s">
        <v>2793</v>
      </c>
    </row>
    <row r="2762" customFormat="false" ht="15" hidden="false" customHeight="false" outlineLevel="0" collapsed="false">
      <c r="A2762" s="7" t="n">
        <v>46066</v>
      </c>
      <c r="B2762" s="7" t="n">
        <v>46162</v>
      </c>
      <c r="C2762" s="8" t="n">
        <v>6899</v>
      </c>
      <c r="D2762" s="8" t="n">
        <v>0</v>
      </c>
      <c r="E2762" s="8" t="n">
        <v>0</v>
      </c>
      <c r="F2762" s="8" t="s">
        <v>2200</v>
      </c>
      <c r="G2762" s="8" t="s">
        <v>2201</v>
      </c>
      <c r="H2762" s="8" t="s">
        <v>2793</v>
      </c>
    </row>
    <row r="2763" customFormat="false" ht="15" hidden="false" customHeight="false" outlineLevel="0" collapsed="false">
      <c r="A2763" s="7" t="n">
        <v>46066</v>
      </c>
      <c r="B2763" s="7" t="n">
        <v>46192</v>
      </c>
      <c r="C2763" s="8" t="n">
        <v>6899</v>
      </c>
      <c r="D2763" s="8" t="n">
        <v>0</v>
      </c>
      <c r="E2763" s="8" t="n">
        <v>0</v>
      </c>
      <c r="F2763" s="8" t="s">
        <v>2200</v>
      </c>
      <c r="G2763" s="8" t="s">
        <v>2201</v>
      </c>
      <c r="H2763" s="8" t="s">
        <v>2793</v>
      </c>
    </row>
    <row r="2764" customFormat="false" ht="15" hidden="false" customHeight="false" outlineLevel="0" collapsed="false">
      <c r="A2764" s="7" t="n">
        <v>46069</v>
      </c>
      <c r="B2764" s="7" t="n">
        <v>46073</v>
      </c>
      <c r="C2764" s="8" t="n">
        <v>6330</v>
      </c>
      <c r="D2764" s="8" t="n">
        <v>2695</v>
      </c>
      <c r="E2764" s="8" t="n">
        <v>3400</v>
      </c>
      <c r="F2764" s="8" t="s">
        <v>2200</v>
      </c>
      <c r="G2764" s="8" t="s">
        <v>2201</v>
      </c>
      <c r="H2764" s="8" t="s">
        <v>2794</v>
      </c>
    </row>
    <row r="2765" customFormat="false" ht="15" hidden="false" customHeight="false" outlineLevel="0" collapsed="false">
      <c r="A2765" s="7" t="n">
        <v>46069</v>
      </c>
      <c r="B2765" s="7" t="n">
        <v>46101</v>
      </c>
      <c r="C2765" s="8" t="n">
        <v>6383</v>
      </c>
      <c r="D2765" s="8" t="n">
        <v>5010</v>
      </c>
      <c r="E2765" s="8" t="n">
        <v>22370</v>
      </c>
      <c r="F2765" s="8" t="s">
        <v>2200</v>
      </c>
      <c r="G2765" s="8" t="s">
        <v>2201</v>
      </c>
      <c r="H2765" s="8" t="s">
        <v>2794</v>
      </c>
    </row>
    <row r="2766" customFormat="false" ht="15" hidden="false" customHeight="false" outlineLevel="0" collapsed="false">
      <c r="A2766" s="7" t="n">
        <v>46069</v>
      </c>
      <c r="B2766" s="7" t="n">
        <v>46132</v>
      </c>
      <c r="C2766" s="8" t="n">
        <v>6440</v>
      </c>
      <c r="D2766" s="8" t="n">
        <v>1405</v>
      </c>
      <c r="E2766" s="8" t="n">
        <v>5245</v>
      </c>
      <c r="F2766" s="8" t="s">
        <v>2200</v>
      </c>
      <c r="G2766" s="8" t="s">
        <v>2201</v>
      </c>
      <c r="H2766" s="8" t="s">
        <v>2794</v>
      </c>
    </row>
    <row r="2767" customFormat="false" ht="15" hidden="false" customHeight="false" outlineLevel="0" collapsed="false">
      <c r="A2767" s="7" t="n">
        <v>46069</v>
      </c>
      <c r="B2767" s="7" t="n">
        <v>46162</v>
      </c>
      <c r="C2767" s="8" t="n">
        <v>6624</v>
      </c>
      <c r="D2767" s="8" t="n">
        <v>0</v>
      </c>
      <c r="E2767" s="8" t="n">
        <v>0</v>
      </c>
      <c r="F2767" s="8" t="s">
        <v>2200</v>
      </c>
      <c r="G2767" s="8" t="s">
        <v>2201</v>
      </c>
      <c r="H2767" s="8" t="s">
        <v>2794</v>
      </c>
    </row>
    <row r="2768" customFormat="false" ht="15" hidden="false" customHeight="false" outlineLevel="0" collapsed="false">
      <c r="A2768" s="7" t="n">
        <v>46069</v>
      </c>
      <c r="B2768" s="7" t="n">
        <v>46192</v>
      </c>
      <c r="C2768" s="8" t="n">
        <v>6808</v>
      </c>
      <c r="D2768" s="8" t="n">
        <v>0</v>
      </c>
      <c r="E2768" s="8" t="n">
        <v>0</v>
      </c>
      <c r="F2768" s="8" t="s">
        <v>2200</v>
      </c>
      <c r="G2768" s="8" t="s">
        <v>2201</v>
      </c>
      <c r="H2768" s="8" t="s">
        <v>2794</v>
      </c>
    </row>
    <row r="2769" customFormat="false" ht="15" hidden="false" customHeight="false" outlineLevel="0" collapsed="false">
      <c r="A2769" s="7" t="n">
        <v>46070</v>
      </c>
      <c r="B2769" s="7" t="n">
        <v>46073</v>
      </c>
      <c r="C2769" s="8" t="n">
        <v>6343</v>
      </c>
      <c r="D2769" s="8" t="n">
        <v>2785</v>
      </c>
      <c r="E2769" s="8" t="n">
        <v>1420</v>
      </c>
      <c r="F2769" s="8" t="s">
        <v>2200</v>
      </c>
      <c r="G2769" s="8" t="s">
        <v>2201</v>
      </c>
      <c r="H2769" s="8" t="s">
        <v>2795</v>
      </c>
    </row>
    <row r="2770" customFormat="false" ht="15" hidden="false" customHeight="false" outlineLevel="0" collapsed="false">
      <c r="A2770" s="7" t="n">
        <v>46070</v>
      </c>
      <c r="B2770" s="7" t="n">
        <v>46101</v>
      </c>
      <c r="C2770" s="8" t="n">
        <v>6390</v>
      </c>
      <c r="D2770" s="8" t="n">
        <v>7515</v>
      </c>
      <c r="E2770" s="8" t="n">
        <v>23340</v>
      </c>
      <c r="F2770" s="8" t="s">
        <v>2200</v>
      </c>
      <c r="G2770" s="8" t="s">
        <v>2201</v>
      </c>
      <c r="H2770" s="8" t="s">
        <v>2795</v>
      </c>
    </row>
    <row r="2771" customFormat="false" ht="15" hidden="false" customHeight="false" outlineLevel="0" collapsed="false">
      <c r="A2771" s="7" t="n">
        <v>46070</v>
      </c>
      <c r="B2771" s="7" t="n">
        <v>46132</v>
      </c>
      <c r="C2771" s="8" t="n">
        <v>6400</v>
      </c>
      <c r="D2771" s="8" t="n">
        <v>1245</v>
      </c>
      <c r="E2771" s="8" t="n">
        <v>5940</v>
      </c>
      <c r="F2771" s="8" t="s">
        <v>2200</v>
      </c>
      <c r="G2771" s="8" t="s">
        <v>2201</v>
      </c>
      <c r="H2771" s="8" t="s">
        <v>2795</v>
      </c>
    </row>
    <row r="2772" customFormat="false" ht="15" hidden="false" customHeight="false" outlineLevel="0" collapsed="false">
      <c r="A2772" s="7" t="n">
        <v>46070</v>
      </c>
      <c r="B2772" s="7" t="n">
        <v>46162</v>
      </c>
      <c r="C2772" s="8" t="n">
        <v>6624</v>
      </c>
      <c r="D2772" s="8" t="n">
        <v>0</v>
      </c>
      <c r="E2772" s="8" t="n">
        <v>0</v>
      </c>
      <c r="F2772" s="8" t="s">
        <v>2200</v>
      </c>
      <c r="G2772" s="8" t="s">
        <v>2201</v>
      </c>
      <c r="H2772" s="8" t="s">
        <v>2795</v>
      </c>
    </row>
    <row r="2773" customFormat="false" ht="15" hidden="false" customHeight="false" outlineLevel="0" collapsed="false">
      <c r="A2773" s="7" t="n">
        <v>46070</v>
      </c>
      <c r="B2773" s="7" t="n">
        <v>46192</v>
      </c>
      <c r="C2773" s="8" t="n">
        <v>6808</v>
      </c>
      <c r="D2773" s="8" t="n">
        <v>0</v>
      </c>
      <c r="E2773" s="8" t="n">
        <v>0</v>
      </c>
      <c r="F2773" s="8" t="s">
        <v>2200</v>
      </c>
      <c r="G2773" s="8" t="s">
        <v>2201</v>
      </c>
      <c r="H2773" s="8" t="s">
        <v>2795</v>
      </c>
    </row>
    <row r="2774" customFormat="false" ht="15" hidden="false" customHeight="false" outlineLevel="0" collapsed="false">
      <c r="A2774" s="7" t="n">
        <v>46071</v>
      </c>
      <c r="B2774" s="7" t="n">
        <v>46073</v>
      </c>
      <c r="C2774" s="8" t="n">
        <v>6246</v>
      </c>
      <c r="D2774" s="8" t="n">
        <v>1905</v>
      </c>
      <c r="E2774" s="8" t="n">
        <v>525</v>
      </c>
      <c r="F2774" s="8" t="s">
        <v>2200</v>
      </c>
      <c r="G2774" s="8" t="s">
        <v>2201</v>
      </c>
      <c r="H2774" s="8" t="s">
        <v>2796</v>
      </c>
    </row>
    <row r="2775" customFormat="false" ht="15" hidden="false" customHeight="false" outlineLevel="0" collapsed="false">
      <c r="A2775" s="7" t="n">
        <v>46071</v>
      </c>
      <c r="B2775" s="7" t="n">
        <v>46101</v>
      </c>
      <c r="C2775" s="8" t="n">
        <v>6323</v>
      </c>
      <c r="D2775" s="8" t="n">
        <v>6710</v>
      </c>
      <c r="E2775" s="8" t="n">
        <v>24090</v>
      </c>
      <c r="F2775" s="8" t="s">
        <v>2200</v>
      </c>
      <c r="G2775" s="8" t="s">
        <v>2201</v>
      </c>
      <c r="H2775" s="8" t="s">
        <v>2796</v>
      </c>
    </row>
    <row r="2776" customFormat="false" ht="15" hidden="false" customHeight="false" outlineLevel="0" collapsed="false">
      <c r="A2776" s="7" t="n">
        <v>46071</v>
      </c>
      <c r="B2776" s="7" t="n">
        <v>46132</v>
      </c>
      <c r="C2776" s="8" t="n">
        <v>6343</v>
      </c>
      <c r="D2776" s="8" t="n">
        <v>985</v>
      </c>
      <c r="E2776" s="8" t="n">
        <v>6430</v>
      </c>
      <c r="F2776" s="8" t="s">
        <v>2200</v>
      </c>
      <c r="G2776" s="8" t="s">
        <v>2201</v>
      </c>
      <c r="H2776" s="8" t="s">
        <v>2796</v>
      </c>
    </row>
    <row r="2777" customFormat="false" ht="15" hidden="false" customHeight="false" outlineLevel="0" collapsed="false">
      <c r="A2777" s="7" t="n">
        <v>46071</v>
      </c>
      <c r="B2777" s="7" t="n">
        <v>46162</v>
      </c>
      <c r="C2777" s="8" t="n">
        <v>6624</v>
      </c>
      <c r="D2777" s="8" t="n">
        <v>0</v>
      </c>
      <c r="E2777" s="8" t="n">
        <v>0</v>
      </c>
      <c r="F2777" s="8" t="s">
        <v>2200</v>
      </c>
      <c r="G2777" s="8" t="s">
        <v>2201</v>
      </c>
      <c r="H2777" s="8" t="s">
        <v>2796</v>
      </c>
    </row>
    <row r="2778" customFormat="false" ht="15" hidden="false" customHeight="false" outlineLevel="0" collapsed="false">
      <c r="A2778" s="7" t="n">
        <v>46071</v>
      </c>
      <c r="B2778" s="7" t="n">
        <v>46192</v>
      </c>
      <c r="C2778" s="8" t="n">
        <v>6808</v>
      </c>
      <c r="D2778" s="8" t="n">
        <v>0</v>
      </c>
      <c r="E2778" s="8" t="n">
        <v>0</v>
      </c>
      <c r="F2778" s="8" t="s">
        <v>2200</v>
      </c>
      <c r="G2778" s="8" t="s">
        <v>2201</v>
      </c>
      <c r="H2778" s="8" t="s">
        <v>2796</v>
      </c>
    </row>
    <row r="2779" customFormat="false" ht="15" hidden="false" customHeight="false" outlineLevel="0" collapsed="false">
      <c r="A2779" s="7" t="n">
        <v>46072</v>
      </c>
      <c r="B2779" s="7" t="n">
        <v>46073</v>
      </c>
      <c r="C2779" s="8" t="n">
        <v>6333</v>
      </c>
      <c r="D2779" s="8" t="n">
        <v>65</v>
      </c>
      <c r="E2779" s="8" t="n">
        <v>130</v>
      </c>
      <c r="F2779" s="8" t="s">
        <v>2200</v>
      </c>
      <c r="G2779" s="8" t="s">
        <v>2201</v>
      </c>
      <c r="H2779" s="8" t="s">
        <v>2797</v>
      </c>
    </row>
    <row r="2780" customFormat="false" ht="15" hidden="false" customHeight="false" outlineLevel="0" collapsed="false">
      <c r="A2780" s="7" t="n">
        <v>46072</v>
      </c>
      <c r="B2780" s="7" t="n">
        <v>46101</v>
      </c>
      <c r="C2780" s="8" t="n">
        <v>6374</v>
      </c>
      <c r="D2780" s="8" t="n">
        <v>4715</v>
      </c>
      <c r="E2780" s="8" t="n">
        <v>24070</v>
      </c>
      <c r="F2780" s="8" t="s">
        <v>2200</v>
      </c>
      <c r="G2780" s="8" t="s">
        <v>2201</v>
      </c>
      <c r="H2780" s="8" t="s">
        <v>2797</v>
      </c>
    </row>
    <row r="2781" customFormat="false" ht="15" hidden="false" customHeight="false" outlineLevel="0" collapsed="false">
      <c r="A2781" s="7" t="n">
        <v>46072</v>
      </c>
      <c r="B2781" s="7" t="n">
        <v>46132</v>
      </c>
      <c r="C2781" s="8" t="n">
        <v>6399</v>
      </c>
      <c r="D2781" s="8" t="n">
        <v>430</v>
      </c>
      <c r="E2781" s="8" t="n">
        <v>6745</v>
      </c>
      <c r="F2781" s="8" t="s">
        <v>2200</v>
      </c>
      <c r="G2781" s="8" t="s">
        <v>2201</v>
      </c>
      <c r="H2781" s="8" t="s">
        <v>2797</v>
      </c>
    </row>
    <row r="2782" customFormat="false" ht="15" hidden="false" customHeight="false" outlineLevel="0" collapsed="false">
      <c r="A2782" s="7" t="n">
        <v>46072</v>
      </c>
      <c r="B2782" s="7" t="n">
        <v>46162</v>
      </c>
      <c r="C2782" s="8" t="n">
        <v>6624</v>
      </c>
      <c r="D2782" s="8" t="n">
        <v>0</v>
      </c>
      <c r="E2782" s="8" t="n">
        <v>0</v>
      </c>
      <c r="F2782" s="8" t="s">
        <v>2200</v>
      </c>
      <c r="G2782" s="8" t="s">
        <v>2201</v>
      </c>
      <c r="H2782" s="8" t="s">
        <v>2797</v>
      </c>
    </row>
    <row r="2783" customFormat="false" ht="15" hidden="false" customHeight="false" outlineLevel="0" collapsed="false">
      <c r="A2783" s="7" t="n">
        <v>46072</v>
      </c>
      <c r="B2783" s="7" t="n">
        <v>46192</v>
      </c>
      <c r="C2783" s="8" t="n">
        <v>6808</v>
      </c>
      <c r="D2783" s="8" t="n">
        <v>0</v>
      </c>
      <c r="E2783" s="8" t="n">
        <v>0</v>
      </c>
      <c r="F2783" s="8" t="s">
        <v>2200</v>
      </c>
      <c r="G2783" s="8" t="s">
        <v>2201</v>
      </c>
      <c r="H2783" s="8" t="s">
        <v>2797</v>
      </c>
    </row>
    <row r="2784" customFormat="false" ht="15" hidden="false" customHeight="false" outlineLevel="0" collapsed="false">
      <c r="A2784" s="7" t="n">
        <v>46073</v>
      </c>
      <c r="B2784" s="7" t="n">
        <v>46073</v>
      </c>
      <c r="C2784" s="8" t="n">
        <v>6333</v>
      </c>
      <c r="D2784" s="8" t="n">
        <v>75</v>
      </c>
      <c r="E2784" s="8" t="n">
        <v>95</v>
      </c>
      <c r="F2784" s="8" t="s">
        <v>2200</v>
      </c>
      <c r="G2784" s="8" t="s">
        <v>2201</v>
      </c>
      <c r="H2784" s="8" t="s">
        <v>2798</v>
      </c>
    </row>
    <row r="2785" customFormat="false" ht="15" hidden="false" customHeight="false" outlineLevel="0" collapsed="false">
      <c r="A2785" s="7" t="n">
        <v>46073</v>
      </c>
      <c r="B2785" s="7" t="n">
        <v>46101</v>
      </c>
      <c r="C2785" s="8" t="n">
        <v>6366</v>
      </c>
      <c r="D2785" s="8" t="n">
        <v>2165</v>
      </c>
      <c r="E2785" s="8" t="n">
        <v>23665</v>
      </c>
      <c r="F2785" s="8" t="s">
        <v>2200</v>
      </c>
      <c r="G2785" s="8" t="s">
        <v>2201</v>
      </c>
      <c r="H2785" s="8" t="s">
        <v>2798</v>
      </c>
    </row>
    <row r="2786" customFormat="false" ht="15" hidden="false" customHeight="false" outlineLevel="0" collapsed="false">
      <c r="A2786" s="7" t="n">
        <v>46073</v>
      </c>
      <c r="B2786" s="7" t="n">
        <v>46132</v>
      </c>
      <c r="C2786" s="8" t="n">
        <v>6390</v>
      </c>
      <c r="D2786" s="8" t="n">
        <v>770</v>
      </c>
      <c r="E2786" s="8" t="n">
        <v>7100</v>
      </c>
      <c r="F2786" s="8" t="s">
        <v>2200</v>
      </c>
      <c r="G2786" s="8" t="s">
        <v>2201</v>
      </c>
      <c r="H2786" s="8" t="s">
        <v>2798</v>
      </c>
    </row>
    <row r="2787" customFormat="false" ht="15" hidden="false" customHeight="false" outlineLevel="0" collapsed="false">
      <c r="A2787" s="7" t="n">
        <v>46073</v>
      </c>
      <c r="B2787" s="7" t="n">
        <v>46162</v>
      </c>
      <c r="C2787" s="8" t="n">
        <v>6624</v>
      </c>
      <c r="D2787" s="8" t="n">
        <v>0</v>
      </c>
      <c r="E2787" s="8" t="n">
        <v>0</v>
      </c>
      <c r="F2787" s="8" t="s">
        <v>2200</v>
      </c>
      <c r="G2787" s="8" t="s">
        <v>2201</v>
      </c>
      <c r="H2787" s="8" t="s">
        <v>2798</v>
      </c>
    </row>
    <row r="2788" customFormat="false" ht="15" hidden="false" customHeight="false" outlineLevel="0" collapsed="false">
      <c r="A2788" s="7" t="n">
        <v>46073</v>
      </c>
      <c r="B2788" s="7" t="n">
        <v>46192</v>
      </c>
      <c r="C2788" s="8" t="n">
        <v>6808</v>
      </c>
      <c r="D2788" s="8" t="n">
        <v>0</v>
      </c>
      <c r="E2788" s="8" t="n">
        <v>0</v>
      </c>
      <c r="F2788" s="8" t="s">
        <v>2200</v>
      </c>
      <c r="G2788" s="8" t="s">
        <v>2201</v>
      </c>
      <c r="H2788" s="8" t="s">
        <v>2798</v>
      </c>
    </row>
    <row r="2789" customFormat="false" ht="15" hidden="false" customHeight="false" outlineLevel="0" collapsed="false">
      <c r="A2789" s="7" t="n">
        <v>46076</v>
      </c>
      <c r="B2789" s="7" t="n">
        <v>46101</v>
      </c>
      <c r="C2789" s="8" t="n">
        <v>6347</v>
      </c>
      <c r="D2789" s="8" t="n">
        <v>1220</v>
      </c>
      <c r="E2789" s="8" t="n">
        <v>23540</v>
      </c>
      <c r="F2789" s="8" t="s">
        <v>2200</v>
      </c>
      <c r="G2789" s="8" t="s">
        <v>2201</v>
      </c>
      <c r="H2789" s="8" t="s">
        <v>2799</v>
      </c>
    </row>
    <row r="2790" customFormat="false" ht="15" hidden="false" customHeight="false" outlineLevel="0" collapsed="false">
      <c r="A2790" s="7" t="n">
        <v>46076</v>
      </c>
      <c r="B2790" s="7" t="n">
        <v>46132</v>
      </c>
      <c r="C2790" s="8" t="n">
        <v>6372</v>
      </c>
      <c r="D2790" s="8" t="n">
        <v>905</v>
      </c>
      <c r="E2790" s="8" t="n">
        <v>7625</v>
      </c>
      <c r="F2790" s="8" t="s">
        <v>2200</v>
      </c>
      <c r="G2790" s="8" t="s">
        <v>2201</v>
      </c>
      <c r="H2790" s="8" t="s">
        <v>2799</v>
      </c>
    </row>
    <row r="2791" customFormat="false" ht="15" hidden="false" customHeight="false" outlineLevel="0" collapsed="false">
      <c r="A2791" s="7" t="n">
        <v>46076</v>
      </c>
      <c r="B2791" s="7" t="n">
        <v>46162</v>
      </c>
      <c r="C2791" s="8" t="n">
        <v>6624</v>
      </c>
      <c r="D2791" s="8" t="n">
        <v>0</v>
      </c>
      <c r="E2791" s="8" t="n">
        <v>0</v>
      </c>
      <c r="F2791" s="8" t="s">
        <v>2200</v>
      </c>
      <c r="G2791" s="8" t="s">
        <v>2201</v>
      </c>
      <c r="H2791" s="8" t="s">
        <v>2799</v>
      </c>
    </row>
    <row r="2792" customFormat="false" ht="15" hidden="false" customHeight="false" outlineLevel="0" collapsed="false">
      <c r="A2792" s="7" t="n">
        <v>46076</v>
      </c>
      <c r="B2792" s="7" t="n">
        <v>46192</v>
      </c>
      <c r="C2792" s="8" t="n">
        <v>6808</v>
      </c>
      <c r="D2792" s="8" t="n">
        <v>0</v>
      </c>
      <c r="E2792" s="8" t="n">
        <v>0</v>
      </c>
      <c r="F2792" s="8" t="s">
        <v>2200</v>
      </c>
      <c r="G2792" s="8" t="s">
        <v>2201</v>
      </c>
      <c r="H2792" s="8" t="s">
        <v>2799</v>
      </c>
    </row>
    <row r="2793" customFormat="false" ht="15" hidden="false" customHeight="false" outlineLevel="0" collapsed="false">
      <c r="A2793" s="7" t="n">
        <v>46077</v>
      </c>
      <c r="B2793" s="7" t="n">
        <v>46101</v>
      </c>
      <c r="C2793" s="8" t="n">
        <v>6279</v>
      </c>
      <c r="D2793" s="8" t="n">
        <v>6315</v>
      </c>
      <c r="E2793" s="8" t="n">
        <v>20545</v>
      </c>
      <c r="F2793" s="8" t="s">
        <v>2200</v>
      </c>
      <c r="G2793" s="8" t="s">
        <v>2201</v>
      </c>
      <c r="H2793" s="8" t="s">
        <v>2800</v>
      </c>
    </row>
    <row r="2794" customFormat="false" ht="15" hidden="false" customHeight="false" outlineLevel="0" collapsed="false">
      <c r="A2794" s="7" t="n">
        <v>46077</v>
      </c>
      <c r="B2794" s="7" t="n">
        <v>46132</v>
      </c>
      <c r="C2794" s="8" t="n">
        <v>6304</v>
      </c>
      <c r="D2794" s="8" t="n">
        <v>3700</v>
      </c>
      <c r="E2794" s="8" t="n">
        <v>8880</v>
      </c>
      <c r="F2794" s="8" t="s">
        <v>2200</v>
      </c>
      <c r="G2794" s="8" t="s">
        <v>2201</v>
      </c>
      <c r="H2794" s="8" t="s">
        <v>2800</v>
      </c>
    </row>
    <row r="2795" customFormat="false" ht="15" hidden="false" customHeight="false" outlineLevel="0" collapsed="false">
      <c r="A2795" s="7" t="n">
        <v>46077</v>
      </c>
      <c r="B2795" s="7" t="n">
        <v>46162</v>
      </c>
      <c r="C2795" s="8" t="n">
        <v>6369</v>
      </c>
      <c r="D2795" s="8" t="n">
        <v>55</v>
      </c>
      <c r="E2795" s="8" t="n">
        <v>55</v>
      </c>
      <c r="F2795" s="8" t="s">
        <v>2200</v>
      </c>
      <c r="G2795" s="8" t="s">
        <v>2201</v>
      </c>
      <c r="H2795" s="8" t="s">
        <v>2800</v>
      </c>
    </row>
    <row r="2796" customFormat="false" ht="15" hidden="false" customHeight="false" outlineLevel="0" collapsed="false">
      <c r="A2796" s="7" t="n">
        <v>46077</v>
      </c>
      <c r="B2796" s="7" t="n">
        <v>46192</v>
      </c>
      <c r="C2796" s="8" t="n">
        <v>6434</v>
      </c>
      <c r="D2796" s="8" t="n">
        <v>0</v>
      </c>
      <c r="E2796" s="8" t="n">
        <v>0</v>
      </c>
      <c r="F2796" s="8" t="s">
        <v>2200</v>
      </c>
      <c r="G2796" s="8" t="s">
        <v>2201</v>
      </c>
      <c r="H2796" s="8" t="s">
        <v>2800</v>
      </c>
    </row>
    <row r="2797" customFormat="false" ht="15" hidden="false" customHeight="false" outlineLevel="0" collapsed="false">
      <c r="A2797" s="7" t="n">
        <v>46078</v>
      </c>
      <c r="B2797" s="7" t="n">
        <v>46101</v>
      </c>
      <c r="C2797" s="8" t="n">
        <v>6292</v>
      </c>
      <c r="D2797" s="8" t="n">
        <v>1995</v>
      </c>
      <c r="E2797" s="8" t="n">
        <v>19950</v>
      </c>
      <c r="F2797" s="8" t="s">
        <v>2200</v>
      </c>
      <c r="G2797" s="8" t="s">
        <v>2201</v>
      </c>
      <c r="H2797" s="8" t="s">
        <v>2801</v>
      </c>
    </row>
    <row r="2798" customFormat="false" ht="15" hidden="false" customHeight="false" outlineLevel="0" collapsed="false">
      <c r="A2798" s="7" t="n">
        <v>46078</v>
      </c>
      <c r="B2798" s="7" t="n">
        <v>46132</v>
      </c>
      <c r="C2798" s="8" t="n">
        <v>6318</v>
      </c>
      <c r="D2798" s="8" t="n">
        <v>780</v>
      </c>
      <c r="E2798" s="8" t="n">
        <v>9290</v>
      </c>
      <c r="F2798" s="8" t="s">
        <v>2200</v>
      </c>
      <c r="G2798" s="8" t="s">
        <v>2201</v>
      </c>
      <c r="H2798" s="8" t="s">
        <v>2801</v>
      </c>
    </row>
    <row r="2799" customFormat="false" ht="15" hidden="false" customHeight="false" outlineLevel="0" collapsed="false">
      <c r="A2799" s="7" t="n">
        <v>46078</v>
      </c>
      <c r="B2799" s="7" t="n">
        <v>46162</v>
      </c>
      <c r="C2799" s="8" t="n">
        <v>6349</v>
      </c>
      <c r="D2799" s="8" t="n">
        <v>15</v>
      </c>
      <c r="E2799" s="8" t="n">
        <v>60</v>
      </c>
      <c r="F2799" s="8" t="s">
        <v>2200</v>
      </c>
      <c r="G2799" s="8" t="s">
        <v>2201</v>
      </c>
      <c r="H2799" s="8" t="s">
        <v>2801</v>
      </c>
    </row>
    <row r="2800" customFormat="false" ht="15" hidden="false" customHeight="false" outlineLevel="0" collapsed="false">
      <c r="A2800" s="7" t="n">
        <v>46078</v>
      </c>
      <c r="B2800" s="7" t="n">
        <v>46192</v>
      </c>
      <c r="C2800" s="8" t="n">
        <v>6380</v>
      </c>
      <c r="D2800" s="8" t="n">
        <v>0</v>
      </c>
      <c r="E2800" s="8" t="n">
        <v>0</v>
      </c>
      <c r="F2800" s="8" t="s">
        <v>2200</v>
      </c>
      <c r="G2800" s="8" t="s">
        <v>2201</v>
      </c>
      <c r="H2800" s="8" t="s">
        <v>2801</v>
      </c>
    </row>
    <row r="2801" customFormat="false" ht="15" hidden="false" customHeight="false" outlineLevel="0" collapsed="false">
      <c r="A2801" s="7" t="n">
        <v>46079</v>
      </c>
      <c r="B2801" s="7" t="n">
        <v>46101</v>
      </c>
      <c r="C2801" s="8" t="n">
        <v>6274</v>
      </c>
      <c r="D2801" s="8" t="n">
        <v>2980</v>
      </c>
      <c r="E2801" s="8" t="n">
        <v>19090</v>
      </c>
      <c r="F2801" s="8" t="s">
        <v>2200</v>
      </c>
      <c r="G2801" s="8" t="s">
        <v>2201</v>
      </c>
      <c r="H2801" s="8" t="s">
        <v>2802</v>
      </c>
    </row>
    <row r="2802" customFormat="false" ht="15" hidden="false" customHeight="false" outlineLevel="0" collapsed="false">
      <c r="A2802" s="7" t="n">
        <v>46079</v>
      </c>
      <c r="B2802" s="7" t="n">
        <v>46132</v>
      </c>
      <c r="C2802" s="8" t="n">
        <v>6293</v>
      </c>
      <c r="D2802" s="8" t="n">
        <v>2605</v>
      </c>
      <c r="E2802" s="8" t="n">
        <v>10300</v>
      </c>
      <c r="F2802" s="8" t="s">
        <v>2200</v>
      </c>
      <c r="G2802" s="8" t="s">
        <v>2201</v>
      </c>
      <c r="H2802" s="8" t="s">
        <v>2802</v>
      </c>
    </row>
    <row r="2803" customFormat="false" ht="15" hidden="false" customHeight="false" outlineLevel="0" collapsed="false">
      <c r="A2803" s="7" t="n">
        <v>46079</v>
      </c>
      <c r="B2803" s="7" t="n">
        <v>46162</v>
      </c>
      <c r="C2803" s="8" t="n">
        <v>6312</v>
      </c>
      <c r="D2803" s="8" t="n">
        <v>0</v>
      </c>
      <c r="E2803" s="8" t="n">
        <v>60</v>
      </c>
      <c r="F2803" s="8" t="s">
        <v>2200</v>
      </c>
      <c r="G2803" s="8" t="s">
        <v>2201</v>
      </c>
      <c r="H2803" s="8" t="s">
        <v>2802</v>
      </c>
    </row>
    <row r="2804" customFormat="false" ht="15" hidden="false" customHeight="false" outlineLevel="0" collapsed="false">
      <c r="A2804" s="7" t="n">
        <v>46079</v>
      </c>
      <c r="B2804" s="7" t="n">
        <v>46192</v>
      </c>
      <c r="C2804" s="8" t="n">
        <v>6331</v>
      </c>
      <c r="D2804" s="8" t="n">
        <v>0</v>
      </c>
      <c r="E2804" s="8" t="n">
        <v>0</v>
      </c>
      <c r="F2804" s="8" t="s">
        <v>2200</v>
      </c>
      <c r="G2804" s="8" t="s">
        <v>2201</v>
      </c>
      <c r="H2804" s="8" t="s">
        <v>2802</v>
      </c>
    </row>
    <row r="2805" customFormat="false" ht="15" hidden="false" customHeight="false" outlineLevel="0" collapsed="false">
      <c r="A2805" s="7" t="n">
        <v>46080</v>
      </c>
      <c r="B2805" s="7" t="n">
        <v>46101</v>
      </c>
      <c r="C2805" s="8" t="n">
        <v>6258</v>
      </c>
      <c r="D2805" s="8" t="n">
        <v>2735</v>
      </c>
      <c r="E2805" s="8" t="n">
        <v>18230</v>
      </c>
      <c r="F2805" s="8" t="s">
        <v>2200</v>
      </c>
      <c r="G2805" s="8" t="s">
        <v>2201</v>
      </c>
      <c r="H2805" s="8" t="s">
        <v>2803</v>
      </c>
    </row>
    <row r="2806" customFormat="false" ht="15" hidden="false" customHeight="false" outlineLevel="0" collapsed="false">
      <c r="A2806" s="7" t="n">
        <v>46080</v>
      </c>
      <c r="B2806" s="7" t="n">
        <v>46132</v>
      </c>
      <c r="C2806" s="8" t="n">
        <v>6280</v>
      </c>
      <c r="D2806" s="8" t="n">
        <v>2745</v>
      </c>
      <c r="E2806" s="8" t="n">
        <v>11245</v>
      </c>
      <c r="F2806" s="8" t="s">
        <v>2200</v>
      </c>
      <c r="G2806" s="8" t="s">
        <v>2201</v>
      </c>
      <c r="H2806" s="8" t="s">
        <v>2803</v>
      </c>
    </row>
    <row r="2807" customFormat="false" ht="15" hidden="false" customHeight="false" outlineLevel="0" collapsed="false">
      <c r="A2807" s="7" t="n">
        <v>46080</v>
      </c>
      <c r="B2807" s="7" t="n">
        <v>46162</v>
      </c>
      <c r="C2807" s="8" t="n">
        <v>6282</v>
      </c>
      <c r="D2807" s="8" t="n">
        <v>5</v>
      </c>
      <c r="E2807" s="8" t="n">
        <v>65</v>
      </c>
      <c r="F2807" s="8" t="s">
        <v>2200</v>
      </c>
      <c r="G2807" s="8" t="s">
        <v>2201</v>
      </c>
      <c r="H2807" s="8" t="s">
        <v>2803</v>
      </c>
    </row>
    <row r="2808" customFormat="false" ht="15" hidden="false" customHeight="false" outlineLevel="0" collapsed="false">
      <c r="A2808" s="7" t="n">
        <v>46080</v>
      </c>
      <c r="B2808" s="7" t="n">
        <v>46192</v>
      </c>
      <c r="C2808" s="8" t="n">
        <v>6284</v>
      </c>
      <c r="D2808" s="8" t="n">
        <v>0</v>
      </c>
      <c r="E2808" s="8" t="n">
        <v>0</v>
      </c>
      <c r="F2808" s="8" t="s">
        <v>2200</v>
      </c>
      <c r="G2808" s="8" t="s">
        <v>2201</v>
      </c>
      <c r="H2808" s="8" t="s">
        <v>2803</v>
      </c>
    </row>
    <row r="2809" customFormat="false" ht="15" hidden="false" customHeight="false" outlineLevel="0" collapsed="false">
      <c r="A2809" s="7" t="n">
        <v>46083</v>
      </c>
      <c r="B2809" s="7" t="n">
        <v>46101</v>
      </c>
      <c r="C2809" s="8" t="n">
        <v>6236</v>
      </c>
      <c r="D2809" s="8" t="n">
        <v>1820</v>
      </c>
      <c r="E2809" s="8" t="n">
        <v>17620</v>
      </c>
      <c r="F2809" s="8" t="s">
        <v>2200</v>
      </c>
      <c r="G2809" s="8" t="s">
        <v>2201</v>
      </c>
      <c r="H2809" s="8" t="s">
        <v>2804</v>
      </c>
    </row>
    <row r="2810" customFormat="false" ht="15" hidden="false" customHeight="false" outlineLevel="0" collapsed="false">
      <c r="A2810" s="7" t="n">
        <v>46083</v>
      </c>
      <c r="B2810" s="7" t="n">
        <v>46132</v>
      </c>
      <c r="C2810" s="8" t="n">
        <v>6265</v>
      </c>
      <c r="D2810" s="8" t="n">
        <v>1480</v>
      </c>
      <c r="E2810" s="8" t="n">
        <v>12055</v>
      </c>
      <c r="F2810" s="8" t="s">
        <v>2200</v>
      </c>
      <c r="G2810" s="8" t="s">
        <v>2201</v>
      </c>
      <c r="H2810" s="8" t="s">
        <v>2804</v>
      </c>
    </row>
    <row r="2811" customFormat="false" ht="15" hidden="false" customHeight="false" outlineLevel="0" collapsed="false">
      <c r="A2811" s="7" t="n">
        <v>46083</v>
      </c>
      <c r="B2811" s="7" t="n">
        <v>46162</v>
      </c>
      <c r="C2811" s="8" t="n">
        <v>6351</v>
      </c>
      <c r="D2811" s="8" t="n">
        <v>5</v>
      </c>
      <c r="E2811" s="8" t="n">
        <v>65</v>
      </c>
      <c r="F2811" s="8" t="s">
        <v>2200</v>
      </c>
      <c r="G2811" s="8" t="s">
        <v>2201</v>
      </c>
      <c r="H2811" s="8" t="s">
        <v>2804</v>
      </c>
    </row>
    <row r="2812" customFormat="false" ht="15" hidden="false" customHeight="false" outlineLevel="0" collapsed="false">
      <c r="A2812" s="7" t="n">
        <v>46083</v>
      </c>
      <c r="B2812" s="7" t="n">
        <v>46192</v>
      </c>
      <c r="C2812" s="8" t="n">
        <v>6351</v>
      </c>
      <c r="D2812" s="8" t="n">
        <v>0</v>
      </c>
      <c r="E2812" s="8" t="n">
        <v>0</v>
      </c>
      <c r="F2812" s="8" t="s">
        <v>2200</v>
      </c>
      <c r="G2812" s="8" t="s">
        <v>2201</v>
      </c>
      <c r="H2812" s="8" t="s">
        <v>2804</v>
      </c>
    </row>
    <row r="2813" customFormat="false" ht="15" hidden="false" customHeight="false" outlineLevel="0" collapsed="false">
      <c r="A2813" s="7" t="n">
        <v>46083</v>
      </c>
      <c r="B2813" s="7" t="n">
        <v>46223</v>
      </c>
      <c r="C2813" s="8" t="n">
        <v>6351</v>
      </c>
      <c r="D2813" s="8" t="n">
        <v>0</v>
      </c>
      <c r="E2813" s="8" t="n">
        <v>0</v>
      </c>
      <c r="F2813" s="8" t="s">
        <v>2200</v>
      </c>
      <c r="G2813" s="8" t="s">
        <v>2201</v>
      </c>
      <c r="H2813" s="8" t="s">
        <v>2804</v>
      </c>
    </row>
    <row r="2814" customFormat="false" ht="15" hidden="false" customHeight="false" outlineLevel="0" collapsed="false">
      <c r="A2814" s="7" t="n">
        <v>46085</v>
      </c>
      <c r="B2814" s="7" t="n">
        <v>46101</v>
      </c>
      <c r="C2814" s="8" t="n">
        <v>6255</v>
      </c>
      <c r="D2814" s="8" t="n">
        <v>1480</v>
      </c>
      <c r="E2814" s="8" t="n">
        <v>17160</v>
      </c>
      <c r="F2814" s="8" t="s">
        <v>2200</v>
      </c>
      <c r="G2814" s="8" t="s">
        <v>2201</v>
      </c>
      <c r="H2814" s="8" t="s">
        <v>2805</v>
      </c>
    </row>
    <row r="2815" customFormat="false" ht="15" hidden="false" customHeight="false" outlineLevel="0" collapsed="false">
      <c r="A2815" s="7" t="n">
        <v>46085</v>
      </c>
      <c r="B2815" s="7" t="n">
        <v>46132</v>
      </c>
      <c r="C2815" s="8" t="n">
        <v>6286</v>
      </c>
      <c r="D2815" s="8" t="n">
        <v>1400</v>
      </c>
      <c r="E2815" s="8" t="n">
        <v>12335</v>
      </c>
      <c r="F2815" s="8" t="s">
        <v>2200</v>
      </c>
      <c r="G2815" s="8" t="s">
        <v>2201</v>
      </c>
      <c r="H2815" s="8" t="s">
        <v>2805</v>
      </c>
    </row>
    <row r="2816" customFormat="false" ht="15" hidden="false" customHeight="false" outlineLevel="0" collapsed="false">
      <c r="A2816" s="7" t="n">
        <v>46085</v>
      </c>
      <c r="B2816" s="7" t="n">
        <v>46162</v>
      </c>
      <c r="C2816" s="8" t="n">
        <v>6300</v>
      </c>
      <c r="D2816" s="8" t="n">
        <v>10</v>
      </c>
      <c r="E2816" s="8" t="n">
        <v>75</v>
      </c>
      <c r="F2816" s="8" t="s">
        <v>2200</v>
      </c>
      <c r="G2816" s="8" t="s">
        <v>2201</v>
      </c>
      <c r="H2816" s="8" t="s">
        <v>2805</v>
      </c>
    </row>
    <row r="2817" customFormat="false" ht="15" hidden="false" customHeight="false" outlineLevel="0" collapsed="false">
      <c r="A2817" s="7" t="n">
        <v>46085</v>
      </c>
      <c r="B2817" s="7" t="n">
        <v>46192</v>
      </c>
      <c r="C2817" s="8" t="n">
        <v>6314</v>
      </c>
      <c r="D2817" s="8" t="n">
        <v>0</v>
      </c>
      <c r="E2817" s="8" t="n">
        <v>0</v>
      </c>
      <c r="F2817" s="8" t="s">
        <v>2200</v>
      </c>
      <c r="G2817" s="8" t="s">
        <v>2201</v>
      </c>
      <c r="H2817" s="8" t="s">
        <v>2805</v>
      </c>
    </row>
    <row r="2818" customFormat="false" ht="15" hidden="false" customHeight="false" outlineLevel="0" collapsed="false">
      <c r="A2818" s="7" t="n">
        <v>46085</v>
      </c>
      <c r="B2818" s="7" t="n">
        <v>46223</v>
      </c>
      <c r="C2818" s="8" t="n">
        <v>6328</v>
      </c>
      <c r="D2818" s="8" t="n">
        <v>0</v>
      </c>
      <c r="E2818" s="8" t="n">
        <v>0</v>
      </c>
      <c r="F2818" s="8" t="s">
        <v>2200</v>
      </c>
      <c r="G2818" s="8" t="s">
        <v>2201</v>
      </c>
      <c r="H2818" s="8" t="s">
        <v>2805</v>
      </c>
    </row>
    <row r="2819" customFormat="false" ht="15" hidden="false" customHeight="false" outlineLevel="0" collapsed="false">
      <c r="A2819" s="7" t="n">
        <v>46086</v>
      </c>
      <c r="B2819" s="7" t="n">
        <v>46101</v>
      </c>
      <c r="C2819" s="8" t="n">
        <v>6324</v>
      </c>
      <c r="D2819" s="8" t="n">
        <v>6365</v>
      </c>
      <c r="E2819" s="8" t="n">
        <v>14625</v>
      </c>
      <c r="F2819" s="8" t="s">
        <v>2200</v>
      </c>
      <c r="G2819" s="8" t="s">
        <v>2201</v>
      </c>
      <c r="H2819" s="8" t="s">
        <v>2806</v>
      </c>
    </row>
    <row r="2820" customFormat="false" ht="15" hidden="false" customHeight="false" outlineLevel="0" collapsed="false">
      <c r="A2820" s="7" t="n">
        <v>46086</v>
      </c>
      <c r="B2820" s="7" t="n">
        <v>46132</v>
      </c>
      <c r="C2820" s="8" t="n">
        <v>6376</v>
      </c>
      <c r="D2820" s="8" t="n">
        <v>6125</v>
      </c>
      <c r="E2820" s="8" t="n">
        <v>15370</v>
      </c>
      <c r="F2820" s="8" t="s">
        <v>2200</v>
      </c>
      <c r="G2820" s="8" t="s">
        <v>2201</v>
      </c>
      <c r="H2820" s="8" t="s">
        <v>2806</v>
      </c>
    </row>
    <row r="2821" customFormat="false" ht="15" hidden="false" customHeight="false" outlineLevel="0" collapsed="false">
      <c r="A2821" s="7" t="n">
        <v>46086</v>
      </c>
      <c r="B2821" s="7" t="n">
        <v>46162</v>
      </c>
      <c r="C2821" s="8" t="n">
        <v>6350</v>
      </c>
      <c r="D2821" s="8" t="n">
        <v>210</v>
      </c>
      <c r="E2821" s="8" t="n">
        <v>265</v>
      </c>
      <c r="F2821" s="8" t="s">
        <v>2200</v>
      </c>
      <c r="G2821" s="8" t="s">
        <v>2201</v>
      </c>
      <c r="H2821" s="8" t="s">
        <v>2806</v>
      </c>
    </row>
    <row r="2822" customFormat="false" ht="15" hidden="false" customHeight="false" outlineLevel="0" collapsed="false">
      <c r="A2822" s="7" t="n">
        <v>46086</v>
      </c>
      <c r="B2822" s="7" t="n">
        <v>46192</v>
      </c>
      <c r="C2822" s="8" t="n">
        <v>6350</v>
      </c>
      <c r="D2822" s="8" t="n">
        <v>0</v>
      </c>
      <c r="E2822" s="8" t="n">
        <v>0</v>
      </c>
      <c r="F2822" s="8" t="s">
        <v>2200</v>
      </c>
      <c r="G2822" s="8" t="s">
        <v>2201</v>
      </c>
      <c r="H2822" s="8" t="s">
        <v>2806</v>
      </c>
    </row>
    <row r="2823" customFormat="false" ht="15" hidden="false" customHeight="false" outlineLevel="0" collapsed="false">
      <c r="A2823" s="7" t="n">
        <v>46086</v>
      </c>
      <c r="B2823" s="7" t="n">
        <v>46223</v>
      </c>
      <c r="C2823" s="8" t="n">
        <v>6350</v>
      </c>
      <c r="D2823" s="8" t="n">
        <v>0</v>
      </c>
      <c r="E2823" s="8" t="n">
        <v>0</v>
      </c>
      <c r="F2823" s="8" t="s">
        <v>2200</v>
      </c>
      <c r="G2823" s="8" t="s">
        <v>2201</v>
      </c>
      <c r="H2823" s="8" t="s">
        <v>2806</v>
      </c>
    </row>
    <row r="2824" customFormat="false" ht="15" hidden="false" customHeight="false" outlineLevel="0" collapsed="false">
      <c r="A2824" s="7" t="n">
        <v>46087</v>
      </c>
      <c r="B2824" s="7" t="n">
        <v>46101</v>
      </c>
      <c r="C2824" s="8" t="n">
        <v>6277</v>
      </c>
      <c r="D2824" s="8" t="n">
        <v>3160</v>
      </c>
      <c r="E2824" s="8" t="n">
        <v>13045</v>
      </c>
      <c r="F2824" s="8" t="s">
        <v>2200</v>
      </c>
      <c r="G2824" s="8" t="s">
        <v>2201</v>
      </c>
      <c r="H2824" s="8" t="s">
        <v>2807</v>
      </c>
    </row>
    <row r="2825" customFormat="false" ht="15" hidden="false" customHeight="false" outlineLevel="0" collapsed="false">
      <c r="A2825" s="7" t="n">
        <v>46087</v>
      </c>
      <c r="B2825" s="7" t="n">
        <v>46132</v>
      </c>
      <c r="C2825" s="8" t="n">
        <v>6322</v>
      </c>
      <c r="D2825" s="8" t="n">
        <v>5610</v>
      </c>
      <c r="E2825" s="8" t="n">
        <v>16570</v>
      </c>
      <c r="F2825" s="8" t="s">
        <v>2200</v>
      </c>
      <c r="G2825" s="8" t="s">
        <v>2201</v>
      </c>
      <c r="H2825" s="8" t="s">
        <v>2807</v>
      </c>
    </row>
    <row r="2826" customFormat="false" ht="15" hidden="false" customHeight="false" outlineLevel="0" collapsed="false">
      <c r="A2826" s="7" t="n">
        <v>46087</v>
      </c>
      <c r="B2826" s="7" t="n">
        <v>46162</v>
      </c>
      <c r="C2826" s="8" t="n">
        <v>6367</v>
      </c>
      <c r="D2826" s="8" t="n">
        <v>0</v>
      </c>
      <c r="E2826" s="8" t="n">
        <v>265</v>
      </c>
      <c r="F2826" s="8" t="s">
        <v>2200</v>
      </c>
      <c r="G2826" s="8" t="s">
        <v>2201</v>
      </c>
      <c r="H2826" s="8" t="s">
        <v>2807</v>
      </c>
    </row>
    <row r="2827" customFormat="false" ht="15" hidden="false" customHeight="false" outlineLevel="0" collapsed="false">
      <c r="A2827" s="7" t="n">
        <v>46087</v>
      </c>
      <c r="B2827" s="7" t="n">
        <v>46192</v>
      </c>
      <c r="C2827" s="8" t="n">
        <v>6412</v>
      </c>
      <c r="D2827" s="8" t="n">
        <v>0</v>
      </c>
      <c r="E2827" s="8" t="n">
        <v>0</v>
      </c>
      <c r="F2827" s="8" t="s">
        <v>2200</v>
      </c>
      <c r="G2827" s="8" t="s">
        <v>2201</v>
      </c>
      <c r="H2827" s="8" t="s">
        <v>2807</v>
      </c>
    </row>
    <row r="2828" customFormat="false" ht="15" hidden="false" customHeight="false" outlineLevel="0" collapsed="false">
      <c r="A2828" s="7" t="n">
        <v>46087</v>
      </c>
      <c r="B2828" s="7" t="n">
        <v>46223</v>
      </c>
      <c r="C2828" s="8" t="n">
        <v>6457</v>
      </c>
      <c r="D2828" s="8" t="n">
        <v>0</v>
      </c>
      <c r="E2828" s="8" t="n">
        <v>0</v>
      </c>
      <c r="F2828" s="8" t="s">
        <v>2200</v>
      </c>
      <c r="G2828" s="8" t="s">
        <v>2201</v>
      </c>
      <c r="H2828" s="8" t="s">
        <v>2807</v>
      </c>
    </row>
    <row r="2829" customFormat="false" ht="15" hidden="false" customHeight="false" outlineLevel="0" collapsed="false">
      <c r="A2829" s="7" t="n">
        <v>46090</v>
      </c>
      <c r="B2829" s="7" t="n">
        <v>46101</v>
      </c>
      <c r="C2829" s="8" t="n">
        <v>6372</v>
      </c>
      <c r="D2829" s="8" t="n">
        <v>6060</v>
      </c>
      <c r="E2829" s="8" t="n">
        <v>9095</v>
      </c>
      <c r="F2829" s="8" t="s">
        <v>2200</v>
      </c>
      <c r="G2829" s="8" t="s">
        <v>2201</v>
      </c>
      <c r="H2829" s="8" t="s">
        <v>2808</v>
      </c>
    </row>
    <row r="2830" customFormat="false" ht="15" hidden="false" customHeight="false" outlineLevel="0" collapsed="false">
      <c r="A2830" s="7" t="n">
        <v>46090</v>
      </c>
      <c r="B2830" s="7" t="n">
        <v>46132</v>
      </c>
      <c r="C2830" s="8" t="n">
        <v>6427</v>
      </c>
      <c r="D2830" s="8" t="n">
        <v>8545</v>
      </c>
      <c r="E2830" s="8" t="n">
        <v>19830</v>
      </c>
      <c r="F2830" s="8" t="s">
        <v>2200</v>
      </c>
      <c r="G2830" s="8" t="s">
        <v>2201</v>
      </c>
      <c r="H2830" s="8" t="s">
        <v>2808</v>
      </c>
    </row>
    <row r="2831" customFormat="false" ht="15" hidden="false" customHeight="false" outlineLevel="0" collapsed="false">
      <c r="A2831" s="7" t="n">
        <v>46090</v>
      </c>
      <c r="B2831" s="7" t="n">
        <v>46162</v>
      </c>
      <c r="C2831" s="8" t="n">
        <v>6482</v>
      </c>
      <c r="D2831" s="8" t="n">
        <v>0</v>
      </c>
      <c r="E2831" s="8" t="n">
        <v>265</v>
      </c>
      <c r="F2831" s="8" t="s">
        <v>2200</v>
      </c>
      <c r="G2831" s="8" t="s">
        <v>2201</v>
      </c>
      <c r="H2831" s="8" t="s">
        <v>2808</v>
      </c>
    </row>
    <row r="2832" customFormat="false" ht="15" hidden="false" customHeight="false" outlineLevel="0" collapsed="false">
      <c r="A2832" s="7" t="n">
        <v>46090</v>
      </c>
      <c r="B2832" s="7" t="n">
        <v>46192</v>
      </c>
      <c r="C2832" s="8" t="n">
        <v>6537</v>
      </c>
      <c r="D2832" s="8" t="n">
        <v>0</v>
      </c>
      <c r="E2832" s="8" t="n">
        <v>0</v>
      </c>
      <c r="F2832" s="8" t="s">
        <v>2200</v>
      </c>
      <c r="G2832" s="8" t="s">
        <v>2201</v>
      </c>
      <c r="H2832" s="8" t="s">
        <v>2808</v>
      </c>
    </row>
    <row r="2833" customFormat="false" ht="15" hidden="false" customHeight="false" outlineLevel="0" collapsed="false">
      <c r="A2833" s="7" t="n">
        <v>46090</v>
      </c>
      <c r="B2833" s="7" t="n">
        <v>46223</v>
      </c>
      <c r="C2833" s="8" t="n">
        <v>6592</v>
      </c>
      <c r="D2833" s="8" t="n">
        <v>0</v>
      </c>
      <c r="E2833" s="8" t="n">
        <v>0</v>
      </c>
      <c r="F2833" s="8" t="s">
        <v>2200</v>
      </c>
      <c r="G2833" s="8" t="s">
        <v>2201</v>
      </c>
      <c r="H2833" s="8" t="s">
        <v>2808</v>
      </c>
    </row>
    <row r="2834" customFormat="false" ht="15" hidden="false" customHeight="false" outlineLevel="0" collapsed="false">
      <c r="A2834" s="7" t="n">
        <v>46091</v>
      </c>
      <c r="B2834" s="7" t="n">
        <v>46101</v>
      </c>
      <c r="C2834" s="8" t="n">
        <v>6374</v>
      </c>
      <c r="D2834" s="8" t="n">
        <v>2100</v>
      </c>
      <c r="E2834" s="8" t="n">
        <v>7725</v>
      </c>
      <c r="F2834" s="8" t="s">
        <v>2200</v>
      </c>
      <c r="G2834" s="8" t="s">
        <v>2201</v>
      </c>
      <c r="H2834" s="8" t="s">
        <v>2809</v>
      </c>
    </row>
    <row r="2835" customFormat="false" ht="15" hidden="false" customHeight="false" outlineLevel="0" collapsed="false">
      <c r="A2835" s="7" t="n">
        <v>46091</v>
      </c>
      <c r="B2835" s="7" t="n">
        <v>46132</v>
      </c>
      <c r="C2835" s="8" t="n">
        <v>6413</v>
      </c>
      <c r="D2835" s="8" t="n">
        <v>4740</v>
      </c>
      <c r="E2835" s="8" t="n">
        <v>20920</v>
      </c>
      <c r="F2835" s="8" t="s">
        <v>2200</v>
      </c>
      <c r="G2835" s="8" t="s">
        <v>2201</v>
      </c>
      <c r="H2835" s="8" t="s">
        <v>2809</v>
      </c>
    </row>
    <row r="2836" customFormat="false" ht="15" hidden="false" customHeight="false" outlineLevel="0" collapsed="false">
      <c r="A2836" s="7" t="n">
        <v>46091</v>
      </c>
      <c r="B2836" s="7" t="n">
        <v>46162</v>
      </c>
      <c r="C2836" s="8" t="n">
        <v>6443</v>
      </c>
      <c r="D2836" s="8" t="n">
        <v>505</v>
      </c>
      <c r="E2836" s="8" t="n">
        <v>570</v>
      </c>
      <c r="F2836" s="8" t="s">
        <v>2200</v>
      </c>
      <c r="G2836" s="8" t="s">
        <v>2201</v>
      </c>
      <c r="H2836" s="8" t="s">
        <v>2809</v>
      </c>
    </row>
    <row r="2837" customFormat="false" ht="15" hidden="false" customHeight="false" outlineLevel="0" collapsed="false">
      <c r="A2837" s="7" t="n">
        <v>46091</v>
      </c>
      <c r="B2837" s="7" t="n">
        <v>46192</v>
      </c>
      <c r="C2837" s="8" t="n">
        <v>6473</v>
      </c>
      <c r="D2837" s="8" t="n">
        <v>0</v>
      </c>
      <c r="E2837" s="8" t="n">
        <v>0</v>
      </c>
      <c r="F2837" s="8" t="s">
        <v>2200</v>
      </c>
      <c r="G2837" s="8" t="s">
        <v>2201</v>
      </c>
      <c r="H2837" s="8" t="s">
        <v>2809</v>
      </c>
    </row>
    <row r="2838" customFormat="false" ht="15" hidden="false" customHeight="false" outlineLevel="0" collapsed="false">
      <c r="A2838" s="7" t="n">
        <v>46091</v>
      </c>
      <c r="B2838" s="7" t="n">
        <v>46223</v>
      </c>
      <c r="C2838" s="8" t="n">
        <v>6503</v>
      </c>
      <c r="D2838" s="8" t="n">
        <v>0</v>
      </c>
      <c r="E2838" s="8" t="n">
        <v>0</v>
      </c>
      <c r="F2838" s="8" t="s">
        <v>2200</v>
      </c>
      <c r="G2838" s="8" t="s">
        <v>2201</v>
      </c>
      <c r="H2838" s="8" t="s">
        <v>2809</v>
      </c>
    </row>
    <row r="2839" customFormat="false" ht="15" hidden="false" customHeight="false" outlineLevel="0" collapsed="false">
      <c r="A2839" s="7" t="n">
        <v>46092</v>
      </c>
      <c r="B2839" s="7" t="n">
        <v>46101</v>
      </c>
      <c r="C2839" s="8" t="n">
        <v>6414</v>
      </c>
      <c r="D2839" s="8" t="n">
        <v>2615</v>
      </c>
      <c r="E2839" s="8" t="n">
        <v>6440</v>
      </c>
      <c r="F2839" s="8" t="s">
        <v>2200</v>
      </c>
      <c r="G2839" s="8" t="s">
        <v>2201</v>
      </c>
      <c r="H2839" s="8" t="s">
        <v>2810</v>
      </c>
    </row>
    <row r="2840" customFormat="false" ht="15" hidden="false" customHeight="false" outlineLevel="0" collapsed="false">
      <c r="A2840" s="7" t="n">
        <v>46092</v>
      </c>
      <c r="B2840" s="7" t="n">
        <v>46132</v>
      </c>
      <c r="C2840" s="8" t="n">
        <v>6473</v>
      </c>
      <c r="D2840" s="8" t="n">
        <v>8860</v>
      </c>
      <c r="E2840" s="8" t="n">
        <v>21465</v>
      </c>
      <c r="F2840" s="8" t="s">
        <v>2200</v>
      </c>
      <c r="G2840" s="8" t="s">
        <v>2201</v>
      </c>
      <c r="H2840" s="8" t="s">
        <v>2810</v>
      </c>
    </row>
    <row r="2841" customFormat="false" ht="15" hidden="false" customHeight="false" outlineLevel="0" collapsed="false">
      <c r="A2841" s="7" t="n">
        <v>46092</v>
      </c>
      <c r="B2841" s="7" t="n">
        <v>46162</v>
      </c>
      <c r="C2841" s="8" t="n">
        <v>6514</v>
      </c>
      <c r="D2841" s="8" t="n">
        <v>2350</v>
      </c>
      <c r="E2841" s="8" t="n">
        <v>2675</v>
      </c>
      <c r="F2841" s="8" t="s">
        <v>2200</v>
      </c>
      <c r="G2841" s="8" t="s">
        <v>2201</v>
      </c>
      <c r="H2841" s="8" t="s">
        <v>2810</v>
      </c>
    </row>
    <row r="2842" customFormat="false" ht="15" hidden="false" customHeight="false" outlineLevel="0" collapsed="false">
      <c r="A2842" s="7" t="n">
        <v>46092</v>
      </c>
      <c r="B2842" s="7" t="n">
        <v>46192</v>
      </c>
      <c r="C2842" s="8" t="n">
        <v>6555</v>
      </c>
      <c r="D2842" s="8" t="n">
        <v>0</v>
      </c>
      <c r="E2842" s="8" t="n">
        <v>0</v>
      </c>
      <c r="F2842" s="8" t="s">
        <v>2200</v>
      </c>
      <c r="G2842" s="8" t="s">
        <v>2201</v>
      </c>
      <c r="H2842" s="8" t="s">
        <v>2810</v>
      </c>
    </row>
    <row r="2843" customFormat="false" ht="15" hidden="false" customHeight="false" outlineLevel="0" collapsed="false">
      <c r="A2843" s="7" t="n">
        <v>46092</v>
      </c>
      <c r="B2843" s="7" t="n">
        <v>46223</v>
      </c>
      <c r="C2843" s="8" t="n">
        <v>6596</v>
      </c>
      <c r="D2843" s="8" t="n">
        <v>0</v>
      </c>
      <c r="E2843" s="8" t="n">
        <v>0</v>
      </c>
      <c r="F2843" s="8" t="s">
        <v>2200</v>
      </c>
      <c r="G2843" s="8" t="s">
        <v>2201</v>
      </c>
      <c r="H2843" s="8" t="s">
        <v>2810</v>
      </c>
    </row>
    <row r="2844" customFormat="false" ht="15" hidden="false" customHeight="false" outlineLevel="0" collapsed="false">
      <c r="A2844" s="7" t="n">
        <v>46093</v>
      </c>
      <c r="B2844" s="7" t="n">
        <v>46101</v>
      </c>
      <c r="C2844" s="8" t="n">
        <v>6370</v>
      </c>
      <c r="D2844" s="8" t="n">
        <v>2250</v>
      </c>
      <c r="E2844" s="8" t="n">
        <v>4915</v>
      </c>
      <c r="F2844" s="8" t="s">
        <v>2200</v>
      </c>
      <c r="G2844" s="8" t="s">
        <v>2201</v>
      </c>
      <c r="H2844" s="8" t="s">
        <v>2811</v>
      </c>
    </row>
    <row r="2845" customFormat="false" ht="15" hidden="false" customHeight="false" outlineLevel="0" collapsed="false">
      <c r="A2845" s="7" t="n">
        <v>46093</v>
      </c>
      <c r="B2845" s="7" t="n">
        <v>46132</v>
      </c>
      <c r="C2845" s="8" t="n">
        <v>6424</v>
      </c>
      <c r="D2845" s="8" t="n">
        <v>6330</v>
      </c>
      <c r="E2845" s="8" t="n">
        <v>22565</v>
      </c>
      <c r="F2845" s="8" t="s">
        <v>2200</v>
      </c>
      <c r="G2845" s="8" t="s">
        <v>2201</v>
      </c>
      <c r="H2845" s="8" t="s">
        <v>2811</v>
      </c>
    </row>
    <row r="2846" customFormat="false" ht="15" hidden="false" customHeight="false" outlineLevel="0" collapsed="false">
      <c r="A2846" s="7" t="n">
        <v>46093</v>
      </c>
      <c r="B2846" s="7" t="n">
        <v>46162</v>
      </c>
      <c r="C2846" s="8" t="n">
        <v>6468</v>
      </c>
      <c r="D2846" s="8" t="n">
        <v>335</v>
      </c>
      <c r="E2846" s="8" t="n">
        <v>2840</v>
      </c>
      <c r="F2846" s="8" t="s">
        <v>2200</v>
      </c>
      <c r="G2846" s="8" t="s">
        <v>2201</v>
      </c>
      <c r="H2846" s="8" t="s">
        <v>2811</v>
      </c>
    </row>
    <row r="2847" customFormat="false" ht="15" hidden="false" customHeight="false" outlineLevel="0" collapsed="false">
      <c r="A2847" s="7" t="n">
        <v>46093</v>
      </c>
      <c r="B2847" s="7" t="n">
        <v>46192</v>
      </c>
      <c r="C2847" s="8" t="n">
        <v>6512</v>
      </c>
      <c r="D2847" s="8" t="n">
        <v>0</v>
      </c>
      <c r="E2847" s="8" t="n">
        <v>0</v>
      </c>
      <c r="F2847" s="8" t="s">
        <v>2200</v>
      </c>
      <c r="G2847" s="8" t="s">
        <v>2201</v>
      </c>
      <c r="H2847" s="8" t="s">
        <v>2811</v>
      </c>
    </row>
    <row r="2848" customFormat="false" ht="15" hidden="false" customHeight="false" outlineLevel="0" collapsed="false">
      <c r="A2848" s="7" t="n">
        <v>46093</v>
      </c>
      <c r="B2848" s="7" t="n">
        <v>46223</v>
      </c>
      <c r="C2848" s="8" t="n">
        <v>6556</v>
      </c>
      <c r="D2848" s="8" t="n">
        <v>0</v>
      </c>
      <c r="E2848" s="8" t="n">
        <v>0</v>
      </c>
      <c r="F2848" s="8" t="s">
        <v>2200</v>
      </c>
      <c r="G2848" s="8" t="s">
        <v>2201</v>
      </c>
      <c r="H2848" s="8" t="s">
        <v>2811</v>
      </c>
    </row>
    <row r="2849" customFormat="false" ht="15" hidden="false" customHeight="false" outlineLevel="0" collapsed="false">
      <c r="A2849" s="7" t="n">
        <v>46094</v>
      </c>
      <c r="B2849" s="7" t="n">
        <v>46101</v>
      </c>
      <c r="C2849" s="8" t="n">
        <v>6397</v>
      </c>
      <c r="D2849" s="8" t="n">
        <v>550</v>
      </c>
      <c r="E2849" s="8" t="n">
        <v>4500</v>
      </c>
      <c r="F2849" s="8" t="s">
        <v>2200</v>
      </c>
      <c r="G2849" s="8" t="s">
        <v>2201</v>
      </c>
      <c r="H2849" s="8" t="s">
        <v>2812</v>
      </c>
    </row>
    <row r="2850" customFormat="false" ht="15" hidden="false" customHeight="false" outlineLevel="0" collapsed="false">
      <c r="A2850" s="7" t="n">
        <v>46094</v>
      </c>
      <c r="B2850" s="7" t="n">
        <v>46132</v>
      </c>
      <c r="C2850" s="8" t="n">
        <v>6458</v>
      </c>
      <c r="D2850" s="8" t="n">
        <v>4075</v>
      </c>
      <c r="E2850" s="8" t="n">
        <v>22635</v>
      </c>
      <c r="F2850" s="8" t="s">
        <v>2200</v>
      </c>
      <c r="G2850" s="8" t="s">
        <v>2201</v>
      </c>
      <c r="H2850" s="8" t="s">
        <v>2812</v>
      </c>
    </row>
    <row r="2851" customFormat="false" ht="15" hidden="false" customHeight="false" outlineLevel="0" collapsed="false">
      <c r="A2851" s="7" t="n">
        <v>46094</v>
      </c>
      <c r="B2851" s="7" t="n">
        <v>46162</v>
      </c>
      <c r="C2851" s="8" t="n">
        <v>6500</v>
      </c>
      <c r="D2851" s="8" t="n">
        <v>385</v>
      </c>
      <c r="E2851" s="8" t="n">
        <v>3080</v>
      </c>
      <c r="F2851" s="8" t="s">
        <v>2200</v>
      </c>
      <c r="G2851" s="8" t="s">
        <v>2201</v>
      </c>
      <c r="H2851" s="8" t="s">
        <v>2812</v>
      </c>
    </row>
    <row r="2852" customFormat="false" ht="15" hidden="false" customHeight="false" outlineLevel="0" collapsed="false">
      <c r="A2852" s="7" t="n">
        <v>46094</v>
      </c>
      <c r="B2852" s="7" t="n">
        <v>46192</v>
      </c>
      <c r="C2852" s="8" t="n">
        <v>6542</v>
      </c>
      <c r="D2852" s="8" t="n">
        <v>0</v>
      </c>
      <c r="E2852" s="8" t="n">
        <v>0</v>
      </c>
      <c r="F2852" s="8" t="s">
        <v>2200</v>
      </c>
      <c r="G2852" s="8" t="s">
        <v>2201</v>
      </c>
      <c r="H2852" s="8" t="s">
        <v>2812</v>
      </c>
    </row>
    <row r="2853" customFormat="false" ht="15" hidden="false" customHeight="false" outlineLevel="0" collapsed="false">
      <c r="A2853" s="7" t="n">
        <v>46094</v>
      </c>
      <c r="B2853" s="7" t="n">
        <v>46223</v>
      </c>
      <c r="C2853" s="8" t="n">
        <v>6584</v>
      </c>
      <c r="D2853" s="8" t="n">
        <v>0</v>
      </c>
      <c r="E2853" s="8" t="n">
        <v>0</v>
      </c>
      <c r="F2853" s="8" t="s">
        <v>2200</v>
      </c>
      <c r="G2853" s="8" t="s">
        <v>2201</v>
      </c>
      <c r="H2853" s="8" t="s">
        <v>2812</v>
      </c>
    </row>
    <row r="2854" customFormat="false" ht="15" hidden="false" customHeight="false" outlineLevel="0" collapsed="false">
      <c r="A2854" s="7" t="n">
        <v>46097</v>
      </c>
      <c r="B2854" s="7" t="n">
        <v>46101</v>
      </c>
      <c r="C2854" s="8" t="n">
        <v>6387</v>
      </c>
      <c r="D2854" s="8" t="n">
        <v>1340</v>
      </c>
      <c r="E2854" s="8" t="n">
        <v>3900</v>
      </c>
      <c r="F2854" s="8" t="s">
        <v>2200</v>
      </c>
      <c r="G2854" s="8" t="s">
        <v>2201</v>
      </c>
      <c r="H2854" s="8" t="s">
        <v>2813</v>
      </c>
    </row>
    <row r="2855" customFormat="false" ht="15" hidden="false" customHeight="false" outlineLevel="0" collapsed="false">
      <c r="A2855" s="7" t="n">
        <v>46097</v>
      </c>
      <c r="B2855" s="7" t="n">
        <v>46132</v>
      </c>
      <c r="C2855" s="8" t="n">
        <v>6440</v>
      </c>
      <c r="D2855" s="8" t="n">
        <v>5100</v>
      </c>
      <c r="E2855" s="8" t="n">
        <v>23610</v>
      </c>
      <c r="F2855" s="8" t="s">
        <v>2200</v>
      </c>
      <c r="G2855" s="8" t="s">
        <v>2201</v>
      </c>
      <c r="H2855" s="8" t="s">
        <v>2813</v>
      </c>
    </row>
    <row r="2856" customFormat="false" ht="15" hidden="false" customHeight="false" outlineLevel="0" collapsed="false">
      <c r="A2856" s="7" t="n">
        <v>46097</v>
      </c>
      <c r="B2856" s="7" t="n">
        <v>46162</v>
      </c>
      <c r="C2856" s="8" t="n">
        <v>6485</v>
      </c>
      <c r="D2856" s="8" t="n">
        <v>1450</v>
      </c>
      <c r="E2856" s="8" t="n">
        <v>3995</v>
      </c>
      <c r="F2856" s="8" t="s">
        <v>2200</v>
      </c>
      <c r="G2856" s="8" t="s">
        <v>2201</v>
      </c>
      <c r="H2856" s="8" t="s">
        <v>2813</v>
      </c>
    </row>
    <row r="2857" customFormat="false" ht="15" hidden="false" customHeight="false" outlineLevel="0" collapsed="false">
      <c r="A2857" s="7" t="n">
        <v>46097</v>
      </c>
      <c r="B2857" s="7" t="n">
        <v>46192</v>
      </c>
      <c r="C2857" s="8" t="n">
        <v>6530</v>
      </c>
      <c r="D2857" s="8" t="n">
        <v>0</v>
      </c>
      <c r="E2857" s="8" t="n">
        <v>0</v>
      </c>
      <c r="F2857" s="8" t="s">
        <v>2200</v>
      </c>
      <c r="G2857" s="8" t="s">
        <v>2201</v>
      </c>
      <c r="H2857" s="8" t="s">
        <v>2813</v>
      </c>
    </row>
    <row r="2858" customFormat="false" ht="15" hidden="false" customHeight="false" outlineLevel="0" collapsed="false">
      <c r="A2858" s="7" t="n">
        <v>46097</v>
      </c>
      <c r="B2858" s="7" t="n">
        <v>46223</v>
      </c>
      <c r="C2858" s="8" t="n">
        <v>6575</v>
      </c>
      <c r="D2858" s="8" t="n">
        <v>0</v>
      </c>
      <c r="E2858" s="8" t="n">
        <v>0</v>
      </c>
      <c r="F2858" s="8" t="s">
        <v>2200</v>
      </c>
      <c r="G2858" s="8" t="s">
        <v>2201</v>
      </c>
      <c r="H2858" s="8" t="s">
        <v>2813</v>
      </c>
    </row>
    <row r="2859" customFormat="false" ht="15" hidden="false" customHeight="false" outlineLevel="0" collapsed="false">
      <c r="A2859" s="7" t="n">
        <v>46098</v>
      </c>
      <c r="B2859" s="7" t="n">
        <v>46101</v>
      </c>
      <c r="C2859" s="8" t="n">
        <v>6389</v>
      </c>
      <c r="D2859" s="8" t="n">
        <v>1490</v>
      </c>
      <c r="E2859" s="8" t="n">
        <v>2935</v>
      </c>
      <c r="F2859" s="8" t="s">
        <v>2200</v>
      </c>
      <c r="G2859" s="8" t="s">
        <v>2201</v>
      </c>
      <c r="H2859" s="8" t="s">
        <v>2814</v>
      </c>
    </row>
    <row r="2860" customFormat="false" ht="15" hidden="false" customHeight="false" outlineLevel="0" collapsed="false">
      <c r="A2860" s="7" t="n">
        <v>46098</v>
      </c>
      <c r="B2860" s="7" t="n">
        <v>46132</v>
      </c>
      <c r="C2860" s="8" t="n">
        <v>6442</v>
      </c>
      <c r="D2860" s="8" t="n">
        <v>4195</v>
      </c>
      <c r="E2860" s="8" t="n">
        <v>24440</v>
      </c>
      <c r="F2860" s="8" t="s">
        <v>2200</v>
      </c>
      <c r="G2860" s="8" t="s">
        <v>2201</v>
      </c>
      <c r="H2860" s="8" t="s">
        <v>2814</v>
      </c>
    </row>
    <row r="2861" customFormat="false" ht="15" hidden="false" customHeight="false" outlineLevel="0" collapsed="false">
      <c r="A2861" s="7" t="n">
        <v>46098</v>
      </c>
      <c r="B2861" s="7" t="n">
        <v>46162</v>
      </c>
      <c r="C2861" s="8" t="n">
        <v>6481</v>
      </c>
      <c r="D2861" s="8" t="n">
        <v>915</v>
      </c>
      <c r="E2861" s="8" t="n">
        <v>4735</v>
      </c>
      <c r="F2861" s="8" t="s">
        <v>2200</v>
      </c>
      <c r="G2861" s="8" t="s">
        <v>2201</v>
      </c>
      <c r="H2861" s="8" t="s">
        <v>2814</v>
      </c>
    </row>
    <row r="2862" customFormat="false" ht="15" hidden="false" customHeight="false" outlineLevel="0" collapsed="false">
      <c r="A2862" s="7" t="n">
        <v>46098</v>
      </c>
      <c r="B2862" s="7" t="n">
        <v>46192</v>
      </c>
      <c r="C2862" s="8" t="n">
        <v>6520</v>
      </c>
      <c r="D2862" s="8" t="n">
        <v>0</v>
      </c>
      <c r="E2862" s="8" t="n">
        <v>0</v>
      </c>
      <c r="F2862" s="8" t="s">
        <v>2200</v>
      </c>
      <c r="G2862" s="8" t="s">
        <v>2201</v>
      </c>
      <c r="H2862" s="8" t="s">
        <v>2814</v>
      </c>
    </row>
    <row r="2863" customFormat="false" ht="15" hidden="false" customHeight="false" outlineLevel="0" collapsed="false">
      <c r="A2863" s="7" t="n">
        <v>46098</v>
      </c>
      <c r="B2863" s="7" t="n">
        <v>46223</v>
      </c>
      <c r="C2863" s="8" t="n">
        <v>6559</v>
      </c>
      <c r="D2863" s="8" t="n">
        <v>0</v>
      </c>
      <c r="E2863" s="8" t="n">
        <v>0</v>
      </c>
      <c r="F2863" s="8" t="s">
        <v>2200</v>
      </c>
      <c r="G2863" s="8" t="s">
        <v>2201</v>
      </c>
      <c r="H2863" s="8" t="s">
        <v>2814</v>
      </c>
    </row>
    <row r="2864" customFormat="false" ht="15" hidden="false" customHeight="false" outlineLevel="0" collapsed="false">
      <c r="A2864" s="7" t="n">
        <v>46099</v>
      </c>
      <c r="B2864" s="7" t="n">
        <v>46101</v>
      </c>
      <c r="C2864" s="8" t="n">
        <v>6383</v>
      </c>
      <c r="D2864" s="8" t="n">
        <v>1600</v>
      </c>
      <c r="E2864" s="8" t="n">
        <v>2220</v>
      </c>
      <c r="F2864" s="8" t="s">
        <v>2200</v>
      </c>
      <c r="G2864" s="8" t="s">
        <v>2201</v>
      </c>
      <c r="H2864" s="8" t="s">
        <v>2815</v>
      </c>
    </row>
    <row r="2865" customFormat="false" ht="15" hidden="false" customHeight="false" outlineLevel="0" collapsed="false">
      <c r="A2865" s="7" t="n">
        <v>46099</v>
      </c>
      <c r="B2865" s="7" t="n">
        <v>46132</v>
      </c>
      <c r="C2865" s="8" t="n">
        <v>6438</v>
      </c>
      <c r="D2865" s="8" t="n">
        <v>5100</v>
      </c>
      <c r="E2865" s="8" t="n">
        <v>23350</v>
      </c>
      <c r="F2865" s="8" t="s">
        <v>2200</v>
      </c>
      <c r="G2865" s="8" t="s">
        <v>2201</v>
      </c>
      <c r="H2865" s="8" t="s">
        <v>2815</v>
      </c>
    </row>
    <row r="2866" customFormat="false" ht="15" hidden="false" customHeight="false" outlineLevel="0" collapsed="false">
      <c r="A2866" s="7" t="n">
        <v>46099</v>
      </c>
      <c r="B2866" s="7" t="n">
        <v>46162</v>
      </c>
      <c r="C2866" s="8" t="n">
        <v>6487</v>
      </c>
      <c r="D2866" s="8" t="n">
        <v>2705</v>
      </c>
      <c r="E2866" s="8" t="n">
        <v>7045</v>
      </c>
      <c r="F2866" s="8" t="s">
        <v>2200</v>
      </c>
      <c r="G2866" s="8" t="s">
        <v>2201</v>
      </c>
      <c r="H2866" s="8" t="s">
        <v>2815</v>
      </c>
    </row>
    <row r="2867" customFormat="false" ht="15" hidden="false" customHeight="false" outlineLevel="0" collapsed="false">
      <c r="A2867" s="7" t="n">
        <v>46099</v>
      </c>
      <c r="B2867" s="7" t="n">
        <v>46192</v>
      </c>
      <c r="C2867" s="8" t="n">
        <v>6536</v>
      </c>
      <c r="D2867" s="8" t="n">
        <v>0</v>
      </c>
      <c r="E2867" s="8" t="n">
        <v>0</v>
      </c>
      <c r="F2867" s="8" t="s">
        <v>2200</v>
      </c>
      <c r="G2867" s="8" t="s">
        <v>2201</v>
      </c>
      <c r="H2867" s="8" t="s">
        <v>2815</v>
      </c>
    </row>
    <row r="2868" customFormat="false" ht="15" hidden="false" customHeight="false" outlineLevel="0" collapsed="false">
      <c r="A2868" s="7" t="n">
        <v>46099</v>
      </c>
      <c r="B2868" s="7" t="n">
        <v>46223</v>
      </c>
      <c r="C2868" s="8" t="n">
        <v>6585</v>
      </c>
      <c r="D2868" s="8" t="n">
        <v>0</v>
      </c>
      <c r="E2868" s="8" t="n">
        <v>0</v>
      </c>
      <c r="F2868" s="8" t="s">
        <v>2200</v>
      </c>
      <c r="G2868" s="8" t="s">
        <v>2201</v>
      </c>
      <c r="H2868" s="8" t="s">
        <v>2815</v>
      </c>
    </row>
    <row r="2869" customFormat="false" ht="15" hidden="false" customHeight="false" outlineLevel="0" collapsed="false">
      <c r="A2869" s="7" t="n">
        <v>46100</v>
      </c>
      <c r="B2869" s="7" t="n">
        <v>46101</v>
      </c>
      <c r="C2869" s="8" t="n">
        <v>6383</v>
      </c>
      <c r="D2869" s="8" t="n">
        <v>35</v>
      </c>
      <c r="E2869" s="8" t="n">
        <v>265</v>
      </c>
      <c r="F2869" s="8" t="s">
        <v>2200</v>
      </c>
      <c r="G2869" s="8" t="s">
        <v>2201</v>
      </c>
      <c r="H2869" s="8" t="s">
        <v>2816</v>
      </c>
    </row>
    <row r="2870" customFormat="false" ht="15" hidden="false" customHeight="false" outlineLevel="0" collapsed="false">
      <c r="A2870" s="7" t="n">
        <v>46100</v>
      </c>
      <c r="B2870" s="7" t="n">
        <v>46132</v>
      </c>
      <c r="C2870" s="8" t="n">
        <v>6485</v>
      </c>
      <c r="D2870" s="8" t="n">
        <v>4785</v>
      </c>
      <c r="E2870" s="8" t="n">
        <v>22585</v>
      </c>
      <c r="F2870" s="8" t="s">
        <v>2200</v>
      </c>
      <c r="G2870" s="8" t="s">
        <v>2201</v>
      </c>
      <c r="H2870" s="8" t="s">
        <v>2816</v>
      </c>
    </row>
    <row r="2871" customFormat="false" ht="15" hidden="false" customHeight="false" outlineLevel="0" collapsed="false">
      <c r="A2871" s="7" t="n">
        <v>46100</v>
      </c>
      <c r="B2871" s="7" t="n">
        <v>46162</v>
      </c>
      <c r="C2871" s="8" t="n">
        <v>6539</v>
      </c>
      <c r="D2871" s="8" t="n">
        <v>1475</v>
      </c>
      <c r="E2871" s="8" t="n">
        <v>8365</v>
      </c>
      <c r="F2871" s="8" t="s">
        <v>2200</v>
      </c>
      <c r="G2871" s="8" t="s">
        <v>2201</v>
      </c>
      <c r="H2871" s="8" t="s">
        <v>2816</v>
      </c>
    </row>
    <row r="2872" customFormat="false" ht="15" hidden="false" customHeight="false" outlineLevel="0" collapsed="false">
      <c r="A2872" s="7" t="n">
        <v>46100</v>
      </c>
      <c r="B2872" s="7" t="n">
        <v>46192</v>
      </c>
      <c r="C2872" s="8" t="n">
        <v>6593</v>
      </c>
      <c r="D2872" s="8" t="n">
        <v>0</v>
      </c>
      <c r="E2872" s="8" t="n">
        <v>0</v>
      </c>
      <c r="F2872" s="8" t="s">
        <v>2200</v>
      </c>
      <c r="G2872" s="8" t="s">
        <v>2201</v>
      </c>
      <c r="H2872" s="8" t="s">
        <v>2816</v>
      </c>
    </row>
    <row r="2873" customFormat="false" ht="15" hidden="false" customHeight="false" outlineLevel="0" collapsed="false">
      <c r="A2873" s="7" t="n">
        <v>46100</v>
      </c>
      <c r="B2873" s="7" t="n">
        <v>46223</v>
      </c>
      <c r="C2873" s="8" t="n">
        <v>6647</v>
      </c>
      <c r="D2873" s="8" t="n">
        <v>0</v>
      </c>
      <c r="E2873" s="8" t="n">
        <v>0</v>
      </c>
      <c r="F2873" s="8" t="s">
        <v>2200</v>
      </c>
      <c r="G2873" s="8" t="s">
        <v>2201</v>
      </c>
      <c r="H2873" s="8" t="s">
        <v>2816</v>
      </c>
    </row>
    <row r="2874" customFormat="false" ht="15" hidden="false" customHeight="false" outlineLevel="0" collapsed="false">
      <c r="A2874" s="7" t="n">
        <v>46101</v>
      </c>
      <c r="B2874" s="7" t="n">
        <v>46101</v>
      </c>
      <c r="C2874" s="8" t="n">
        <v>6383</v>
      </c>
      <c r="D2874" s="8" t="n">
        <v>65</v>
      </c>
      <c r="E2874" s="8" t="n">
        <v>265</v>
      </c>
      <c r="F2874" s="8" t="s">
        <v>2200</v>
      </c>
      <c r="G2874" s="8" t="s">
        <v>2201</v>
      </c>
      <c r="H2874" s="8" t="s">
        <v>2817</v>
      </c>
    </row>
    <row r="2875" customFormat="false" ht="15" hidden="false" customHeight="false" outlineLevel="0" collapsed="false">
      <c r="A2875" s="7" t="n">
        <v>46101</v>
      </c>
      <c r="B2875" s="7" t="n">
        <v>46132</v>
      </c>
      <c r="C2875" s="8" t="n">
        <v>6526</v>
      </c>
      <c r="D2875" s="8" t="n">
        <v>4045</v>
      </c>
      <c r="E2875" s="8" t="n">
        <v>21805</v>
      </c>
      <c r="F2875" s="8" t="s">
        <v>2200</v>
      </c>
      <c r="G2875" s="8" t="s">
        <v>2201</v>
      </c>
      <c r="H2875" s="8" t="s">
        <v>2817</v>
      </c>
    </row>
    <row r="2876" customFormat="false" ht="15" hidden="false" customHeight="false" outlineLevel="0" collapsed="false">
      <c r="A2876" s="7" t="n">
        <v>46101</v>
      </c>
      <c r="B2876" s="7" t="n">
        <v>46162</v>
      </c>
      <c r="C2876" s="8" t="n">
        <v>6573</v>
      </c>
      <c r="D2876" s="8" t="n">
        <v>1435</v>
      </c>
      <c r="E2876" s="8" t="n">
        <v>8790</v>
      </c>
      <c r="F2876" s="8" t="s">
        <v>2200</v>
      </c>
      <c r="G2876" s="8" t="s">
        <v>2201</v>
      </c>
      <c r="H2876" s="8" t="s">
        <v>2817</v>
      </c>
    </row>
    <row r="2877" customFormat="false" ht="15" hidden="false" customHeight="false" outlineLevel="0" collapsed="false">
      <c r="A2877" s="7" t="n">
        <v>46101</v>
      </c>
      <c r="B2877" s="7" t="n">
        <v>46192</v>
      </c>
      <c r="C2877" s="8" t="n">
        <v>6620</v>
      </c>
      <c r="D2877" s="8" t="n">
        <v>0</v>
      </c>
      <c r="E2877" s="8" t="n">
        <v>0</v>
      </c>
      <c r="F2877" s="8" t="s">
        <v>2200</v>
      </c>
      <c r="G2877" s="8" t="s">
        <v>2201</v>
      </c>
      <c r="H2877" s="8" t="s">
        <v>2817</v>
      </c>
    </row>
    <row r="2878" customFormat="false" ht="15" hidden="false" customHeight="false" outlineLevel="0" collapsed="false">
      <c r="A2878" s="7" t="n">
        <v>46101</v>
      </c>
      <c r="B2878" s="7" t="n">
        <v>46223</v>
      </c>
      <c r="C2878" s="8" t="n">
        <v>6667</v>
      </c>
      <c r="D2878" s="8" t="n">
        <v>0</v>
      </c>
      <c r="E2878" s="8" t="n">
        <v>0</v>
      </c>
      <c r="F2878" s="8" t="s">
        <v>2200</v>
      </c>
      <c r="G2878" s="8" t="s">
        <v>2201</v>
      </c>
      <c r="H2878" s="8" t="s">
        <v>2817</v>
      </c>
    </row>
    <row r="2879" customFormat="false" ht="15" hidden="false" customHeight="false" outlineLevel="0" collapsed="false">
      <c r="A2879" s="7" t="n">
        <v>46104</v>
      </c>
      <c r="B2879" s="7" t="n">
        <v>46132</v>
      </c>
      <c r="C2879" s="8" t="n">
        <v>6544</v>
      </c>
      <c r="D2879" s="8" t="n">
        <v>4995</v>
      </c>
      <c r="E2879" s="8" t="n">
        <v>20385</v>
      </c>
      <c r="F2879" s="8" t="s">
        <v>2200</v>
      </c>
      <c r="G2879" s="8" t="s">
        <v>2201</v>
      </c>
      <c r="H2879" s="8" t="s">
        <v>2818</v>
      </c>
    </row>
    <row r="2880" customFormat="false" ht="15" hidden="false" customHeight="false" outlineLevel="0" collapsed="false">
      <c r="A2880" s="7" t="n">
        <v>46104</v>
      </c>
      <c r="B2880" s="7" t="n">
        <v>46162</v>
      </c>
      <c r="C2880" s="8" t="n">
        <v>6586</v>
      </c>
      <c r="D2880" s="8" t="n">
        <v>1480</v>
      </c>
      <c r="E2880" s="8" t="n">
        <v>9520</v>
      </c>
      <c r="F2880" s="8" t="s">
        <v>2200</v>
      </c>
      <c r="G2880" s="8" t="s">
        <v>2201</v>
      </c>
      <c r="H2880" s="8" t="s">
        <v>2818</v>
      </c>
    </row>
    <row r="2881" customFormat="false" ht="15" hidden="false" customHeight="false" outlineLevel="0" collapsed="false">
      <c r="A2881" s="7" t="n">
        <v>46104</v>
      </c>
      <c r="B2881" s="7" t="n">
        <v>46192</v>
      </c>
      <c r="C2881" s="8" t="n">
        <v>6628</v>
      </c>
      <c r="D2881" s="8" t="n">
        <v>0</v>
      </c>
      <c r="E2881" s="8" t="n">
        <v>0</v>
      </c>
      <c r="F2881" s="8" t="s">
        <v>2200</v>
      </c>
      <c r="G2881" s="8" t="s">
        <v>2201</v>
      </c>
      <c r="H2881" s="8" t="s">
        <v>2818</v>
      </c>
    </row>
    <row r="2882" customFormat="false" ht="15" hidden="false" customHeight="false" outlineLevel="0" collapsed="false">
      <c r="A2882" s="7" t="n">
        <v>46104</v>
      </c>
      <c r="B2882" s="7" t="n">
        <v>46223</v>
      </c>
      <c r="C2882" s="8" t="n">
        <v>6670</v>
      </c>
      <c r="D2882" s="8" t="n">
        <v>0</v>
      </c>
      <c r="E2882" s="8" t="n">
        <v>0</v>
      </c>
      <c r="F2882" s="8" t="s">
        <v>2200</v>
      </c>
      <c r="G2882" s="8" t="s">
        <v>2201</v>
      </c>
      <c r="H2882" s="8" t="s">
        <v>2818</v>
      </c>
    </row>
    <row r="2883" customFormat="false" ht="15" hidden="false" customHeight="false" outlineLevel="0" collapsed="false">
      <c r="A2883" s="7" t="n">
        <v>46105</v>
      </c>
      <c r="B2883" s="7" t="n">
        <v>46132</v>
      </c>
      <c r="C2883" s="8" t="n">
        <v>6556</v>
      </c>
      <c r="D2883" s="8" t="n">
        <v>2035</v>
      </c>
      <c r="E2883" s="8" t="n">
        <v>20305</v>
      </c>
      <c r="F2883" s="8" t="s">
        <v>2200</v>
      </c>
      <c r="G2883" s="8" t="s">
        <v>2201</v>
      </c>
      <c r="H2883" s="8" t="s">
        <v>2819</v>
      </c>
    </row>
    <row r="2884" customFormat="false" ht="15" hidden="false" customHeight="false" outlineLevel="0" collapsed="false">
      <c r="A2884" s="7" t="n">
        <v>46105</v>
      </c>
      <c r="B2884" s="7" t="n">
        <v>46162</v>
      </c>
      <c r="C2884" s="8" t="n">
        <v>6602</v>
      </c>
      <c r="D2884" s="8" t="n">
        <v>400</v>
      </c>
      <c r="E2884" s="8" t="n">
        <v>9700</v>
      </c>
      <c r="F2884" s="8" t="s">
        <v>2200</v>
      </c>
      <c r="G2884" s="8" t="s">
        <v>2201</v>
      </c>
      <c r="H2884" s="8" t="s">
        <v>2819</v>
      </c>
    </row>
    <row r="2885" customFormat="false" ht="15" hidden="false" customHeight="false" outlineLevel="0" collapsed="false">
      <c r="A2885" s="7" t="n">
        <v>46105</v>
      </c>
      <c r="B2885" s="7" t="n">
        <v>46192</v>
      </c>
      <c r="C2885" s="8" t="n">
        <v>6648</v>
      </c>
      <c r="D2885" s="8" t="n">
        <v>0</v>
      </c>
      <c r="E2885" s="8" t="n">
        <v>0</v>
      </c>
      <c r="F2885" s="8" t="s">
        <v>2200</v>
      </c>
      <c r="G2885" s="8" t="s">
        <v>2201</v>
      </c>
      <c r="H2885" s="8" t="s">
        <v>2819</v>
      </c>
    </row>
    <row r="2886" customFormat="false" ht="15" hidden="false" customHeight="false" outlineLevel="0" collapsed="false">
      <c r="A2886" s="7" t="n">
        <v>46105</v>
      </c>
      <c r="B2886" s="7" t="n">
        <v>46223</v>
      </c>
      <c r="C2886" s="8" t="n">
        <v>6694</v>
      </c>
      <c r="D2886" s="8" t="n">
        <v>0</v>
      </c>
      <c r="E2886" s="8" t="n">
        <v>0</v>
      </c>
      <c r="F2886" s="8" t="s">
        <v>2200</v>
      </c>
      <c r="G2886" s="8" t="s">
        <v>2201</v>
      </c>
      <c r="H2886" s="8" t="s">
        <v>2819</v>
      </c>
    </row>
    <row r="2887" customFormat="false" ht="15" hidden="false" customHeight="false" outlineLevel="0" collapsed="false">
      <c r="A2887" s="7" t="n">
        <v>46106</v>
      </c>
      <c r="B2887" s="7" t="n">
        <v>46132</v>
      </c>
      <c r="C2887" s="8" t="n">
        <v>6593</v>
      </c>
      <c r="D2887" s="8" t="n">
        <v>2550</v>
      </c>
      <c r="E2887" s="8" t="n">
        <v>19760</v>
      </c>
      <c r="F2887" s="8" t="s">
        <v>2200</v>
      </c>
      <c r="G2887" s="8" t="s">
        <v>2201</v>
      </c>
      <c r="H2887" s="8" t="s">
        <v>2820</v>
      </c>
    </row>
    <row r="2888" customFormat="false" ht="15" hidden="false" customHeight="false" outlineLevel="0" collapsed="false">
      <c r="A2888" s="7" t="n">
        <v>46106</v>
      </c>
      <c r="B2888" s="7" t="n">
        <v>46162</v>
      </c>
      <c r="C2888" s="8" t="n">
        <v>6644</v>
      </c>
      <c r="D2888" s="8" t="n">
        <v>945</v>
      </c>
      <c r="E2888" s="8" t="n">
        <v>10095</v>
      </c>
      <c r="F2888" s="8" t="s">
        <v>2200</v>
      </c>
      <c r="G2888" s="8" t="s">
        <v>2201</v>
      </c>
      <c r="H2888" s="8" t="s">
        <v>2820</v>
      </c>
    </row>
    <row r="2889" customFormat="false" ht="15" hidden="false" customHeight="false" outlineLevel="0" collapsed="false">
      <c r="A2889" s="7" t="n">
        <v>46106</v>
      </c>
      <c r="B2889" s="7" t="n">
        <v>46192</v>
      </c>
      <c r="C2889" s="8" t="n">
        <v>6695</v>
      </c>
      <c r="D2889" s="8" t="n">
        <v>0</v>
      </c>
      <c r="E2889" s="8" t="n">
        <v>0</v>
      </c>
      <c r="F2889" s="8" t="s">
        <v>2200</v>
      </c>
      <c r="G2889" s="8" t="s">
        <v>2201</v>
      </c>
      <c r="H2889" s="8" t="s">
        <v>2820</v>
      </c>
    </row>
    <row r="2890" customFormat="false" ht="15" hidden="false" customHeight="false" outlineLevel="0" collapsed="false">
      <c r="A2890" s="7" t="n">
        <v>46106</v>
      </c>
      <c r="B2890" s="7" t="n">
        <v>46223</v>
      </c>
      <c r="C2890" s="8" t="n">
        <v>6746</v>
      </c>
      <c r="D2890" s="8" t="n">
        <v>0</v>
      </c>
      <c r="E2890" s="8" t="n">
        <v>0</v>
      </c>
      <c r="F2890" s="8" t="s">
        <v>2200</v>
      </c>
      <c r="G2890" s="8" t="s">
        <v>2201</v>
      </c>
      <c r="H2890" s="8" t="s">
        <v>2820</v>
      </c>
    </row>
    <row r="2891" customFormat="false" ht="15" hidden="false" customHeight="false" outlineLevel="0" collapsed="false">
      <c r="A2891" s="7" t="n">
        <v>46108</v>
      </c>
      <c r="B2891" s="7" t="n">
        <v>46132</v>
      </c>
      <c r="C2891" s="8" t="n">
        <v>6561</v>
      </c>
      <c r="D2891" s="8" t="n">
        <v>3675</v>
      </c>
      <c r="E2891" s="8" t="n">
        <v>18320</v>
      </c>
      <c r="F2891" s="8" t="s">
        <v>2200</v>
      </c>
      <c r="G2891" s="8" t="s">
        <v>2201</v>
      </c>
      <c r="H2891" s="8" t="s">
        <v>2821</v>
      </c>
    </row>
    <row r="2892" customFormat="false" ht="15" hidden="false" customHeight="false" outlineLevel="0" collapsed="false">
      <c r="A2892" s="7" t="n">
        <v>46108</v>
      </c>
      <c r="B2892" s="7" t="n">
        <v>46162</v>
      </c>
      <c r="C2892" s="8" t="n">
        <v>6610</v>
      </c>
      <c r="D2892" s="8" t="n">
        <v>1425</v>
      </c>
      <c r="E2892" s="8" t="n">
        <v>10750</v>
      </c>
      <c r="F2892" s="8" t="s">
        <v>2200</v>
      </c>
      <c r="G2892" s="8" t="s">
        <v>2201</v>
      </c>
      <c r="H2892" s="8" t="s">
        <v>2821</v>
      </c>
    </row>
    <row r="2893" customFormat="false" ht="15" hidden="false" customHeight="false" outlineLevel="0" collapsed="false">
      <c r="A2893" s="7" t="n">
        <v>46108</v>
      </c>
      <c r="B2893" s="7" t="n">
        <v>46192</v>
      </c>
      <c r="C2893" s="8" t="n">
        <v>6659</v>
      </c>
      <c r="D2893" s="8" t="n">
        <v>0</v>
      </c>
      <c r="E2893" s="8" t="n">
        <v>0</v>
      </c>
      <c r="F2893" s="8" t="s">
        <v>2200</v>
      </c>
      <c r="G2893" s="8" t="s">
        <v>2201</v>
      </c>
      <c r="H2893" s="8" t="s">
        <v>2821</v>
      </c>
    </row>
    <row r="2894" customFormat="false" ht="15" hidden="false" customHeight="false" outlineLevel="0" collapsed="false">
      <c r="A2894" s="7" t="n">
        <v>46108</v>
      </c>
      <c r="B2894" s="7" t="n">
        <v>46223</v>
      </c>
      <c r="C2894" s="8" t="n">
        <v>6708</v>
      </c>
      <c r="D2894" s="8" t="n">
        <v>0</v>
      </c>
      <c r="E2894" s="8" t="n">
        <v>0</v>
      </c>
      <c r="F2894" s="8" t="s">
        <v>2200</v>
      </c>
      <c r="G2894" s="8" t="s">
        <v>2201</v>
      </c>
      <c r="H2894" s="8" t="s">
        <v>2821</v>
      </c>
    </row>
    <row r="2895" customFormat="false" ht="15" hidden="false" customHeight="false" outlineLevel="0" collapsed="false">
      <c r="A2895" s="7" t="n">
        <v>46111</v>
      </c>
      <c r="B2895" s="7" t="n">
        <v>46132</v>
      </c>
      <c r="C2895" s="8" t="n">
        <v>6566</v>
      </c>
      <c r="D2895" s="8" t="n">
        <v>2430</v>
      </c>
      <c r="E2895" s="8" t="n">
        <v>17490</v>
      </c>
      <c r="F2895" s="8" t="s">
        <v>2200</v>
      </c>
      <c r="G2895" s="8" t="s">
        <v>2201</v>
      </c>
      <c r="H2895" s="8" t="s">
        <v>2822</v>
      </c>
    </row>
    <row r="2896" customFormat="false" ht="15" hidden="false" customHeight="false" outlineLevel="0" collapsed="false">
      <c r="A2896" s="7" t="n">
        <v>46111</v>
      </c>
      <c r="B2896" s="7" t="n">
        <v>46162</v>
      </c>
      <c r="C2896" s="8" t="n">
        <v>6622</v>
      </c>
      <c r="D2896" s="8" t="n">
        <v>2190</v>
      </c>
      <c r="E2896" s="8" t="n">
        <v>11705</v>
      </c>
      <c r="F2896" s="8" t="s">
        <v>2200</v>
      </c>
      <c r="G2896" s="8" t="s">
        <v>2201</v>
      </c>
      <c r="H2896" s="8" t="s">
        <v>2822</v>
      </c>
    </row>
    <row r="2897" customFormat="false" ht="15" hidden="false" customHeight="false" outlineLevel="0" collapsed="false">
      <c r="A2897" s="7" t="n">
        <v>46111</v>
      </c>
      <c r="B2897" s="7" t="n">
        <v>46192</v>
      </c>
      <c r="C2897" s="8" t="n">
        <v>6678</v>
      </c>
      <c r="D2897" s="8" t="n">
        <v>0</v>
      </c>
      <c r="E2897" s="8" t="n">
        <v>0</v>
      </c>
      <c r="F2897" s="8" t="s">
        <v>2200</v>
      </c>
      <c r="G2897" s="8" t="s">
        <v>2201</v>
      </c>
      <c r="H2897" s="8" t="s">
        <v>2822</v>
      </c>
    </row>
    <row r="2898" customFormat="false" ht="15" hidden="false" customHeight="false" outlineLevel="0" collapsed="false">
      <c r="A2898" s="7" t="n">
        <v>46111</v>
      </c>
      <c r="B2898" s="7" t="n">
        <v>46223</v>
      </c>
      <c r="C2898" s="8" t="n">
        <v>6734</v>
      </c>
      <c r="D2898" s="8" t="n">
        <v>0</v>
      </c>
      <c r="E2898" s="8" t="n">
        <v>0</v>
      </c>
      <c r="F2898" s="8" t="s">
        <v>2200</v>
      </c>
      <c r="G2898" s="8" t="s">
        <v>2201</v>
      </c>
      <c r="H2898" s="8" t="s">
        <v>2822</v>
      </c>
    </row>
    <row r="2899" customFormat="false" ht="15" hidden="false" customHeight="false" outlineLevel="0" collapsed="false">
      <c r="A2899" s="7" t="n">
        <v>46113</v>
      </c>
      <c r="B2899" s="7" t="n">
        <v>46132</v>
      </c>
      <c r="C2899" s="8" t="n">
        <v>6495</v>
      </c>
      <c r="D2899" s="8" t="n">
        <v>2940</v>
      </c>
      <c r="E2899" s="8" t="n">
        <v>17680</v>
      </c>
      <c r="F2899" s="8" t="s">
        <v>2200</v>
      </c>
      <c r="G2899" s="8" t="s">
        <v>2201</v>
      </c>
      <c r="H2899" s="8" t="s">
        <v>2823</v>
      </c>
    </row>
    <row r="2900" customFormat="false" ht="15" hidden="false" customHeight="false" outlineLevel="0" collapsed="false">
      <c r="A2900" s="7" t="n">
        <v>46113</v>
      </c>
      <c r="B2900" s="7" t="n">
        <v>46162</v>
      </c>
      <c r="C2900" s="8" t="n">
        <v>6558</v>
      </c>
      <c r="D2900" s="8" t="n">
        <v>2150</v>
      </c>
      <c r="E2900" s="8" t="n">
        <v>12310</v>
      </c>
      <c r="F2900" s="8" t="s">
        <v>2200</v>
      </c>
      <c r="G2900" s="8" t="s">
        <v>2201</v>
      </c>
      <c r="H2900" s="8" t="s">
        <v>2823</v>
      </c>
    </row>
    <row r="2901" customFormat="false" ht="15" hidden="false" customHeight="false" outlineLevel="0" collapsed="false">
      <c r="A2901" s="7" t="n">
        <v>46113</v>
      </c>
      <c r="B2901" s="7" t="n">
        <v>46192</v>
      </c>
      <c r="C2901" s="8" t="n">
        <v>6621</v>
      </c>
      <c r="D2901" s="8" t="n">
        <v>0</v>
      </c>
      <c r="E2901" s="8" t="n">
        <v>0</v>
      </c>
      <c r="F2901" s="8" t="s">
        <v>2200</v>
      </c>
      <c r="G2901" s="8" t="s">
        <v>2201</v>
      </c>
      <c r="H2901" s="8" t="s">
        <v>2823</v>
      </c>
    </row>
    <row r="2902" customFormat="false" ht="15" hidden="false" customHeight="false" outlineLevel="0" collapsed="false">
      <c r="A2902" s="7" t="n">
        <v>46113</v>
      </c>
      <c r="B2902" s="7" t="n">
        <v>46223</v>
      </c>
      <c r="C2902" s="8" t="n">
        <v>6684</v>
      </c>
      <c r="D2902" s="8" t="n">
        <v>0</v>
      </c>
      <c r="E2902" s="8" t="n">
        <v>0</v>
      </c>
      <c r="F2902" s="8" t="s">
        <v>2200</v>
      </c>
      <c r="G2902" s="8" t="s">
        <v>2201</v>
      </c>
      <c r="H2902" s="8" t="s">
        <v>2823</v>
      </c>
    </row>
    <row r="2903" customFormat="false" ht="15" hidden="false" customHeight="false" outlineLevel="0" collapsed="false">
      <c r="A2903" s="7" t="n">
        <v>46113</v>
      </c>
      <c r="B2903" s="7" t="n">
        <v>46254</v>
      </c>
      <c r="C2903" s="8" t="n">
        <v>6747</v>
      </c>
      <c r="D2903" s="8" t="n">
        <v>0</v>
      </c>
      <c r="E2903" s="8" t="n">
        <v>0</v>
      </c>
      <c r="F2903" s="8" t="s">
        <v>2200</v>
      </c>
      <c r="G2903" s="8" t="s">
        <v>2201</v>
      </c>
      <c r="H2903" s="8" t="s">
        <v>2823</v>
      </c>
    </row>
    <row r="2904" customFormat="false" ht="15" hidden="false" customHeight="false" outlineLevel="0" collapsed="false">
      <c r="A2904" s="7" t="n">
        <v>46114</v>
      </c>
      <c r="B2904" s="7" t="n">
        <v>46132</v>
      </c>
      <c r="C2904" s="8" t="n">
        <v>6503</v>
      </c>
      <c r="D2904" s="8" t="n">
        <v>2570</v>
      </c>
      <c r="E2904" s="8" t="n">
        <v>17505</v>
      </c>
      <c r="F2904" s="8" t="s">
        <v>2200</v>
      </c>
      <c r="G2904" s="8" t="s">
        <v>2201</v>
      </c>
      <c r="H2904" s="8" t="s">
        <v>2824</v>
      </c>
    </row>
    <row r="2905" customFormat="false" ht="15" hidden="false" customHeight="false" outlineLevel="0" collapsed="false">
      <c r="A2905" s="7" t="n">
        <v>46114</v>
      </c>
      <c r="B2905" s="7" t="n">
        <v>46162</v>
      </c>
      <c r="C2905" s="8" t="n">
        <v>6549</v>
      </c>
      <c r="D2905" s="8" t="n">
        <v>3025</v>
      </c>
      <c r="E2905" s="8" t="n">
        <v>13045</v>
      </c>
      <c r="F2905" s="8" t="s">
        <v>2200</v>
      </c>
      <c r="G2905" s="8" t="s">
        <v>2201</v>
      </c>
      <c r="H2905" s="8" t="s">
        <v>2824</v>
      </c>
    </row>
    <row r="2906" customFormat="false" ht="15" hidden="false" customHeight="false" outlineLevel="0" collapsed="false">
      <c r="A2906" s="7" t="n">
        <v>46114</v>
      </c>
      <c r="B2906" s="7" t="n">
        <v>46192</v>
      </c>
      <c r="C2906" s="8" t="n">
        <v>6595</v>
      </c>
      <c r="D2906" s="8" t="n">
        <v>0</v>
      </c>
      <c r="E2906" s="8" t="n">
        <v>0</v>
      </c>
      <c r="F2906" s="8" t="s">
        <v>2200</v>
      </c>
      <c r="G2906" s="8" t="s">
        <v>2201</v>
      </c>
      <c r="H2906" s="8" t="s">
        <v>2824</v>
      </c>
    </row>
    <row r="2907" customFormat="false" ht="15" hidden="false" customHeight="false" outlineLevel="0" collapsed="false">
      <c r="A2907" s="7" t="n">
        <v>46114</v>
      </c>
      <c r="B2907" s="7" t="n">
        <v>46223</v>
      </c>
      <c r="C2907" s="8" t="n">
        <v>6641</v>
      </c>
      <c r="D2907" s="8" t="n">
        <v>0</v>
      </c>
      <c r="E2907" s="8" t="n">
        <v>0</v>
      </c>
      <c r="F2907" s="8" t="s">
        <v>2200</v>
      </c>
      <c r="G2907" s="8" t="s">
        <v>2201</v>
      </c>
      <c r="H2907" s="8" t="s">
        <v>2824</v>
      </c>
    </row>
    <row r="2908" customFormat="false" ht="15" hidden="false" customHeight="false" outlineLevel="0" collapsed="false">
      <c r="A2908" s="7" t="n">
        <v>46114</v>
      </c>
      <c r="B2908" s="7" t="n">
        <v>46254</v>
      </c>
      <c r="C2908" s="8" t="n">
        <v>6687</v>
      </c>
      <c r="D2908" s="8" t="n">
        <v>0</v>
      </c>
      <c r="E2908" s="8" t="n">
        <v>0</v>
      </c>
      <c r="F2908" s="8" t="s">
        <v>2200</v>
      </c>
      <c r="G2908" s="8" t="s">
        <v>2201</v>
      </c>
      <c r="H2908" s="8" t="s">
        <v>2824</v>
      </c>
    </row>
    <row r="2909" customFormat="false" ht="15" hidden="false" customHeight="false" outlineLevel="0" collapsed="false">
      <c r="A2909" s="7" t="n">
        <v>46118</v>
      </c>
      <c r="B2909" s="7" t="n">
        <v>46132</v>
      </c>
      <c r="C2909" s="8" t="n">
        <v>6380</v>
      </c>
      <c r="D2909" s="8" t="n">
        <v>5185</v>
      </c>
      <c r="E2909" s="8" t="n">
        <v>16255</v>
      </c>
      <c r="F2909" s="8" t="s">
        <v>2200</v>
      </c>
      <c r="G2909" s="8" t="s">
        <v>2201</v>
      </c>
      <c r="H2909" s="8" t="s">
        <v>2825</v>
      </c>
    </row>
    <row r="2910" customFormat="false" ht="15" hidden="false" customHeight="false" outlineLevel="0" collapsed="false">
      <c r="A2910" s="7" t="n">
        <v>46118</v>
      </c>
      <c r="B2910" s="7" t="n">
        <v>46162</v>
      </c>
      <c r="C2910" s="8" t="n">
        <v>6435</v>
      </c>
      <c r="D2910" s="8" t="n">
        <v>5265</v>
      </c>
      <c r="E2910" s="8" t="n">
        <v>14705</v>
      </c>
      <c r="F2910" s="8" t="s">
        <v>2200</v>
      </c>
      <c r="G2910" s="8" t="s">
        <v>2201</v>
      </c>
      <c r="H2910" s="8" t="s">
        <v>2825</v>
      </c>
    </row>
    <row r="2911" customFormat="false" ht="15" hidden="false" customHeight="false" outlineLevel="0" collapsed="false">
      <c r="A2911" s="7" t="n">
        <v>46118</v>
      </c>
      <c r="B2911" s="7" t="n">
        <v>46192</v>
      </c>
      <c r="C2911" s="8" t="n">
        <v>6507</v>
      </c>
      <c r="D2911" s="8" t="n">
        <v>30</v>
      </c>
      <c r="E2911" s="8" t="n">
        <v>30</v>
      </c>
      <c r="F2911" s="8" t="s">
        <v>2200</v>
      </c>
      <c r="G2911" s="8" t="s">
        <v>2201</v>
      </c>
      <c r="H2911" s="8" t="s">
        <v>2825</v>
      </c>
    </row>
    <row r="2912" customFormat="false" ht="15" hidden="false" customHeight="false" outlineLevel="0" collapsed="false">
      <c r="A2912" s="7" t="n">
        <v>46118</v>
      </c>
      <c r="B2912" s="7" t="n">
        <v>46223</v>
      </c>
      <c r="C2912" s="8" t="n">
        <v>6579</v>
      </c>
      <c r="D2912" s="8" t="n">
        <v>0</v>
      </c>
      <c r="E2912" s="8" t="n">
        <v>0</v>
      </c>
      <c r="F2912" s="8" t="s">
        <v>2200</v>
      </c>
      <c r="G2912" s="8" t="s">
        <v>2201</v>
      </c>
      <c r="H2912" s="8" t="s">
        <v>2825</v>
      </c>
    </row>
    <row r="2913" customFormat="false" ht="15" hidden="false" customHeight="false" outlineLevel="0" collapsed="false">
      <c r="A2913" s="7" t="n">
        <v>46118</v>
      </c>
      <c r="B2913" s="7" t="n">
        <v>46254</v>
      </c>
      <c r="C2913" s="8" t="n">
        <v>6651</v>
      </c>
      <c r="D2913" s="8" t="n">
        <v>0</v>
      </c>
      <c r="E2913" s="8" t="n">
        <v>0</v>
      </c>
      <c r="F2913" s="8" t="s">
        <v>2200</v>
      </c>
      <c r="G2913" s="8" t="s">
        <v>2201</v>
      </c>
      <c r="H2913" s="8" t="s">
        <v>2825</v>
      </c>
    </row>
    <row r="2914" customFormat="false" ht="15" hidden="false" customHeight="false" outlineLevel="0" collapsed="false">
      <c r="A2914" s="7" t="n">
        <v>46119</v>
      </c>
      <c r="B2914" s="7" t="n">
        <v>46132</v>
      </c>
      <c r="C2914" s="8" t="n">
        <v>6392</v>
      </c>
      <c r="D2914" s="8" t="n">
        <v>4225</v>
      </c>
      <c r="E2914" s="8" t="n">
        <v>14985</v>
      </c>
      <c r="F2914" s="8" t="s">
        <v>2200</v>
      </c>
      <c r="G2914" s="8" t="s">
        <v>2201</v>
      </c>
      <c r="H2914" s="8" t="s">
        <v>2826</v>
      </c>
    </row>
    <row r="2915" customFormat="false" ht="15" hidden="false" customHeight="false" outlineLevel="0" collapsed="false">
      <c r="A2915" s="7" t="n">
        <v>46119</v>
      </c>
      <c r="B2915" s="7" t="n">
        <v>46162</v>
      </c>
      <c r="C2915" s="8" t="n">
        <v>6457</v>
      </c>
      <c r="D2915" s="8" t="n">
        <v>4430</v>
      </c>
      <c r="E2915" s="8" t="n">
        <v>16660</v>
      </c>
      <c r="F2915" s="8" t="s">
        <v>2200</v>
      </c>
      <c r="G2915" s="8" t="s">
        <v>2201</v>
      </c>
      <c r="H2915" s="8" t="s">
        <v>2826</v>
      </c>
    </row>
    <row r="2916" customFormat="false" ht="15" hidden="false" customHeight="false" outlineLevel="0" collapsed="false">
      <c r="A2916" s="7" t="n">
        <v>46119</v>
      </c>
      <c r="B2916" s="7" t="n">
        <v>46192</v>
      </c>
      <c r="C2916" s="8" t="n">
        <v>6522</v>
      </c>
      <c r="D2916" s="8" t="n">
        <v>0</v>
      </c>
      <c r="E2916" s="8" t="n">
        <v>30</v>
      </c>
      <c r="F2916" s="8" t="s">
        <v>2200</v>
      </c>
      <c r="G2916" s="8" t="s">
        <v>2201</v>
      </c>
      <c r="H2916" s="8" t="s">
        <v>2826</v>
      </c>
    </row>
    <row r="2917" customFormat="false" ht="15" hidden="false" customHeight="false" outlineLevel="0" collapsed="false">
      <c r="A2917" s="7" t="n">
        <v>46119</v>
      </c>
      <c r="B2917" s="7" t="n">
        <v>46223</v>
      </c>
      <c r="C2917" s="8" t="n">
        <v>6587</v>
      </c>
      <c r="D2917" s="8" t="n">
        <v>0</v>
      </c>
      <c r="E2917" s="8" t="n">
        <v>0</v>
      </c>
      <c r="F2917" s="8" t="s">
        <v>2200</v>
      </c>
      <c r="G2917" s="8" t="s">
        <v>2201</v>
      </c>
      <c r="H2917" s="8" t="s">
        <v>2826</v>
      </c>
    </row>
    <row r="2918" customFormat="false" ht="15" hidden="false" customHeight="false" outlineLevel="0" collapsed="false">
      <c r="A2918" s="7" t="n">
        <v>46119</v>
      </c>
      <c r="B2918" s="7" t="n">
        <v>46254</v>
      </c>
      <c r="C2918" s="8" t="n">
        <v>6652</v>
      </c>
      <c r="D2918" s="8" t="n">
        <v>0</v>
      </c>
      <c r="E2918" s="8" t="n">
        <v>0</v>
      </c>
      <c r="F2918" s="8" t="s">
        <v>2200</v>
      </c>
      <c r="G2918" s="8" t="s">
        <v>2201</v>
      </c>
      <c r="H2918" s="8" t="s">
        <v>2826</v>
      </c>
    </row>
    <row r="2919" customFormat="false" ht="15" hidden="false" customHeight="false" outlineLevel="0" collapsed="false">
      <c r="A2919" s="7" t="n">
        <v>46120</v>
      </c>
      <c r="B2919" s="7" t="n">
        <v>46132</v>
      </c>
      <c r="C2919" s="8" t="n">
        <v>6375</v>
      </c>
      <c r="D2919" s="8" t="n">
        <v>2600</v>
      </c>
      <c r="E2919" s="8" t="n">
        <v>13730</v>
      </c>
      <c r="F2919" s="8" t="s">
        <v>2200</v>
      </c>
      <c r="G2919" s="8" t="s">
        <v>2201</v>
      </c>
      <c r="H2919" s="8" t="s">
        <v>2827</v>
      </c>
    </row>
    <row r="2920" customFormat="false" ht="15" hidden="false" customHeight="false" outlineLevel="0" collapsed="false">
      <c r="A2920" s="7" t="n">
        <v>46120</v>
      </c>
      <c r="B2920" s="7" t="n">
        <v>46162</v>
      </c>
      <c r="C2920" s="8" t="n">
        <v>6441</v>
      </c>
      <c r="D2920" s="8" t="n">
        <v>3865</v>
      </c>
      <c r="E2920" s="8" t="n">
        <v>17900</v>
      </c>
      <c r="F2920" s="8" t="s">
        <v>2200</v>
      </c>
      <c r="G2920" s="8" t="s">
        <v>2201</v>
      </c>
      <c r="H2920" s="8" t="s">
        <v>2827</v>
      </c>
    </row>
    <row r="2921" customFormat="false" ht="15" hidden="false" customHeight="false" outlineLevel="0" collapsed="false">
      <c r="A2921" s="7" t="n">
        <v>46120</v>
      </c>
      <c r="B2921" s="7" t="n">
        <v>46192</v>
      </c>
      <c r="C2921" s="8" t="n">
        <v>6507</v>
      </c>
      <c r="D2921" s="8" t="n">
        <v>0</v>
      </c>
      <c r="E2921" s="8" t="n">
        <v>30</v>
      </c>
      <c r="F2921" s="8" t="s">
        <v>2200</v>
      </c>
      <c r="G2921" s="8" t="s">
        <v>2201</v>
      </c>
      <c r="H2921" s="8" t="s">
        <v>2827</v>
      </c>
    </row>
    <row r="2922" customFormat="false" ht="15" hidden="false" customHeight="false" outlineLevel="0" collapsed="false">
      <c r="A2922" s="7" t="n">
        <v>46120</v>
      </c>
      <c r="B2922" s="7" t="n">
        <v>46223</v>
      </c>
      <c r="C2922" s="8" t="n">
        <v>6573</v>
      </c>
      <c r="D2922" s="8" t="n">
        <v>0</v>
      </c>
      <c r="E2922" s="8" t="n">
        <v>0</v>
      </c>
      <c r="F2922" s="8" t="s">
        <v>2200</v>
      </c>
      <c r="G2922" s="8" t="s">
        <v>2201</v>
      </c>
      <c r="H2922" s="8" t="s">
        <v>2827</v>
      </c>
    </row>
    <row r="2923" customFormat="false" ht="15" hidden="false" customHeight="false" outlineLevel="0" collapsed="false">
      <c r="A2923" s="7" t="n">
        <v>46120</v>
      </c>
      <c r="B2923" s="7" t="n">
        <v>46254</v>
      </c>
      <c r="C2923" s="8" t="n">
        <v>6639</v>
      </c>
      <c r="D2923" s="8" t="n">
        <v>0</v>
      </c>
      <c r="E2923" s="8" t="n">
        <v>0</v>
      </c>
      <c r="F2923" s="8" t="s">
        <v>2200</v>
      </c>
      <c r="G2923" s="8" t="s">
        <v>2201</v>
      </c>
      <c r="H2923" s="8" t="s">
        <v>2827</v>
      </c>
    </row>
    <row r="2924" customFormat="false" ht="15" hidden="false" customHeight="false" outlineLevel="0" collapsed="false">
      <c r="A2924" s="7" t="n">
        <v>46121</v>
      </c>
      <c r="B2924" s="7" t="n">
        <v>46132</v>
      </c>
      <c r="C2924" s="8" t="n">
        <v>6384</v>
      </c>
      <c r="D2924" s="8" t="n">
        <v>3575</v>
      </c>
      <c r="E2924" s="8" t="n">
        <v>11975</v>
      </c>
      <c r="F2924" s="8" t="s">
        <v>2200</v>
      </c>
      <c r="G2924" s="8" t="s">
        <v>2201</v>
      </c>
      <c r="H2924" s="8" t="s">
        <v>2828</v>
      </c>
    </row>
    <row r="2925" customFormat="false" ht="15" hidden="false" customHeight="false" outlineLevel="0" collapsed="false">
      <c r="A2925" s="7" t="n">
        <v>46121</v>
      </c>
      <c r="B2925" s="7" t="n">
        <v>46162</v>
      </c>
      <c r="C2925" s="8" t="n">
        <v>6456</v>
      </c>
      <c r="D2925" s="8" t="n">
        <v>5365</v>
      </c>
      <c r="E2925" s="8" t="n">
        <v>19730</v>
      </c>
      <c r="F2925" s="8" t="s">
        <v>2200</v>
      </c>
      <c r="G2925" s="8" t="s">
        <v>2201</v>
      </c>
      <c r="H2925" s="8" t="s">
        <v>2828</v>
      </c>
    </row>
    <row r="2926" customFormat="false" ht="15" hidden="false" customHeight="false" outlineLevel="0" collapsed="false">
      <c r="A2926" s="7" t="n">
        <v>46121</v>
      </c>
      <c r="B2926" s="7" t="n">
        <v>46192</v>
      </c>
      <c r="C2926" s="8" t="n">
        <v>6500</v>
      </c>
      <c r="D2926" s="8" t="n">
        <v>30</v>
      </c>
      <c r="E2926" s="8" t="n">
        <v>30</v>
      </c>
      <c r="F2926" s="8" t="s">
        <v>2200</v>
      </c>
      <c r="G2926" s="8" t="s">
        <v>2201</v>
      </c>
      <c r="H2926" s="8" t="s">
        <v>2828</v>
      </c>
    </row>
    <row r="2927" customFormat="false" ht="15" hidden="false" customHeight="false" outlineLevel="0" collapsed="false">
      <c r="A2927" s="7" t="n">
        <v>46121</v>
      </c>
      <c r="B2927" s="7" t="n">
        <v>46223</v>
      </c>
      <c r="C2927" s="8" t="n">
        <v>6544</v>
      </c>
      <c r="D2927" s="8" t="n">
        <v>0</v>
      </c>
      <c r="E2927" s="8" t="n">
        <v>0</v>
      </c>
      <c r="F2927" s="8" t="s">
        <v>2200</v>
      </c>
      <c r="G2927" s="8" t="s">
        <v>2201</v>
      </c>
      <c r="H2927" s="8" t="s">
        <v>2828</v>
      </c>
    </row>
    <row r="2928" customFormat="false" ht="15" hidden="false" customHeight="false" outlineLevel="0" collapsed="false">
      <c r="A2928" s="7" t="n">
        <v>46121</v>
      </c>
      <c r="B2928" s="7" t="n">
        <v>46254</v>
      </c>
      <c r="C2928" s="8" t="n">
        <v>6588</v>
      </c>
      <c r="D2928" s="8" t="n">
        <v>0</v>
      </c>
      <c r="E2928" s="8" t="n">
        <v>0</v>
      </c>
      <c r="F2928" s="8" t="s">
        <v>2200</v>
      </c>
      <c r="G2928" s="8" t="s">
        <v>2201</v>
      </c>
      <c r="H2928" s="8" t="s">
        <v>2828</v>
      </c>
    </row>
    <row r="2929" customFormat="false" ht="15" hidden="false" customHeight="false" outlineLevel="0" collapsed="false">
      <c r="A2929" s="7" t="n">
        <v>46122</v>
      </c>
      <c r="B2929" s="7" t="n">
        <v>46132</v>
      </c>
      <c r="C2929" s="8" t="n">
        <v>6386</v>
      </c>
      <c r="D2929" s="8" t="n">
        <v>5260</v>
      </c>
      <c r="E2929" s="8" t="n">
        <v>8190</v>
      </c>
      <c r="F2929" s="8" t="s">
        <v>2200</v>
      </c>
      <c r="G2929" s="8" t="s">
        <v>2201</v>
      </c>
      <c r="H2929" s="8" t="s">
        <v>2829</v>
      </c>
    </row>
    <row r="2930" customFormat="false" ht="15" hidden="false" customHeight="false" outlineLevel="0" collapsed="false">
      <c r="A2930" s="7" t="n">
        <v>46122</v>
      </c>
      <c r="B2930" s="7" t="n">
        <v>46162</v>
      </c>
      <c r="C2930" s="8" t="n">
        <v>6448</v>
      </c>
      <c r="D2930" s="8" t="n">
        <v>7950</v>
      </c>
      <c r="E2930" s="8" t="n">
        <v>23540</v>
      </c>
      <c r="F2930" s="8" t="s">
        <v>2200</v>
      </c>
      <c r="G2930" s="8" t="s">
        <v>2201</v>
      </c>
      <c r="H2930" s="8" t="s">
        <v>2829</v>
      </c>
    </row>
    <row r="2931" customFormat="false" ht="15" hidden="false" customHeight="false" outlineLevel="0" collapsed="false">
      <c r="A2931" s="7" t="n">
        <v>46122</v>
      </c>
      <c r="B2931" s="7" t="n">
        <v>46192</v>
      </c>
      <c r="C2931" s="8" t="n">
        <v>6510</v>
      </c>
      <c r="D2931" s="8" t="n">
        <v>0</v>
      </c>
      <c r="E2931" s="8" t="n">
        <v>30</v>
      </c>
      <c r="F2931" s="8" t="s">
        <v>2200</v>
      </c>
      <c r="G2931" s="8" t="s">
        <v>2201</v>
      </c>
      <c r="H2931" s="8" t="s">
        <v>2829</v>
      </c>
    </row>
    <row r="2932" customFormat="false" ht="15" hidden="false" customHeight="false" outlineLevel="0" collapsed="false">
      <c r="A2932" s="7" t="n">
        <v>46122</v>
      </c>
      <c r="B2932" s="7" t="n">
        <v>46223</v>
      </c>
      <c r="C2932" s="8" t="n">
        <v>6572</v>
      </c>
      <c r="D2932" s="8" t="n">
        <v>0</v>
      </c>
      <c r="E2932" s="8" t="n">
        <v>0</v>
      </c>
      <c r="F2932" s="8" t="s">
        <v>2200</v>
      </c>
      <c r="G2932" s="8" t="s">
        <v>2201</v>
      </c>
      <c r="H2932" s="8" t="s">
        <v>2829</v>
      </c>
    </row>
    <row r="2933" customFormat="false" ht="15" hidden="false" customHeight="false" outlineLevel="0" collapsed="false">
      <c r="A2933" s="7" t="n">
        <v>46122</v>
      </c>
      <c r="B2933" s="7" t="n">
        <v>46254</v>
      </c>
      <c r="C2933" s="8" t="n">
        <v>6634</v>
      </c>
      <c r="D2933" s="8" t="n">
        <v>0</v>
      </c>
      <c r="E2933" s="8" t="n">
        <v>0</v>
      </c>
      <c r="F2933" s="8" t="s">
        <v>2200</v>
      </c>
      <c r="G2933" s="8" t="s">
        <v>2201</v>
      </c>
      <c r="H2933" s="8" t="s">
        <v>2829</v>
      </c>
    </row>
    <row r="2934" customFormat="false" ht="15" hidden="false" customHeight="false" outlineLevel="0" collapsed="false">
      <c r="A2934" s="7" t="n">
        <v>46125</v>
      </c>
      <c r="B2934" s="7" t="n">
        <v>46132</v>
      </c>
      <c r="C2934" s="8" t="n">
        <v>6408</v>
      </c>
      <c r="D2934" s="8" t="n">
        <v>3550</v>
      </c>
      <c r="E2934" s="8" t="n">
        <v>6480</v>
      </c>
      <c r="F2934" s="8" t="s">
        <v>2200</v>
      </c>
      <c r="G2934" s="8" t="s">
        <v>2201</v>
      </c>
      <c r="H2934" s="8" t="s">
        <v>2830</v>
      </c>
    </row>
    <row r="2935" customFormat="false" ht="15" hidden="false" customHeight="false" outlineLevel="0" collapsed="false">
      <c r="A2935" s="7" t="n">
        <v>46125</v>
      </c>
      <c r="B2935" s="7" t="n">
        <v>46162</v>
      </c>
      <c r="C2935" s="8" t="n">
        <v>6475</v>
      </c>
      <c r="D2935" s="8" t="n">
        <v>6555</v>
      </c>
      <c r="E2935" s="8" t="n">
        <v>25565</v>
      </c>
      <c r="F2935" s="8" t="s">
        <v>2200</v>
      </c>
      <c r="G2935" s="8" t="s">
        <v>2201</v>
      </c>
      <c r="H2935" s="8" t="s">
        <v>2830</v>
      </c>
    </row>
    <row r="2936" customFormat="false" ht="15" hidden="false" customHeight="false" outlineLevel="0" collapsed="false">
      <c r="A2936" s="7" t="n">
        <v>46125</v>
      </c>
      <c r="B2936" s="7" t="n">
        <v>46192</v>
      </c>
      <c r="C2936" s="8" t="n">
        <v>6601</v>
      </c>
      <c r="D2936" s="8" t="n">
        <v>95</v>
      </c>
      <c r="E2936" s="8" t="n">
        <v>65</v>
      </c>
      <c r="F2936" s="8" t="s">
        <v>2200</v>
      </c>
      <c r="G2936" s="8" t="s">
        <v>2201</v>
      </c>
      <c r="H2936" s="8" t="s">
        <v>2830</v>
      </c>
    </row>
    <row r="2937" customFormat="false" ht="15" hidden="false" customHeight="false" outlineLevel="0" collapsed="false">
      <c r="A2937" s="7" t="n">
        <v>46125</v>
      </c>
      <c r="B2937" s="7" t="n">
        <v>46223</v>
      </c>
      <c r="C2937" s="8" t="n">
        <v>6601</v>
      </c>
      <c r="D2937" s="8" t="n">
        <v>0</v>
      </c>
      <c r="E2937" s="8" t="n">
        <v>0</v>
      </c>
      <c r="F2937" s="8" t="s">
        <v>2200</v>
      </c>
      <c r="G2937" s="8" t="s">
        <v>2201</v>
      </c>
      <c r="H2937" s="8" t="s">
        <v>2830</v>
      </c>
    </row>
    <row r="2938" customFormat="false" ht="15" hidden="false" customHeight="false" outlineLevel="0" collapsed="false">
      <c r="A2938" s="7" t="n">
        <v>46125</v>
      </c>
      <c r="B2938" s="7" t="n">
        <v>46254</v>
      </c>
      <c r="C2938" s="8" t="n">
        <v>6601</v>
      </c>
      <c r="D2938" s="8" t="n">
        <v>0</v>
      </c>
      <c r="E2938" s="8" t="n">
        <v>0</v>
      </c>
      <c r="F2938" s="8" t="s">
        <v>2200</v>
      </c>
      <c r="G2938" s="8" t="s">
        <v>2201</v>
      </c>
      <c r="H2938" s="8" t="s">
        <v>2830</v>
      </c>
    </row>
    <row r="2939" customFormat="false" ht="15" hidden="false" customHeight="false" outlineLevel="0" collapsed="false">
      <c r="A2939" s="7" t="n">
        <v>46127</v>
      </c>
      <c r="B2939" s="7" t="n">
        <v>46132</v>
      </c>
      <c r="C2939" s="8" t="n">
        <v>6398</v>
      </c>
      <c r="D2939" s="8" t="n">
        <v>3300</v>
      </c>
      <c r="E2939" s="8" t="n">
        <v>3745</v>
      </c>
      <c r="F2939" s="8" t="s">
        <v>2200</v>
      </c>
      <c r="G2939" s="8" t="s">
        <v>2201</v>
      </c>
      <c r="H2939" s="8" t="s">
        <v>2831</v>
      </c>
    </row>
    <row r="2940" customFormat="false" ht="15" hidden="false" customHeight="false" outlineLevel="0" collapsed="false">
      <c r="A2940" s="7" t="n">
        <v>46127</v>
      </c>
      <c r="B2940" s="7" t="n">
        <v>46162</v>
      </c>
      <c r="C2940" s="8" t="n">
        <v>6462</v>
      </c>
      <c r="D2940" s="8" t="n">
        <v>5430</v>
      </c>
      <c r="E2940" s="8" t="n">
        <v>27095</v>
      </c>
      <c r="F2940" s="8" t="s">
        <v>2200</v>
      </c>
      <c r="G2940" s="8" t="s">
        <v>2201</v>
      </c>
      <c r="H2940" s="8" t="s">
        <v>2831</v>
      </c>
    </row>
    <row r="2941" customFormat="false" ht="15" hidden="false" customHeight="false" outlineLevel="0" collapsed="false">
      <c r="A2941" s="7" t="n">
        <v>46127</v>
      </c>
      <c r="B2941" s="7" t="n">
        <v>46192</v>
      </c>
      <c r="C2941" s="8" t="n">
        <v>6516</v>
      </c>
      <c r="D2941" s="8" t="n">
        <v>45</v>
      </c>
      <c r="E2941" s="8" t="n">
        <v>40</v>
      </c>
      <c r="F2941" s="8" t="s">
        <v>2200</v>
      </c>
      <c r="G2941" s="8" t="s">
        <v>2201</v>
      </c>
      <c r="H2941" s="8" t="s">
        <v>2831</v>
      </c>
    </row>
    <row r="2942" customFormat="false" ht="15" hidden="false" customHeight="false" outlineLevel="0" collapsed="false">
      <c r="A2942" s="7" t="n">
        <v>46127</v>
      </c>
      <c r="B2942" s="7" t="n">
        <v>46223</v>
      </c>
      <c r="C2942" s="8" t="n">
        <v>6570</v>
      </c>
      <c r="D2942" s="8" t="n">
        <v>0</v>
      </c>
      <c r="E2942" s="8" t="n">
        <v>0</v>
      </c>
      <c r="F2942" s="8" t="s">
        <v>2200</v>
      </c>
      <c r="G2942" s="8" t="s">
        <v>2201</v>
      </c>
      <c r="H2942" s="8" t="s">
        <v>2831</v>
      </c>
    </row>
    <row r="2943" customFormat="false" ht="15" hidden="false" customHeight="false" outlineLevel="0" collapsed="false">
      <c r="A2943" s="7" t="n">
        <v>46127</v>
      </c>
      <c r="B2943" s="7" t="n">
        <v>46254</v>
      </c>
      <c r="C2943" s="8" t="n">
        <v>6624</v>
      </c>
      <c r="D2943" s="8" t="n">
        <v>0</v>
      </c>
      <c r="E2943" s="8" t="n">
        <v>0</v>
      </c>
      <c r="F2943" s="8" t="s">
        <v>2200</v>
      </c>
      <c r="G2943" s="8" t="s">
        <v>2201</v>
      </c>
      <c r="H2943" s="8" t="s">
        <v>2831</v>
      </c>
    </row>
    <row r="2944" customFormat="false" ht="15" hidden="false" customHeight="false" outlineLevel="0" collapsed="false">
      <c r="A2944" s="7" t="n">
        <v>46128</v>
      </c>
      <c r="B2944" s="7" t="n">
        <v>46132</v>
      </c>
      <c r="C2944" s="8" t="n">
        <v>6438</v>
      </c>
      <c r="D2944" s="8" t="n">
        <v>4425</v>
      </c>
      <c r="E2944" s="8" t="n">
        <v>430</v>
      </c>
      <c r="F2944" s="8" t="s">
        <v>2200</v>
      </c>
      <c r="G2944" s="8" t="s">
        <v>2201</v>
      </c>
      <c r="H2944" s="8" t="s">
        <v>2832</v>
      </c>
    </row>
    <row r="2945" customFormat="false" ht="15" hidden="false" customHeight="false" outlineLevel="0" collapsed="false">
      <c r="A2945" s="7" t="n">
        <v>46128</v>
      </c>
      <c r="B2945" s="7" t="n">
        <v>46162</v>
      </c>
      <c r="C2945" s="8" t="n">
        <v>6495</v>
      </c>
      <c r="D2945" s="8" t="n">
        <v>7105</v>
      </c>
      <c r="E2945" s="8" t="n">
        <v>27705</v>
      </c>
      <c r="F2945" s="8" t="s">
        <v>2200</v>
      </c>
      <c r="G2945" s="8" t="s">
        <v>2201</v>
      </c>
      <c r="H2945" s="8" t="s">
        <v>2832</v>
      </c>
    </row>
    <row r="2946" customFormat="false" ht="15" hidden="false" customHeight="false" outlineLevel="0" collapsed="false">
      <c r="A2946" s="7" t="n">
        <v>46128</v>
      </c>
      <c r="B2946" s="7" t="n">
        <v>46192</v>
      </c>
      <c r="C2946" s="8" t="n">
        <v>6556</v>
      </c>
      <c r="D2946" s="8" t="n">
        <v>30</v>
      </c>
      <c r="E2946" s="8" t="n">
        <v>50</v>
      </c>
      <c r="F2946" s="8" t="s">
        <v>2200</v>
      </c>
      <c r="G2946" s="8" t="s">
        <v>2201</v>
      </c>
      <c r="H2946" s="8" t="s">
        <v>2832</v>
      </c>
    </row>
    <row r="2947" customFormat="false" ht="15" hidden="false" customHeight="false" outlineLevel="0" collapsed="false">
      <c r="A2947" s="7" t="n">
        <v>46128</v>
      </c>
      <c r="B2947" s="7" t="n">
        <v>46223</v>
      </c>
      <c r="C2947" s="8" t="n">
        <v>6617</v>
      </c>
      <c r="D2947" s="8" t="n">
        <v>0</v>
      </c>
      <c r="E2947" s="8" t="n">
        <v>0</v>
      </c>
      <c r="F2947" s="8" t="s">
        <v>2200</v>
      </c>
      <c r="G2947" s="8" t="s">
        <v>2201</v>
      </c>
      <c r="H2947" s="8" t="s">
        <v>2832</v>
      </c>
    </row>
    <row r="2948" customFormat="false" ht="15" hidden="false" customHeight="false" outlineLevel="0" collapsed="false">
      <c r="A2948" s="7" t="n">
        <v>46128</v>
      </c>
      <c r="B2948" s="7" t="n">
        <v>46254</v>
      </c>
      <c r="C2948" s="8" t="n">
        <v>6678</v>
      </c>
      <c r="D2948" s="8" t="n">
        <v>0</v>
      </c>
      <c r="E2948" s="8" t="n">
        <v>0</v>
      </c>
      <c r="F2948" s="8" t="s">
        <v>2200</v>
      </c>
      <c r="G2948" s="8" t="s">
        <v>2201</v>
      </c>
      <c r="H2948" s="8" t="s">
        <v>2832</v>
      </c>
    </row>
    <row r="2949" customFormat="false" ht="15" hidden="false" customHeight="false" outlineLevel="0" collapsed="false">
      <c r="A2949" s="7" t="n">
        <v>46129</v>
      </c>
      <c r="B2949" s="7" t="n">
        <v>46132</v>
      </c>
      <c r="C2949" s="8" t="n">
        <v>6591</v>
      </c>
      <c r="D2949" s="8" t="n">
        <v>180</v>
      </c>
      <c r="E2949" s="8" t="n">
        <v>50</v>
      </c>
      <c r="F2949" s="8" t="s">
        <v>2200</v>
      </c>
      <c r="G2949" s="8" t="s">
        <v>2201</v>
      </c>
      <c r="H2949" s="8" t="s">
        <v>2833</v>
      </c>
    </row>
    <row r="2950" customFormat="false" ht="15" hidden="false" customHeight="false" outlineLevel="0" collapsed="false">
      <c r="A2950" s="7" t="n">
        <v>46129</v>
      </c>
      <c r="B2950" s="7" t="n">
        <v>46162</v>
      </c>
      <c r="C2950" s="8" t="n">
        <v>6512</v>
      </c>
      <c r="D2950" s="8" t="n">
        <v>6835</v>
      </c>
      <c r="E2950" s="8" t="n">
        <v>27745</v>
      </c>
      <c r="F2950" s="8" t="s">
        <v>2200</v>
      </c>
      <c r="G2950" s="8" t="s">
        <v>2201</v>
      </c>
      <c r="H2950" s="8" t="s">
        <v>2833</v>
      </c>
    </row>
    <row r="2951" customFormat="false" ht="15" hidden="false" customHeight="false" outlineLevel="0" collapsed="false">
      <c r="A2951" s="7" t="n">
        <v>46129</v>
      </c>
      <c r="B2951" s="7" t="n">
        <v>46192</v>
      </c>
      <c r="C2951" s="8" t="n">
        <v>6570</v>
      </c>
      <c r="D2951" s="8" t="n">
        <v>225</v>
      </c>
      <c r="E2951" s="8" t="n">
        <v>145</v>
      </c>
      <c r="F2951" s="8" t="s">
        <v>2200</v>
      </c>
      <c r="G2951" s="8" t="s">
        <v>2201</v>
      </c>
      <c r="H2951" s="8" t="s">
        <v>2833</v>
      </c>
    </row>
    <row r="2952" customFormat="false" ht="15" hidden="false" customHeight="false" outlineLevel="0" collapsed="false">
      <c r="A2952" s="7" t="n">
        <v>46129</v>
      </c>
      <c r="B2952" s="7" t="n">
        <v>46223</v>
      </c>
      <c r="C2952" s="8" t="n">
        <v>6628</v>
      </c>
      <c r="D2952" s="8" t="n">
        <v>0</v>
      </c>
      <c r="E2952" s="8" t="n">
        <v>0</v>
      </c>
      <c r="F2952" s="8" t="s">
        <v>2200</v>
      </c>
      <c r="G2952" s="8" t="s">
        <v>2201</v>
      </c>
      <c r="H2952" s="8" t="s">
        <v>2833</v>
      </c>
    </row>
    <row r="2953" customFormat="false" ht="15" hidden="false" customHeight="false" outlineLevel="0" collapsed="false">
      <c r="A2953" s="7" t="n">
        <v>46129</v>
      </c>
      <c r="B2953" s="7" t="n">
        <v>46254</v>
      </c>
      <c r="C2953" s="8" t="n">
        <v>6686</v>
      </c>
      <c r="D2953" s="8" t="n">
        <v>0</v>
      </c>
      <c r="E2953" s="8" t="n">
        <v>0</v>
      </c>
      <c r="F2953" s="8" t="s">
        <v>2200</v>
      </c>
      <c r="G2953" s="8" t="s">
        <v>2201</v>
      </c>
      <c r="H2953" s="8" t="s">
        <v>2833</v>
      </c>
    </row>
    <row r="2954" customFormat="false" ht="15" hidden="false" customHeight="false" outlineLevel="0" collapsed="false">
      <c r="A2954" s="7" t="n">
        <v>46132</v>
      </c>
      <c r="B2954" s="7" t="n">
        <v>46132</v>
      </c>
      <c r="C2954" s="8" t="n">
        <v>6467</v>
      </c>
      <c r="D2954" s="8" t="n">
        <v>150</v>
      </c>
      <c r="E2954" s="8" t="n">
        <v>45</v>
      </c>
      <c r="F2954" s="8" t="s">
        <v>2200</v>
      </c>
      <c r="G2954" s="8" t="s">
        <v>2201</v>
      </c>
      <c r="H2954" s="8" t="s">
        <v>2834</v>
      </c>
    </row>
    <row r="2955" customFormat="false" ht="15" hidden="false" customHeight="false" outlineLevel="0" collapsed="false">
      <c r="A2955" s="7" t="n">
        <v>46132</v>
      </c>
      <c r="B2955" s="7" t="n">
        <v>46162</v>
      </c>
      <c r="C2955" s="8" t="n">
        <v>6481</v>
      </c>
      <c r="D2955" s="8" t="n">
        <v>2725</v>
      </c>
      <c r="E2955" s="8" t="n">
        <v>27545</v>
      </c>
      <c r="F2955" s="8" t="s">
        <v>2200</v>
      </c>
      <c r="G2955" s="8" t="s">
        <v>2201</v>
      </c>
      <c r="H2955" s="8" t="s">
        <v>2834</v>
      </c>
    </row>
    <row r="2956" customFormat="false" ht="15" hidden="false" customHeight="false" outlineLevel="0" collapsed="false">
      <c r="A2956" s="7" t="n">
        <v>46132</v>
      </c>
      <c r="B2956" s="7" t="n">
        <v>46192</v>
      </c>
      <c r="C2956" s="8" t="n">
        <v>6511</v>
      </c>
      <c r="D2956" s="8" t="n">
        <v>675</v>
      </c>
      <c r="E2956" s="8" t="n">
        <v>740</v>
      </c>
      <c r="F2956" s="8" t="s">
        <v>2200</v>
      </c>
      <c r="G2956" s="8" t="s">
        <v>2201</v>
      </c>
      <c r="H2956" s="8" t="s">
        <v>2834</v>
      </c>
    </row>
    <row r="2957" customFormat="false" ht="15" hidden="false" customHeight="false" outlineLevel="0" collapsed="false">
      <c r="A2957" s="7" t="n">
        <v>46132</v>
      </c>
      <c r="B2957" s="7" t="n">
        <v>46223</v>
      </c>
      <c r="C2957" s="8" t="n">
        <v>6541</v>
      </c>
      <c r="D2957" s="8" t="n">
        <v>0</v>
      </c>
      <c r="E2957" s="8" t="n">
        <v>0</v>
      </c>
      <c r="F2957" s="8" t="s">
        <v>2200</v>
      </c>
      <c r="G2957" s="8" t="s">
        <v>2201</v>
      </c>
      <c r="H2957" s="8" t="s">
        <v>2834</v>
      </c>
    </row>
    <row r="2958" customFormat="false" ht="15" hidden="false" customHeight="false" outlineLevel="0" collapsed="false">
      <c r="A2958" s="7" t="n">
        <v>46132</v>
      </c>
      <c r="B2958" s="7" t="n">
        <v>46254</v>
      </c>
      <c r="C2958" s="8" t="n">
        <v>6571</v>
      </c>
      <c r="D2958" s="8" t="n">
        <v>0</v>
      </c>
      <c r="E2958" s="8" t="n">
        <v>0</v>
      </c>
      <c r="F2958" s="8" t="s">
        <v>2200</v>
      </c>
      <c r="G2958" s="8" t="s">
        <v>2201</v>
      </c>
      <c r="H2958" s="8" t="s">
        <v>2834</v>
      </c>
    </row>
    <row r="2959" customFormat="false" ht="15" hidden="false" customHeight="false" outlineLevel="0" collapsed="false">
      <c r="A2959" s="7" t="n">
        <v>46133</v>
      </c>
      <c r="B2959" s="7" t="n">
        <v>46162</v>
      </c>
      <c r="C2959" s="8" t="n">
        <v>6474</v>
      </c>
      <c r="D2959" s="8" t="n">
        <v>2855</v>
      </c>
      <c r="E2959" s="8" t="n">
        <v>27795</v>
      </c>
      <c r="F2959" s="8" t="s">
        <v>2200</v>
      </c>
      <c r="G2959" s="8" t="s">
        <v>2201</v>
      </c>
      <c r="H2959" s="8" t="s">
        <v>2835</v>
      </c>
    </row>
    <row r="2960" customFormat="false" ht="15" hidden="false" customHeight="false" outlineLevel="0" collapsed="false">
      <c r="A2960" s="7" t="n">
        <v>46133</v>
      </c>
      <c r="B2960" s="7" t="n">
        <v>46192</v>
      </c>
      <c r="C2960" s="8" t="n">
        <v>6546</v>
      </c>
      <c r="D2960" s="8" t="n">
        <v>345</v>
      </c>
      <c r="E2960" s="8" t="n">
        <v>895</v>
      </c>
      <c r="F2960" s="8" t="s">
        <v>2200</v>
      </c>
      <c r="G2960" s="8" t="s">
        <v>2201</v>
      </c>
      <c r="H2960" s="8" t="s">
        <v>2835</v>
      </c>
    </row>
    <row r="2961" customFormat="false" ht="15" hidden="false" customHeight="false" outlineLevel="0" collapsed="false">
      <c r="A2961" s="7" t="n">
        <v>46133</v>
      </c>
      <c r="B2961" s="7" t="n">
        <v>46223</v>
      </c>
      <c r="C2961" s="8" t="n">
        <v>6618</v>
      </c>
      <c r="D2961" s="8" t="n">
        <v>0</v>
      </c>
      <c r="E2961" s="8" t="n">
        <v>0</v>
      </c>
      <c r="F2961" s="8" t="s">
        <v>2200</v>
      </c>
      <c r="G2961" s="8" t="s">
        <v>2201</v>
      </c>
      <c r="H2961" s="8" t="s">
        <v>2835</v>
      </c>
    </row>
    <row r="2962" customFormat="false" ht="15" hidden="false" customHeight="false" outlineLevel="0" collapsed="false">
      <c r="A2962" s="7" t="n">
        <v>46133</v>
      </c>
      <c r="B2962" s="7" t="n">
        <v>46254</v>
      </c>
      <c r="C2962" s="8" t="n">
        <v>6690</v>
      </c>
      <c r="D2962" s="8" t="n">
        <v>0</v>
      </c>
      <c r="E2962" s="8" t="n">
        <v>0</v>
      </c>
      <c r="F2962" s="8" t="s">
        <v>2200</v>
      </c>
      <c r="G2962" s="8" t="s">
        <v>2201</v>
      </c>
      <c r="H2962" s="8" t="s">
        <v>2835</v>
      </c>
    </row>
    <row r="2963" customFormat="false" ht="15" hidden="false" customHeight="false" outlineLevel="0" collapsed="false">
      <c r="A2963" s="7" t="n">
        <v>46134</v>
      </c>
      <c r="B2963" s="7" t="n">
        <v>46162</v>
      </c>
      <c r="C2963" s="8" t="n">
        <v>6492</v>
      </c>
      <c r="D2963" s="8" t="n">
        <v>2460</v>
      </c>
      <c r="E2963" s="8" t="n">
        <v>27575</v>
      </c>
      <c r="F2963" s="8" t="s">
        <v>2200</v>
      </c>
      <c r="G2963" s="8" t="s">
        <v>2201</v>
      </c>
      <c r="H2963" s="8" t="s">
        <v>2836</v>
      </c>
    </row>
    <row r="2964" customFormat="false" ht="15" hidden="false" customHeight="false" outlineLevel="0" collapsed="false">
      <c r="A2964" s="7" t="n">
        <v>46134</v>
      </c>
      <c r="B2964" s="7" t="n">
        <v>46192</v>
      </c>
      <c r="C2964" s="8" t="n">
        <v>6573</v>
      </c>
      <c r="D2964" s="8" t="n">
        <v>1200</v>
      </c>
      <c r="E2964" s="8" t="n">
        <v>1685</v>
      </c>
      <c r="F2964" s="8" t="s">
        <v>2200</v>
      </c>
      <c r="G2964" s="8" t="s">
        <v>2201</v>
      </c>
      <c r="H2964" s="8" t="s">
        <v>2836</v>
      </c>
    </row>
    <row r="2965" customFormat="false" ht="15" hidden="false" customHeight="false" outlineLevel="0" collapsed="false">
      <c r="A2965" s="7" t="n">
        <v>46134</v>
      </c>
      <c r="B2965" s="7" t="n">
        <v>46223</v>
      </c>
      <c r="C2965" s="8" t="n">
        <v>6654</v>
      </c>
      <c r="D2965" s="8" t="n">
        <v>0</v>
      </c>
      <c r="E2965" s="8" t="n">
        <v>0</v>
      </c>
      <c r="F2965" s="8" t="s">
        <v>2200</v>
      </c>
      <c r="G2965" s="8" t="s">
        <v>2201</v>
      </c>
      <c r="H2965" s="8" t="s">
        <v>2836</v>
      </c>
    </row>
    <row r="2966" customFormat="false" ht="15" hidden="false" customHeight="false" outlineLevel="0" collapsed="false">
      <c r="A2966" s="7" t="n">
        <v>46134</v>
      </c>
      <c r="B2966" s="7" t="n">
        <v>46254</v>
      </c>
      <c r="C2966" s="8" t="n">
        <v>6735</v>
      </c>
      <c r="D2966" s="8" t="n">
        <v>0</v>
      </c>
      <c r="E2966" s="8" t="n">
        <v>0</v>
      </c>
      <c r="F2966" s="8" t="s">
        <v>2200</v>
      </c>
      <c r="G2966" s="8" t="s">
        <v>2201</v>
      </c>
      <c r="H2966" s="8" t="s">
        <v>2836</v>
      </c>
    </row>
    <row r="2967" customFormat="false" ht="15" hidden="false" customHeight="false" outlineLevel="0" collapsed="false">
      <c r="A2967" s="7" t="n">
        <v>46135</v>
      </c>
      <c r="B2967" s="7" t="n">
        <v>46162</v>
      </c>
      <c r="C2967" s="8" t="n">
        <v>6507</v>
      </c>
      <c r="D2967" s="8" t="n">
        <v>3260</v>
      </c>
      <c r="E2967" s="8" t="n">
        <v>27500</v>
      </c>
      <c r="F2967" s="8" t="s">
        <v>2200</v>
      </c>
      <c r="G2967" s="8" t="s">
        <v>2201</v>
      </c>
      <c r="H2967" s="8" t="s">
        <v>2837</v>
      </c>
    </row>
    <row r="2968" customFormat="false" ht="15" hidden="false" customHeight="false" outlineLevel="0" collapsed="false">
      <c r="A2968" s="7" t="n">
        <v>46135</v>
      </c>
      <c r="B2968" s="7" t="n">
        <v>46192</v>
      </c>
      <c r="C2968" s="8" t="n">
        <v>6590</v>
      </c>
      <c r="D2968" s="8" t="n">
        <v>1370</v>
      </c>
      <c r="E2968" s="8" t="n">
        <v>2375</v>
      </c>
      <c r="F2968" s="8" t="s">
        <v>2200</v>
      </c>
      <c r="G2968" s="8" t="s">
        <v>2201</v>
      </c>
      <c r="H2968" s="8" t="s">
        <v>2837</v>
      </c>
    </row>
    <row r="2969" customFormat="false" ht="15" hidden="false" customHeight="false" outlineLevel="0" collapsed="false">
      <c r="A2969" s="7" t="n">
        <v>46135</v>
      </c>
      <c r="B2969" s="7" t="n">
        <v>46223</v>
      </c>
      <c r="C2969" s="8" t="n">
        <v>6673</v>
      </c>
      <c r="D2969" s="8" t="n">
        <v>0</v>
      </c>
      <c r="E2969" s="8" t="n">
        <v>0</v>
      </c>
      <c r="F2969" s="8" t="s">
        <v>2200</v>
      </c>
      <c r="G2969" s="8" t="s">
        <v>2201</v>
      </c>
      <c r="H2969" s="8" t="s">
        <v>2837</v>
      </c>
    </row>
    <row r="2970" customFormat="false" ht="15" hidden="false" customHeight="false" outlineLevel="0" collapsed="false">
      <c r="A2970" s="7" t="n">
        <v>46135</v>
      </c>
      <c r="B2970" s="7" t="n">
        <v>46254</v>
      </c>
      <c r="C2970" s="8" t="n">
        <v>6756</v>
      </c>
      <c r="D2970" s="8" t="n">
        <v>0</v>
      </c>
      <c r="E2970" s="8" t="n">
        <v>0</v>
      </c>
      <c r="F2970" s="8" t="s">
        <v>2200</v>
      </c>
      <c r="G2970" s="8" t="s">
        <v>2201</v>
      </c>
      <c r="H2970" s="8" t="s">
        <v>2837</v>
      </c>
    </row>
    <row r="2971" customFormat="false" ht="15" hidden="false" customHeight="false" outlineLevel="0" collapsed="false">
      <c r="A2971" s="7" t="n">
        <v>46136</v>
      </c>
      <c r="B2971" s="7" t="n">
        <v>46162</v>
      </c>
      <c r="C2971" s="8" t="n">
        <v>6502</v>
      </c>
      <c r="D2971" s="8" t="n">
        <v>6950</v>
      </c>
      <c r="E2971" s="8" t="n">
        <v>26290</v>
      </c>
      <c r="F2971" s="8" t="s">
        <v>2200</v>
      </c>
      <c r="G2971" s="8" t="s">
        <v>2201</v>
      </c>
      <c r="H2971" s="8" t="s">
        <v>2838</v>
      </c>
    </row>
    <row r="2972" customFormat="false" ht="15" hidden="false" customHeight="false" outlineLevel="0" collapsed="false">
      <c r="A2972" s="7" t="n">
        <v>46136</v>
      </c>
      <c r="B2972" s="7" t="n">
        <v>46192</v>
      </c>
      <c r="C2972" s="8" t="n">
        <v>6583</v>
      </c>
      <c r="D2972" s="8" t="n">
        <v>2100</v>
      </c>
      <c r="E2972" s="8" t="n">
        <v>3580</v>
      </c>
      <c r="F2972" s="8" t="s">
        <v>2200</v>
      </c>
      <c r="G2972" s="8" t="s">
        <v>2201</v>
      </c>
      <c r="H2972" s="8" t="s">
        <v>2838</v>
      </c>
    </row>
    <row r="2973" customFormat="false" ht="15" hidden="false" customHeight="false" outlineLevel="0" collapsed="false">
      <c r="A2973" s="7" t="n">
        <v>46136</v>
      </c>
      <c r="B2973" s="7" t="n">
        <v>46223</v>
      </c>
      <c r="C2973" s="8" t="n">
        <v>6664</v>
      </c>
      <c r="D2973" s="8" t="n">
        <v>0</v>
      </c>
      <c r="E2973" s="8" t="n">
        <v>0</v>
      </c>
      <c r="F2973" s="8" t="s">
        <v>2200</v>
      </c>
      <c r="G2973" s="8" t="s">
        <v>2201</v>
      </c>
      <c r="H2973" s="8" t="s">
        <v>2838</v>
      </c>
    </row>
    <row r="2974" customFormat="false" ht="15" hidden="false" customHeight="false" outlineLevel="0" collapsed="false">
      <c r="A2974" s="7" t="n">
        <v>46136</v>
      </c>
      <c r="B2974" s="7" t="n">
        <v>46254</v>
      </c>
      <c r="C2974" s="8" t="n">
        <v>6745</v>
      </c>
      <c r="D2974" s="8" t="n">
        <v>0</v>
      </c>
      <c r="E2974" s="8" t="n">
        <v>0</v>
      </c>
      <c r="F2974" s="8" t="s">
        <v>2200</v>
      </c>
      <c r="G2974" s="8" t="s">
        <v>2201</v>
      </c>
      <c r="H2974" s="8" t="s">
        <v>2838</v>
      </c>
    </row>
    <row r="2975" customFormat="false" ht="15" hidden="false" customHeight="false" outlineLevel="0" collapsed="false">
      <c r="A2975" s="7" t="n">
        <v>46139</v>
      </c>
      <c r="B2975" s="7" t="n">
        <v>46162</v>
      </c>
      <c r="C2975" s="8" t="n">
        <v>6468</v>
      </c>
      <c r="D2975" s="8" t="n">
        <v>5675</v>
      </c>
      <c r="E2975" s="8" t="n">
        <v>25925</v>
      </c>
      <c r="F2975" s="8" t="s">
        <v>2200</v>
      </c>
      <c r="G2975" s="8" t="s">
        <v>2201</v>
      </c>
      <c r="H2975" s="8" t="s">
        <v>2839</v>
      </c>
    </row>
    <row r="2976" customFormat="false" ht="15" hidden="false" customHeight="false" outlineLevel="0" collapsed="false">
      <c r="A2976" s="7" t="n">
        <v>46139</v>
      </c>
      <c r="B2976" s="7" t="n">
        <v>46192</v>
      </c>
      <c r="C2976" s="8" t="n">
        <v>6544</v>
      </c>
      <c r="D2976" s="8" t="n">
        <v>2400</v>
      </c>
      <c r="E2976" s="8" t="n">
        <v>4650</v>
      </c>
      <c r="F2976" s="8" t="s">
        <v>2200</v>
      </c>
      <c r="G2976" s="8" t="s">
        <v>2201</v>
      </c>
      <c r="H2976" s="8" t="s">
        <v>2839</v>
      </c>
    </row>
    <row r="2977" customFormat="false" ht="15" hidden="false" customHeight="false" outlineLevel="0" collapsed="false">
      <c r="A2977" s="7" t="n">
        <v>46139</v>
      </c>
      <c r="B2977" s="7" t="n">
        <v>46223</v>
      </c>
      <c r="C2977" s="8" t="n">
        <v>6620</v>
      </c>
      <c r="D2977" s="8" t="n">
        <v>0</v>
      </c>
      <c r="E2977" s="8" t="n">
        <v>0</v>
      </c>
      <c r="F2977" s="8" t="s">
        <v>2200</v>
      </c>
      <c r="G2977" s="8" t="s">
        <v>2201</v>
      </c>
      <c r="H2977" s="8" t="s">
        <v>2839</v>
      </c>
    </row>
    <row r="2978" customFormat="false" ht="15" hidden="false" customHeight="false" outlineLevel="0" collapsed="false">
      <c r="A2978" s="7" t="n">
        <v>46139</v>
      </c>
      <c r="B2978" s="7" t="n">
        <v>46254</v>
      </c>
      <c r="C2978" s="8" t="n">
        <v>6696</v>
      </c>
      <c r="D2978" s="8" t="n">
        <v>0</v>
      </c>
      <c r="E2978" s="8" t="n">
        <v>0</v>
      </c>
      <c r="F2978" s="8" t="s">
        <v>2200</v>
      </c>
      <c r="G2978" s="8" t="s">
        <v>2201</v>
      </c>
      <c r="H2978" s="8" t="s">
        <v>2839</v>
      </c>
    </row>
    <row r="2979" customFormat="false" ht="15" hidden="false" customHeight="false" outlineLevel="0" collapsed="false">
      <c r="A2979" s="7" t="n">
        <v>46140</v>
      </c>
      <c r="B2979" s="7" t="n">
        <v>46162</v>
      </c>
      <c r="C2979" s="8" t="n">
        <v>6507</v>
      </c>
      <c r="D2979" s="8" t="n">
        <v>7315</v>
      </c>
      <c r="E2979" s="8" t="n">
        <v>24880</v>
      </c>
      <c r="F2979" s="8" t="s">
        <v>2200</v>
      </c>
      <c r="G2979" s="8" t="s">
        <v>2201</v>
      </c>
      <c r="H2979" s="8" t="s">
        <v>2840</v>
      </c>
    </row>
    <row r="2980" customFormat="false" ht="15" hidden="false" customHeight="false" outlineLevel="0" collapsed="false">
      <c r="A2980" s="7" t="n">
        <v>46140</v>
      </c>
      <c r="B2980" s="7" t="n">
        <v>46192</v>
      </c>
      <c r="C2980" s="8" t="n">
        <v>6580</v>
      </c>
      <c r="D2980" s="8" t="n">
        <v>2455</v>
      </c>
      <c r="E2980" s="8" t="n">
        <v>6020</v>
      </c>
      <c r="F2980" s="8" t="s">
        <v>2200</v>
      </c>
      <c r="G2980" s="8" t="s">
        <v>2201</v>
      </c>
      <c r="H2980" s="8" t="s">
        <v>2840</v>
      </c>
    </row>
    <row r="2981" customFormat="false" ht="15" hidden="false" customHeight="false" outlineLevel="0" collapsed="false">
      <c r="A2981" s="7" t="n">
        <v>46140</v>
      </c>
      <c r="B2981" s="7" t="n">
        <v>46223</v>
      </c>
      <c r="C2981" s="8" t="n">
        <v>6653</v>
      </c>
      <c r="D2981" s="8" t="n">
        <v>0</v>
      </c>
      <c r="E2981" s="8" t="n">
        <v>0</v>
      </c>
      <c r="F2981" s="8" t="s">
        <v>2200</v>
      </c>
      <c r="G2981" s="8" t="s">
        <v>2201</v>
      </c>
      <c r="H2981" s="8" t="s">
        <v>2840</v>
      </c>
    </row>
    <row r="2982" customFormat="false" ht="15" hidden="false" customHeight="false" outlineLevel="0" collapsed="false">
      <c r="A2982" s="7" t="n">
        <v>46140</v>
      </c>
      <c r="B2982" s="7" t="n">
        <v>46254</v>
      </c>
      <c r="C2982" s="8" t="n">
        <v>6726</v>
      </c>
      <c r="D2982" s="8" t="n">
        <v>0</v>
      </c>
      <c r="E2982" s="8" t="n">
        <v>0</v>
      </c>
      <c r="F2982" s="8" t="s">
        <v>2200</v>
      </c>
      <c r="G2982" s="8" t="s">
        <v>2201</v>
      </c>
      <c r="H2982" s="8" t="s">
        <v>2840</v>
      </c>
    </row>
    <row r="2983" customFormat="false" ht="15" hidden="false" customHeight="false" outlineLevel="0" collapsed="false">
      <c r="A2983" s="7" t="n">
        <v>46141</v>
      </c>
      <c r="B2983" s="7" t="n">
        <v>46162</v>
      </c>
      <c r="C2983" s="8" t="n">
        <v>6519</v>
      </c>
      <c r="D2983" s="8" t="n">
        <v>5835</v>
      </c>
      <c r="E2983" s="8" t="n">
        <v>24415</v>
      </c>
      <c r="F2983" s="8" t="s">
        <v>2200</v>
      </c>
      <c r="G2983" s="8" t="s">
        <v>2201</v>
      </c>
      <c r="H2983" s="8" t="s">
        <v>2841</v>
      </c>
    </row>
    <row r="2984" customFormat="false" ht="15" hidden="false" customHeight="false" outlineLevel="0" collapsed="false">
      <c r="A2984" s="7" t="n">
        <v>46141</v>
      </c>
      <c r="B2984" s="7" t="n">
        <v>46192</v>
      </c>
      <c r="C2984" s="8" t="n">
        <v>6602</v>
      </c>
      <c r="D2984" s="8" t="n">
        <v>2040</v>
      </c>
      <c r="E2984" s="8" t="n">
        <v>7075</v>
      </c>
      <c r="F2984" s="8" t="s">
        <v>2200</v>
      </c>
      <c r="G2984" s="8" t="s">
        <v>2201</v>
      </c>
      <c r="H2984" s="8" t="s">
        <v>2841</v>
      </c>
    </row>
    <row r="2985" customFormat="false" ht="15" hidden="false" customHeight="false" outlineLevel="0" collapsed="false">
      <c r="A2985" s="7" t="n">
        <v>46141</v>
      </c>
      <c r="B2985" s="7" t="n">
        <v>46223</v>
      </c>
      <c r="C2985" s="8" t="n">
        <v>6685</v>
      </c>
      <c r="D2985" s="8" t="n">
        <v>0</v>
      </c>
      <c r="E2985" s="8" t="n">
        <v>0</v>
      </c>
      <c r="F2985" s="8" t="s">
        <v>2200</v>
      </c>
      <c r="G2985" s="8" t="s">
        <v>2201</v>
      </c>
      <c r="H2985" s="8" t="s">
        <v>2841</v>
      </c>
    </row>
    <row r="2986" customFormat="false" ht="15" hidden="false" customHeight="false" outlineLevel="0" collapsed="false">
      <c r="A2986" s="7" t="n">
        <v>46141</v>
      </c>
      <c r="B2986" s="7" t="n">
        <v>46254</v>
      </c>
      <c r="C2986" s="8" t="n">
        <v>6768</v>
      </c>
      <c r="D2986" s="8" t="n">
        <v>0</v>
      </c>
      <c r="E2986" s="8" t="n">
        <v>0</v>
      </c>
      <c r="F2986" s="8" t="s">
        <v>2200</v>
      </c>
      <c r="G2986" s="8" t="s">
        <v>2201</v>
      </c>
      <c r="H2986" s="8" t="s">
        <v>2841</v>
      </c>
    </row>
    <row r="2987" customFormat="false" ht="15" hidden="false" customHeight="false" outlineLevel="0" collapsed="false">
      <c r="A2987" s="7" t="n">
        <v>46142</v>
      </c>
      <c r="B2987" s="7" t="n">
        <v>46162</v>
      </c>
      <c r="C2987" s="8" t="n">
        <v>6545</v>
      </c>
      <c r="D2987" s="8" t="n">
        <v>8750</v>
      </c>
      <c r="E2987" s="8" t="n">
        <v>20375</v>
      </c>
      <c r="F2987" s="8" t="s">
        <v>2200</v>
      </c>
      <c r="G2987" s="8" t="s">
        <v>2201</v>
      </c>
      <c r="H2987" s="8" t="s">
        <v>2842</v>
      </c>
    </row>
    <row r="2988" customFormat="false" ht="15" hidden="false" customHeight="false" outlineLevel="0" collapsed="false">
      <c r="A2988" s="7" t="n">
        <v>46142</v>
      </c>
      <c r="B2988" s="7" t="n">
        <v>46192</v>
      </c>
      <c r="C2988" s="8" t="n">
        <v>6619</v>
      </c>
      <c r="D2988" s="8" t="n">
        <v>5815</v>
      </c>
      <c r="E2988" s="8" t="n">
        <v>9795</v>
      </c>
      <c r="F2988" s="8" t="s">
        <v>2200</v>
      </c>
      <c r="G2988" s="8" t="s">
        <v>2201</v>
      </c>
      <c r="H2988" s="8" t="s">
        <v>2842</v>
      </c>
    </row>
    <row r="2989" customFormat="false" ht="15" hidden="false" customHeight="false" outlineLevel="0" collapsed="false">
      <c r="A2989" s="7" t="n">
        <v>46142</v>
      </c>
      <c r="B2989" s="7" t="n">
        <v>46223</v>
      </c>
      <c r="C2989" s="8" t="n">
        <v>6693</v>
      </c>
      <c r="D2989" s="8" t="n">
        <v>0</v>
      </c>
      <c r="E2989" s="8" t="n">
        <v>0</v>
      </c>
      <c r="F2989" s="8" t="s">
        <v>2200</v>
      </c>
      <c r="G2989" s="8" t="s">
        <v>2201</v>
      </c>
      <c r="H2989" s="8" t="s">
        <v>2842</v>
      </c>
    </row>
    <row r="2990" customFormat="false" ht="15" hidden="false" customHeight="false" outlineLevel="0" collapsed="false">
      <c r="A2990" s="7" t="n">
        <v>46142</v>
      </c>
      <c r="B2990" s="7" t="n">
        <v>46254</v>
      </c>
      <c r="C2990" s="8" t="n">
        <v>6767</v>
      </c>
      <c r="D2990" s="8" t="n">
        <v>0</v>
      </c>
      <c r="E2990" s="8" t="n">
        <v>0</v>
      </c>
      <c r="F2990" s="8" t="s">
        <v>2200</v>
      </c>
      <c r="G2990" s="8" t="s">
        <v>2201</v>
      </c>
      <c r="H2990" s="8" t="s">
        <v>2842</v>
      </c>
    </row>
    <row r="2991" customFormat="false" ht="15" hidden="false" customHeight="false" outlineLevel="0" collapsed="false">
      <c r="A2991" s="7" t="n">
        <v>46146</v>
      </c>
      <c r="B2991" s="7" t="n">
        <v>46162</v>
      </c>
      <c r="C2991" s="8" t="n">
        <v>6529</v>
      </c>
      <c r="D2991" s="8" t="n">
        <v>5930</v>
      </c>
      <c r="E2991" s="8" t="n">
        <v>18825</v>
      </c>
      <c r="F2991" s="8" t="s">
        <v>2200</v>
      </c>
      <c r="G2991" s="8" t="s">
        <v>2201</v>
      </c>
      <c r="H2991" s="8" t="s">
        <v>2843</v>
      </c>
    </row>
    <row r="2992" customFormat="false" ht="15" hidden="false" customHeight="false" outlineLevel="0" collapsed="false">
      <c r="A2992" s="7" t="n">
        <v>46146</v>
      </c>
      <c r="B2992" s="7" t="n">
        <v>46192</v>
      </c>
      <c r="C2992" s="8" t="n">
        <v>6617</v>
      </c>
      <c r="D2992" s="8" t="n">
        <v>4200</v>
      </c>
      <c r="E2992" s="8" t="n">
        <v>11560</v>
      </c>
      <c r="F2992" s="8" t="s">
        <v>2200</v>
      </c>
      <c r="G2992" s="8" t="s">
        <v>2201</v>
      </c>
      <c r="H2992" s="8" t="s">
        <v>2843</v>
      </c>
    </row>
    <row r="2993" customFormat="false" ht="15" hidden="false" customHeight="false" outlineLevel="0" collapsed="false">
      <c r="A2993" s="7" t="n">
        <v>46146</v>
      </c>
      <c r="B2993" s="7" t="n">
        <v>46223</v>
      </c>
      <c r="C2993" s="8" t="n">
        <v>6678</v>
      </c>
      <c r="D2993" s="8" t="n">
        <v>5</v>
      </c>
      <c r="E2993" s="8" t="n">
        <v>5</v>
      </c>
      <c r="F2993" s="8" t="s">
        <v>2200</v>
      </c>
      <c r="G2993" s="8" t="s">
        <v>2201</v>
      </c>
      <c r="H2993" s="8" t="s">
        <v>2843</v>
      </c>
    </row>
    <row r="2994" customFormat="false" ht="15" hidden="false" customHeight="false" outlineLevel="0" collapsed="false">
      <c r="A2994" s="7" t="n">
        <v>46146</v>
      </c>
      <c r="B2994" s="7" t="n">
        <v>46254</v>
      </c>
      <c r="C2994" s="8" t="n">
        <v>6739</v>
      </c>
      <c r="D2994" s="8" t="n">
        <v>0</v>
      </c>
      <c r="E2994" s="8" t="n">
        <v>0</v>
      </c>
      <c r="F2994" s="8" t="s">
        <v>2200</v>
      </c>
      <c r="G2994" s="8" t="s">
        <v>2201</v>
      </c>
      <c r="H2994" s="8" t="s">
        <v>2843</v>
      </c>
    </row>
    <row r="2995" customFormat="false" ht="15" hidden="false" customHeight="false" outlineLevel="0" collapsed="false">
      <c r="A2995" s="7" t="n">
        <v>46146</v>
      </c>
      <c r="B2995" s="7" t="n">
        <v>46283</v>
      </c>
      <c r="C2995" s="8" t="n">
        <v>6800</v>
      </c>
      <c r="D2995" s="8" t="n">
        <v>0</v>
      </c>
      <c r="E2995" s="8" t="n">
        <v>0</v>
      </c>
      <c r="F2995" s="8" t="s">
        <v>2200</v>
      </c>
      <c r="G2995" s="8" t="s">
        <v>2201</v>
      </c>
      <c r="H2995" s="8" t="s">
        <v>2843</v>
      </c>
    </row>
    <row r="2996" customFormat="false" ht="15" hidden="false" customHeight="false" outlineLevel="0" collapsed="false">
      <c r="A2996" s="7" t="n">
        <v>46147</v>
      </c>
      <c r="B2996" s="7" t="n">
        <v>46162</v>
      </c>
      <c r="C2996" s="8" t="n">
        <v>6516</v>
      </c>
      <c r="D2996" s="8" t="n">
        <v>3570</v>
      </c>
      <c r="E2996" s="8" t="n">
        <v>18510</v>
      </c>
      <c r="F2996" s="8" t="s">
        <v>2200</v>
      </c>
      <c r="G2996" s="8" t="s">
        <v>2201</v>
      </c>
      <c r="H2996" s="8" t="s">
        <v>2844</v>
      </c>
    </row>
    <row r="2997" customFormat="false" ht="15" hidden="false" customHeight="false" outlineLevel="0" collapsed="false">
      <c r="A2997" s="7" t="n">
        <v>46147</v>
      </c>
      <c r="B2997" s="7" t="n">
        <v>46192</v>
      </c>
      <c r="C2997" s="8" t="n">
        <v>6606</v>
      </c>
      <c r="D2997" s="8" t="n">
        <v>3240</v>
      </c>
      <c r="E2997" s="8" t="n">
        <v>12765</v>
      </c>
      <c r="F2997" s="8" t="s">
        <v>2200</v>
      </c>
      <c r="G2997" s="8" t="s">
        <v>2201</v>
      </c>
      <c r="H2997" s="8" t="s">
        <v>2844</v>
      </c>
    </row>
    <row r="2998" customFormat="false" ht="15" hidden="false" customHeight="false" outlineLevel="0" collapsed="false">
      <c r="A2998" s="7" t="n">
        <v>46147</v>
      </c>
      <c r="B2998" s="7" t="n">
        <v>46223</v>
      </c>
      <c r="C2998" s="8" t="n">
        <v>6696</v>
      </c>
      <c r="D2998" s="8" t="n">
        <v>0</v>
      </c>
      <c r="E2998" s="8" t="n">
        <v>5</v>
      </c>
      <c r="F2998" s="8" t="s">
        <v>2200</v>
      </c>
      <c r="G2998" s="8" t="s">
        <v>2201</v>
      </c>
      <c r="H2998" s="8" t="s">
        <v>2844</v>
      </c>
    </row>
    <row r="2999" customFormat="false" ht="15" hidden="false" customHeight="false" outlineLevel="0" collapsed="false">
      <c r="A2999" s="7" t="n">
        <v>46147</v>
      </c>
      <c r="B2999" s="7" t="n">
        <v>46254</v>
      </c>
      <c r="C2999" s="8" t="n">
        <v>6786</v>
      </c>
      <c r="D2999" s="8" t="n">
        <v>0</v>
      </c>
      <c r="E2999" s="8" t="n">
        <v>0</v>
      </c>
      <c r="F2999" s="8" t="s">
        <v>2200</v>
      </c>
      <c r="G2999" s="8" t="s">
        <v>2201</v>
      </c>
      <c r="H2999" s="8" t="s">
        <v>2844</v>
      </c>
    </row>
    <row r="3000" customFormat="false" ht="15" hidden="false" customHeight="false" outlineLevel="0" collapsed="false">
      <c r="A3000" s="7" t="n">
        <v>46147</v>
      </c>
      <c r="B3000" s="7" t="n">
        <v>46283</v>
      </c>
      <c r="C3000" s="8" t="n">
        <v>6876</v>
      </c>
      <c r="D3000" s="8" t="n">
        <v>0</v>
      </c>
      <c r="E3000" s="8" t="n">
        <v>0</v>
      </c>
      <c r="F3000" s="8" t="s">
        <v>2200</v>
      </c>
      <c r="G3000" s="8" t="s">
        <v>2201</v>
      </c>
      <c r="H3000" s="8" t="s">
        <v>2844</v>
      </c>
    </row>
    <row r="3001" customFormat="false" ht="15" hidden="false" customHeight="false" outlineLevel="0" collapsed="false">
      <c r="A3001" s="7" t="n">
        <v>46148</v>
      </c>
      <c r="B3001" s="7" t="n">
        <v>46162</v>
      </c>
      <c r="C3001" s="8" t="n">
        <v>6484</v>
      </c>
      <c r="D3001" s="8" t="n">
        <v>6985</v>
      </c>
      <c r="E3001" s="8" t="n">
        <v>14275</v>
      </c>
      <c r="F3001" s="8" t="s">
        <v>2200</v>
      </c>
      <c r="G3001" s="8" t="s">
        <v>2201</v>
      </c>
      <c r="H3001" s="8" t="s">
        <v>2845</v>
      </c>
    </row>
    <row r="3002" customFormat="false" ht="15" hidden="false" customHeight="false" outlineLevel="0" collapsed="false">
      <c r="A3002" s="7" t="n">
        <v>46148</v>
      </c>
      <c r="B3002" s="7" t="n">
        <v>46192</v>
      </c>
      <c r="C3002" s="8" t="n">
        <v>6576</v>
      </c>
      <c r="D3002" s="8" t="n">
        <v>6465</v>
      </c>
      <c r="E3002" s="8" t="n">
        <v>17020</v>
      </c>
      <c r="F3002" s="8" t="s">
        <v>2200</v>
      </c>
      <c r="G3002" s="8" t="s">
        <v>2201</v>
      </c>
      <c r="H3002" s="8" t="s">
        <v>2845</v>
      </c>
    </row>
    <row r="3003" customFormat="false" ht="15" hidden="false" customHeight="false" outlineLevel="0" collapsed="false">
      <c r="A3003" s="7" t="n">
        <v>46148</v>
      </c>
      <c r="B3003" s="7" t="n">
        <v>46223</v>
      </c>
      <c r="C3003" s="8" t="n">
        <v>6668</v>
      </c>
      <c r="D3003" s="8" t="n">
        <v>0</v>
      </c>
      <c r="E3003" s="8" t="n">
        <v>5</v>
      </c>
      <c r="F3003" s="8" t="s">
        <v>2200</v>
      </c>
      <c r="G3003" s="8" t="s">
        <v>2201</v>
      </c>
      <c r="H3003" s="8" t="s">
        <v>2845</v>
      </c>
    </row>
    <row r="3004" customFormat="false" ht="15" hidden="false" customHeight="false" outlineLevel="0" collapsed="false">
      <c r="A3004" s="7" t="n">
        <v>46148</v>
      </c>
      <c r="B3004" s="7" t="n">
        <v>46254</v>
      </c>
      <c r="C3004" s="8" t="n">
        <v>6760</v>
      </c>
      <c r="D3004" s="8" t="n">
        <v>0</v>
      </c>
      <c r="E3004" s="8" t="n">
        <v>0</v>
      </c>
      <c r="F3004" s="8" t="s">
        <v>2200</v>
      </c>
      <c r="G3004" s="8" t="s">
        <v>2201</v>
      </c>
      <c r="H3004" s="8" t="s">
        <v>2845</v>
      </c>
    </row>
    <row r="3005" customFormat="false" ht="15" hidden="false" customHeight="false" outlineLevel="0" collapsed="false">
      <c r="A3005" s="7" t="n">
        <v>46148</v>
      </c>
      <c r="B3005" s="7" t="n">
        <v>46283</v>
      </c>
      <c r="C3005" s="8" t="n">
        <v>6852</v>
      </c>
      <c r="D3005" s="8" t="n">
        <v>0</v>
      </c>
      <c r="E3005" s="8" t="n">
        <v>0</v>
      </c>
      <c r="F3005" s="8" t="s">
        <v>2200</v>
      </c>
      <c r="G3005" s="8" t="s">
        <v>2201</v>
      </c>
      <c r="H3005" s="8" t="s">
        <v>2845</v>
      </c>
    </row>
    <row r="3006" customFormat="false" ht="15" hidden="false" customHeight="false" outlineLevel="0" collapsed="false">
      <c r="A3006" s="7" t="n">
        <v>46149</v>
      </c>
      <c r="B3006" s="7" t="n">
        <v>46162</v>
      </c>
      <c r="C3006" s="8" t="n">
        <v>6501</v>
      </c>
      <c r="D3006" s="8" t="n">
        <v>6425</v>
      </c>
      <c r="E3006" s="8" t="n">
        <v>12920</v>
      </c>
      <c r="F3006" s="8" t="s">
        <v>2200</v>
      </c>
      <c r="G3006" s="8" t="s">
        <v>2201</v>
      </c>
      <c r="H3006" s="8" t="s">
        <v>2846</v>
      </c>
    </row>
    <row r="3007" customFormat="false" ht="15" hidden="false" customHeight="false" outlineLevel="0" collapsed="false">
      <c r="A3007" s="7" t="n">
        <v>46149</v>
      </c>
      <c r="B3007" s="7" t="n">
        <v>46192</v>
      </c>
      <c r="C3007" s="8" t="n">
        <v>6592</v>
      </c>
      <c r="D3007" s="8" t="n">
        <v>5930</v>
      </c>
      <c r="E3007" s="8" t="n">
        <v>19380</v>
      </c>
      <c r="F3007" s="8" t="s">
        <v>2200</v>
      </c>
      <c r="G3007" s="8" t="s">
        <v>2201</v>
      </c>
      <c r="H3007" s="8" t="s">
        <v>2846</v>
      </c>
    </row>
    <row r="3008" customFormat="false" ht="15" hidden="false" customHeight="false" outlineLevel="0" collapsed="false">
      <c r="A3008" s="7" t="n">
        <v>46149</v>
      </c>
      <c r="B3008" s="7" t="n">
        <v>46223</v>
      </c>
      <c r="C3008" s="8" t="n">
        <v>6683</v>
      </c>
      <c r="D3008" s="8" t="n">
        <v>0</v>
      </c>
      <c r="E3008" s="8" t="n">
        <v>5</v>
      </c>
      <c r="F3008" s="8" t="s">
        <v>2200</v>
      </c>
      <c r="G3008" s="8" t="s">
        <v>2201</v>
      </c>
      <c r="H3008" s="8" t="s">
        <v>2846</v>
      </c>
    </row>
    <row r="3009" customFormat="false" ht="15" hidden="false" customHeight="false" outlineLevel="0" collapsed="false">
      <c r="A3009" s="7" t="n">
        <v>46149</v>
      </c>
      <c r="B3009" s="7" t="n">
        <v>46254</v>
      </c>
      <c r="C3009" s="8" t="n">
        <v>6774</v>
      </c>
      <c r="D3009" s="8" t="n">
        <v>0</v>
      </c>
      <c r="E3009" s="8" t="n">
        <v>0</v>
      </c>
      <c r="F3009" s="8" t="s">
        <v>2200</v>
      </c>
      <c r="G3009" s="8" t="s">
        <v>2201</v>
      </c>
      <c r="H3009" s="8" t="s">
        <v>2846</v>
      </c>
    </row>
    <row r="3010" customFormat="false" ht="15" hidden="false" customHeight="false" outlineLevel="0" collapsed="false">
      <c r="A3010" s="7" t="n">
        <v>46149</v>
      </c>
      <c r="B3010" s="7" t="n">
        <v>46283</v>
      </c>
      <c r="C3010" s="8" t="n">
        <v>6865</v>
      </c>
      <c r="D3010" s="8" t="n">
        <v>0</v>
      </c>
      <c r="E3010" s="8" t="n">
        <v>0</v>
      </c>
      <c r="F3010" s="8" t="s">
        <v>2200</v>
      </c>
      <c r="G3010" s="8" t="s">
        <v>2201</v>
      </c>
      <c r="H3010" s="8" t="s">
        <v>2846</v>
      </c>
    </row>
    <row r="3011" customFormat="false" ht="15" hidden="false" customHeight="false" outlineLevel="0" collapsed="false">
      <c r="A3011" s="7" t="n">
        <v>46150</v>
      </c>
      <c r="B3011" s="7" t="n">
        <v>46162</v>
      </c>
      <c r="C3011" s="8" t="n">
        <v>6480</v>
      </c>
      <c r="D3011" s="8" t="n">
        <v>3610</v>
      </c>
      <c r="E3011" s="8" t="n">
        <v>11710</v>
      </c>
      <c r="F3011" s="8" t="s">
        <v>2200</v>
      </c>
      <c r="G3011" s="8" t="s">
        <v>2201</v>
      </c>
      <c r="H3011" s="8" t="s">
        <v>2847</v>
      </c>
    </row>
    <row r="3012" customFormat="false" ht="15" hidden="false" customHeight="false" outlineLevel="0" collapsed="false">
      <c r="A3012" s="7" t="n">
        <v>46150</v>
      </c>
      <c r="B3012" s="7" t="n">
        <v>46192</v>
      </c>
      <c r="C3012" s="8" t="n">
        <v>6572</v>
      </c>
      <c r="D3012" s="8" t="n">
        <v>4775</v>
      </c>
      <c r="E3012" s="8" t="n">
        <v>20925</v>
      </c>
      <c r="F3012" s="8" t="s">
        <v>2200</v>
      </c>
      <c r="G3012" s="8" t="s">
        <v>2201</v>
      </c>
      <c r="H3012" s="8" t="s">
        <v>2847</v>
      </c>
    </row>
    <row r="3013" customFormat="false" ht="15" hidden="false" customHeight="false" outlineLevel="0" collapsed="false">
      <c r="A3013" s="7" t="n">
        <v>46150</v>
      </c>
      <c r="B3013" s="7" t="n">
        <v>46223</v>
      </c>
      <c r="C3013" s="8" t="n">
        <v>6664</v>
      </c>
      <c r="D3013" s="8" t="n">
        <v>0</v>
      </c>
      <c r="E3013" s="8" t="n">
        <v>5</v>
      </c>
      <c r="F3013" s="8" t="s">
        <v>2200</v>
      </c>
      <c r="G3013" s="8" t="s">
        <v>2201</v>
      </c>
      <c r="H3013" s="8" t="s">
        <v>2847</v>
      </c>
    </row>
    <row r="3014" customFormat="false" ht="15" hidden="false" customHeight="false" outlineLevel="0" collapsed="false">
      <c r="A3014" s="7" t="n">
        <v>46150</v>
      </c>
      <c r="B3014" s="7" t="n">
        <v>46254</v>
      </c>
      <c r="C3014" s="8" t="n">
        <v>6756</v>
      </c>
      <c r="D3014" s="8" t="n">
        <v>0</v>
      </c>
      <c r="E3014" s="8" t="n">
        <v>0</v>
      </c>
      <c r="F3014" s="8" t="s">
        <v>2200</v>
      </c>
      <c r="G3014" s="8" t="s">
        <v>2201</v>
      </c>
      <c r="H3014" s="8" t="s">
        <v>2847</v>
      </c>
    </row>
    <row r="3015" customFormat="false" ht="15" hidden="false" customHeight="false" outlineLevel="0" collapsed="false">
      <c r="A3015" s="7" t="n">
        <v>46150</v>
      </c>
      <c r="B3015" s="7" t="n">
        <v>46283</v>
      </c>
      <c r="C3015" s="8" t="n">
        <v>6848</v>
      </c>
      <c r="D3015" s="8" t="n">
        <v>0</v>
      </c>
      <c r="E3015" s="8" t="n">
        <v>0</v>
      </c>
      <c r="F3015" s="8" t="s">
        <v>2200</v>
      </c>
      <c r="G3015" s="8" t="s">
        <v>2201</v>
      </c>
      <c r="H3015" s="8" t="s">
        <v>2847</v>
      </c>
    </row>
    <row r="3016" customFormat="false" ht="15" hidden="false" customHeight="false" outlineLevel="0" collapsed="false">
      <c r="A3016" s="7" t="n">
        <v>46153</v>
      </c>
      <c r="B3016" s="7" t="n">
        <v>46162</v>
      </c>
      <c r="C3016" s="8" t="n">
        <v>6472</v>
      </c>
      <c r="D3016" s="8" t="n">
        <v>3050</v>
      </c>
      <c r="E3016" s="8" t="n">
        <v>10355</v>
      </c>
      <c r="F3016" s="8" t="s">
        <v>2200</v>
      </c>
      <c r="G3016" s="8" t="s">
        <v>2201</v>
      </c>
      <c r="H3016" s="8" t="s">
        <v>2848</v>
      </c>
    </row>
    <row r="3017" customFormat="false" ht="15" hidden="false" customHeight="false" outlineLevel="0" collapsed="false">
      <c r="A3017" s="7" t="n">
        <v>46153</v>
      </c>
      <c r="B3017" s="7" t="n">
        <v>46192</v>
      </c>
      <c r="C3017" s="8" t="n">
        <v>6568</v>
      </c>
      <c r="D3017" s="8" t="n">
        <v>4430</v>
      </c>
      <c r="E3017" s="8" t="n">
        <v>22115</v>
      </c>
      <c r="F3017" s="8" t="s">
        <v>2200</v>
      </c>
      <c r="G3017" s="8" t="s">
        <v>2201</v>
      </c>
      <c r="H3017" s="8" t="s">
        <v>2848</v>
      </c>
    </row>
    <row r="3018" customFormat="false" ht="15" hidden="false" customHeight="false" outlineLevel="0" collapsed="false">
      <c r="A3018" s="7" t="n">
        <v>46153</v>
      </c>
      <c r="B3018" s="7" t="n">
        <v>46223</v>
      </c>
      <c r="C3018" s="8" t="n">
        <v>6664</v>
      </c>
      <c r="D3018" s="8" t="n">
        <v>310</v>
      </c>
      <c r="E3018" s="8" t="n">
        <v>315</v>
      </c>
      <c r="F3018" s="8" t="s">
        <v>2200</v>
      </c>
      <c r="G3018" s="8" t="s">
        <v>2201</v>
      </c>
      <c r="H3018" s="8" t="s">
        <v>2848</v>
      </c>
    </row>
    <row r="3019" customFormat="false" ht="15" hidden="false" customHeight="false" outlineLevel="0" collapsed="false">
      <c r="A3019" s="7" t="n">
        <v>46153</v>
      </c>
      <c r="B3019" s="7" t="n">
        <v>46254</v>
      </c>
      <c r="C3019" s="8" t="n">
        <v>6760</v>
      </c>
      <c r="D3019" s="8" t="n">
        <v>0</v>
      </c>
      <c r="E3019" s="8" t="n">
        <v>0</v>
      </c>
      <c r="F3019" s="8" t="s">
        <v>2200</v>
      </c>
      <c r="G3019" s="8" t="s">
        <v>2201</v>
      </c>
      <c r="H3019" s="8" t="s">
        <v>2848</v>
      </c>
    </row>
    <row r="3020" customFormat="false" ht="15" hidden="false" customHeight="false" outlineLevel="0" collapsed="false">
      <c r="A3020" s="7" t="n">
        <v>46153</v>
      </c>
      <c r="B3020" s="7" t="n">
        <v>46283</v>
      </c>
      <c r="C3020" s="8" t="n">
        <v>6856</v>
      </c>
      <c r="D3020" s="8" t="n">
        <v>0</v>
      </c>
      <c r="E3020" s="8" t="n">
        <v>0</v>
      </c>
      <c r="F3020" s="8" t="s">
        <v>2200</v>
      </c>
      <c r="G3020" s="8" t="s">
        <v>2201</v>
      </c>
      <c r="H3020" s="8" t="s">
        <v>2848</v>
      </c>
    </row>
    <row r="3021" customFormat="false" ht="15" hidden="false" customHeight="false" outlineLevel="0" collapsed="false">
      <c r="A3021" s="7" t="n">
        <v>46154</v>
      </c>
      <c r="B3021" s="7" t="n">
        <v>46162</v>
      </c>
      <c r="C3021" s="8" t="n">
        <v>6472</v>
      </c>
      <c r="D3021" s="8" t="n">
        <v>2790</v>
      </c>
      <c r="E3021" s="8" t="n">
        <v>8625</v>
      </c>
      <c r="F3021" s="8" t="s">
        <v>2200</v>
      </c>
      <c r="G3021" s="8" t="s">
        <v>2201</v>
      </c>
      <c r="H3021" s="8" t="s">
        <v>2849</v>
      </c>
    </row>
    <row r="3022" customFormat="false" ht="15" hidden="false" customHeight="false" outlineLevel="0" collapsed="false">
      <c r="A3022" s="7" t="n">
        <v>46154</v>
      </c>
      <c r="B3022" s="7" t="n">
        <v>46192</v>
      </c>
      <c r="C3022" s="8" t="n">
        <v>6569</v>
      </c>
      <c r="D3022" s="8" t="n">
        <v>3915</v>
      </c>
      <c r="E3022" s="8" t="n">
        <v>23770</v>
      </c>
      <c r="F3022" s="8" t="s">
        <v>2200</v>
      </c>
      <c r="G3022" s="8" t="s">
        <v>2201</v>
      </c>
      <c r="H3022" s="8" t="s">
        <v>2849</v>
      </c>
    </row>
    <row r="3023" customFormat="false" ht="15" hidden="false" customHeight="false" outlineLevel="0" collapsed="false">
      <c r="A3023" s="7" t="n">
        <v>46154</v>
      </c>
      <c r="B3023" s="7" t="n">
        <v>46223</v>
      </c>
      <c r="C3023" s="8" t="n">
        <v>6666</v>
      </c>
      <c r="D3023" s="8" t="n">
        <v>100</v>
      </c>
      <c r="E3023" s="8" t="n">
        <v>415</v>
      </c>
      <c r="F3023" s="8" t="s">
        <v>2200</v>
      </c>
      <c r="G3023" s="8" t="s">
        <v>2201</v>
      </c>
      <c r="H3023" s="8" t="s">
        <v>2849</v>
      </c>
    </row>
    <row r="3024" customFormat="false" ht="15" hidden="false" customHeight="false" outlineLevel="0" collapsed="false">
      <c r="A3024" s="7" t="n">
        <v>46154</v>
      </c>
      <c r="B3024" s="7" t="n">
        <v>46254</v>
      </c>
      <c r="C3024" s="8" t="n">
        <v>6763</v>
      </c>
      <c r="D3024" s="8" t="n">
        <v>0</v>
      </c>
      <c r="E3024" s="8" t="n">
        <v>0</v>
      </c>
      <c r="F3024" s="8" t="s">
        <v>2200</v>
      </c>
      <c r="G3024" s="8" t="s">
        <v>2201</v>
      </c>
      <c r="H3024" s="8" t="s">
        <v>2849</v>
      </c>
    </row>
    <row r="3025" customFormat="false" ht="15" hidden="false" customHeight="false" outlineLevel="0" collapsed="false">
      <c r="A3025" s="7" t="n">
        <v>46154</v>
      </c>
      <c r="B3025" s="7" t="n">
        <v>46283</v>
      </c>
      <c r="C3025" s="8" t="n">
        <v>6860</v>
      </c>
      <c r="D3025" s="8" t="n">
        <v>0</v>
      </c>
      <c r="E3025" s="8" t="n">
        <v>0</v>
      </c>
      <c r="F3025" s="8" t="s">
        <v>2200</v>
      </c>
      <c r="G3025" s="8" t="s">
        <v>2201</v>
      </c>
      <c r="H3025" s="8" t="s">
        <v>2849</v>
      </c>
    </row>
    <row r="3026" customFormat="false" ht="15" hidden="false" customHeight="false" outlineLevel="0" collapsed="false">
      <c r="A3026" s="7" t="n">
        <v>46155</v>
      </c>
      <c r="B3026" s="7" t="n">
        <v>46162</v>
      </c>
      <c r="C3026" s="8" t="n">
        <v>6492</v>
      </c>
      <c r="D3026" s="8" t="n">
        <v>3575</v>
      </c>
      <c r="E3026" s="8" t="n">
        <v>6820</v>
      </c>
      <c r="F3026" s="8" t="s">
        <v>2200</v>
      </c>
      <c r="G3026" s="8" t="s">
        <v>2201</v>
      </c>
      <c r="H3026" s="8" t="s">
        <v>2850</v>
      </c>
    </row>
    <row r="3027" customFormat="false" ht="15" hidden="false" customHeight="false" outlineLevel="0" collapsed="false">
      <c r="A3027" s="7" t="n">
        <v>46155</v>
      </c>
      <c r="B3027" s="7" t="n">
        <v>46192</v>
      </c>
      <c r="C3027" s="8" t="n">
        <v>6604</v>
      </c>
      <c r="D3027" s="8" t="n">
        <v>8285</v>
      </c>
      <c r="E3027" s="8" t="n">
        <v>25905</v>
      </c>
      <c r="F3027" s="8" t="s">
        <v>2200</v>
      </c>
      <c r="G3027" s="8" t="s">
        <v>2201</v>
      </c>
      <c r="H3027" s="8" t="s">
        <v>2850</v>
      </c>
    </row>
    <row r="3028" customFormat="false" ht="15" hidden="false" customHeight="false" outlineLevel="0" collapsed="false">
      <c r="A3028" s="7" t="n">
        <v>46155</v>
      </c>
      <c r="B3028" s="7" t="n">
        <v>46223</v>
      </c>
      <c r="C3028" s="8" t="n">
        <v>6716</v>
      </c>
      <c r="D3028" s="8" t="n">
        <v>410</v>
      </c>
      <c r="E3028" s="8" t="n">
        <v>825</v>
      </c>
      <c r="F3028" s="8" t="s">
        <v>2200</v>
      </c>
      <c r="G3028" s="8" t="s">
        <v>2201</v>
      </c>
      <c r="H3028" s="8" t="s">
        <v>2850</v>
      </c>
    </row>
    <row r="3029" customFormat="false" ht="15" hidden="false" customHeight="false" outlineLevel="0" collapsed="false">
      <c r="A3029" s="7" t="n">
        <v>46155</v>
      </c>
      <c r="B3029" s="7" t="n">
        <v>46254</v>
      </c>
      <c r="C3029" s="8" t="n">
        <v>6828</v>
      </c>
      <c r="D3029" s="8" t="n">
        <v>0</v>
      </c>
      <c r="E3029" s="8" t="n">
        <v>0</v>
      </c>
      <c r="F3029" s="8" t="s">
        <v>2200</v>
      </c>
      <c r="G3029" s="8" t="s">
        <v>2201</v>
      </c>
      <c r="H3029" s="8" t="s">
        <v>2850</v>
      </c>
    </row>
    <row r="3030" customFormat="false" ht="15" hidden="false" customHeight="false" outlineLevel="0" collapsed="false">
      <c r="A3030" s="7" t="n">
        <v>46155</v>
      </c>
      <c r="B3030" s="7" t="n">
        <v>46283</v>
      </c>
      <c r="C3030" s="8" t="n">
        <v>6940</v>
      </c>
      <c r="D3030" s="8" t="n">
        <v>0</v>
      </c>
      <c r="E3030" s="8" t="n">
        <v>0</v>
      </c>
      <c r="F3030" s="8" t="s">
        <v>2200</v>
      </c>
      <c r="G3030" s="8" t="s">
        <v>2201</v>
      </c>
      <c r="H3030" s="8" t="s">
        <v>2850</v>
      </c>
    </row>
    <row r="3031" customFormat="false" ht="15" hidden="false" customHeight="false" outlineLevel="0" collapsed="false">
      <c r="A3031" s="7" t="n">
        <v>46156</v>
      </c>
      <c r="B3031" s="7" t="n">
        <v>46162</v>
      </c>
      <c r="C3031" s="8" t="n">
        <v>6535</v>
      </c>
      <c r="D3031" s="8" t="n">
        <v>3865</v>
      </c>
      <c r="E3031" s="8" t="n">
        <v>4905</v>
      </c>
      <c r="F3031" s="8" t="s">
        <v>2200</v>
      </c>
      <c r="G3031" s="8" t="s">
        <v>2201</v>
      </c>
      <c r="H3031" s="8" t="s">
        <v>2851</v>
      </c>
    </row>
    <row r="3032" customFormat="false" ht="15" hidden="false" customHeight="false" outlineLevel="0" collapsed="false">
      <c r="A3032" s="7" t="n">
        <v>46156</v>
      </c>
      <c r="B3032" s="7" t="n">
        <v>46192</v>
      </c>
      <c r="C3032" s="8" t="n">
        <v>6641</v>
      </c>
      <c r="D3032" s="8" t="n">
        <v>10350</v>
      </c>
      <c r="E3032" s="8" t="n">
        <v>25965</v>
      </c>
      <c r="F3032" s="8" t="s">
        <v>2200</v>
      </c>
      <c r="G3032" s="8" t="s">
        <v>2201</v>
      </c>
      <c r="H3032" s="8" t="s">
        <v>2851</v>
      </c>
    </row>
    <row r="3033" customFormat="false" ht="15" hidden="false" customHeight="false" outlineLevel="0" collapsed="false">
      <c r="A3033" s="7" t="n">
        <v>46156</v>
      </c>
      <c r="B3033" s="7" t="n">
        <v>46223</v>
      </c>
      <c r="C3033" s="8" t="n">
        <v>6712</v>
      </c>
      <c r="D3033" s="8" t="n">
        <v>220</v>
      </c>
      <c r="E3033" s="8" t="n">
        <v>1040</v>
      </c>
      <c r="F3033" s="8" t="s">
        <v>2200</v>
      </c>
      <c r="G3033" s="8" t="s">
        <v>2201</v>
      </c>
      <c r="H3033" s="8" t="s">
        <v>2851</v>
      </c>
    </row>
    <row r="3034" customFormat="false" ht="15" hidden="false" customHeight="false" outlineLevel="0" collapsed="false">
      <c r="A3034" s="7" t="n">
        <v>46156</v>
      </c>
      <c r="B3034" s="7" t="n">
        <v>46254</v>
      </c>
      <c r="C3034" s="8" t="n">
        <v>6783</v>
      </c>
      <c r="D3034" s="8" t="n">
        <v>0</v>
      </c>
      <c r="E3034" s="8" t="n">
        <v>0</v>
      </c>
      <c r="F3034" s="8" t="s">
        <v>2200</v>
      </c>
      <c r="G3034" s="8" t="s">
        <v>2201</v>
      </c>
      <c r="H3034" s="8" t="s">
        <v>2851</v>
      </c>
    </row>
    <row r="3035" customFormat="false" ht="15" hidden="false" customHeight="false" outlineLevel="0" collapsed="false">
      <c r="A3035" s="7" t="n">
        <v>46156</v>
      </c>
      <c r="B3035" s="7" t="n">
        <v>46283</v>
      </c>
      <c r="C3035" s="8" t="n">
        <v>6854</v>
      </c>
      <c r="D3035" s="8" t="n">
        <v>0</v>
      </c>
      <c r="E3035" s="8" t="n">
        <v>0</v>
      </c>
      <c r="F3035" s="8" t="s">
        <v>2200</v>
      </c>
      <c r="G3035" s="8" t="s">
        <v>2201</v>
      </c>
      <c r="H3035" s="8" t="s">
        <v>2851</v>
      </c>
    </row>
    <row r="3036" customFormat="false" ht="15" hidden="false" customHeight="false" outlineLevel="0" collapsed="false">
      <c r="A3036" s="7" t="n">
        <v>46157</v>
      </c>
      <c r="B3036" s="7" t="n">
        <v>46162</v>
      </c>
      <c r="C3036" s="8" t="n">
        <v>6482</v>
      </c>
      <c r="D3036" s="8" t="n">
        <v>5280</v>
      </c>
      <c r="E3036" s="8" t="n">
        <v>2225</v>
      </c>
      <c r="F3036" s="8" t="s">
        <v>2200</v>
      </c>
      <c r="G3036" s="8" t="s">
        <v>2201</v>
      </c>
      <c r="H3036" s="8" t="s">
        <v>2852</v>
      </c>
    </row>
    <row r="3037" customFormat="false" ht="15" hidden="false" customHeight="false" outlineLevel="0" collapsed="false">
      <c r="A3037" s="7" t="n">
        <v>46157</v>
      </c>
      <c r="B3037" s="7" t="n">
        <v>46192</v>
      </c>
      <c r="C3037" s="8" t="n">
        <v>6613</v>
      </c>
      <c r="D3037" s="8" t="n">
        <v>7125</v>
      </c>
      <c r="E3037" s="8" t="n">
        <v>28830</v>
      </c>
      <c r="F3037" s="8" t="s">
        <v>2200</v>
      </c>
      <c r="G3037" s="8" t="s">
        <v>2201</v>
      </c>
      <c r="H3037" s="8" t="s">
        <v>2852</v>
      </c>
    </row>
    <row r="3038" customFormat="false" ht="15" hidden="false" customHeight="false" outlineLevel="0" collapsed="false">
      <c r="A3038" s="7" t="n">
        <v>46157</v>
      </c>
      <c r="B3038" s="7" t="n">
        <v>46223</v>
      </c>
      <c r="C3038" s="8" t="n">
        <v>6700</v>
      </c>
      <c r="D3038" s="8" t="n">
        <v>205</v>
      </c>
      <c r="E3038" s="8" t="n">
        <v>1245</v>
      </c>
      <c r="F3038" s="8" t="s">
        <v>2200</v>
      </c>
      <c r="G3038" s="8" t="s">
        <v>2201</v>
      </c>
      <c r="H3038" s="8" t="s">
        <v>2852</v>
      </c>
    </row>
    <row r="3039" customFormat="false" ht="15" hidden="false" customHeight="false" outlineLevel="0" collapsed="false">
      <c r="A3039" s="7" t="n">
        <v>46157</v>
      </c>
      <c r="B3039" s="7" t="n">
        <v>46254</v>
      </c>
      <c r="C3039" s="8" t="n">
        <v>6787</v>
      </c>
      <c r="D3039" s="8" t="n">
        <v>0</v>
      </c>
      <c r="E3039" s="8" t="n">
        <v>0</v>
      </c>
      <c r="F3039" s="8" t="s">
        <v>2200</v>
      </c>
      <c r="G3039" s="8" t="s">
        <v>2201</v>
      </c>
      <c r="H3039" s="8" t="s">
        <v>2852</v>
      </c>
    </row>
    <row r="3040" customFormat="false" ht="15" hidden="false" customHeight="false" outlineLevel="0" collapsed="false">
      <c r="A3040" s="7" t="n">
        <v>46157</v>
      </c>
      <c r="B3040" s="7" t="n">
        <v>46283</v>
      </c>
      <c r="C3040" s="8" t="n">
        <v>6874</v>
      </c>
      <c r="D3040" s="8" t="n">
        <v>0</v>
      </c>
      <c r="E3040" s="8" t="n">
        <v>0</v>
      </c>
      <c r="F3040" s="8" t="s">
        <v>2200</v>
      </c>
      <c r="G3040" s="8" t="s">
        <v>2201</v>
      </c>
      <c r="H3040" s="8" t="s">
        <v>2852</v>
      </c>
    </row>
    <row r="3041" customFormat="false" ht="15" hidden="false" customHeight="false" outlineLevel="0" collapsed="false">
      <c r="A3041" s="7" t="n">
        <v>46160</v>
      </c>
      <c r="B3041" s="7" t="n">
        <v>46162</v>
      </c>
      <c r="C3041" s="8" t="n">
        <v>6472</v>
      </c>
      <c r="D3041" s="8" t="n">
        <v>2010</v>
      </c>
      <c r="E3041" s="8" t="n">
        <v>1305</v>
      </c>
      <c r="F3041" s="8" t="s">
        <v>2200</v>
      </c>
      <c r="G3041" s="8" t="s">
        <v>2201</v>
      </c>
      <c r="H3041" s="8" t="s">
        <v>2853</v>
      </c>
    </row>
    <row r="3042" customFormat="false" ht="15" hidden="false" customHeight="false" outlineLevel="0" collapsed="false">
      <c r="A3042" s="7" t="n">
        <v>46160</v>
      </c>
      <c r="B3042" s="7" t="n">
        <v>46192</v>
      </c>
      <c r="C3042" s="8" t="n">
        <v>6622</v>
      </c>
      <c r="D3042" s="8" t="n">
        <v>6170</v>
      </c>
      <c r="E3042" s="8" t="n">
        <v>29430</v>
      </c>
      <c r="F3042" s="8" t="s">
        <v>2200</v>
      </c>
      <c r="G3042" s="8" t="s">
        <v>2201</v>
      </c>
      <c r="H3042" s="8" t="s">
        <v>2853</v>
      </c>
    </row>
    <row r="3043" customFormat="false" ht="15" hidden="false" customHeight="false" outlineLevel="0" collapsed="false">
      <c r="A3043" s="7" t="n">
        <v>46160</v>
      </c>
      <c r="B3043" s="7" t="n">
        <v>46223</v>
      </c>
      <c r="C3043" s="8" t="n">
        <v>6772</v>
      </c>
      <c r="D3043" s="8" t="n">
        <v>200</v>
      </c>
      <c r="E3043" s="8" t="n">
        <v>1445</v>
      </c>
      <c r="F3043" s="8" t="s">
        <v>2200</v>
      </c>
      <c r="G3043" s="8" t="s">
        <v>2201</v>
      </c>
      <c r="H3043" s="8" t="s">
        <v>2853</v>
      </c>
    </row>
    <row r="3044" customFormat="false" ht="15" hidden="false" customHeight="false" outlineLevel="0" collapsed="false">
      <c r="A3044" s="7" t="n">
        <v>46160</v>
      </c>
      <c r="B3044" s="7" t="n">
        <v>46254</v>
      </c>
      <c r="C3044" s="8" t="n">
        <v>6922</v>
      </c>
      <c r="D3044" s="8" t="n">
        <v>0</v>
      </c>
      <c r="E3044" s="8" t="n">
        <v>0</v>
      </c>
      <c r="F3044" s="8" t="s">
        <v>2200</v>
      </c>
      <c r="G3044" s="8" t="s">
        <v>2201</v>
      </c>
      <c r="H3044" s="8" t="s">
        <v>2853</v>
      </c>
    </row>
    <row r="3045" customFormat="false" ht="15" hidden="false" customHeight="false" outlineLevel="0" collapsed="false">
      <c r="A3045" s="7" t="n">
        <v>46160</v>
      </c>
      <c r="B3045" s="7" t="n">
        <v>46283</v>
      </c>
      <c r="C3045" s="8" t="n">
        <v>7072</v>
      </c>
      <c r="D3045" s="8" t="n">
        <v>0</v>
      </c>
      <c r="E3045" s="8" t="n">
        <v>0</v>
      </c>
      <c r="F3045" s="8" t="s">
        <v>2200</v>
      </c>
      <c r="G3045" s="8" t="s">
        <v>2201</v>
      </c>
      <c r="H3045" s="8" t="s">
        <v>2853</v>
      </c>
    </row>
    <row r="3046" customFormat="false" ht="15" hidden="false" customHeight="false" outlineLevel="0" collapsed="false">
      <c r="A3046" s="7" t="n">
        <v>46161</v>
      </c>
      <c r="B3046" s="7" t="n">
        <v>46162</v>
      </c>
      <c r="C3046" s="8" t="n">
        <v>6500</v>
      </c>
      <c r="D3046" s="8" t="n">
        <v>175</v>
      </c>
      <c r="E3046" s="8" t="n">
        <v>275</v>
      </c>
      <c r="F3046" s="8" t="s">
        <v>2200</v>
      </c>
      <c r="G3046" s="8" t="s">
        <v>2201</v>
      </c>
      <c r="H3046" s="8" t="s">
        <v>2854</v>
      </c>
    </row>
    <row r="3047" customFormat="false" ht="15" hidden="false" customHeight="false" outlineLevel="0" collapsed="false">
      <c r="A3047" s="7" t="n">
        <v>46161</v>
      </c>
      <c r="B3047" s="7" t="n">
        <v>46192</v>
      </c>
      <c r="C3047" s="8" t="n">
        <v>6628</v>
      </c>
      <c r="D3047" s="8" t="n">
        <v>5035</v>
      </c>
      <c r="E3047" s="8" t="n">
        <v>30125</v>
      </c>
      <c r="F3047" s="8" t="s">
        <v>2200</v>
      </c>
      <c r="G3047" s="8" t="s">
        <v>2201</v>
      </c>
      <c r="H3047" s="8" t="s">
        <v>2854</v>
      </c>
    </row>
    <row r="3048" customFormat="false" ht="15" hidden="false" customHeight="false" outlineLevel="0" collapsed="false">
      <c r="A3048" s="7" t="n">
        <v>46161</v>
      </c>
      <c r="B3048" s="7" t="n">
        <v>46223</v>
      </c>
      <c r="C3048" s="8" t="n">
        <v>6700</v>
      </c>
      <c r="D3048" s="8" t="n">
        <v>5</v>
      </c>
      <c r="E3048" s="8" t="n">
        <v>1450</v>
      </c>
      <c r="F3048" s="8" t="s">
        <v>2200</v>
      </c>
      <c r="G3048" s="8" t="s">
        <v>2201</v>
      </c>
      <c r="H3048" s="8" t="s">
        <v>2854</v>
      </c>
    </row>
    <row r="3049" customFormat="false" ht="15" hidden="false" customHeight="false" outlineLevel="0" collapsed="false">
      <c r="A3049" s="7" t="n">
        <v>46161</v>
      </c>
      <c r="B3049" s="7" t="n">
        <v>46254</v>
      </c>
      <c r="C3049" s="8" t="n">
        <v>6828</v>
      </c>
      <c r="D3049" s="8" t="n">
        <v>0</v>
      </c>
      <c r="E3049" s="8" t="n">
        <v>0</v>
      </c>
      <c r="F3049" s="8" t="s">
        <v>2200</v>
      </c>
      <c r="G3049" s="8" t="s">
        <v>2201</v>
      </c>
      <c r="H3049" s="8" t="s">
        <v>2854</v>
      </c>
    </row>
    <row r="3050" customFormat="false" ht="15" hidden="false" customHeight="false" outlineLevel="0" collapsed="false">
      <c r="A3050" s="7" t="n">
        <v>46161</v>
      </c>
      <c r="B3050" s="7" t="n">
        <v>46283</v>
      </c>
      <c r="C3050" s="8" t="n">
        <v>6956</v>
      </c>
      <c r="D3050" s="8" t="n">
        <v>0</v>
      </c>
      <c r="E3050" s="8" t="n">
        <v>0</v>
      </c>
      <c r="F3050" s="8" t="s">
        <v>2200</v>
      </c>
      <c r="G3050" s="8" t="s">
        <v>2201</v>
      </c>
      <c r="H3050" s="8" t="s">
        <v>2854</v>
      </c>
    </row>
    <row r="3051" customFormat="false" ht="15" hidden="false" customHeight="false" outlineLevel="0" collapsed="false">
      <c r="A3051" s="7" t="n">
        <v>46162</v>
      </c>
      <c r="B3051" s="7" t="n">
        <v>46162</v>
      </c>
      <c r="C3051" s="8" t="n">
        <v>6410</v>
      </c>
      <c r="D3051" s="8" t="n">
        <v>110</v>
      </c>
      <c r="E3051" s="8" t="n">
        <v>105</v>
      </c>
      <c r="F3051" s="8" t="s">
        <v>2200</v>
      </c>
      <c r="G3051" s="8" t="s">
        <v>2201</v>
      </c>
      <c r="H3051" s="8" t="s">
        <v>2855</v>
      </c>
    </row>
    <row r="3052" customFormat="false" ht="15" hidden="false" customHeight="false" outlineLevel="0" collapsed="false">
      <c r="A3052" s="7" t="n">
        <v>46162</v>
      </c>
      <c r="B3052" s="7" t="n">
        <v>46192</v>
      </c>
      <c r="C3052" s="8" t="n">
        <v>6654</v>
      </c>
      <c r="D3052" s="8" t="n">
        <v>7140</v>
      </c>
      <c r="E3052" s="8" t="n">
        <v>29700</v>
      </c>
      <c r="F3052" s="8" t="s">
        <v>2200</v>
      </c>
      <c r="G3052" s="8" t="s">
        <v>2201</v>
      </c>
      <c r="H3052" s="8" t="s">
        <v>2855</v>
      </c>
    </row>
    <row r="3053" customFormat="false" ht="15" hidden="false" customHeight="false" outlineLevel="0" collapsed="false">
      <c r="A3053" s="7" t="n">
        <v>46162</v>
      </c>
      <c r="B3053" s="7" t="n">
        <v>46223</v>
      </c>
      <c r="C3053" s="8" t="n">
        <v>6750</v>
      </c>
      <c r="D3053" s="8" t="n">
        <v>2405</v>
      </c>
      <c r="E3053" s="8" t="n">
        <v>3380</v>
      </c>
      <c r="F3053" s="8" t="s">
        <v>2200</v>
      </c>
      <c r="G3053" s="8" t="s">
        <v>2201</v>
      </c>
      <c r="H3053" s="8" t="s">
        <v>2855</v>
      </c>
    </row>
    <row r="3054" customFormat="false" ht="15" hidden="false" customHeight="false" outlineLevel="0" collapsed="false">
      <c r="A3054" s="7" t="n">
        <v>46162</v>
      </c>
      <c r="B3054" s="7" t="n">
        <v>46254</v>
      </c>
      <c r="C3054" s="8" t="n">
        <v>6846</v>
      </c>
      <c r="D3054" s="8" t="n">
        <v>0</v>
      </c>
      <c r="E3054" s="8" t="n">
        <v>0</v>
      </c>
      <c r="F3054" s="8" t="s">
        <v>2200</v>
      </c>
      <c r="G3054" s="8" t="s">
        <v>2201</v>
      </c>
      <c r="H3054" s="8" t="s">
        <v>2855</v>
      </c>
    </row>
    <row r="3055" customFormat="false" ht="15" hidden="false" customHeight="false" outlineLevel="0" collapsed="false">
      <c r="A3055" s="7" t="n">
        <v>46162</v>
      </c>
      <c r="B3055" s="7" t="n">
        <v>46283</v>
      </c>
      <c r="C3055" s="8" t="n">
        <v>6942</v>
      </c>
      <c r="D3055" s="8" t="n">
        <v>0</v>
      </c>
      <c r="E3055" s="8" t="n">
        <v>0</v>
      </c>
      <c r="F3055" s="8" t="s">
        <v>2200</v>
      </c>
      <c r="G3055" s="8" t="s">
        <v>2201</v>
      </c>
      <c r="H3055" s="8" t="s">
        <v>2855</v>
      </c>
    </row>
    <row r="3056" customFormat="false" ht="15" hidden="false" customHeight="false" outlineLevel="0" collapsed="false">
      <c r="A3056" s="7" t="n">
        <v>46163</v>
      </c>
      <c r="B3056" s="7" t="n">
        <v>46192</v>
      </c>
      <c r="C3056" s="8" t="n">
        <v>6655</v>
      </c>
      <c r="D3056" s="8" t="n">
        <v>5815</v>
      </c>
      <c r="E3056" s="8" t="n">
        <v>28850</v>
      </c>
      <c r="F3056" s="8" t="s">
        <v>2200</v>
      </c>
      <c r="G3056" s="8" t="s">
        <v>2201</v>
      </c>
      <c r="H3056" s="8" t="s">
        <v>2856</v>
      </c>
    </row>
    <row r="3057" customFormat="false" ht="15" hidden="false" customHeight="false" outlineLevel="0" collapsed="false">
      <c r="A3057" s="7" t="n">
        <v>46163</v>
      </c>
      <c r="B3057" s="7" t="n">
        <v>46223</v>
      </c>
      <c r="C3057" s="8" t="n">
        <v>6751</v>
      </c>
      <c r="D3057" s="8" t="n">
        <v>1870</v>
      </c>
      <c r="E3057" s="8" t="n">
        <v>4640</v>
      </c>
      <c r="F3057" s="8" t="s">
        <v>2200</v>
      </c>
      <c r="G3057" s="8" t="s">
        <v>2201</v>
      </c>
      <c r="H3057" s="8" t="s">
        <v>2856</v>
      </c>
    </row>
    <row r="3058" customFormat="false" ht="15" hidden="false" customHeight="false" outlineLevel="0" collapsed="false">
      <c r="A3058" s="7" t="n">
        <v>46163</v>
      </c>
      <c r="B3058" s="7" t="n">
        <v>46254</v>
      </c>
      <c r="C3058" s="8" t="n">
        <v>6847</v>
      </c>
      <c r="D3058" s="8" t="n">
        <v>0</v>
      </c>
      <c r="E3058" s="8" t="n">
        <v>0</v>
      </c>
      <c r="F3058" s="8" t="s">
        <v>2200</v>
      </c>
      <c r="G3058" s="8" t="s">
        <v>2201</v>
      </c>
      <c r="H3058" s="8" t="s">
        <v>2856</v>
      </c>
    </row>
    <row r="3059" customFormat="false" ht="15" hidden="false" customHeight="false" outlineLevel="0" collapsed="false">
      <c r="A3059" s="7" t="n">
        <v>46163</v>
      </c>
      <c r="B3059" s="7" t="n">
        <v>46283</v>
      </c>
      <c r="C3059" s="8" t="n">
        <v>6943</v>
      </c>
      <c r="D3059" s="8" t="n">
        <v>0</v>
      </c>
      <c r="E3059" s="8" t="n">
        <v>0</v>
      </c>
      <c r="F3059" s="8" t="s">
        <v>2200</v>
      </c>
      <c r="G3059" s="8" t="s">
        <v>2201</v>
      </c>
      <c r="H3059" s="8" t="s">
        <v>2856</v>
      </c>
    </row>
    <row r="3060" customFormat="false" ht="15" hidden="false" customHeight="false" outlineLevel="0" collapsed="false">
      <c r="A3060" s="7" t="n">
        <v>46164</v>
      </c>
      <c r="B3060" s="7" t="n">
        <v>46192</v>
      </c>
      <c r="C3060" s="8" t="n">
        <v>6593</v>
      </c>
      <c r="D3060" s="8" t="n">
        <v>5545</v>
      </c>
      <c r="E3060" s="8" t="n">
        <v>28065</v>
      </c>
      <c r="F3060" s="8" t="s">
        <v>2200</v>
      </c>
      <c r="G3060" s="8" t="s">
        <v>2201</v>
      </c>
      <c r="H3060" s="8" t="s">
        <v>2857</v>
      </c>
    </row>
    <row r="3061" customFormat="false" ht="15" hidden="false" customHeight="false" outlineLevel="0" collapsed="false">
      <c r="A3061" s="7" t="n">
        <v>46164</v>
      </c>
      <c r="B3061" s="7" t="n">
        <v>46223</v>
      </c>
      <c r="C3061" s="8" t="n">
        <v>6697</v>
      </c>
      <c r="D3061" s="8" t="n">
        <v>1655</v>
      </c>
      <c r="E3061" s="8" t="n">
        <v>5335</v>
      </c>
      <c r="F3061" s="8" t="s">
        <v>2200</v>
      </c>
      <c r="G3061" s="8" t="s">
        <v>2201</v>
      </c>
      <c r="H3061" s="8" t="s">
        <v>2857</v>
      </c>
    </row>
    <row r="3062" customFormat="false" ht="15" hidden="false" customHeight="false" outlineLevel="0" collapsed="false">
      <c r="A3062" s="7" t="n">
        <v>46164</v>
      </c>
      <c r="B3062" s="7" t="n">
        <v>46254</v>
      </c>
      <c r="C3062" s="8" t="n">
        <v>6801</v>
      </c>
      <c r="D3062" s="8" t="n">
        <v>0</v>
      </c>
      <c r="E3062" s="8" t="n">
        <v>0</v>
      </c>
      <c r="F3062" s="8" t="s">
        <v>2200</v>
      </c>
      <c r="G3062" s="8" t="s">
        <v>2201</v>
      </c>
      <c r="H3062" s="8" t="s">
        <v>2857</v>
      </c>
    </row>
    <row r="3063" customFormat="false" ht="15" hidden="false" customHeight="false" outlineLevel="0" collapsed="false">
      <c r="A3063" s="7" t="n">
        <v>46164</v>
      </c>
      <c r="B3063" s="7" t="n">
        <v>46283</v>
      </c>
      <c r="C3063" s="8" t="n">
        <v>6905</v>
      </c>
      <c r="D3063" s="8" t="n">
        <v>0</v>
      </c>
      <c r="E3063" s="8" t="n">
        <v>0</v>
      </c>
      <c r="F3063" s="8" t="s">
        <v>2200</v>
      </c>
      <c r="G3063" s="8" t="s">
        <v>2201</v>
      </c>
      <c r="H3063" s="8" t="s">
        <v>2857</v>
      </c>
    </row>
    <row r="3064" customFormat="false" ht="15" hidden="false" customHeight="false" outlineLevel="0" collapsed="false">
      <c r="A3064" s="7" t="n">
        <v>46167</v>
      </c>
      <c r="B3064" s="7" t="n">
        <v>46192</v>
      </c>
      <c r="C3064" s="8" t="n">
        <v>6623</v>
      </c>
      <c r="D3064" s="8" t="n">
        <v>4960</v>
      </c>
      <c r="E3064" s="8" t="n">
        <v>26550</v>
      </c>
      <c r="F3064" s="8" t="s">
        <v>2200</v>
      </c>
      <c r="G3064" s="8" t="s">
        <v>2201</v>
      </c>
      <c r="H3064" s="8" t="s">
        <v>2858</v>
      </c>
    </row>
    <row r="3065" customFormat="false" ht="15" hidden="false" customHeight="false" outlineLevel="0" collapsed="false">
      <c r="A3065" s="7" t="n">
        <v>46167</v>
      </c>
      <c r="B3065" s="7" t="n">
        <v>46223</v>
      </c>
      <c r="C3065" s="8" t="n">
        <v>6710</v>
      </c>
      <c r="D3065" s="8" t="n">
        <v>2830</v>
      </c>
      <c r="E3065" s="8" t="n">
        <v>7300</v>
      </c>
      <c r="F3065" s="8" t="s">
        <v>2200</v>
      </c>
      <c r="G3065" s="8" t="s">
        <v>2201</v>
      </c>
      <c r="H3065" s="8" t="s">
        <v>2858</v>
      </c>
    </row>
    <row r="3066" customFormat="false" ht="15" hidden="false" customHeight="false" outlineLevel="0" collapsed="false">
      <c r="A3066" s="7" t="n">
        <v>46167</v>
      </c>
      <c r="B3066" s="7" t="n">
        <v>46254</v>
      </c>
      <c r="C3066" s="8" t="n">
        <v>6797</v>
      </c>
      <c r="D3066" s="8" t="n">
        <v>0</v>
      </c>
      <c r="E3066" s="8" t="n">
        <v>0</v>
      </c>
      <c r="F3066" s="8" t="s">
        <v>2200</v>
      </c>
      <c r="G3066" s="8" t="s">
        <v>2201</v>
      </c>
      <c r="H3066" s="8" t="s">
        <v>2858</v>
      </c>
    </row>
    <row r="3067" customFormat="false" ht="15" hidden="false" customHeight="false" outlineLevel="0" collapsed="false">
      <c r="A3067" s="7" t="n">
        <v>46167</v>
      </c>
      <c r="B3067" s="7" t="n">
        <v>46283</v>
      </c>
      <c r="C3067" s="8" t="n">
        <v>6884</v>
      </c>
      <c r="D3067" s="8" t="n">
        <v>0</v>
      </c>
      <c r="E3067" s="8" t="n">
        <v>0</v>
      </c>
      <c r="F3067" s="8" t="s">
        <v>2200</v>
      </c>
      <c r="G3067" s="8" t="s">
        <v>2201</v>
      </c>
      <c r="H3067" s="8" t="s">
        <v>2858</v>
      </c>
    </row>
    <row r="3068" customFormat="false" ht="15" hidden="false" customHeight="false" outlineLevel="0" collapsed="false">
      <c r="A3068" s="7" t="n">
        <v>46168</v>
      </c>
      <c r="B3068" s="7" t="n">
        <v>46192</v>
      </c>
      <c r="C3068" s="8" t="n">
        <v>6587</v>
      </c>
      <c r="D3068" s="8" t="n">
        <v>4895</v>
      </c>
      <c r="E3068" s="8" t="n">
        <v>25470</v>
      </c>
      <c r="F3068" s="8" t="s">
        <v>2200</v>
      </c>
      <c r="G3068" s="8" t="s">
        <v>2201</v>
      </c>
      <c r="H3068" s="8" t="s">
        <v>2859</v>
      </c>
    </row>
    <row r="3069" customFormat="false" ht="15" hidden="false" customHeight="false" outlineLevel="0" collapsed="false">
      <c r="A3069" s="7" t="n">
        <v>46168</v>
      </c>
      <c r="B3069" s="7" t="n">
        <v>46223</v>
      </c>
      <c r="C3069" s="8" t="n">
        <v>6680</v>
      </c>
      <c r="D3069" s="8" t="n">
        <v>2265</v>
      </c>
      <c r="E3069" s="8" t="n">
        <v>8625</v>
      </c>
      <c r="F3069" s="8" t="s">
        <v>2200</v>
      </c>
      <c r="G3069" s="8" t="s">
        <v>2201</v>
      </c>
      <c r="H3069" s="8" t="s">
        <v>2859</v>
      </c>
    </row>
    <row r="3070" customFormat="false" ht="15" hidden="false" customHeight="false" outlineLevel="0" collapsed="false">
      <c r="A3070" s="7" t="n">
        <v>46168</v>
      </c>
      <c r="B3070" s="7" t="n">
        <v>46254</v>
      </c>
      <c r="C3070" s="8" t="n">
        <v>6773</v>
      </c>
      <c r="D3070" s="8" t="n">
        <v>0</v>
      </c>
      <c r="E3070" s="8" t="n">
        <v>0</v>
      </c>
      <c r="F3070" s="8" t="s">
        <v>2200</v>
      </c>
      <c r="G3070" s="8" t="s">
        <v>2201</v>
      </c>
      <c r="H3070" s="8" t="s">
        <v>2859</v>
      </c>
    </row>
    <row r="3071" customFormat="false" ht="15" hidden="false" customHeight="false" outlineLevel="0" collapsed="false">
      <c r="A3071" s="7" t="n">
        <v>46168</v>
      </c>
      <c r="B3071" s="7" t="n">
        <v>46283</v>
      </c>
      <c r="C3071" s="8" t="n">
        <v>6866</v>
      </c>
      <c r="D3071" s="8" t="n">
        <v>0</v>
      </c>
      <c r="E3071" s="8" t="n">
        <v>0</v>
      </c>
      <c r="F3071" s="8" t="s">
        <v>2200</v>
      </c>
      <c r="G3071" s="8" t="s">
        <v>2201</v>
      </c>
      <c r="H3071" s="8" t="s">
        <v>2859</v>
      </c>
    </row>
    <row r="3072" customFormat="false" ht="15" hidden="false" customHeight="false" outlineLevel="0" collapsed="false">
      <c r="A3072" s="7" t="n">
        <v>46169</v>
      </c>
      <c r="B3072" s="7" t="n">
        <v>46192</v>
      </c>
      <c r="C3072" s="8" t="n">
        <v>6574</v>
      </c>
      <c r="D3072" s="8" t="n">
        <v>3045</v>
      </c>
      <c r="E3072" s="8" t="n">
        <v>24715</v>
      </c>
      <c r="F3072" s="8" t="s">
        <v>2200</v>
      </c>
      <c r="G3072" s="8" t="s">
        <v>2201</v>
      </c>
      <c r="H3072" s="8" t="s">
        <v>2860</v>
      </c>
    </row>
    <row r="3073" customFormat="false" ht="15" hidden="false" customHeight="false" outlineLevel="0" collapsed="false">
      <c r="A3073" s="7" t="n">
        <v>46169</v>
      </c>
      <c r="B3073" s="7" t="n">
        <v>46223</v>
      </c>
      <c r="C3073" s="8" t="n">
        <v>6675</v>
      </c>
      <c r="D3073" s="8" t="n">
        <v>1245</v>
      </c>
      <c r="E3073" s="8" t="n">
        <v>9230</v>
      </c>
      <c r="F3073" s="8" t="s">
        <v>2200</v>
      </c>
      <c r="G3073" s="8" t="s">
        <v>2201</v>
      </c>
      <c r="H3073" s="8" t="s">
        <v>2860</v>
      </c>
    </row>
    <row r="3074" customFormat="false" ht="15" hidden="false" customHeight="false" outlineLevel="0" collapsed="false">
      <c r="A3074" s="7" t="n">
        <v>46169</v>
      </c>
      <c r="B3074" s="7" t="n">
        <v>46254</v>
      </c>
      <c r="C3074" s="8" t="n">
        <v>6776</v>
      </c>
      <c r="D3074" s="8" t="n">
        <v>0</v>
      </c>
      <c r="E3074" s="8" t="n">
        <v>0</v>
      </c>
      <c r="F3074" s="8" t="s">
        <v>2200</v>
      </c>
      <c r="G3074" s="8" t="s">
        <v>2201</v>
      </c>
      <c r="H3074" s="8" t="s">
        <v>2860</v>
      </c>
    </row>
    <row r="3075" customFormat="false" ht="15" hidden="false" customHeight="false" outlineLevel="0" collapsed="false">
      <c r="A3075" s="7" t="n">
        <v>46169</v>
      </c>
      <c r="B3075" s="7" t="n">
        <v>46283</v>
      </c>
      <c r="C3075" s="8" t="n">
        <v>6877</v>
      </c>
      <c r="D3075" s="8" t="n">
        <v>0</v>
      </c>
      <c r="E3075" s="8" t="n">
        <v>0</v>
      </c>
      <c r="F3075" s="8" t="s">
        <v>2200</v>
      </c>
      <c r="G3075" s="8" t="s">
        <v>2201</v>
      </c>
      <c r="H3075" s="8" t="s">
        <v>2860</v>
      </c>
    </row>
    <row r="3076" customFormat="false" ht="15" hidden="false" customHeight="false" outlineLevel="0" collapsed="false">
      <c r="A3076" s="7" t="n">
        <v>46171</v>
      </c>
      <c r="B3076" s="7" t="n">
        <v>46192</v>
      </c>
      <c r="C3076" s="8" t="n">
        <v>6562</v>
      </c>
      <c r="D3076" s="8" t="n">
        <v>1965</v>
      </c>
      <c r="E3076" s="8" t="n">
        <v>24710</v>
      </c>
      <c r="F3076" s="8" t="s">
        <v>2200</v>
      </c>
      <c r="G3076" s="8" t="s">
        <v>2201</v>
      </c>
      <c r="H3076" s="8" t="s">
        <v>2861</v>
      </c>
    </row>
    <row r="3077" customFormat="false" ht="15" hidden="false" customHeight="false" outlineLevel="0" collapsed="false">
      <c r="A3077" s="7" t="n">
        <v>46171</v>
      </c>
      <c r="B3077" s="7" t="n">
        <v>46223</v>
      </c>
      <c r="C3077" s="8" t="n">
        <v>6664</v>
      </c>
      <c r="D3077" s="8" t="n">
        <v>1175</v>
      </c>
      <c r="E3077" s="8" t="n">
        <v>9200</v>
      </c>
      <c r="F3077" s="8" t="s">
        <v>2200</v>
      </c>
      <c r="G3077" s="8" t="s">
        <v>2201</v>
      </c>
      <c r="H3077" s="8" t="s">
        <v>2861</v>
      </c>
    </row>
    <row r="3078" customFormat="false" ht="15" hidden="false" customHeight="false" outlineLevel="0" collapsed="false">
      <c r="A3078" s="7" t="n">
        <v>46171</v>
      </c>
      <c r="B3078" s="7" t="n">
        <v>46254</v>
      </c>
      <c r="C3078" s="8" t="n">
        <v>6766</v>
      </c>
      <c r="D3078" s="8" t="n">
        <v>0</v>
      </c>
      <c r="E3078" s="8" t="n">
        <v>0</v>
      </c>
      <c r="F3078" s="8" t="s">
        <v>2200</v>
      </c>
      <c r="G3078" s="8" t="s">
        <v>2201</v>
      </c>
      <c r="H3078" s="8" t="s">
        <v>2861</v>
      </c>
    </row>
    <row r="3079" customFormat="false" ht="15" hidden="false" customHeight="false" outlineLevel="0" collapsed="false">
      <c r="A3079" s="7" t="n">
        <v>46171</v>
      </c>
      <c r="B3079" s="7" t="n">
        <v>46283</v>
      </c>
      <c r="C3079" s="8" t="n">
        <v>6868</v>
      </c>
      <c r="D3079" s="8" t="n">
        <v>0</v>
      </c>
      <c r="E3079" s="8" t="n">
        <v>0</v>
      </c>
      <c r="F3079" s="8" t="s">
        <v>2200</v>
      </c>
      <c r="G3079" s="8" t="s">
        <v>2201</v>
      </c>
      <c r="H3079" s="8" t="s">
        <v>2861</v>
      </c>
    </row>
    <row r="3080" customFormat="false" ht="15" hidden="false" customHeight="false" outlineLevel="0" collapsed="false">
      <c r="A3080" s="7" t="n">
        <v>46174</v>
      </c>
      <c r="B3080" s="7" t="n">
        <v>46192</v>
      </c>
      <c r="C3080" s="8" t="n">
        <v>6548</v>
      </c>
      <c r="D3080" s="8" t="n">
        <v>2680</v>
      </c>
      <c r="E3080" s="8" t="n">
        <v>24000</v>
      </c>
      <c r="F3080" s="8" t="s">
        <v>2200</v>
      </c>
      <c r="G3080" s="8" t="s">
        <v>2201</v>
      </c>
      <c r="H3080" s="8" t="s">
        <v>2862</v>
      </c>
    </row>
    <row r="3081" customFormat="false" ht="15" hidden="false" customHeight="false" outlineLevel="0" collapsed="false">
      <c r="A3081" s="7" t="n">
        <v>46174</v>
      </c>
      <c r="B3081" s="7" t="n">
        <v>46223</v>
      </c>
      <c r="C3081" s="8" t="n">
        <v>6642</v>
      </c>
      <c r="D3081" s="8" t="n">
        <v>970</v>
      </c>
      <c r="E3081" s="8" t="n">
        <v>9595</v>
      </c>
      <c r="F3081" s="8" t="s">
        <v>2200</v>
      </c>
      <c r="G3081" s="8" t="s">
        <v>2201</v>
      </c>
      <c r="H3081" s="8" t="s">
        <v>2862</v>
      </c>
    </row>
    <row r="3082" customFormat="false" ht="15" hidden="false" customHeight="false" outlineLevel="0" collapsed="false">
      <c r="A3082" s="7" t="n">
        <v>46174</v>
      </c>
      <c r="B3082" s="7" t="n">
        <v>46254</v>
      </c>
      <c r="C3082" s="8" t="n">
        <v>6736</v>
      </c>
      <c r="D3082" s="8" t="n">
        <v>0</v>
      </c>
      <c r="E3082" s="8" t="n">
        <v>0</v>
      </c>
      <c r="F3082" s="8" t="s">
        <v>2200</v>
      </c>
      <c r="G3082" s="8" t="s">
        <v>2201</v>
      </c>
      <c r="H3082" s="8" t="s">
        <v>2862</v>
      </c>
    </row>
    <row r="3083" customFormat="false" ht="15" hidden="false" customHeight="false" outlineLevel="0" collapsed="false">
      <c r="A3083" s="7" t="n">
        <v>46174</v>
      </c>
      <c r="B3083" s="7" t="n">
        <v>46283</v>
      </c>
      <c r="C3083" s="8" t="n">
        <v>6830</v>
      </c>
      <c r="D3083" s="8" t="n">
        <v>0</v>
      </c>
      <c r="E3083" s="8" t="n">
        <v>0</v>
      </c>
      <c r="F3083" s="8" t="s">
        <v>2200</v>
      </c>
      <c r="G3083" s="8" t="s">
        <v>2201</v>
      </c>
      <c r="H3083" s="8" t="s">
        <v>2862</v>
      </c>
    </row>
    <row r="3084" customFormat="false" ht="15" hidden="false" customHeight="false" outlineLevel="0" collapsed="false">
      <c r="A3084" s="7" t="n">
        <v>46174</v>
      </c>
      <c r="B3084" s="7" t="n">
        <v>46311</v>
      </c>
      <c r="C3084" s="8" t="n">
        <v>6924</v>
      </c>
      <c r="D3084" s="8" t="n">
        <v>0</v>
      </c>
      <c r="E3084" s="8" t="n">
        <v>0</v>
      </c>
      <c r="F3084" s="8" t="s">
        <v>2200</v>
      </c>
      <c r="G3084" s="8" t="s">
        <v>2201</v>
      </c>
      <c r="H3084" s="8" t="s">
        <v>2862</v>
      </c>
    </row>
    <row r="3085" customFormat="false" ht="15" hidden="false" customHeight="false" outlineLevel="0" collapsed="false">
      <c r="A3085" s="7" t="n">
        <v>46175</v>
      </c>
      <c r="B3085" s="7" t="n">
        <v>46192</v>
      </c>
      <c r="C3085" s="8" t="n">
        <v>6534</v>
      </c>
      <c r="D3085" s="8" t="n">
        <v>1380</v>
      </c>
      <c r="E3085" s="8" t="n">
        <v>23505</v>
      </c>
      <c r="F3085" s="8" t="s">
        <v>2200</v>
      </c>
      <c r="G3085" s="8" t="s">
        <v>2201</v>
      </c>
      <c r="H3085" s="8" t="s">
        <v>2863</v>
      </c>
    </row>
    <row r="3086" customFormat="false" ht="15" hidden="false" customHeight="false" outlineLevel="0" collapsed="false">
      <c r="A3086" s="7" t="n">
        <v>46175</v>
      </c>
      <c r="B3086" s="7" t="n">
        <v>46223</v>
      </c>
      <c r="C3086" s="8" t="n">
        <v>6628</v>
      </c>
      <c r="D3086" s="8" t="n">
        <v>890</v>
      </c>
      <c r="E3086" s="8" t="n">
        <v>10150</v>
      </c>
      <c r="F3086" s="8" t="s">
        <v>2200</v>
      </c>
      <c r="G3086" s="8" t="s">
        <v>2201</v>
      </c>
      <c r="H3086" s="8" t="s">
        <v>2863</v>
      </c>
    </row>
    <row r="3087" customFormat="false" ht="15" hidden="false" customHeight="false" outlineLevel="0" collapsed="false">
      <c r="A3087" s="7" t="n">
        <v>46175</v>
      </c>
      <c r="B3087" s="7" t="n">
        <v>46254</v>
      </c>
      <c r="C3087" s="8" t="n">
        <v>6722</v>
      </c>
      <c r="D3087" s="8" t="n">
        <v>0</v>
      </c>
      <c r="E3087" s="8" t="n">
        <v>0</v>
      </c>
      <c r="F3087" s="8" t="s">
        <v>2200</v>
      </c>
      <c r="G3087" s="8" t="s">
        <v>2201</v>
      </c>
      <c r="H3087" s="8" t="s">
        <v>2863</v>
      </c>
    </row>
    <row r="3088" customFormat="false" ht="15" hidden="false" customHeight="false" outlineLevel="0" collapsed="false">
      <c r="A3088" s="7" t="n">
        <v>46175</v>
      </c>
      <c r="B3088" s="7" t="n">
        <v>46283</v>
      </c>
      <c r="C3088" s="8" t="n">
        <v>6816</v>
      </c>
      <c r="D3088" s="8" t="n">
        <v>0</v>
      </c>
      <c r="E3088" s="8" t="n">
        <v>0</v>
      </c>
      <c r="F3088" s="8" t="s">
        <v>2200</v>
      </c>
      <c r="G3088" s="8" t="s">
        <v>2201</v>
      </c>
      <c r="H3088" s="8" t="s">
        <v>2863</v>
      </c>
    </row>
    <row r="3089" customFormat="false" ht="15" hidden="false" customHeight="false" outlineLevel="0" collapsed="false">
      <c r="A3089" s="7" t="n">
        <v>46175</v>
      </c>
      <c r="B3089" s="7" t="n">
        <v>46311</v>
      </c>
      <c r="C3089" s="8" t="n">
        <v>6910</v>
      </c>
      <c r="D3089" s="8" t="n">
        <v>0</v>
      </c>
      <c r="E3089" s="8" t="n">
        <v>0</v>
      </c>
      <c r="F3089" s="8" t="s">
        <v>2200</v>
      </c>
      <c r="G3089" s="8" t="s">
        <v>2201</v>
      </c>
      <c r="H3089" s="8" t="s">
        <v>2863</v>
      </c>
    </row>
    <row r="3090" customFormat="false" ht="15" hidden="false" customHeight="false" outlineLevel="0" collapsed="false">
      <c r="A3090" s="7" t="n">
        <v>46176</v>
      </c>
      <c r="B3090" s="7" t="n">
        <v>46192</v>
      </c>
      <c r="C3090" s="8" t="n">
        <v>6578</v>
      </c>
      <c r="D3090" s="8" t="n">
        <v>5055</v>
      </c>
      <c r="E3090" s="8" t="n">
        <v>21025</v>
      </c>
      <c r="F3090" s="8" t="s">
        <v>2200</v>
      </c>
      <c r="G3090" s="8" t="s">
        <v>2201</v>
      </c>
      <c r="H3090" s="8" t="s">
        <v>2864</v>
      </c>
    </row>
    <row r="3091" customFormat="false" ht="15" hidden="false" customHeight="false" outlineLevel="0" collapsed="false">
      <c r="A3091" s="7" t="n">
        <v>46176</v>
      </c>
      <c r="B3091" s="7" t="n">
        <v>46223</v>
      </c>
      <c r="C3091" s="8" t="n">
        <v>6684</v>
      </c>
      <c r="D3091" s="8" t="n">
        <v>4700</v>
      </c>
      <c r="E3091" s="8" t="n">
        <v>12585</v>
      </c>
      <c r="F3091" s="8" t="s">
        <v>2200</v>
      </c>
      <c r="G3091" s="8" t="s">
        <v>2201</v>
      </c>
      <c r="H3091" s="8" t="s">
        <v>2864</v>
      </c>
    </row>
    <row r="3092" customFormat="false" ht="15" hidden="false" customHeight="false" outlineLevel="0" collapsed="false">
      <c r="A3092" s="7" t="n">
        <v>46176</v>
      </c>
      <c r="B3092" s="7" t="n">
        <v>46254</v>
      </c>
      <c r="C3092" s="8" t="n">
        <v>6790</v>
      </c>
      <c r="D3092" s="8" t="n">
        <v>0</v>
      </c>
      <c r="E3092" s="8" t="n">
        <v>0</v>
      </c>
      <c r="F3092" s="8" t="s">
        <v>2200</v>
      </c>
      <c r="G3092" s="8" t="s">
        <v>2201</v>
      </c>
      <c r="H3092" s="8" t="s">
        <v>2864</v>
      </c>
    </row>
    <row r="3093" customFormat="false" ht="15" hidden="false" customHeight="false" outlineLevel="0" collapsed="false">
      <c r="A3093" s="7" t="n">
        <v>46176</v>
      </c>
      <c r="B3093" s="7" t="n">
        <v>46283</v>
      </c>
      <c r="C3093" s="8" t="n">
        <v>6896</v>
      </c>
      <c r="D3093" s="8" t="n">
        <v>0</v>
      </c>
      <c r="E3093" s="8" t="n">
        <v>0</v>
      </c>
      <c r="F3093" s="8" t="s">
        <v>2200</v>
      </c>
      <c r="G3093" s="8" t="s">
        <v>2201</v>
      </c>
      <c r="H3093" s="8" t="s">
        <v>2864</v>
      </c>
    </row>
    <row r="3094" customFormat="false" ht="15" hidden="false" customHeight="false" outlineLevel="0" collapsed="false">
      <c r="A3094" s="7" t="n">
        <v>46176</v>
      </c>
      <c r="B3094" s="7" t="n">
        <v>46311</v>
      </c>
      <c r="C3094" s="8" t="n">
        <v>7002</v>
      </c>
      <c r="D3094" s="8" t="n">
        <v>0</v>
      </c>
      <c r="E3094" s="8" t="n">
        <v>0</v>
      </c>
      <c r="F3094" s="8" t="s">
        <v>2200</v>
      </c>
      <c r="G3094" s="8" t="s">
        <v>2201</v>
      </c>
      <c r="H3094" s="8" t="s">
        <v>2864</v>
      </c>
    </row>
    <row r="3095" customFormat="false" ht="15" hidden="false" customHeight="false" outlineLevel="0" collapsed="false">
      <c r="A3095" s="7" t="n">
        <v>46177</v>
      </c>
      <c r="B3095" s="7" t="n">
        <v>46192</v>
      </c>
      <c r="C3095" s="8" t="n">
        <v>6561</v>
      </c>
      <c r="D3095" s="8" t="n">
        <v>2235</v>
      </c>
      <c r="E3095" s="8" t="n">
        <v>20270</v>
      </c>
      <c r="F3095" s="8" t="s">
        <v>2200</v>
      </c>
      <c r="G3095" s="8" t="s">
        <v>2201</v>
      </c>
      <c r="H3095" s="8" t="s">
        <v>2865</v>
      </c>
    </row>
    <row r="3096" customFormat="false" ht="15" hidden="false" customHeight="false" outlineLevel="0" collapsed="false">
      <c r="A3096" s="7" t="n">
        <v>46177</v>
      </c>
      <c r="B3096" s="7" t="n">
        <v>46223</v>
      </c>
      <c r="C3096" s="8" t="n">
        <v>6658</v>
      </c>
      <c r="D3096" s="8" t="n">
        <v>1975</v>
      </c>
      <c r="E3096" s="8" t="n">
        <v>13540</v>
      </c>
      <c r="F3096" s="8" t="s">
        <v>2200</v>
      </c>
      <c r="G3096" s="8" t="s">
        <v>2201</v>
      </c>
      <c r="H3096" s="8" t="s">
        <v>2865</v>
      </c>
    </row>
    <row r="3097" customFormat="false" ht="15" hidden="false" customHeight="false" outlineLevel="0" collapsed="false">
      <c r="A3097" s="7" t="n">
        <v>46177</v>
      </c>
      <c r="B3097" s="7" t="n">
        <v>46254</v>
      </c>
      <c r="C3097" s="8" t="n">
        <v>6755</v>
      </c>
      <c r="D3097" s="8" t="n">
        <v>0</v>
      </c>
      <c r="E3097" s="8" t="n">
        <v>0</v>
      </c>
      <c r="F3097" s="8" t="s">
        <v>2200</v>
      </c>
      <c r="G3097" s="8" t="s">
        <v>2201</v>
      </c>
      <c r="H3097" s="8" t="s">
        <v>2865</v>
      </c>
    </row>
    <row r="3098" customFormat="false" ht="15" hidden="false" customHeight="false" outlineLevel="0" collapsed="false">
      <c r="A3098" s="7" t="n">
        <v>46177</v>
      </c>
      <c r="B3098" s="7" t="n">
        <v>46283</v>
      </c>
      <c r="C3098" s="8" t="n">
        <v>6852</v>
      </c>
      <c r="D3098" s="8" t="n">
        <v>0</v>
      </c>
      <c r="E3098" s="8" t="n">
        <v>0</v>
      </c>
      <c r="F3098" s="8" t="s">
        <v>2200</v>
      </c>
      <c r="G3098" s="8" t="s">
        <v>2201</v>
      </c>
      <c r="H3098" s="8" t="s">
        <v>2865</v>
      </c>
    </row>
    <row r="3099" customFormat="false" ht="15" hidden="false" customHeight="false" outlineLevel="0" collapsed="false">
      <c r="A3099" s="7" t="n">
        <v>46177</v>
      </c>
      <c r="B3099" s="7" t="n">
        <v>46311</v>
      </c>
      <c r="C3099" s="8" t="n">
        <v>6949</v>
      </c>
      <c r="D3099" s="8" t="n">
        <v>0</v>
      </c>
      <c r="E3099" s="8" t="n">
        <v>0</v>
      </c>
      <c r="F3099" s="8" t="s">
        <v>2200</v>
      </c>
      <c r="G3099" s="8" t="s">
        <v>2201</v>
      </c>
      <c r="H3099" s="8" t="s">
        <v>2865</v>
      </c>
    </row>
    <row r="3100" customFormat="false" ht="15" hidden="false" customHeight="false" outlineLevel="0" collapsed="false">
      <c r="A3100" s="7" t="n">
        <v>46178</v>
      </c>
      <c r="B3100" s="7" t="n">
        <v>46192</v>
      </c>
      <c r="C3100" s="8" t="n">
        <v>6582</v>
      </c>
      <c r="D3100" s="8" t="n">
        <v>3365</v>
      </c>
      <c r="E3100" s="8" t="n">
        <v>19055</v>
      </c>
      <c r="F3100" s="8" t="s">
        <v>2200</v>
      </c>
      <c r="G3100" s="8" t="s">
        <v>2201</v>
      </c>
      <c r="H3100" s="8" t="s">
        <v>2866</v>
      </c>
    </row>
    <row r="3101" customFormat="false" ht="15" hidden="false" customHeight="false" outlineLevel="0" collapsed="false">
      <c r="A3101" s="7" t="n">
        <v>46178</v>
      </c>
      <c r="B3101" s="7" t="n">
        <v>46223</v>
      </c>
      <c r="C3101" s="8" t="n">
        <v>6689</v>
      </c>
      <c r="D3101" s="8" t="n">
        <v>3650</v>
      </c>
      <c r="E3101" s="8" t="n">
        <v>15490</v>
      </c>
      <c r="F3101" s="8" t="s">
        <v>2200</v>
      </c>
      <c r="G3101" s="8" t="s">
        <v>2201</v>
      </c>
      <c r="H3101" s="8" t="s">
        <v>2866</v>
      </c>
    </row>
    <row r="3102" customFormat="false" ht="15" hidden="false" customHeight="false" outlineLevel="0" collapsed="false">
      <c r="A3102" s="7" t="n">
        <v>46178</v>
      </c>
      <c r="B3102" s="7" t="n">
        <v>46254</v>
      </c>
      <c r="C3102" s="8" t="n">
        <v>6796</v>
      </c>
      <c r="D3102" s="8" t="n">
        <v>0</v>
      </c>
      <c r="E3102" s="8" t="n">
        <v>0</v>
      </c>
      <c r="F3102" s="8" t="s">
        <v>2200</v>
      </c>
      <c r="G3102" s="8" t="s">
        <v>2201</v>
      </c>
      <c r="H3102" s="8" t="s">
        <v>2866</v>
      </c>
    </row>
    <row r="3103" customFormat="false" ht="15" hidden="false" customHeight="false" outlineLevel="0" collapsed="false">
      <c r="A3103" s="7" t="n">
        <v>46178</v>
      </c>
      <c r="B3103" s="7" t="n">
        <v>46283</v>
      </c>
      <c r="C3103" s="8" t="n">
        <v>6903</v>
      </c>
      <c r="D3103" s="8" t="n">
        <v>0</v>
      </c>
      <c r="E3103" s="8" t="n">
        <v>0</v>
      </c>
      <c r="F3103" s="8" t="s">
        <v>2200</v>
      </c>
      <c r="G3103" s="8" t="s">
        <v>2201</v>
      </c>
      <c r="H3103" s="8" t="s">
        <v>2866</v>
      </c>
    </row>
    <row r="3104" customFormat="false" ht="15" hidden="false" customHeight="false" outlineLevel="0" collapsed="false">
      <c r="A3104" s="7" t="n">
        <v>46178</v>
      </c>
      <c r="B3104" s="7" t="n">
        <v>46311</v>
      </c>
      <c r="C3104" s="8" t="n">
        <v>7010</v>
      </c>
      <c r="D3104" s="8" t="n">
        <v>0</v>
      </c>
      <c r="E3104" s="8" t="n">
        <v>0</v>
      </c>
      <c r="F3104" s="8" t="s">
        <v>2200</v>
      </c>
      <c r="G3104" s="8" t="s">
        <v>2201</v>
      </c>
      <c r="H3104" s="8" t="s">
        <v>2866</v>
      </c>
    </row>
    <row r="3105" customFormat="false" ht="15" hidden="false" customHeight="false" outlineLevel="0" collapsed="false">
      <c r="A3105" s="7" t="n">
        <v>46181</v>
      </c>
      <c r="B3105" s="7" t="n">
        <v>46192</v>
      </c>
      <c r="C3105" s="8" t="n">
        <v>6572</v>
      </c>
      <c r="D3105" s="8" t="n">
        <v>3280</v>
      </c>
      <c r="E3105" s="8" t="n">
        <v>17455</v>
      </c>
      <c r="F3105" s="8" t="s">
        <v>2200</v>
      </c>
      <c r="G3105" s="8" t="s">
        <v>2201</v>
      </c>
      <c r="H3105" s="8" t="s">
        <v>2867</v>
      </c>
    </row>
    <row r="3106" customFormat="false" ht="15" hidden="false" customHeight="false" outlineLevel="0" collapsed="false">
      <c r="A3106" s="7" t="n">
        <v>46181</v>
      </c>
      <c r="B3106" s="7" t="n">
        <v>46223</v>
      </c>
      <c r="C3106" s="8" t="n">
        <v>6680</v>
      </c>
      <c r="D3106" s="8" t="n">
        <v>3545</v>
      </c>
      <c r="E3106" s="8" t="n">
        <v>16800</v>
      </c>
      <c r="F3106" s="8" t="s">
        <v>2200</v>
      </c>
      <c r="G3106" s="8" t="s">
        <v>2201</v>
      </c>
      <c r="H3106" s="8" t="s">
        <v>2867</v>
      </c>
    </row>
    <row r="3107" customFormat="false" ht="15" hidden="false" customHeight="false" outlineLevel="0" collapsed="false">
      <c r="A3107" s="7" t="n">
        <v>46181</v>
      </c>
      <c r="B3107" s="7" t="n">
        <v>46254</v>
      </c>
      <c r="C3107" s="8" t="n">
        <v>6788</v>
      </c>
      <c r="D3107" s="8" t="n">
        <v>0</v>
      </c>
      <c r="E3107" s="8" t="n">
        <v>0</v>
      </c>
      <c r="F3107" s="8" t="s">
        <v>2200</v>
      </c>
      <c r="G3107" s="8" t="s">
        <v>2201</v>
      </c>
      <c r="H3107" s="8" t="s">
        <v>2867</v>
      </c>
    </row>
    <row r="3108" customFormat="false" ht="15" hidden="false" customHeight="false" outlineLevel="0" collapsed="false">
      <c r="A3108" s="7" t="n">
        <v>46181</v>
      </c>
      <c r="B3108" s="7" t="n">
        <v>46283</v>
      </c>
      <c r="C3108" s="8" t="n">
        <v>6896</v>
      </c>
      <c r="D3108" s="8" t="n">
        <v>0</v>
      </c>
      <c r="E3108" s="8" t="n">
        <v>0</v>
      </c>
      <c r="F3108" s="8" t="s">
        <v>2200</v>
      </c>
      <c r="G3108" s="8" t="s">
        <v>2201</v>
      </c>
      <c r="H3108" s="8" t="s">
        <v>2867</v>
      </c>
    </row>
    <row r="3109" customFormat="false" ht="15" hidden="false" customHeight="false" outlineLevel="0" collapsed="false">
      <c r="A3109" s="7" t="n">
        <v>46181</v>
      </c>
      <c r="B3109" s="7" t="n">
        <v>46311</v>
      </c>
      <c r="C3109" s="8" t="n">
        <v>7004</v>
      </c>
      <c r="D3109" s="8" t="n">
        <v>0</v>
      </c>
      <c r="E3109" s="8" t="n">
        <v>0</v>
      </c>
      <c r="F3109" s="8" t="s">
        <v>2200</v>
      </c>
      <c r="G3109" s="8" t="s">
        <v>2201</v>
      </c>
      <c r="H3109" s="8" t="s">
        <v>2867</v>
      </c>
    </row>
    <row r="3110" customFormat="false" ht="15" hidden="false" customHeight="false" outlineLevel="0" collapsed="false">
      <c r="A3110" s="7" t="n">
        <v>46182</v>
      </c>
      <c r="B3110" s="7" t="n">
        <v>46192</v>
      </c>
      <c r="C3110" s="8" t="n">
        <v>6554</v>
      </c>
      <c r="D3110" s="8" t="n">
        <v>3075</v>
      </c>
      <c r="E3110" s="8" t="n">
        <v>15780</v>
      </c>
      <c r="F3110" s="8" t="s">
        <v>2200</v>
      </c>
      <c r="G3110" s="8" t="s">
        <v>2201</v>
      </c>
      <c r="H3110" s="8" t="s">
        <v>2868</v>
      </c>
    </row>
    <row r="3111" customFormat="false" ht="15" hidden="false" customHeight="false" outlineLevel="0" collapsed="false">
      <c r="A3111" s="7" t="n">
        <v>46182</v>
      </c>
      <c r="B3111" s="7" t="n">
        <v>46223</v>
      </c>
      <c r="C3111" s="8" t="n">
        <v>6654</v>
      </c>
      <c r="D3111" s="8" t="n">
        <v>3245</v>
      </c>
      <c r="E3111" s="8" t="n">
        <v>17960</v>
      </c>
      <c r="F3111" s="8" t="s">
        <v>2200</v>
      </c>
      <c r="G3111" s="8" t="s">
        <v>2201</v>
      </c>
      <c r="H3111" s="8" t="s">
        <v>2868</v>
      </c>
    </row>
    <row r="3112" customFormat="false" ht="15" hidden="false" customHeight="false" outlineLevel="0" collapsed="false">
      <c r="A3112" s="7" t="n">
        <v>46182</v>
      </c>
      <c r="B3112" s="7" t="n">
        <v>46254</v>
      </c>
      <c r="C3112" s="8" t="n">
        <v>6754</v>
      </c>
      <c r="D3112" s="8" t="n">
        <v>0</v>
      </c>
      <c r="E3112" s="8" t="n">
        <v>0</v>
      </c>
      <c r="F3112" s="8" t="s">
        <v>2200</v>
      </c>
      <c r="G3112" s="8" t="s">
        <v>2201</v>
      </c>
      <c r="H3112" s="8" t="s">
        <v>2868</v>
      </c>
    </row>
    <row r="3113" customFormat="false" ht="15" hidden="false" customHeight="false" outlineLevel="0" collapsed="false">
      <c r="A3113" s="7" t="n">
        <v>46182</v>
      </c>
      <c r="B3113" s="7" t="n">
        <v>46283</v>
      </c>
      <c r="C3113" s="8" t="n">
        <v>6854</v>
      </c>
      <c r="D3113" s="8" t="n">
        <v>0</v>
      </c>
      <c r="E3113" s="8" t="n">
        <v>0</v>
      </c>
      <c r="F3113" s="8" t="s">
        <v>2200</v>
      </c>
      <c r="G3113" s="8" t="s">
        <v>2201</v>
      </c>
      <c r="H3113" s="8" t="s">
        <v>2868</v>
      </c>
    </row>
    <row r="3114" customFormat="false" ht="15" hidden="false" customHeight="false" outlineLevel="0" collapsed="false">
      <c r="A3114" s="7" t="n">
        <v>46182</v>
      </c>
      <c r="B3114" s="7" t="n">
        <v>46311</v>
      </c>
      <c r="C3114" s="8" t="n">
        <v>6954</v>
      </c>
      <c r="D3114" s="8" t="n">
        <v>0</v>
      </c>
      <c r="E3114" s="8" t="n">
        <v>0</v>
      </c>
      <c r="F3114" s="8" t="s">
        <v>2200</v>
      </c>
      <c r="G3114" s="8" t="s">
        <v>2201</v>
      </c>
      <c r="H3114" s="8" t="s">
        <v>2868</v>
      </c>
    </row>
    <row r="3115" customFormat="false" ht="15" hidden="false" customHeight="false" outlineLevel="0" collapsed="false">
      <c r="A3115" s="7" t="n">
        <v>46183</v>
      </c>
      <c r="B3115" s="7" t="n">
        <v>46192</v>
      </c>
      <c r="C3115" s="8" t="n">
        <v>6549</v>
      </c>
      <c r="D3115" s="8" t="n">
        <v>4655</v>
      </c>
      <c r="E3115" s="8" t="n">
        <v>12605</v>
      </c>
      <c r="F3115" s="8" t="s">
        <v>2200</v>
      </c>
      <c r="G3115" s="8" t="s">
        <v>2201</v>
      </c>
      <c r="H3115" s="8" t="s">
        <v>2869</v>
      </c>
    </row>
    <row r="3116" customFormat="false" ht="15" hidden="false" customHeight="false" outlineLevel="0" collapsed="false">
      <c r="A3116" s="7" t="n">
        <v>46183</v>
      </c>
      <c r="B3116" s="7" t="n">
        <v>46223</v>
      </c>
      <c r="C3116" s="8" t="n">
        <v>6656</v>
      </c>
      <c r="D3116" s="8" t="n">
        <v>3700</v>
      </c>
      <c r="E3116" s="8" t="n">
        <v>19745</v>
      </c>
      <c r="F3116" s="8" t="s">
        <v>2200</v>
      </c>
      <c r="G3116" s="8" t="s">
        <v>2201</v>
      </c>
      <c r="H3116" s="8" t="s">
        <v>2869</v>
      </c>
    </row>
    <row r="3117" customFormat="false" ht="15" hidden="false" customHeight="false" outlineLevel="0" collapsed="false">
      <c r="A3117" s="7" t="n">
        <v>46183</v>
      </c>
      <c r="B3117" s="7" t="n">
        <v>46254</v>
      </c>
      <c r="C3117" s="8" t="n">
        <v>6763</v>
      </c>
      <c r="D3117" s="8" t="n">
        <v>0</v>
      </c>
      <c r="E3117" s="8" t="n">
        <v>0</v>
      </c>
      <c r="F3117" s="8" t="s">
        <v>2200</v>
      </c>
      <c r="G3117" s="8" t="s">
        <v>2201</v>
      </c>
      <c r="H3117" s="8" t="s">
        <v>2869</v>
      </c>
    </row>
    <row r="3118" customFormat="false" ht="15" hidden="false" customHeight="false" outlineLevel="0" collapsed="false">
      <c r="A3118" s="7" t="n">
        <v>46183</v>
      </c>
      <c r="B3118" s="7" t="n">
        <v>46283</v>
      </c>
      <c r="C3118" s="8" t="n">
        <v>6870</v>
      </c>
      <c r="D3118" s="8" t="n">
        <v>0</v>
      </c>
      <c r="E3118" s="8" t="n">
        <v>0</v>
      </c>
      <c r="F3118" s="8" t="s">
        <v>2200</v>
      </c>
      <c r="G3118" s="8" t="s">
        <v>2201</v>
      </c>
      <c r="H3118" s="8" t="s">
        <v>2869</v>
      </c>
    </row>
    <row r="3119" customFormat="false" ht="15" hidden="false" customHeight="false" outlineLevel="0" collapsed="false">
      <c r="A3119" s="7" t="n">
        <v>46183</v>
      </c>
      <c r="B3119" s="7" t="n">
        <v>46311</v>
      </c>
      <c r="C3119" s="8" t="n">
        <v>6977</v>
      </c>
      <c r="D3119" s="8" t="n">
        <v>0</v>
      </c>
      <c r="E3119" s="8" t="n">
        <v>0</v>
      </c>
      <c r="F3119" s="8" t="s">
        <v>2200</v>
      </c>
      <c r="G3119" s="8" t="s">
        <v>2201</v>
      </c>
      <c r="H3119" s="8" t="s">
        <v>2869</v>
      </c>
    </row>
    <row r="3120" customFormat="false" ht="15" hidden="false" customHeight="false" outlineLevel="0" collapsed="false">
      <c r="A3120" s="7" t="n">
        <v>46184</v>
      </c>
      <c r="B3120" s="7" t="n">
        <v>46192</v>
      </c>
      <c r="C3120" s="8" t="n">
        <v>6579</v>
      </c>
      <c r="D3120" s="8" t="n">
        <v>2990</v>
      </c>
      <c r="E3120" s="8" t="n">
        <v>10985</v>
      </c>
      <c r="F3120" s="8" t="s">
        <v>2200</v>
      </c>
      <c r="G3120" s="8" t="s">
        <v>2201</v>
      </c>
      <c r="H3120" s="8" t="s">
        <v>2870</v>
      </c>
    </row>
    <row r="3121" customFormat="false" ht="15" hidden="false" customHeight="false" outlineLevel="0" collapsed="false">
      <c r="A3121" s="7" t="n">
        <v>46184</v>
      </c>
      <c r="B3121" s="7" t="n">
        <v>46223</v>
      </c>
      <c r="C3121" s="8" t="n">
        <v>6680</v>
      </c>
      <c r="D3121" s="8" t="n">
        <v>3875</v>
      </c>
      <c r="E3121" s="8" t="n">
        <v>20635</v>
      </c>
      <c r="F3121" s="8" t="s">
        <v>2200</v>
      </c>
      <c r="G3121" s="8" t="s">
        <v>2201</v>
      </c>
      <c r="H3121" s="8" t="s">
        <v>2870</v>
      </c>
    </row>
    <row r="3122" customFormat="false" ht="15" hidden="false" customHeight="false" outlineLevel="0" collapsed="false">
      <c r="A3122" s="7" t="n">
        <v>46184</v>
      </c>
      <c r="B3122" s="7" t="n">
        <v>46254</v>
      </c>
      <c r="C3122" s="8" t="n">
        <v>6781</v>
      </c>
      <c r="D3122" s="8" t="n">
        <v>0</v>
      </c>
      <c r="E3122" s="8" t="n">
        <v>0</v>
      </c>
      <c r="F3122" s="8" t="s">
        <v>2200</v>
      </c>
      <c r="G3122" s="8" t="s">
        <v>2201</v>
      </c>
      <c r="H3122" s="8" t="s">
        <v>2870</v>
      </c>
    </row>
    <row r="3123" customFormat="false" ht="15" hidden="false" customHeight="false" outlineLevel="0" collapsed="false">
      <c r="A3123" s="7" t="n">
        <v>46184</v>
      </c>
      <c r="B3123" s="7" t="n">
        <v>46283</v>
      </c>
      <c r="C3123" s="8" t="n">
        <v>6882</v>
      </c>
      <c r="D3123" s="8" t="n">
        <v>0</v>
      </c>
      <c r="E3123" s="8" t="n">
        <v>0</v>
      </c>
      <c r="F3123" s="8" t="s">
        <v>2200</v>
      </c>
      <c r="G3123" s="8" t="s">
        <v>2201</v>
      </c>
      <c r="H3123" s="8" t="s">
        <v>2870</v>
      </c>
    </row>
    <row r="3124" customFormat="false" ht="15" hidden="false" customHeight="false" outlineLevel="0" collapsed="false">
      <c r="A3124" s="7" t="n">
        <v>46184</v>
      </c>
      <c r="B3124" s="7" t="n">
        <v>46311</v>
      </c>
      <c r="C3124" s="8" t="n">
        <v>6983</v>
      </c>
      <c r="D3124" s="8" t="n">
        <v>0</v>
      </c>
      <c r="E3124" s="8" t="n">
        <v>0</v>
      </c>
      <c r="F3124" s="8" t="s">
        <v>2200</v>
      </c>
      <c r="G3124" s="8" t="s">
        <v>2201</v>
      </c>
      <c r="H3124" s="8" t="s">
        <v>2870</v>
      </c>
    </row>
    <row r="3125" customFormat="false" ht="15" hidden="false" customHeight="false" outlineLevel="0" collapsed="false">
      <c r="A3125" s="7" t="n">
        <v>46185</v>
      </c>
      <c r="B3125" s="7" t="n">
        <v>46192</v>
      </c>
      <c r="C3125" s="8" t="n">
        <v>6610</v>
      </c>
      <c r="D3125" s="8" t="n">
        <v>7055</v>
      </c>
      <c r="E3125" s="8" t="n">
        <v>6810</v>
      </c>
      <c r="F3125" s="8" t="s">
        <v>2200</v>
      </c>
      <c r="G3125" s="8" t="s">
        <v>2201</v>
      </c>
      <c r="H3125" s="8" t="s">
        <v>2871</v>
      </c>
    </row>
    <row r="3126" customFormat="false" ht="15" hidden="false" customHeight="false" outlineLevel="0" collapsed="false">
      <c r="A3126" s="7" t="n">
        <v>46185</v>
      </c>
      <c r="B3126" s="7" t="n">
        <v>46223</v>
      </c>
      <c r="C3126" s="8" t="n">
        <v>6703</v>
      </c>
      <c r="D3126" s="8" t="n">
        <v>9320</v>
      </c>
      <c r="E3126" s="8" t="n">
        <v>22990</v>
      </c>
      <c r="F3126" s="8" t="s">
        <v>2200</v>
      </c>
      <c r="G3126" s="8" t="s">
        <v>2201</v>
      </c>
      <c r="H3126" s="8" t="s">
        <v>2871</v>
      </c>
    </row>
    <row r="3127" customFormat="false" ht="15" hidden="false" customHeight="false" outlineLevel="0" collapsed="false">
      <c r="A3127" s="7" t="n">
        <v>46185</v>
      </c>
      <c r="B3127" s="7" t="n">
        <v>46254</v>
      </c>
      <c r="C3127" s="8" t="n">
        <v>6796</v>
      </c>
      <c r="D3127" s="8" t="n">
        <v>0</v>
      </c>
      <c r="E3127" s="8" t="n">
        <v>0</v>
      </c>
      <c r="F3127" s="8" t="s">
        <v>2200</v>
      </c>
      <c r="G3127" s="8" t="s">
        <v>2201</v>
      </c>
      <c r="H3127" s="8" t="s">
        <v>2871</v>
      </c>
    </row>
    <row r="3128" customFormat="false" ht="15" hidden="false" customHeight="false" outlineLevel="0" collapsed="false">
      <c r="A3128" s="7" t="n">
        <v>46185</v>
      </c>
      <c r="B3128" s="7" t="n">
        <v>46283</v>
      </c>
      <c r="C3128" s="8" t="n">
        <v>6889</v>
      </c>
      <c r="D3128" s="8" t="n">
        <v>0</v>
      </c>
      <c r="E3128" s="8" t="n">
        <v>0</v>
      </c>
      <c r="F3128" s="8" t="s">
        <v>2200</v>
      </c>
      <c r="G3128" s="8" t="s">
        <v>2201</v>
      </c>
      <c r="H3128" s="8" t="s">
        <v>2871</v>
      </c>
    </row>
    <row r="3129" customFormat="false" ht="15" hidden="false" customHeight="false" outlineLevel="0" collapsed="false">
      <c r="A3129" s="7" t="n">
        <v>46185</v>
      </c>
      <c r="B3129" s="7" t="n">
        <v>46311</v>
      </c>
      <c r="C3129" s="8" t="n">
        <v>6982</v>
      </c>
      <c r="D3129" s="8" t="n">
        <v>0</v>
      </c>
      <c r="E3129" s="8" t="n">
        <v>0</v>
      </c>
      <c r="F3129" s="8" t="s">
        <v>2200</v>
      </c>
      <c r="G3129" s="8" t="s">
        <v>2201</v>
      </c>
      <c r="H3129" s="8" t="s">
        <v>2871</v>
      </c>
    </row>
    <row r="3130" customFormat="false" ht="15" hidden="false" customHeight="false" outlineLevel="0" collapsed="false">
      <c r="A3130" s="7" t="n">
        <v>46188</v>
      </c>
      <c r="B3130" s="7" t="n">
        <v>46192</v>
      </c>
      <c r="C3130" s="8" t="n">
        <v>6635</v>
      </c>
      <c r="D3130" s="8" t="n">
        <v>2430</v>
      </c>
      <c r="E3130" s="8" t="n">
        <v>5445</v>
      </c>
      <c r="F3130" s="8" t="s">
        <v>2200</v>
      </c>
      <c r="G3130" s="8" t="s">
        <v>2201</v>
      </c>
      <c r="H3130" s="8" t="s">
        <v>2872</v>
      </c>
    </row>
    <row r="3131" customFormat="false" ht="15" hidden="false" customHeight="false" outlineLevel="0" collapsed="false">
      <c r="A3131" s="7" t="n">
        <v>46188</v>
      </c>
      <c r="B3131" s="7" t="n">
        <v>46223</v>
      </c>
      <c r="C3131" s="8" t="n">
        <v>6727</v>
      </c>
      <c r="D3131" s="8" t="n">
        <v>3730</v>
      </c>
      <c r="E3131" s="8" t="n">
        <v>24565</v>
      </c>
      <c r="F3131" s="8" t="s">
        <v>2200</v>
      </c>
      <c r="G3131" s="8" t="s">
        <v>2201</v>
      </c>
      <c r="H3131" s="8" t="s">
        <v>2872</v>
      </c>
    </row>
    <row r="3132" customFormat="false" ht="15" hidden="false" customHeight="false" outlineLevel="0" collapsed="false">
      <c r="A3132" s="7" t="n">
        <v>46188</v>
      </c>
      <c r="B3132" s="7" t="n">
        <v>46254</v>
      </c>
      <c r="C3132" s="8" t="n">
        <v>6819</v>
      </c>
      <c r="D3132" s="8" t="n">
        <v>0</v>
      </c>
      <c r="E3132" s="8" t="n">
        <v>0</v>
      </c>
      <c r="F3132" s="8" t="s">
        <v>2200</v>
      </c>
      <c r="G3132" s="8" t="s">
        <v>2201</v>
      </c>
      <c r="H3132" s="8" t="s">
        <v>2872</v>
      </c>
    </row>
    <row r="3133" customFormat="false" ht="15" hidden="false" customHeight="false" outlineLevel="0" collapsed="false">
      <c r="A3133" s="7" t="n">
        <v>46188</v>
      </c>
      <c r="B3133" s="7" t="n">
        <v>46283</v>
      </c>
      <c r="C3133" s="8" t="n">
        <v>6911</v>
      </c>
      <c r="D3133" s="8" t="n">
        <v>0</v>
      </c>
      <c r="E3133" s="8" t="n">
        <v>0</v>
      </c>
      <c r="F3133" s="8" t="s">
        <v>2200</v>
      </c>
      <c r="G3133" s="8" t="s">
        <v>2201</v>
      </c>
      <c r="H3133" s="8" t="s">
        <v>2872</v>
      </c>
    </row>
    <row r="3134" customFormat="false" ht="15" hidden="false" customHeight="false" outlineLevel="0" collapsed="false">
      <c r="A3134" s="7" t="n">
        <v>46188</v>
      </c>
      <c r="B3134" s="7" t="n">
        <v>46311</v>
      </c>
      <c r="C3134" s="8" t="n">
        <v>7003</v>
      </c>
      <c r="D3134" s="8" t="n">
        <v>0</v>
      </c>
      <c r="E3134" s="8" t="n">
        <v>0</v>
      </c>
      <c r="F3134" s="8" t="s">
        <v>2200</v>
      </c>
      <c r="G3134" s="8" t="s">
        <v>2201</v>
      </c>
      <c r="H3134" s="8" t="s">
        <v>2872</v>
      </c>
    </row>
    <row r="3135" customFormat="false" ht="15" hidden="false" customHeight="false" outlineLevel="0" collapsed="false">
      <c r="A3135" s="7" t="n">
        <v>46189</v>
      </c>
      <c r="B3135" s="7" t="n">
        <v>46192</v>
      </c>
      <c r="C3135" s="8" t="n">
        <v>6778</v>
      </c>
      <c r="D3135" s="8" t="n">
        <v>4170</v>
      </c>
      <c r="E3135" s="8" t="n">
        <v>3710</v>
      </c>
      <c r="F3135" s="8" t="s">
        <v>2200</v>
      </c>
      <c r="G3135" s="8" t="s">
        <v>2201</v>
      </c>
      <c r="H3135" s="8" t="s">
        <v>2873</v>
      </c>
    </row>
    <row r="3136" customFormat="false" ht="15" hidden="false" customHeight="false" outlineLevel="0" collapsed="false">
      <c r="A3136" s="7" t="n">
        <v>46189</v>
      </c>
      <c r="B3136" s="7" t="n">
        <v>46223</v>
      </c>
      <c r="C3136" s="8" t="n">
        <v>6859</v>
      </c>
      <c r="D3136" s="8" t="n">
        <v>12035</v>
      </c>
      <c r="E3136" s="8" t="n">
        <v>25165</v>
      </c>
      <c r="F3136" s="8" t="s">
        <v>2200</v>
      </c>
      <c r="G3136" s="8" t="s">
        <v>2201</v>
      </c>
      <c r="H3136" s="8" t="s">
        <v>2873</v>
      </c>
    </row>
    <row r="3137" customFormat="false" ht="15" hidden="false" customHeight="false" outlineLevel="0" collapsed="false">
      <c r="A3137" s="7" t="n">
        <v>46189</v>
      </c>
      <c r="B3137" s="7" t="n">
        <v>46254</v>
      </c>
      <c r="C3137" s="8" t="n">
        <v>6940</v>
      </c>
      <c r="D3137" s="8" t="n">
        <v>795</v>
      </c>
      <c r="E3137" s="8" t="n">
        <v>610</v>
      </c>
      <c r="F3137" s="8" t="s">
        <v>2200</v>
      </c>
      <c r="G3137" s="8" t="s">
        <v>2201</v>
      </c>
      <c r="H3137" s="8" t="s">
        <v>2873</v>
      </c>
    </row>
    <row r="3138" customFormat="false" ht="15" hidden="false" customHeight="false" outlineLevel="0" collapsed="false">
      <c r="A3138" s="7" t="n">
        <v>46189</v>
      </c>
      <c r="B3138" s="7" t="n">
        <v>46283</v>
      </c>
      <c r="C3138" s="8" t="n">
        <v>7021</v>
      </c>
      <c r="D3138" s="8" t="n">
        <v>0</v>
      </c>
      <c r="E3138" s="8" t="n">
        <v>0</v>
      </c>
      <c r="F3138" s="8" t="s">
        <v>2200</v>
      </c>
      <c r="G3138" s="8" t="s">
        <v>2201</v>
      </c>
      <c r="H3138" s="8" t="s">
        <v>2873</v>
      </c>
    </row>
    <row r="3139" customFormat="false" ht="15" hidden="false" customHeight="false" outlineLevel="0" collapsed="false">
      <c r="A3139" s="7" t="n">
        <v>46189</v>
      </c>
      <c r="B3139" s="7" t="n">
        <v>46311</v>
      </c>
      <c r="C3139" s="8" t="n">
        <v>7102</v>
      </c>
      <c r="D3139" s="8" t="n">
        <v>0</v>
      </c>
      <c r="E3139" s="8" t="n">
        <v>0</v>
      </c>
      <c r="F3139" s="8" t="s">
        <v>2200</v>
      </c>
      <c r="G3139" s="8" t="s">
        <v>2201</v>
      </c>
      <c r="H3139" s="8" t="s">
        <v>2873</v>
      </c>
    </row>
    <row r="3140" customFormat="false" ht="15" hidden="false" customHeight="false" outlineLevel="0" collapsed="false">
      <c r="A3140" s="7" t="n">
        <v>46190</v>
      </c>
      <c r="B3140" s="7" t="n">
        <v>46192</v>
      </c>
      <c r="C3140" s="8" t="n">
        <v>6841</v>
      </c>
      <c r="D3140" s="8" t="n">
        <v>3440</v>
      </c>
      <c r="E3140" s="8" t="n">
        <v>1330</v>
      </c>
      <c r="F3140" s="8" t="s">
        <v>2200</v>
      </c>
      <c r="G3140" s="8" t="s">
        <v>2201</v>
      </c>
      <c r="H3140" s="8" t="s">
        <v>2874</v>
      </c>
    </row>
    <row r="3141" customFormat="false" ht="15" hidden="false" customHeight="false" outlineLevel="0" collapsed="false">
      <c r="A3141" s="7" t="n">
        <v>46190</v>
      </c>
      <c r="B3141" s="7" t="n">
        <v>46223</v>
      </c>
      <c r="C3141" s="8" t="n">
        <v>6921</v>
      </c>
      <c r="D3141" s="8" t="n">
        <v>9365</v>
      </c>
      <c r="E3141" s="8" t="n">
        <v>28105</v>
      </c>
      <c r="F3141" s="8" t="s">
        <v>2200</v>
      </c>
      <c r="G3141" s="8" t="s">
        <v>2201</v>
      </c>
      <c r="H3141" s="8" t="s">
        <v>2874</v>
      </c>
    </row>
    <row r="3142" customFormat="false" ht="15" hidden="false" customHeight="false" outlineLevel="0" collapsed="false">
      <c r="A3142" s="7" t="n">
        <v>46190</v>
      </c>
      <c r="B3142" s="7" t="n">
        <v>46254</v>
      </c>
      <c r="C3142" s="8" t="n">
        <v>6970</v>
      </c>
      <c r="D3142" s="8" t="n">
        <v>275</v>
      </c>
      <c r="E3142" s="8" t="n">
        <v>695</v>
      </c>
      <c r="F3142" s="8" t="s">
        <v>2200</v>
      </c>
      <c r="G3142" s="8" t="s">
        <v>2201</v>
      </c>
      <c r="H3142" s="8" t="s">
        <v>2874</v>
      </c>
    </row>
    <row r="3143" customFormat="false" ht="15" hidden="false" customHeight="false" outlineLevel="0" collapsed="false">
      <c r="A3143" s="7" t="n">
        <v>46190</v>
      </c>
      <c r="B3143" s="7" t="n">
        <v>46283</v>
      </c>
      <c r="C3143" s="8" t="n">
        <v>7019</v>
      </c>
      <c r="D3143" s="8" t="n">
        <v>0</v>
      </c>
      <c r="E3143" s="8" t="n">
        <v>0</v>
      </c>
      <c r="F3143" s="8" t="s">
        <v>2200</v>
      </c>
      <c r="G3143" s="8" t="s">
        <v>2201</v>
      </c>
      <c r="H3143" s="8" t="s">
        <v>2874</v>
      </c>
    </row>
    <row r="3144" customFormat="false" ht="15" hidden="false" customHeight="false" outlineLevel="0" collapsed="false">
      <c r="A3144" s="7" t="n">
        <v>46190</v>
      </c>
      <c r="B3144" s="7" t="n">
        <v>46311</v>
      </c>
      <c r="C3144" s="8" t="n">
        <v>7068</v>
      </c>
      <c r="D3144" s="8" t="n">
        <v>0</v>
      </c>
      <c r="E3144" s="8" t="n">
        <v>0</v>
      </c>
      <c r="F3144" s="8" t="s">
        <v>2200</v>
      </c>
      <c r="G3144" s="8" t="s">
        <v>2201</v>
      </c>
      <c r="H3144" s="8" t="s">
        <v>2874</v>
      </c>
    </row>
    <row r="3145" customFormat="false" ht="15" hidden="false" customHeight="false" outlineLevel="0" collapsed="false">
      <c r="A3145" s="7" t="n">
        <v>46191</v>
      </c>
      <c r="B3145" s="7" t="n">
        <v>46192</v>
      </c>
      <c r="C3145" s="8" t="n">
        <v>6833</v>
      </c>
      <c r="D3145" s="8" t="n">
        <v>90</v>
      </c>
      <c r="E3145" s="8" t="n">
        <v>350</v>
      </c>
      <c r="F3145" s="8" t="s">
        <v>2200</v>
      </c>
      <c r="G3145" s="8" t="s">
        <v>2201</v>
      </c>
      <c r="H3145" s="8" t="s">
        <v>2875</v>
      </c>
    </row>
    <row r="3146" customFormat="false" ht="15" hidden="false" customHeight="false" outlineLevel="0" collapsed="false">
      <c r="A3146" s="7" t="n">
        <v>46191</v>
      </c>
      <c r="B3146" s="7" t="n">
        <v>46223</v>
      </c>
      <c r="C3146" s="8" t="n">
        <v>6914</v>
      </c>
      <c r="D3146" s="8" t="n">
        <v>7375</v>
      </c>
      <c r="E3146" s="8" t="n">
        <v>28640</v>
      </c>
      <c r="F3146" s="8" t="s">
        <v>2200</v>
      </c>
      <c r="G3146" s="8" t="s">
        <v>2201</v>
      </c>
      <c r="H3146" s="8" t="s">
        <v>2875</v>
      </c>
    </row>
    <row r="3147" customFormat="false" ht="15" hidden="false" customHeight="false" outlineLevel="0" collapsed="false">
      <c r="A3147" s="7" t="n">
        <v>46191</v>
      </c>
      <c r="B3147" s="7" t="n">
        <v>46254</v>
      </c>
      <c r="C3147" s="8" t="n">
        <v>6992</v>
      </c>
      <c r="D3147" s="8" t="n">
        <v>1010</v>
      </c>
      <c r="E3147" s="8" t="n">
        <v>1440</v>
      </c>
      <c r="F3147" s="8" t="s">
        <v>2200</v>
      </c>
      <c r="G3147" s="8" t="s">
        <v>2201</v>
      </c>
      <c r="H3147" s="8" t="s">
        <v>2875</v>
      </c>
    </row>
    <row r="3148" customFormat="false" ht="15" hidden="false" customHeight="false" outlineLevel="0" collapsed="false">
      <c r="A3148" s="7" t="n">
        <v>46191</v>
      </c>
      <c r="B3148" s="7" t="n">
        <v>46283</v>
      </c>
      <c r="C3148" s="8" t="n">
        <v>7070</v>
      </c>
      <c r="D3148" s="8" t="n">
        <v>0</v>
      </c>
      <c r="E3148" s="8" t="n">
        <v>0</v>
      </c>
      <c r="F3148" s="8" t="s">
        <v>2200</v>
      </c>
      <c r="G3148" s="8" t="s">
        <v>2201</v>
      </c>
      <c r="H3148" s="8" t="s">
        <v>2875</v>
      </c>
    </row>
    <row r="3149" customFormat="false" ht="15" hidden="false" customHeight="false" outlineLevel="0" collapsed="false">
      <c r="A3149" s="7" t="n">
        <v>46191</v>
      </c>
      <c r="B3149" s="7" t="n">
        <v>46311</v>
      </c>
      <c r="C3149" s="8" t="n">
        <v>7148</v>
      </c>
      <c r="D3149" s="8" t="n">
        <v>0</v>
      </c>
      <c r="E3149" s="8" t="n">
        <v>0</v>
      </c>
      <c r="F3149" s="8" t="s">
        <v>2200</v>
      </c>
      <c r="G3149" s="8" t="s">
        <v>2201</v>
      </c>
      <c r="H3149" s="8" t="s">
        <v>2875</v>
      </c>
    </row>
    <row r="3150" customFormat="false" ht="15" hidden="false" customHeight="false" outlineLevel="0" collapsed="false">
      <c r="A3150" s="7" t="n">
        <v>46192</v>
      </c>
      <c r="B3150" s="7" t="n">
        <v>46192</v>
      </c>
      <c r="C3150" s="8" t="n">
        <v>6832</v>
      </c>
      <c r="D3150" s="8" t="n">
        <v>405</v>
      </c>
      <c r="E3150" s="8" t="n">
        <v>310</v>
      </c>
      <c r="F3150" s="8" t="s">
        <v>2200</v>
      </c>
      <c r="G3150" s="8" t="s">
        <v>2201</v>
      </c>
      <c r="H3150" s="8" t="s">
        <v>2876</v>
      </c>
    </row>
    <row r="3151" customFormat="false" ht="15" hidden="false" customHeight="false" outlineLevel="0" collapsed="false">
      <c r="A3151" s="7" t="n">
        <v>46192</v>
      </c>
      <c r="B3151" s="7" t="n">
        <v>46223</v>
      </c>
      <c r="C3151" s="8" t="n">
        <v>6928</v>
      </c>
      <c r="D3151" s="8" t="n">
        <v>4150</v>
      </c>
      <c r="E3151" s="8" t="n">
        <v>28845</v>
      </c>
      <c r="F3151" s="8" t="s">
        <v>2200</v>
      </c>
      <c r="G3151" s="8" t="s">
        <v>2201</v>
      </c>
      <c r="H3151" s="8" t="s">
        <v>2876</v>
      </c>
    </row>
    <row r="3152" customFormat="false" ht="15" hidden="false" customHeight="false" outlineLevel="0" collapsed="false">
      <c r="A3152" s="7" t="n">
        <v>46192</v>
      </c>
      <c r="B3152" s="7" t="n">
        <v>46254</v>
      </c>
      <c r="C3152" s="8" t="n">
        <v>7004</v>
      </c>
      <c r="D3152" s="8" t="n">
        <v>650</v>
      </c>
      <c r="E3152" s="8" t="n">
        <v>1820</v>
      </c>
      <c r="F3152" s="8" t="s">
        <v>2200</v>
      </c>
      <c r="G3152" s="8" t="s">
        <v>2201</v>
      </c>
      <c r="H3152" s="8" t="s">
        <v>2876</v>
      </c>
    </row>
    <row r="3153" customFormat="false" ht="15" hidden="false" customHeight="false" outlineLevel="0" collapsed="false">
      <c r="A3153" s="7" t="n">
        <v>46192</v>
      </c>
      <c r="B3153" s="7" t="n">
        <v>46283</v>
      </c>
      <c r="C3153" s="8" t="n">
        <v>7080</v>
      </c>
      <c r="D3153" s="8" t="n">
        <v>0</v>
      </c>
      <c r="E3153" s="8" t="n">
        <v>0</v>
      </c>
      <c r="F3153" s="8" t="s">
        <v>2200</v>
      </c>
      <c r="G3153" s="8" t="s">
        <v>2201</v>
      </c>
      <c r="H3153" s="8" t="s">
        <v>2876</v>
      </c>
    </row>
    <row r="3154" customFormat="false" ht="15" hidden="false" customHeight="false" outlineLevel="0" collapsed="false">
      <c r="A3154" s="7" t="n">
        <v>46192</v>
      </c>
      <c r="B3154" s="7" t="n">
        <v>46311</v>
      </c>
      <c r="C3154" s="8" t="n">
        <v>7156</v>
      </c>
      <c r="D3154" s="8" t="n">
        <v>0</v>
      </c>
      <c r="E3154" s="8" t="n">
        <v>0</v>
      </c>
      <c r="F3154" s="8" t="s">
        <v>2200</v>
      </c>
      <c r="G3154" s="8" t="s">
        <v>2201</v>
      </c>
      <c r="H3154" s="8" t="s">
        <v>2876</v>
      </c>
    </row>
    <row r="3155" customFormat="false" ht="15" hidden="false" customHeight="false" outlineLevel="0" collapsed="false">
      <c r="A3155" s="7" t="n">
        <v>46195</v>
      </c>
      <c r="B3155" s="7" t="n">
        <v>46223</v>
      </c>
      <c r="C3155" s="8" t="n">
        <v>7066</v>
      </c>
      <c r="D3155" s="8" t="n">
        <v>11610</v>
      </c>
      <c r="E3155" s="8" t="n">
        <v>28225</v>
      </c>
      <c r="F3155" s="8" t="s">
        <v>2200</v>
      </c>
      <c r="G3155" s="8" t="s">
        <v>2201</v>
      </c>
      <c r="H3155" s="8" t="s">
        <v>2877</v>
      </c>
    </row>
    <row r="3156" customFormat="false" ht="15" hidden="false" customHeight="false" outlineLevel="0" collapsed="false">
      <c r="A3156" s="7" t="n">
        <v>46195</v>
      </c>
      <c r="B3156" s="7" t="n">
        <v>46254</v>
      </c>
      <c r="C3156" s="8" t="n">
        <v>7123</v>
      </c>
      <c r="D3156" s="8" t="n">
        <v>3145</v>
      </c>
      <c r="E3156" s="8" t="n">
        <v>4160</v>
      </c>
      <c r="F3156" s="8" t="s">
        <v>2200</v>
      </c>
      <c r="G3156" s="8" t="s">
        <v>2201</v>
      </c>
      <c r="H3156" s="8" t="s">
        <v>2877</v>
      </c>
    </row>
    <row r="3157" customFormat="false" ht="15" hidden="false" customHeight="false" outlineLevel="0" collapsed="false">
      <c r="A3157" s="7" t="n">
        <v>46195</v>
      </c>
      <c r="B3157" s="7" t="n">
        <v>46283</v>
      </c>
      <c r="C3157" s="8" t="n">
        <v>7180</v>
      </c>
      <c r="D3157" s="8" t="n">
        <v>0</v>
      </c>
      <c r="E3157" s="8" t="n">
        <v>0</v>
      </c>
      <c r="F3157" s="8" t="s">
        <v>2200</v>
      </c>
      <c r="G3157" s="8" t="s">
        <v>2201</v>
      </c>
      <c r="H3157" s="8" t="s">
        <v>2877</v>
      </c>
    </row>
    <row r="3158" customFormat="false" ht="15" hidden="false" customHeight="false" outlineLevel="0" collapsed="false">
      <c r="A3158" s="7" t="n">
        <v>46195</v>
      </c>
      <c r="B3158" s="7" t="n">
        <v>46311</v>
      </c>
      <c r="C3158" s="8" t="n">
        <v>7237</v>
      </c>
      <c r="D3158" s="8" t="n">
        <v>0</v>
      </c>
      <c r="E3158" s="8" t="n">
        <v>0</v>
      </c>
      <c r="F3158" s="8" t="s">
        <v>2200</v>
      </c>
      <c r="G3158" s="8" t="s">
        <v>2201</v>
      </c>
      <c r="H3158" s="8" t="s">
        <v>2877</v>
      </c>
    </row>
    <row r="3159" customFormat="false" ht="15" hidden="false" customHeight="false" outlineLevel="0" collapsed="false">
      <c r="A3159" s="7" t="n">
        <v>46196</v>
      </c>
      <c r="B3159" s="7" t="n">
        <v>46223</v>
      </c>
      <c r="C3159" s="8" t="n">
        <v>7024</v>
      </c>
      <c r="D3159" s="8" t="n">
        <v>8835</v>
      </c>
      <c r="E3159" s="8" t="n">
        <v>28760</v>
      </c>
      <c r="F3159" s="8" t="s">
        <v>2200</v>
      </c>
      <c r="G3159" s="8" t="s">
        <v>2201</v>
      </c>
      <c r="H3159" s="8" t="s">
        <v>2878</v>
      </c>
    </row>
    <row r="3160" customFormat="false" ht="15" hidden="false" customHeight="false" outlineLevel="0" collapsed="false">
      <c r="A3160" s="7" t="n">
        <v>46196</v>
      </c>
      <c r="B3160" s="7" t="n">
        <v>46254</v>
      </c>
      <c r="C3160" s="8" t="n">
        <v>7100</v>
      </c>
      <c r="D3160" s="8" t="n">
        <v>1530</v>
      </c>
      <c r="E3160" s="8" t="n">
        <v>4565</v>
      </c>
      <c r="F3160" s="8" t="s">
        <v>2200</v>
      </c>
      <c r="G3160" s="8" t="s">
        <v>2201</v>
      </c>
      <c r="H3160" s="8" t="s">
        <v>2878</v>
      </c>
    </row>
    <row r="3161" customFormat="false" ht="15" hidden="false" customHeight="false" outlineLevel="0" collapsed="false">
      <c r="A3161" s="7" t="n">
        <v>46196</v>
      </c>
      <c r="B3161" s="7" t="n">
        <v>46283</v>
      </c>
      <c r="C3161" s="8" t="n">
        <v>7176</v>
      </c>
      <c r="D3161" s="8" t="n">
        <v>0</v>
      </c>
      <c r="E3161" s="8" t="n">
        <v>0</v>
      </c>
      <c r="F3161" s="8" t="s">
        <v>2200</v>
      </c>
      <c r="G3161" s="8" t="s">
        <v>2201</v>
      </c>
      <c r="H3161" s="8" t="s">
        <v>2878</v>
      </c>
    </row>
    <row r="3162" customFormat="false" ht="15" hidden="false" customHeight="false" outlineLevel="0" collapsed="false">
      <c r="A3162" s="7" t="n">
        <v>46196</v>
      </c>
      <c r="B3162" s="7" t="n">
        <v>46311</v>
      </c>
      <c r="C3162" s="8" t="n">
        <v>7252</v>
      </c>
      <c r="D3162" s="8" t="n">
        <v>0</v>
      </c>
      <c r="E3162" s="8" t="n">
        <v>0</v>
      </c>
      <c r="F3162" s="8" t="s">
        <v>2200</v>
      </c>
      <c r="G3162" s="8" t="s">
        <v>2201</v>
      </c>
      <c r="H3162" s="8" t="s">
        <v>2878</v>
      </c>
    </row>
    <row r="3163" customFormat="false" ht="15" hidden="false" customHeight="false" outlineLevel="0" collapsed="false">
      <c r="A3163" s="7" t="n">
        <v>46197</v>
      </c>
      <c r="B3163" s="7" t="n">
        <v>46223</v>
      </c>
      <c r="C3163" s="8" t="n">
        <v>7098</v>
      </c>
      <c r="D3163" s="8" t="n">
        <v>11515</v>
      </c>
      <c r="E3163" s="8" t="n">
        <v>27910</v>
      </c>
      <c r="F3163" s="8" t="s">
        <v>2200</v>
      </c>
      <c r="G3163" s="8" t="s">
        <v>2201</v>
      </c>
      <c r="H3163" s="8" t="s">
        <v>2879</v>
      </c>
    </row>
    <row r="3164" customFormat="false" ht="15" hidden="false" customHeight="false" outlineLevel="0" collapsed="false">
      <c r="A3164" s="7" t="n">
        <v>46197</v>
      </c>
      <c r="B3164" s="7" t="n">
        <v>46254</v>
      </c>
      <c r="C3164" s="8" t="n">
        <v>7183</v>
      </c>
      <c r="D3164" s="8" t="n">
        <v>3340</v>
      </c>
      <c r="E3164" s="8" t="n">
        <v>6810</v>
      </c>
      <c r="F3164" s="8" t="s">
        <v>2200</v>
      </c>
      <c r="G3164" s="8" t="s">
        <v>2201</v>
      </c>
      <c r="H3164" s="8" t="s">
        <v>2879</v>
      </c>
    </row>
    <row r="3165" customFormat="false" ht="15" hidden="false" customHeight="false" outlineLevel="0" collapsed="false">
      <c r="A3165" s="7" t="n">
        <v>46197</v>
      </c>
      <c r="B3165" s="7" t="n">
        <v>46283</v>
      </c>
      <c r="C3165" s="8" t="n">
        <v>7268</v>
      </c>
      <c r="D3165" s="8" t="n">
        <v>0</v>
      </c>
      <c r="E3165" s="8" t="n">
        <v>0</v>
      </c>
      <c r="F3165" s="8" t="s">
        <v>2200</v>
      </c>
      <c r="G3165" s="8" t="s">
        <v>2201</v>
      </c>
      <c r="H3165" s="8" t="s">
        <v>2879</v>
      </c>
    </row>
    <row r="3166" customFormat="false" ht="15" hidden="false" customHeight="false" outlineLevel="0" collapsed="false">
      <c r="A3166" s="7" t="n">
        <v>46197</v>
      </c>
      <c r="B3166" s="7" t="n">
        <v>46311</v>
      </c>
      <c r="C3166" s="8" t="n">
        <v>7353</v>
      </c>
      <c r="D3166" s="8" t="n">
        <v>0</v>
      </c>
      <c r="E3166" s="8" t="n">
        <v>0</v>
      </c>
      <c r="F3166" s="8" t="s">
        <v>2200</v>
      </c>
      <c r="G3166" s="8" t="s">
        <v>2201</v>
      </c>
      <c r="H3166" s="8" t="s">
        <v>2879</v>
      </c>
    </row>
    <row r="3167" customFormat="false" ht="15" hidden="false" customHeight="false" outlineLevel="0" collapsed="false">
      <c r="A3167" s="7" t="n">
        <v>46198</v>
      </c>
      <c r="B3167" s="7" t="n">
        <v>46223</v>
      </c>
      <c r="C3167" s="8" t="n">
        <v>7057</v>
      </c>
      <c r="D3167" s="8" t="n">
        <v>5855</v>
      </c>
      <c r="E3167" s="8" t="n">
        <v>26760</v>
      </c>
      <c r="F3167" s="8" t="s">
        <v>2200</v>
      </c>
      <c r="G3167" s="8" t="s">
        <v>2201</v>
      </c>
      <c r="H3167" s="8" t="s">
        <v>2880</v>
      </c>
    </row>
    <row r="3168" customFormat="false" ht="15" hidden="false" customHeight="false" outlineLevel="0" collapsed="false">
      <c r="A3168" s="7" t="n">
        <v>46198</v>
      </c>
      <c r="B3168" s="7" t="n">
        <v>46254</v>
      </c>
      <c r="C3168" s="8" t="n">
        <v>7137</v>
      </c>
      <c r="D3168" s="8" t="n">
        <v>2310</v>
      </c>
      <c r="E3168" s="8" t="n">
        <v>8085</v>
      </c>
      <c r="F3168" s="8" t="s">
        <v>2200</v>
      </c>
      <c r="G3168" s="8" t="s">
        <v>2201</v>
      </c>
      <c r="H3168" s="8" t="s">
        <v>2880</v>
      </c>
    </row>
    <row r="3169" customFormat="false" ht="15" hidden="false" customHeight="false" outlineLevel="0" collapsed="false">
      <c r="A3169" s="7" t="n">
        <v>46198</v>
      </c>
      <c r="B3169" s="7" t="n">
        <v>46283</v>
      </c>
      <c r="C3169" s="8" t="n">
        <v>7217</v>
      </c>
      <c r="D3169" s="8" t="n">
        <v>0</v>
      </c>
      <c r="E3169" s="8" t="n">
        <v>0</v>
      </c>
      <c r="F3169" s="8" t="s">
        <v>2200</v>
      </c>
      <c r="G3169" s="8" t="s">
        <v>2201</v>
      </c>
      <c r="H3169" s="8" t="s">
        <v>2880</v>
      </c>
    </row>
    <row r="3170" customFormat="false" ht="15" hidden="false" customHeight="false" outlineLevel="0" collapsed="false">
      <c r="A3170" s="7" t="n">
        <v>46198</v>
      </c>
      <c r="B3170" s="7" t="n">
        <v>46311</v>
      </c>
      <c r="C3170" s="8" t="n">
        <v>7297</v>
      </c>
      <c r="D3170" s="8" t="n">
        <v>0</v>
      </c>
      <c r="E3170" s="8" t="n">
        <v>0</v>
      </c>
      <c r="F3170" s="8" t="s">
        <v>2200</v>
      </c>
      <c r="G3170" s="8" t="s">
        <v>2201</v>
      </c>
      <c r="H3170" s="8" t="s">
        <v>2880</v>
      </c>
    </row>
    <row r="3171" customFormat="false" ht="15" hidden="false" customHeight="false" outlineLevel="0" collapsed="false">
      <c r="A3171" s="7" t="n">
        <v>46202</v>
      </c>
      <c r="B3171" s="7" t="n">
        <v>46223</v>
      </c>
      <c r="C3171" s="8" t="n">
        <v>7142</v>
      </c>
      <c r="D3171" s="8" t="n">
        <v>4515</v>
      </c>
      <c r="E3171" s="8" t="n">
        <v>27175</v>
      </c>
      <c r="F3171" s="8" t="s">
        <v>2200</v>
      </c>
      <c r="G3171" s="8" t="s">
        <v>2201</v>
      </c>
      <c r="H3171" s="8" t="s">
        <v>2881</v>
      </c>
    </row>
    <row r="3172" customFormat="false" ht="15" hidden="false" customHeight="false" outlineLevel="0" collapsed="false">
      <c r="A3172" s="7" t="n">
        <v>46202</v>
      </c>
      <c r="B3172" s="7" t="n">
        <v>46254</v>
      </c>
      <c r="C3172" s="8" t="n">
        <v>7215</v>
      </c>
      <c r="D3172" s="8" t="n">
        <v>2350</v>
      </c>
      <c r="E3172" s="8" t="n">
        <v>9230</v>
      </c>
      <c r="F3172" s="8" t="s">
        <v>2200</v>
      </c>
      <c r="G3172" s="8" t="s">
        <v>2201</v>
      </c>
      <c r="H3172" s="8" t="s">
        <v>2881</v>
      </c>
    </row>
    <row r="3173" customFormat="false" ht="15" hidden="false" customHeight="false" outlineLevel="0" collapsed="false">
      <c r="A3173" s="7" t="n">
        <v>46202</v>
      </c>
      <c r="B3173" s="7" t="n">
        <v>46283</v>
      </c>
      <c r="C3173" s="8" t="n">
        <v>7288</v>
      </c>
      <c r="D3173" s="8" t="n">
        <v>0</v>
      </c>
      <c r="E3173" s="8" t="n">
        <v>0</v>
      </c>
      <c r="F3173" s="8" t="s">
        <v>2200</v>
      </c>
      <c r="G3173" s="8" t="s">
        <v>2201</v>
      </c>
      <c r="H3173" s="8" t="s">
        <v>2881</v>
      </c>
    </row>
    <row r="3174" customFormat="false" ht="15" hidden="false" customHeight="false" outlineLevel="0" collapsed="false">
      <c r="A3174" s="7" t="n">
        <v>46202</v>
      </c>
      <c r="B3174" s="7" t="n">
        <v>46311</v>
      </c>
      <c r="C3174" s="8" t="n">
        <v>7361</v>
      </c>
      <c r="D3174" s="8" t="n">
        <v>0</v>
      </c>
      <c r="E3174" s="8" t="n">
        <v>0</v>
      </c>
      <c r="F3174" s="8" t="s">
        <v>2200</v>
      </c>
      <c r="G3174" s="8" t="s">
        <v>2201</v>
      </c>
      <c r="H3174" s="8" t="s">
        <v>2881</v>
      </c>
    </row>
    <row r="3175" customFormat="false" ht="15" hidden="false" customHeight="false" outlineLevel="0" collapsed="false">
      <c r="A3175" s="7" t="n">
        <v>46203</v>
      </c>
      <c r="B3175" s="7" t="n">
        <v>46223</v>
      </c>
      <c r="C3175" s="8" t="n">
        <v>7084</v>
      </c>
      <c r="D3175" s="8" t="n">
        <v>4150</v>
      </c>
      <c r="E3175" s="8" t="n">
        <v>26945</v>
      </c>
      <c r="F3175" s="8" t="s">
        <v>2200</v>
      </c>
      <c r="G3175" s="8" t="s">
        <v>2201</v>
      </c>
      <c r="H3175" s="8" t="s">
        <v>2882</v>
      </c>
    </row>
    <row r="3176" customFormat="false" ht="15" hidden="false" customHeight="false" outlineLevel="0" collapsed="false">
      <c r="A3176" s="7" t="n">
        <v>46203</v>
      </c>
      <c r="B3176" s="7" t="n">
        <v>46254</v>
      </c>
      <c r="C3176" s="8" t="n">
        <v>7159</v>
      </c>
      <c r="D3176" s="8" t="n">
        <v>2410</v>
      </c>
      <c r="E3176" s="8" t="n">
        <v>10200</v>
      </c>
      <c r="F3176" s="8" t="s">
        <v>2200</v>
      </c>
      <c r="G3176" s="8" t="s">
        <v>2201</v>
      </c>
      <c r="H3176" s="8" t="s">
        <v>2882</v>
      </c>
    </row>
    <row r="3177" customFormat="false" ht="15" hidden="false" customHeight="false" outlineLevel="0" collapsed="false">
      <c r="A3177" s="7" t="n">
        <v>46203</v>
      </c>
      <c r="B3177" s="7" t="n">
        <v>46283</v>
      </c>
      <c r="C3177" s="8" t="n">
        <v>7234</v>
      </c>
      <c r="D3177" s="8" t="n">
        <v>0</v>
      </c>
      <c r="E3177" s="8" t="n">
        <v>0</v>
      </c>
      <c r="F3177" s="8" t="s">
        <v>2200</v>
      </c>
      <c r="G3177" s="8" t="s">
        <v>2201</v>
      </c>
      <c r="H3177" s="8" t="s">
        <v>2882</v>
      </c>
    </row>
    <row r="3178" customFormat="false" ht="15" hidden="false" customHeight="false" outlineLevel="0" collapsed="false">
      <c r="A3178" s="7" t="n">
        <v>46203</v>
      </c>
      <c r="B3178" s="7" t="n">
        <v>46311</v>
      </c>
      <c r="C3178" s="8" t="n">
        <v>7309</v>
      </c>
      <c r="D3178" s="8" t="n">
        <v>0</v>
      </c>
      <c r="E3178" s="8" t="n">
        <v>0</v>
      </c>
      <c r="F3178" s="8" t="s">
        <v>2200</v>
      </c>
      <c r="G3178" s="8" t="s">
        <v>2201</v>
      </c>
      <c r="H3178" s="8" t="s">
        <v>2882</v>
      </c>
    </row>
    <row r="3179" customFormat="false" ht="15" hidden="false" customHeight="false" outlineLevel="0" collapsed="false">
      <c r="A3179" s="7" t="n">
        <v>46204</v>
      </c>
      <c r="B3179" s="7" t="n">
        <v>46223</v>
      </c>
      <c r="C3179" s="8" t="n">
        <v>7005</v>
      </c>
      <c r="D3179" s="8" t="n">
        <v>7700</v>
      </c>
      <c r="E3179" s="8" t="n">
        <v>25120</v>
      </c>
      <c r="F3179" s="8" t="s">
        <v>2200</v>
      </c>
      <c r="G3179" s="8" t="s">
        <v>2201</v>
      </c>
      <c r="H3179" s="8" t="s">
        <v>2883</v>
      </c>
    </row>
    <row r="3180" customFormat="false" ht="15" hidden="false" customHeight="false" outlineLevel="0" collapsed="false">
      <c r="A3180" s="7" t="n">
        <v>46204</v>
      </c>
      <c r="B3180" s="7" t="n">
        <v>46254</v>
      </c>
      <c r="C3180" s="8" t="n">
        <v>7089</v>
      </c>
      <c r="D3180" s="8" t="n">
        <v>5815</v>
      </c>
      <c r="E3180" s="8" t="n">
        <v>13080</v>
      </c>
      <c r="F3180" s="8" t="s">
        <v>2200</v>
      </c>
      <c r="G3180" s="8" t="s">
        <v>2201</v>
      </c>
      <c r="H3180" s="8" t="s">
        <v>2883</v>
      </c>
    </row>
    <row r="3181" customFormat="false" ht="15" hidden="false" customHeight="false" outlineLevel="0" collapsed="false">
      <c r="A3181" s="7" t="n">
        <v>46204</v>
      </c>
      <c r="B3181" s="7" t="n">
        <v>46283</v>
      </c>
      <c r="C3181" s="8" t="n">
        <v>7173</v>
      </c>
      <c r="D3181" s="8" t="n">
        <v>0</v>
      </c>
      <c r="E3181" s="8" t="n">
        <v>0</v>
      </c>
      <c r="F3181" s="8" t="s">
        <v>2200</v>
      </c>
      <c r="G3181" s="8" t="s">
        <v>2201</v>
      </c>
      <c r="H3181" s="8" t="s">
        <v>2883</v>
      </c>
    </row>
    <row r="3182" customFormat="false" ht="15" hidden="false" customHeight="false" outlineLevel="0" collapsed="false">
      <c r="A3182" s="7" t="n">
        <v>46204</v>
      </c>
      <c r="B3182" s="7" t="n">
        <v>46311</v>
      </c>
      <c r="C3182" s="8" t="n">
        <v>7257</v>
      </c>
      <c r="D3182" s="8" t="n">
        <v>0</v>
      </c>
      <c r="E3182" s="8" t="n">
        <v>0</v>
      </c>
      <c r="F3182" s="8" t="s">
        <v>2200</v>
      </c>
      <c r="G3182" s="8" t="s">
        <v>2201</v>
      </c>
      <c r="H3182" s="8" t="s">
        <v>2883</v>
      </c>
    </row>
    <row r="3183" customFormat="false" ht="15" hidden="false" customHeight="false" outlineLevel="0" collapsed="false">
      <c r="A3183" s="7" t="n">
        <v>46204</v>
      </c>
      <c r="B3183" s="7" t="n">
        <v>46346</v>
      </c>
      <c r="C3183" s="8" t="n">
        <v>7341</v>
      </c>
      <c r="D3183" s="8" t="n">
        <v>0</v>
      </c>
      <c r="E3183" s="8" t="n">
        <v>0</v>
      </c>
      <c r="F3183" s="8" t="s">
        <v>2200</v>
      </c>
      <c r="G3183" s="8" t="s">
        <v>2201</v>
      </c>
      <c r="H3183" s="8" t="s">
        <v>2883</v>
      </c>
    </row>
    <row r="3184" customFormat="false" ht="15" hidden="false" customHeight="false" outlineLevel="0" collapsed="false">
      <c r="A3184" s="7" t="n">
        <v>46205</v>
      </c>
      <c r="B3184" s="7" t="n">
        <v>46223</v>
      </c>
      <c r="C3184" s="8" t="n">
        <v>6968</v>
      </c>
      <c r="D3184" s="8" t="n">
        <v>5810</v>
      </c>
      <c r="E3184" s="8" t="n">
        <v>24220</v>
      </c>
      <c r="F3184" s="8" t="s">
        <v>2200</v>
      </c>
      <c r="G3184" s="8" t="s">
        <v>2201</v>
      </c>
      <c r="H3184" s="8" t="s">
        <v>2884</v>
      </c>
    </row>
    <row r="3185" customFormat="false" ht="15" hidden="false" customHeight="false" outlineLevel="0" collapsed="false">
      <c r="A3185" s="7" t="n">
        <v>46205</v>
      </c>
      <c r="B3185" s="7" t="n">
        <v>46254</v>
      </c>
      <c r="C3185" s="8" t="n">
        <v>7053</v>
      </c>
      <c r="D3185" s="8" t="n">
        <v>3900</v>
      </c>
      <c r="E3185" s="8" t="n">
        <v>14750</v>
      </c>
      <c r="F3185" s="8" t="s">
        <v>2200</v>
      </c>
      <c r="G3185" s="8" t="s">
        <v>2201</v>
      </c>
      <c r="H3185" s="8" t="s">
        <v>2884</v>
      </c>
    </row>
    <row r="3186" customFormat="false" ht="15" hidden="false" customHeight="false" outlineLevel="0" collapsed="false">
      <c r="A3186" s="7" t="n">
        <v>46205</v>
      </c>
      <c r="B3186" s="7" t="n">
        <v>46283</v>
      </c>
      <c r="C3186" s="8" t="n">
        <v>7138</v>
      </c>
      <c r="D3186" s="8" t="n">
        <v>0</v>
      </c>
      <c r="E3186" s="8" t="n">
        <v>0</v>
      </c>
      <c r="F3186" s="8" t="s">
        <v>2200</v>
      </c>
      <c r="G3186" s="8" t="s">
        <v>2201</v>
      </c>
      <c r="H3186" s="8" t="s">
        <v>2884</v>
      </c>
    </row>
    <row r="3187" customFormat="false" ht="15" hidden="false" customHeight="false" outlineLevel="0" collapsed="false">
      <c r="A3187" s="7" t="n">
        <v>46205</v>
      </c>
      <c r="B3187" s="7" t="n">
        <v>46311</v>
      </c>
      <c r="C3187" s="8" t="n">
        <v>7223</v>
      </c>
      <c r="D3187" s="8" t="n">
        <v>0</v>
      </c>
      <c r="E3187" s="8" t="n">
        <v>0</v>
      </c>
      <c r="F3187" s="8" t="s">
        <v>2200</v>
      </c>
      <c r="G3187" s="8" t="s">
        <v>2201</v>
      </c>
      <c r="H3187" s="8" t="s">
        <v>2884</v>
      </c>
    </row>
    <row r="3188" customFormat="false" ht="15" hidden="false" customHeight="false" outlineLevel="0" collapsed="false">
      <c r="A3188" s="7" t="n">
        <v>46205</v>
      </c>
      <c r="B3188" s="7" t="n">
        <v>46346</v>
      </c>
      <c r="C3188" s="8" t="n">
        <v>7308</v>
      </c>
      <c r="D3188" s="8" t="n">
        <v>0</v>
      </c>
      <c r="E3188" s="8" t="n">
        <v>0</v>
      </c>
      <c r="F3188" s="8" t="s">
        <v>2200</v>
      </c>
      <c r="G3188" s="8" t="s">
        <v>2201</v>
      </c>
      <c r="H3188" s="8" t="s">
        <v>2884</v>
      </c>
    </row>
    <row r="3189" customFormat="false" ht="15" hidden="false" customHeight="false" outlineLevel="0" collapsed="false">
      <c r="A3189" s="7" t="n">
        <v>46206</v>
      </c>
      <c r="B3189" s="7" t="n">
        <v>46223</v>
      </c>
      <c r="C3189" s="8" t="n">
        <v>6958</v>
      </c>
      <c r="D3189" s="8" t="n">
        <v>2825</v>
      </c>
      <c r="E3189" s="8" t="n">
        <v>24105</v>
      </c>
      <c r="F3189" s="8" t="s">
        <v>2200</v>
      </c>
      <c r="G3189" s="8" t="s">
        <v>2201</v>
      </c>
      <c r="H3189" s="8" t="s">
        <v>2885</v>
      </c>
    </row>
    <row r="3190" customFormat="false" ht="15" hidden="false" customHeight="false" outlineLevel="0" collapsed="false">
      <c r="A3190" s="7" t="n">
        <v>46206</v>
      </c>
      <c r="B3190" s="7" t="n">
        <v>46254</v>
      </c>
      <c r="C3190" s="8" t="n">
        <v>7045</v>
      </c>
      <c r="D3190" s="8" t="n">
        <v>2725</v>
      </c>
      <c r="E3190" s="8" t="n">
        <v>15475</v>
      </c>
      <c r="F3190" s="8" t="s">
        <v>2200</v>
      </c>
      <c r="G3190" s="8" t="s">
        <v>2201</v>
      </c>
      <c r="H3190" s="8" t="s">
        <v>2885</v>
      </c>
    </row>
    <row r="3191" customFormat="false" ht="15" hidden="false" customHeight="false" outlineLevel="0" collapsed="false">
      <c r="A3191" s="7" t="n">
        <v>46206</v>
      </c>
      <c r="B3191" s="7" t="n">
        <v>46283</v>
      </c>
      <c r="C3191" s="8" t="n">
        <v>7132</v>
      </c>
      <c r="D3191" s="8" t="n">
        <v>0</v>
      </c>
      <c r="E3191" s="8" t="n">
        <v>0</v>
      </c>
      <c r="F3191" s="8" t="s">
        <v>2200</v>
      </c>
      <c r="G3191" s="8" t="s">
        <v>2201</v>
      </c>
      <c r="H3191" s="8" t="s">
        <v>2885</v>
      </c>
    </row>
    <row r="3192" customFormat="false" ht="15" hidden="false" customHeight="false" outlineLevel="0" collapsed="false">
      <c r="A3192" s="7" t="n">
        <v>46206</v>
      </c>
      <c r="B3192" s="7" t="n">
        <v>46311</v>
      </c>
      <c r="C3192" s="8" t="n">
        <v>7219</v>
      </c>
      <c r="D3192" s="8" t="n">
        <v>0</v>
      </c>
      <c r="E3192" s="8" t="n">
        <v>0</v>
      </c>
      <c r="F3192" s="8" t="s">
        <v>2200</v>
      </c>
      <c r="G3192" s="8" t="s">
        <v>2201</v>
      </c>
      <c r="H3192" s="8" t="s">
        <v>2885</v>
      </c>
    </row>
    <row r="3193" customFormat="false" ht="15" hidden="false" customHeight="false" outlineLevel="0" collapsed="false">
      <c r="A3193" s="7" t="n">
        <v>46206</v>
      </c>
      <c r="B3193" s="7" t="n">
        <v>46346</v>
      </c>
      <c r="C3193" s="8" t="n">
        <v>7306</v>
      </c>
      <c r="D3193" s="8" t="n">
        <v>0</v>
      </c>
      <c r="E3193" s="8" t="n">
        <v>0</v>
      </c>
      <c r="F3193" s="8" t="s">
        <v>2200</v>
      </c>
      <c r="G3193" s="8" t="s">
        <v>2201</v>
      </c>
      <c r="H3193" s="8" t="s">
        <v>2885</v>
      </c>
    </row>
    <row r="3194" customFormat="false" ht="15" hidden="false" customHeight="false" outlineLevel="0" collapsed="false">
      <c r="A3194" s="7" t="n">
        <v>46209</v>
      </c>
      <c r="B3194" s="7" t="n">
        <v>46223</v>
      </c>
      <c r="C3194" s="8" t="n">
        <v>6984</v>
      </c>
      <c r="D3194" s="8" t="n">
        <v>7305</v>
      </c>
      <c r="E3194" s="8" t="n">
        <v>20145</v>
      </c>
      <c r="F3194" s="8" t="s">
        <v>2200</v>
      </c>
      <c r="G3194" s="8" t="s">
        <v>2201</v>
      </c>
      <c r="H3194" s="8" t="s">
        <v>2886</v>
      </c>
    </row>
    <row r="3195" customFormat="false" ht="15" hidden="false" customHeight="false" outlineLevel="0" collapsed="false">
      <c r="A3195" s="7" t="n">
        <v>46209</v>
      </c>
      <c r="B3195" s="7" t="n">
        <v>46254</v>
      </c>
      <c r="C3195" s="8" t="n">
        <v>7070</v>
      </c>
      <c r="D3195" s="8" t="n">
        <v>8035</v>
      </c>
      <c r="E3195" s="8" t="n">
        <v>21375</v>
      </c>
      <c r="F3195" s="8" t="s">
        <v>2200</v>
      </c>
      <c r="G3195" s="8" t="s">
        <v>2201</v>
      </c>
      <c r="H3195" s="8" t="s">
        <v>2886</v>
      </c>
    </row>
    <row r="3196" customFormat="false" ht="15" hidden="false" customHeight="false" outlineLevel="0" collapsed="false">
      <c r="A3196" s="7" t="n">
        <v>46209</v>
      </c>
      <c r="B3196" s="7" t="n">
        <v>46283</v>
      </c>
      <c r="C3196" s="8" t="n">
        <v>7130</v>
      </c>
      <c r="D3196" s="8" t="n">
        <v>15</v>
      </c>
      <c r="E3196" s="8" t="n">
        <v>5</v>
      </c>
      <c r="F3196" s="8" t="s">
        <v>2200</v>
      </c>
      <c r="G3196" s="8" t="s">
        <v>2201</v>
      </c>
      <c r="H3196" s="8" t="s">
        <v>2886</v>
      </c>
    </row>
    <row r="3197" customFormat="false" ht="15" hidden="false" customHeight="false" outlineLevel="0" collapsed="false">
      <c r="A3197" s="7" t="n">
        <v>46209</v>
      </c>
      <c r="B3197" s="7" t="n">
        <v>46311</v>
      </c>
      <c r="C3197" s="8" t="n">
        <v>7190</v>
      </c>
      <c r="D3197" s="8" t="n">
        <v>0</v>
      </c>
      <c r="E3197" s="8" t="n">
        <v>0</v>
      </c>
      <c r="F3197" s="8" t="s">
        <v>2200</v>
      </c>
      <c r="G3197" s="8" t="s">
        <v>2201</v>
      </c>
      <c r="H3197" s="8" t="s">
        <v>2886</v>
      </c>
    </row>
    <row r="3198" customFormat="false" ht="15" hidden="false" customHeight="false" outlineLevel="0" collapsed="false">
      <c r="A3198" s="7" t="n">
        <v>46209</v>
      </c>
      <c r="B3198" s="7" t="n">
        <v>46346</v>
      </c>
      <c r="C3198" s="8" t="n">
        <v>7250</v>
      </c>
      <c r="D3198" s="8" t="n">
        <v>0</v>
      </c>
      <c r="E3198" s="8" t="n">
        <v>0</v>
      </c>
      <c r="F3198" s="8" t="s">
        <v>2200</v>
      </c>
      <c r="G3198" s="8" t="s">
        <v>2201</v>
      </c>
      <c r="H3198" s="8" t="s">
        <v>2886</v>
      </c>
    </row>
    <row r="3199" customFormat="false" ht="15" hidden="false" customHeight="false" outlineLevel="0" collapsed="false">
      <c r="A3199" s="7" t="n">
        <v>46210</v>
      </c>
      <c r="B3199" s="7" t="n">
        <v>46223</v>
      </c>
      <c r="C3199" s="8" t="n">
        <v>7042</v>
      </c>
      <c r="D3199" s="8" t="n">
        <v>5705</v>
      </c>
      <c r="E3199" s="8" t="n">
        <v>17095</v>
      </c>
      <c r="F3199" s="8" t="s">
        <v>2200</v>
      </c>
      <c r="G3199" s="8" t="s">
        <v>2201</v>
      </c>
      <c r="H3199" s="8" t="s">
        <v>2887</v>
      </c>
    </row>
    <row r="3200" customFormat="false" ht="15" hidden="false" customHeight="false" outlineLevel="0" collapsed="false">
      <c r="A3200" s="7" t="n">
        <v>46210</v>
      </c>
      <c r="B3200" s="7" t="n">
        <v>46254</v>
      </c>
      <c r="C3200" s="8" t="n">
        <v>7125</v>
      </c>
      <c r="D3200" s="8" t="n">
        <v>8830</v>
      </c>
      <c r="E3200" s="8" t="n">
        <v>24600</v>
      </c>
      <c r="F3200" s="8" t="s">
        <v>2200</v>
      </c>
      <c r="G3200" s="8" t="s">
        <v>2201</v>
      </c>
      <c r="H3200" s="8" t="s">
        <v>2887</v>
      </c>
    </row>
    <row r="3201" customFormat="false" ht="15" hidden="false" customHeight="false" outlineLevel="0" collapsed="false">
      <c r="A3201" s="7" t="n">
        <v>46210</v>
      </c>
      <c r="B3201" s="7" t="n">
        <v>46283</v>
      </c>
      <c r="C3201" s="8" t="n">
        <v>7208</v>
      </c>
      <c r="D3201" s="8" t="n">
        <v>0</v>
      </c>
      <c r="E3201" s="8" t="n">
        <v>5</v>
      </c>
      <c r="F3201" s="8" t="s">
        <v>2200</v>
      </c>
      <c r="G3201" s="8" t="s">
        <v>2201</v>
      </c>
      <c r="H3201" s="8" t="s">
        <v>2887</v>
      </c>
    </row>
    <row r="3202" customFormat="false" ht="15" hidden="false" customHeight="false" outlineLevel="0" collapsed="false">
      <c r="A3202" s="7" t="n">
        <v>46210</v>
      </c>
      <c r="B3202" s="7" t="n">
        <v>46311</v>
      </c>
      <c r="C3202" s="8" t="n">
        <v>7291</v>
      </c>
      <c r="D3202" s="8" t="n">
        <v>0</v>
      </c>
      <c r="E3202" s="8" t="n">
        <v>0</v>
      </c>
      <c r="F3202" s="8" t="s">
        <v>2200</v>
      </c>
      <c r="G3202" s="8" t="s">
        <v>2201</v>
      </c>
      <c r="H3202" s="8" t="s">
        <v>2887</v>
      </c>
    </row>
    <row r="3203" customFormat="false" ht="15" hidden="false" customHeight="false" outlineLevel="0" collapsed="false">
      <c r="A3203" s="7" t="n">
        <v>46210</v>
      </c>
      <c r="B3203" s="7" t="n">
        <v>46346</v>
      </c>
      <c r="C3203" s="8" t="n">
        <v>7374</v>
      </c>
      <c r="D3203" s="8" t="n">
        <v>0</v>
      </c>
      <c r="E3203" s="8" t="n">
        <v>0</v>
      </c>
      <c r="F3203" s="8" t="s">
        <v>2200</v>
      </c>
      <c r="G3203" s="8" t="s">
        <v>2201</v>
      </c>
      <c r="H3203" s="8" t="s">
        <v>2887</v>
      </c>
    </row>
    <row r="3204" customFormat="false" ht="15" hidden="false" customHeight="false" outlineLevel="0" collapsed="false">
      <c r="A3204" s="7" t="n">
        <v>46211</v>
      </c>
      <c r="B3204" s="7" t="n">
        <v>46223</v>
      </c>
      <c r="C3204" s="8" t="n">
        <v>7046</v>
      </c>
      <c r="D3204" s="8" t="n">
        <v>2600</v>
      </c>
      <c r="E3204" s="8" t="n">
        <v>16085</v>
      </c>
      <c r="F3204" s="8" t="s">
        <v>2200</v>
      </c>
      <c r="G3204" s="8" t="s">
        <v>2201</v>
      </c>
      <c r="H3204" s="8" t="s">
        <v>2888</v>
      </c>
    </row>
    <row r="3205" customFormat="false" ht="15" hidden="false" customHeight="false" outlineLevel="0" collapsed="false">
      <c r="A3205" s="7" t="n">
        <v>46211</v>
      </c>
      <c r="B3205" s="7" t="n">
        <v>46254</v>
      </c>
      <c r="C3205" s="8" t="n">
        <v>7135</v>
      </c>
      <c r="D3205" s="8" t="n">
        <v>3945</v>
      </c>
      <c r="E3205" s="8" t="n">
        <v>25185</v>
      </c>
      <c r="F3205" s="8" t="s">
        <v>2200</v>
      </c>
      <c r="G3205" s="8" t="s">
        <v>2201</v>
      </c>
      <c r="H3205" s="8" t="s">
        <v>2888</v>
      </c>
    </row>
    <row r="3206" customFormat="false" ht="15" hidden="false" customHeight="false" outlineLevel="0" collapsed="false">
      <c r="A3206" s="7" t="n">
        <v>46211</v>
      </c>
      <c r="B3206" s="7" t="n">
        <v>46283</v>
      </c>
      <c r="C3206" s="8" t="n">
        <v>7224</v>
      </c>
      <c r="D3206" s="8" t="n">
        <v>0</v>
      </c>
      <c r="E3206" s="8" t="n">
        <v>5</v>
      </c>
      <c r="F3206" s="8" t="s">
        <v>2200</v>
      </c>
      <c r="G3206" s="8" t="s">
        <v>2201</v>
      </c>
      <c r="H3206" s="8" t="s">
        <v>2888</v>
      </c>
    </row>
    <row r="3207" customFormat="false" ht="15" hidden="false" customHeight="false" outlineLevel="0" collapsed="false">
      <c r="A3207" s="7" t="n">
        <v>46211</v>
      </c>
      <c r="B3207" s="7" t="n">
        <v>46311</v>
      </c>
      <c r="C3207" s="8" t="n">
        <v>7313</v>
      </c>
      <c r="D3207" s="8" t="n">
        <v>0</v>
      </c>
      <c r="E3207" s="8" t="n">
        <v>0</v>
      </c>
      <c r="F3207" s="8" t="s">
        <v>2200</v>
      </c>
      <c r="G3207" s="8" t="s">
        <v>2201</v>
      </c>
      <c r="H3207" s="8" t="s">
        <v>2888</v>
      </c>
    </row>
    <row r="3208" customFormat="false" ht="15" hidden="false" customHeight="false" outlineLevel="0" collapsed="false">
      <c r="A3208" s="7" t="n">
        <v>46211</v>
      </c>
      <c r="B3208" s="7" t="n">
        <v>46346</v>
      </c>
      <c r="C3208" s="8" t="n">
        <v>7402</v>
      </c>
      <c r="D3208" s="8" t="n">
        <v>0</v>
      </c>
      <c r="E3208" s="8" t="n">
        <v>0</v>
      </c>
      <c r="F3208" s="8" t="s">
        <v>2200</v>
      </c>
      <c r="G3208" s="8" t="s">
        <v>2201</v>
      </c>
      <c r="H3208" s="8" t="s">
        <v>2888</v>
      </c>
    </row>
    <row r="3209" customFormat="false" ht="15" hidden="false" customHeight="false" outlineLevel="0" collapsed="false">
      <c r="A3209" s="7" t="n">
        <v>46212</v>
      </c>
      <c r="B3209" s="7" t="n">
        <v>46223</v>
      </c>
      <c r="C3209" s="8" t="n">
        <v>7077</v>
      </c>
      <c r="D3209" s="8" t="n">
        <v>4245</v>
      </c>
      <c r="E3209" s="8" t="n">
        <v>14440</v>
      </c>
      <c r="F3209" s="8" t="s">
        <v>2200</v>
      </c>
      <c r="G3209" s="8" t="s">
        <v>2201</v>
      </c>
      <c r="H3209" s="8" t="s">
        <v>2889</v>
      </c>
    </row>
    <row r="3210" customFormat="false" ht="15" hidden="false" customHeight="false" outlineLevel="0" collapsed="false">
      <c r="A3210" s="7" t="n">
        <v>46212</v>
      </c>
      <c r="B3210" s="7" t="n">
        <v>46254</v>
      </c>
      <c r="C3210" s="8" t="n">
        <v>7164</v>
      </c>
      <c r="D3210" s="8" t="n">
        <v>7375</v>
      </c>
      <c r="E3210" s="8" t="n">
        <v>27825</v>
      </c>
      <c r="F3210" s="8" t="s">
        <v>2200</v>
      </c>
      <c r="G3210" s="8" t="s">
        <v>2201</v>
      </c>
      <c r="H3210" s="8" t="s">
        <v>2889</v>
      </c>
    </row>
    <row r="3211" customFormat="false" ht="15" hidden="false" customHeight="false" outlineLevel="0" collapsed="false">
      <c r="A3211" s="7" t="n">
        <v>46212</v>
      </c>
      <c r="B3211" s="7" t="n">
        <v>46283</v>
      </c>
      <c r="C3211" s="8" t="n">
        <v>7251</v>
      </c>
      <c r="D3211" s="8" t="n">
        <v>0</v>
      </c>
      <c r="E3211" s="8" t="n">
        <v>5</v>
      </c>
      <c r="F3211" s="8" t="s">
        <v>2200</v>
      </c>
      <c r="G3211" s="8" t="s">
        <v>2201</v>
      </c>
      <c r="H3211" s="8" t="s">
        <v>2889</v>
      </c>
    </row>
    <row r="3212" customFormat="false" ht="15" hidden="false" customHeight="false" outlineLevel="0" collapsed="false">
      <c r="A3212" s="7" t="n">
        <v>46212</v>
      </c>
      <c r="B3212" s="7" t="n">
        <v>46311</v>
      </c>
      <c r="C3212" s="8" t="n">
        <v>7338</v>
      </c>
      <c r="D3212" s="8" t="n">
        <v>0</v>
      </c>
      <c r="E3212" s="8" t="n">
        <v>0</v>
      </c>
      <c r="F3212" s="8" t="s">
        <v>2200</v>
      </c>
      <c r="G3212" s="8" t="s">
        <v>2201</v>
      </c>
      <c r="H3212" s="8" t="s">
        <v>2889</v>
      </c>
    </row>
    <row r="3213" customFormat="false" ht="15" hidden="false" customHeight="false" outlineLevel="0" collapsed="false">
      <c r="A3213" s="7" t="n">
        <v>46212</v>
      </c>
      <c r="B3213" s="7" t="n">
        <v>46346</v>
      </c>
      <c r="C3213" s="8" t="n">
        <v>7425</v>
      </c>
      <c r="D3213" s="8" t="n">
        <v>0</v>
      </c>
      <c r="E3213" s="8" t="n">
        <v>0</v>
      </c>
      <c r="F3213" s="8" t="s">
        <v>2200</v>
      </c>
      <c r="G3213" s="8" t="s">
        <v>2201</v>
      </c>
      <c r="H3213" s="8" t="s">
        <v>2889</v>
      </c>
    </row>
    <row r="3214" customFormat="false" ht="15" hidden="false" customHeight="false" outlineLevel="0" collapsed="false">
      <c r="A3214" s="7" t="n">
        <v>46213</v>
      </c>
      <c r="B3214" s="7" t="n">
        <v>46223</v>
      </c>
      <c r="C3214" s="8" t="n">
        <v>7082</v>
      </c>
      <c r="D3214" s="8" t="n">
        <v>2730</v>
      </c>
      <c r="E3214" s="8" t="n">
        <v>12860</v>
      </c>
      <c r="F3214" s="8" t="s">
        <v>2200</v>
      </c>
      <c r="G3214" s="8" t="s">
        <v>2201</v>
      </c>
      <c r="H3214" s="8" t="s">
        <v>2890</v>
      </c>
    </row>
    <row r="3215" customFormat="false" ht="15" hidden="false" customHeight="false" outlineLevel="0" collapsed="false">
      <c r="A3215" s="7" t="n">
        <v>46213</v>
      </c>
      <c r="B3215" s="7" t="n">
        <v>46254</v>
      </c>
      <c r="C3215" s="8" t="n">
        <v>7173</v>
      </c>
      <c r="D3215" s="8" t="n">
        <v>5460</v>
      </c>
      <c r="E3215" s="8" t="n">
        <v>29425</v>
      </c>
      <c r="F3215" s="8" t="s">
        <v>2200</v>
      </c>
      <c r="G3215" s="8" t="s">
        <v>2201</v>
      </c>
      <c r="H3215" s="8" t="s">
        <v>2890</v>
      </c>
    </row>
    <row r="3216" customFormat="false" ht="15" hidden="false" customHeight="false" outlineLevel="0" collapsed="false">
      <c r="A3216" s="7" t="n">
        <v>46213</v>
      </c>
      <c r="B3216" s="7" t="n">
        <v>46283</v>
      </c>
      <c r="C3216" s="8" t="n">
        <v>7264</v>
      </c>
      <c r="D3216" s="8" t="n">
        <v>0</v>
      </c>
      <c r="E3216" s="8" t="n">
        <v>5</v>
      </c>
      <c r="F3216" s="8" t="s">
        <v>2200</v>
      </c>
      <c r="G3216" s="8" t="s">
        <v>2201</v>
      </c>
      <c r="H3216" s="8" t="s">
        <v>2890</v>
      </c>
    </row>
    <row r="3217" customFormat="false" ht="15" hidden="false" customHeight="false" outlineLevel="0" collapsed="false">
      <c r="A3217" s="7" t="n">
        <v>46213</v>
      </c>
      <c r="B3217" s="7" t="n">
        <v>46311</v>
      </c>
      <c r="C3217" s="8" t="n">
        <v>7355</v>
      </c>
      <c r="D3217" s="8" t="n">
        <v>0</v>
      </c>
      <c r="E3217" s="8" t="n">
        <v>0</v>
      </c>
      <c r="F3217" s="8" t="s">
        <v>2200</v>
      </c>
      <c r="G3217" s="8" t="s">
        <v>2201</v>
      </c>
      <c r="H3217" s="8" t="s">
        <v>2890</v>
      </c>
    </row>
    <row r="3218" customFormat="false" ht="15" hidden="false" customHeight="false" outlineLevel="0" collapsed="false">
      <c r="A3218" s="7" t="n">
        <v>46213</v>
      </c>
      <c r="B3218" s="7" t="n">
        <v>46346</v>
      </c>
      <c r="C3218" s="8" t="n">
        <v>7446</v>
      </c>
      <c r="D3218" s="8" t="n">
        <v>0</v>
      </c>
      <c r="E3218" s="8" t="n">
        <v>0</v>
      </c>
      <c r="F3218" s="8" t="s">
        <v>2200</v>
      </c>
      <c r="G3218" s="8" t="s">
        <v>2201</v>
      </c>
      <c r="H3218" s="8" t="s">
        <v>2890</v>
      </c>
    </row>
    <row r="3219" customFormat="false" ht="15" hidden="false" customHeight="false" outlineLevel="0" collapsed="false">
      <c r="A3219" s="7" t="n">
        <v>46216</v>
      </c>
      <c r="B3219" s="7" t="n">
        <v>46223</v>
      </c>
      <c r="C3219" s="8" t="n">
        <v>7131</v>
      </c>
      <c r="D3219" s="8" t="n">
        <v>4845</v>
      </c>
      <c r="E3219" s="8" t="n">
        <v>10390</v>
      </c>
      <c r="F3219" s="8" t="s">
        <v>2200</v>
      </c>
      <c r="G3219" s="8" t="s">
        <v>2201</v>
      </c>
      <c r="H3219" s="8" t="s">
        <v>2891</v>
      </c>
    </row>
    <row r="3220" customFormat="false" ht="15" hidden="false" customHeight="false" outlineLevel="0" collapsed="false">
      <c r="A3220" s="7" t="n">
        <v>46216</v>
      </c>
      <c r="B3220" s="7" t="n">
        <v>46254</v>
      </c>
      <c r="C3220" s="8" t="n">
        <v>7213</v>
      </c>
      <c r="D3220" s="8" t="n">
        <v>9570</v>
      </c>
      <c r="E3220" s="8" t="n">
        <v>30620</v>
      </c>
      <c r="F3220" s="8" t="s">
        <v>2200</v>
      </c>
      <c r="G3220" s="8" t="s">
        <v>2201</v>
      </c>
      <c r="H3220" s="8" t="s">
        <v>2891</v>
      </c>
    </row>
    <row r="3221" customFormat="false" ht="15" hidden="false" customHeight="false" outlineLevel="0" collapsed="false">
      <c r="A3221" s="7" t="n">
        <v>46216</v>
      </c>
      <c r="B3221" s="7" t="n">
        <v>46283</v>
      </c>
      <c r="C3221" s="8" t="n">
        <v>7306</v>
      </c>
      <c r="D3221" s="8" t="n">
        <v>35</v>
      </c>
      <c r="E3221" s="8" t="n">
        <v>40</v>
      </c>
      <c r="F3221" s="8" t="s">
        <v>2200</v>
      </c>
      <c r="G3221" s="8" t="s">
        <v>2201</v>
      </c>
      <c r="H3221" s="8" t="s">
        <v>2891</v>
      </c>
    </row>
    <row r="3222" customFormat="false" ht="15" hidden="false" customHeight="false" outlineLevel="0" collapsed="false">
      <c r="A3222" s="7" t="n">
        <v>46216</v>
      </c>
      <c r="B3222" s="7" t="n">
        <v>46311</v>
      </c>
      <c r="C3222" s="8" t="n">
        <v>7399</v>
      </c>
      <c r="D3222" s="8" t="n">
        <v>0</v>
      </c>
      <c r="E3222" s="8" t="n">
        <v>0</v>
      </c>
      <c r="F3222" s="8" t="s">
        <v>2200</v>
      </c>
      <c r="G3222" s="8" t="s">
        <v>2201</v>
      </c>
      <c r="H3222" s="8" t="s">
        <v>2891</v>
      </c>
    </row>
    <row r="3223" customFormat="false" ht="15" hidden="false" customHeight="false" outlineLevel="0" collapsed="false">
      <c r="A3223" s="7" t="n">
        <v>46216</v>
      </c>
      <c r="B3223" s="7" t="n">
        <v>46346</v>
      </c>
      <c r="C3223" s="8" t="n">
        <v>7492</v>
      </c>
      <c r="D3223" s="8" t="n">
        <v>0</v>
      </c>
      <c r="E3223" s="8" t="n">
        <v>0</v>
      </c>
      <c r="F3223" s="8" t="s">
        <v>2200</v>
      </c>
      <c r="G3223" s="8" t="s">
        <v>2201</v>
      </c>
      <c r="H3223" s="8" t="s">
        <v>2891</v>
      </c>
    </row>
    <row r="3224" customFormat="false" ht="15" hidden="false" customHeight="false" outlineLevel="0" collapsed="false">
      <c r="A3224" s="7" t="n">
        <v>46217</v>
      </c>
      <c r="B3224" s="7" t="n">
        <v>46223</v>
      </c>
      <c r="C3224" s="8" t="n">
        <v>7212</v>
      </c>
      <c r="D3224" s="8" t="n">
        <v>5305</v>
      </c>
      <c r="E3224" s="8" t="n">
        <v>8290</v>
      </c>
      <c r="F3224" s="8" t="s">
        <v>2200</v>
      </c>
      <c r="G3224" s="8" t="s">
        <v>2201</v>
      </c>
      <c r="H3224" s="8" t="s">
        <v>2892</v>
      </c>
    </row>
    <row r="3225" customFormat="false" ht="15" hidden="false" customHeight="false" outlineLevel="0" collapsed="false">
      <c r="A3225" s="7" t="n">
        <v>46217</v>
      </c>
      <c r="B3225" s="7" t="n">
        <v>46254</v>
      </c>
      <c r="C3225" s="8" t="n">
        <v>7287</v>
      </c>
      <c r="D3225" s="8" t="n">
        <v>11830</v>
      </c>
      <c r="E3225" s="8" t="n">
        <v>34740</v>
      </c>
      <c r="F3225" s="8" t="s">
        <v>2200</v>
      </c>
      <c r="G3225" s="8" t="s">
        <v>2201</v>
      </c>
      <c r="H3225" s="8" t="s">
        <v>2892</v>
      </c>
    </row>
    <row r="3226" customFormat="false" ht="15" hidden="false" customHeight="false" outlineLevel="0" collapsed="false">
      <c r="A3226" s="7" t="n">
        <v>46217</v>
      </c>
      <c r="B3226" s="7" t="n">
        <v>46283</v>
      </c>
      <c r="C3226" s="8" t="n">
        <v>7352</v>
      </c>
      <c r="D3226" s="8" t="n">
        <v>140</v>
      </c>
      <c r="E3226" s="8" t="n">
        <v>140</v>
      </c>
      <c r="F3226" s="8" t="s">
        <v>2200</v>
      </c>
      <c r="G3226" s="8" t="s">
        <v>2201</v>
      </c>
      <c r="H3226" s="8" t="s">
        <v>2892</v>
      </c>
    </row>
    <row r="3227" customFormat="false" ht="15" hidden="false" customHeight="false" outlineLevel="0" collapsed="false">
      <c r="A3227" s="7" t="n">
        <v>46217</v>
      </c>
      <c r="B3227" s="7" t="n">
        <v>46311</v>
      </c>
      <c r="C3227" s="8" t="n">
        <v>7417</v>
      </c>
      <c r="D3227" s="8" t="n">
        <v>0</v>
      </c>
      <c r="E3227" s="8" t="n">
        <v>0</v>
      </c>
      <c r="F3227" s="8" t="s">
        <v>2200</v>
      </c>
      <c r="G3227" s="8" t="s">
        <v>2201</v>
      </c>
      <c r="H3227" s="8" t="s">
        <v>2892</v>
      </c>
    </row>
    <row r="3228" customFormat="false" ht="15" hidden="false" customHeight="false" outlineLevel="0" collapsed="false">
      <c r="A3228" s="7" t="n">
        <v>46217</v>
      </c>
      <c r="B3228" s="7" t="n">
        <v>46346</v>
      </c>
      <c r="C3228" s="8" t="n">
        <v>7482</v>
      </c>
      <c r="D3228" s="8" t="n">
        <v>0</v>
      </c>
      <c r="E3228" s="8" t="n">
        <v>0</v>
      </c>
      <c r="F3228" s="8" t="s">
        <v>2200</v>
      </c>
      <c r="G3228" s="8" t="s">
        <v>2201</v>
      </c>
      <c r="H3228" s="8" t="s">
        <v>2892</v>
      </c>
    </row>
    <row r="3229" customFormat="false" ht="15" hidden="false" customHeight="false" outlineLevel="0" collapsed="false">
      <c r="A3229" s="7" t="n">
        <v>46218</v>
      </c>
      <c r="B3229" s="7" t="n">
        <v>46223</v>
      </c>
      <c r="C3229" s="8" t="n">
        <v>7203</v>
      </c>
      <c r="D3229" s="8" t="n">
        <v>2865</v>
      </c>
      <c r="E3229" s="8" t="n">
        <v>6430</v>
      </c>
      <c r="F3229" s="8" t="s">
        <v>2200</v>
      </c>
      <c r="G3229" s="8" t="s">
        <v>2201</v>
      </c>
      <c r="H3229" s="8" t="s">
        <v>2893</v>
      </c>
    </row>
    <row r="3230" customFormat="false" ht="15" hidden="false" customHeight="false" outlineLevel="0" collapsed="false">
      <c r="A3230" s="7" t="n">
        <v>46218</v>
      </c>
      <c r="B3230" s="7" t="n">
        <v>46254</v>
      </c>
      <c r="C3230" s="8" t="n">
        <v>7276</v>
      </c>
      <c r="D3230" s="8" t="n">
        <v>9035</v>
      </c>
      <c r="E3230" s="8" t="n">
        <v>36520</v>
      </c>
      <c r="F3230" s="8" t="s">
        <v>2200</v>
      </c>
      <c r="G3230" s="8" t="s">
        <v>2201</v>
      </c>
      <c r="H3230" s="8" t="s">
        <v>2893</v>
      </c>
    </row>
    <row r="3231" customFormat="false" ht="15" hidden="false" customHeight="false" outlineLevel="0" collapsed="false">
      <c r="A3231" s="7" t="n">
        <v>46218</v>
      </c>
      <c r="B3231" s="7" t="n">
        <v>46283</v>
      </c>
      <c r="C3231" s="8" t="n">
        <v>7345</v>
      </c>
      <c r="D3231" s="8" t="n">
        <v>160</v>
      </c>
      <c r="E3231" s="8" t="n">
        <v>225</v>
      </c>
      <c r="F3231" s="8" t="s">
        <v>2200</v>
      </c>
      <c r="G3231" s="8" t="s">
        <v>2201</v>
      </c>
      <c r="H3231" s="8" t="s">
        <v>2893</v>
      </c>
    </row>
    <row r="3232" customFormat="false" ht="15" hidden="false" customHeight="false" outlineLevel="0" collapsed="false">
      <c r="A3232" s="7" t="n">
        <v>46218</v>
      </c>
      <c r="B3232" s="7" t="n">
        <v>46311</v>
      </c>
      <c r="C3232" s="8" t="n">
        <v>7414</v>
      </c>
      <c r="D3232" s="8" t="n">
        <v>0</v>
      </c>
      <c r="E3232" s="8" t="n">
        <v>0</v>
      </c>
      <c r="F3232" s="8" t="s">
        <v>2200</v>
      </c>
      <c r="G3232" s="8" t="s">
        <v>2201</v>
      </c>
      <c r="H3232" s="8" t="s">
        <v>2893</v>
      </c>
    </row>
    <row r="3233" customFormat="false" ht="15" hidden="false" customHeight="false" outlineLevel="0" collapsed="false">
      <c r="A3233" s="7" t="n">
        <v>46218</v>
      </c>
      <c r="B3233" s="7" t="n">
        <v>46346</v>
      </c>
      <c r="C3233" s="8" t="n">
        <v>7483</v>
      </c>
      <c r="D3233" s="8" t="n">
        <v>0</v>
      </c>
      <c r="E3233" s="8" t="n">
        <v>0</v>
      </c>
      <c r="F3233" s="8" t="s">
        <v>2200</v>
      </c>
      <c r="G3233" s="8" t="s">
        <v>2201</v>
      </c>
      <c r="H3233" s="8" t="s">
        <v>2893</v>
      </c>
    </row>
    <row r="3234" customFormat="false" ht="15" hidden="false" customHeight="false" outlineLevel="0" collapsed="false">
      <c r="A3234" s="7" t="n">
        <v>46219</v>
      </c>
      <c r="B3234" s="7" t="n">
        <v>46223</v>
      </c>
      <c r="C3234" s="8" t="n">
        <v>7100</v>
      </c>
      <c r="D3234" s="8" t="n">
        <v>4590</v>
      </c>
      <c r="E3234" s="8" t="n">
        <v>3670</v>
      </c>
      <c r="F3234" s="8" t="s">
        <v>2200</v>
      </c>
      <c r="G3234" s="8" t="s">
        <v>2201</v>
      </c>
      <c r="H3234" s="8" t="s">
        <v>2894</v>
      </c>
    </row>
    <row r="3235" customFormat="false" ht="15" hidden="false" customHeight="false" outlineLevel="0" collapsed="false">
      <c r="A3235" s="7" t="n">
        <v>46219</v>
      </c>
      <c r="B3235" s="7" t="n">
        <v>46254</v>
      </c>
      <c r="C3235" s="8" t="n">
        <v>7186</v>
      </c>
      <c r="D3235" s="8" t="n">
        <v>12240</v>
      </c>
      <c r="E3235" s="8" t="n">
        <v>38470</v>
      </c>
      <c r="F3235" s="8" t="s">
        <v>2200</v>
      </c>
      <c r="G3235" s="8" t="s">
        <v>2201</v>
      </c>
      <c r="H3235" s="8" t="s">
        <v>2894</v>
      </c>
    </row>
    <row r="3236" customFormat="false" ht="15" hidden="false" customHeight="false" outlineLevel="0" collapsed="false">
      <c r="A3236" s="7" t="n">
        <v>46219</v>
      </c>
      <c r="B3236" s="7" t="n">
        <v>46283</v>
      </c>
      <c r="C3236" s="8" t="n">
        <v>7306</v>
      </c>
      <c r="D3236" s="8" t="n">
        <v>55</v>
      </c>
      <c r="E3236" s="8" t="n">
        <v>240</v>
      </c>
      <c r="F3236" s="8" t="s">
        <v>2200</v>
      </c>
      <c r="G3236" s="8" t="s">
        <v>2201</v>
      </c>
      <c r="H3236" s="8" t="s">
        <v>2894</v>
      </c>
    </row>
    <row r="3237" customFormat="false" ht="15" hidden="false" customHeight="false" outlineLevel="0" collapsed="false">
      <c r="A3237" s="7" t="n">
        <v>46219</v>
      </c>
      <c r="B3237" s="7" t="n">
        <v>46311</v>
      </c>
      <c r="C3237" s="8" t="n">
        <v>7426</v>
      </c>
      <c r="D3237" s="8" t="n">
        <v>0</v>
      </c>
      <c r="E3237" s="8" t="n">
        <v>0</v>
      </c>
      <c r="F3237" s="8" t="s">
        <v>2200</v>
      </c>
      <c r="G3237" s="8" t="s">
        <v>2201</v>
      </c>
      <c r="H3237" s="8" t="s">
        <v>2894</v>
      </c>
    </row>
    <row r="3238" customFormat="false" ht="15" hidden="false" customHeight="false" outlineLevel="0" collapsed="false">
      <c r="A3238" s="7" t="n">
        <v>46219</v>
      </c>
      <c r="B3238" s="7" t="n">
        <v>46346</v>
      </c>
      <c r="C3238" s="8" t="n">
        <v>7546</v>
      </c>
      <c r="D3238" s="8" t="n">
        <v>0</v>
      </c>
      <c r="E3238" s="8" t="n">
        <v>0</v>
      </c>
      <c r="F3238" s="8" t="s">
        <v>2200</v>
      </c>
      <c r="G3238" s="8" t="s">
        <v>2201</v>
      </c>
      <c r="H3238" s="8" t="s">
        <v>2894</v>
      </c>
    </row>
    <row r="3239" customFormat="false" ht="15" hidden="false" customHeight="false" outlineLevel="0" collapsed="false">
      <c r="A3239" s="7" t="n">
        <v>46220</v>
      </c>
      <c r="B3239" s="7" t="n">
        <v>46223</v>
      </c>
      <c r="C3239" s="8" t="n">
        <v>7113</v>
      </c>
      <c r="D3239" s="8" t="n">
        <v>420</v>
      </c>
      <c r="E3239" s="8" t="n">
        <v>1575</v>
      </c>
      <c r="F3239" s="8" t="s">
        <v>2200</v>
      </c>
      <c r="G3239" s="8" t="s">
        <v>2201</v>
      </c>
      <c r="H3239" s="8" t="s">
        <v>2895</v>
      </c>
    </row>
    <row r="3240" customFormat="false" ht="15" hidden="false" customHeight="false" outlineLevel="0" collapsed="false">
      <c r="A3240" s="7" t="n">
        <v>46220</v>
      </c>
      <c r="B3240" s="7" t="n">
        <v>46254</v>
      </c>
      <c r="C3240" s="8" t="n">
        <v>7230</v>
      </c>
      <c r="D3240" s="8" t="n">
        <v>5920</v>
      </c>
      <c r="E3240" s="8" t="n">
        <v>38775</v>
      </c>
      <c r="F3240" s="8" t="s">
        <v>2200</v>
      </c>
      <c r="G3240" s="8" t="s">
        <v>2201</v>
      </c>
      <c r="H3240" s="8" t="s">
        <v>2895</v>
      </c>
    </row>
    <row r="3241" customFormat="false" ht="15" hidden="false" customHeight="false" outlineLevel="0" collapsed="false">
      <c r="A3241" s="7" t="n">
        <v>46220</v>
      </c>
      <c r="B3241" s="7" t="n">
        <v>46283</v>
      </c>
      <c r="C3241" s="8" t="n">
        <v>7326</v>
      </c>
      <c r="D3241" s="8" t="n">
        <v>160</v>
      </c>
      <c r="E3241" s="8" t="n">
        <v>355</v>
      </c>
      <c r="F3241" s="8" t="s">
        <v>2200</v>
      </c>
      <c r="G3241" s="8" t="s">
        <v>2201</v>
      </c>
      <c r="H3241" s="8" t="s">
        <v>2895</v>
      </c>
    </row>
    <row r="3242" customFormat="false" ht="15" hidden="false" customHeight="false" outlineLevel="0" collapsed="false">
      <c r="A3242" s="7" t="n">
        <v>46220</v>
      </c>
      <c r="B3242" s="7" t="n">
        <v>46311</v>
      </c>
      <c r="C3242" s="8" t="n">
        <v>7422</v>
      </c>
      <c r="D3242" s="8" t="n">
        <v>0</v>
      </c>
      <c r="E3242" s="8" t="n">
        <v>0</v>
      </c>
      <c r="F3242" s="8" t="s">
        <v>2200</v>
      </c>
      <c r="G3242" s="8" t="s">
        <v>2201</v>
      </c>
      <c r="H3242" s="8" t="s">
        <v>2895</v>
      </c>
    </row>
    <row r="3243" customFormat="false" ht="15" hidden="false" customHeight="false" outlineLevel="0" collapsed="false">
      <c r="A3243" s="7" t="n">
        <v>46220</v>
      </c>
      <c r="B3243" s="7" t="n">
        <v>46346</v>
      </c>
      <c r="C3243" s="8" t="n">
        <v>7518</v>
      </c>
      <c r="D3243" s="8" t="n">
        <v>0</v>
      </c>
      <c r="E3243" s="8" t="n">
        <v>0</v>
      </c>
      <c r="F3243" s="8" t="s">
        <v>2200</v>
      </c>
      <c r="G3243" s="8" t="s">
        <v>2201</v>
      </c>
      <c r="H3243" s="8" t="s">
        <v>2895</v>
      </c>
    </row>
    <row r="3244" customFormat="false" ht="15" hidden="false" customHeight="false" outlineLevel="0" collapsed="false">
      <c r="A3244" s="7" t="n">
        <v>46223</v>
      </c>
      <c r="B3244" s="7" t="n">
        <v>46223</v>
      </c>
      <c r="C3244" s="8" t="n">
        <v>7124</v>
      </c>
      <c r="D3244" s="8" t="n">
        <v>645</v>
      </c>
      <c r="E3244" s="8" t="n">
        <v>860</v>
      </c>
      <c r="F3244" s="8" t="s">
        <v>2200</v>
      </c>
      <c r="G3244" s="8" t="s">
        <v>2201</v>
      </c>
      <c r="H3244" s="8" t="s">
        <v>2896</v>
      </c>
    </row>
    <row r="3245" customFormat="false" ht="15" hidden="false" customHeight="false" outlineLevel="0" collapsed="false">
      <c r="A3245" s="7" t="n">
        <v>46223</v>
      </c>
      <c r="B3245" s="7" t="n">
        <v>46254</v>
      </c>
      <c r="C3245" s="8" t="n">
        <v>7191</v>
      </c>
      <c r="D3245" s="8" t="n">
        <v>7030</v>
      </c>
      <c r="E3245" s="8" t="n">
        <v>38580</v>
      </c>
      <c r="F3245" s="8" t="s">
        <v>2200</v>
      </c>
      <c r="G3245" s="8" t="s">
        <v>2201</v>
      </c>
      <c r="H3245" s="8" t="s">
        <v>2896</v>
      </c>
    </row>
    <row r="3246" customFormat="false" ht="15" hidden="false" customHeight="false" outlineLevel="0" collapsed="false">
      <c r="A3246" s="7" t="n">
        <v>46223</v>
      </c>
      <c r="B3246" s="7" t="n">
        <v>46283</v>
      </c>
      <c r="C3246" s="8" t="n">
        <v>7271</v>
      </c>
      <c r="D3246" s="8" t="n">
        <v>450</v>
      </c>
      <c r="E3246" s="8" t="n">
        <v>575</v>
      </c>
      <c r="F3246" s="8" t="s">
        <v>2200</v>
      </c>
      <c r="G3246" s="8" t="s">
        <v>2201</v>
      </c>
      <c r="H3246" s="8" t="s">
        <v>2896</v>
      </c>
    </row>
    <row r="3247" customFormat="false" ht="15" hidden="false" customHeight="false" outlineLevel="0" collapsed="false">
      <c r="A3247" s="7" t="n">
        <v>46223</v>
      </c>
      <c r="B3247" s="7" t="n">
        <v>46311</v>
      </c>
      <c r="C3247" s="8" t="n">
        <v>7351</v>
      </c>
      <c r="D3247" s="8" t="n">
        <v>0</v>
      </c>
      <c r="E3247" s="8" t="n">
        <v>0</v>
      </c>
      <c r="F3247" s="8" t="s">
        <v>2200</v>
      </c>
      <c r="G3247" s="8" t="s">
        <v>2201</v>
      </c>
      <c r="H3247" s="8" t="s">
        <v>2896</v>
      </c>
    </row>
    <row r="3248" customFormat="false" ht="15" hidden="false" customHeight="false" outlineLevel="0" collapsed="false">
      <c r="A3248" s="7" t="n">
        <v>46223</v>
      </c>
      <c r="B3248" s="7" t="n">
        <v>46346</v>
      </c>
      <c r="C3248" s="8" t="n">
        <v>7431</v>
      </c>
      <c r="D3248" s="8" t="n">
        <v>0</v>
      </c>
      <c r="E3248" s="8" t="n">
        <v>0</v>
      </c>
      <c r="F3248" s="8" t="s">
        <v>2200</v>
      </c>
      <c r="G3248" s="8" t="s">
        <v>2201</v>
      </c>
      <c r="H3248" s="8" t="s">
        <v>2896</v>
      </c>
    </row>
    <row r="3249" customFormat="false" ht="15" hidden="false" customHeight="false" outlineLevel="0" collapsed="false">
      <c r="A3249" s="7" t="n">
        <v>46224</v>
      </c>
      <c r="B3249" s="7" t="n">
        <v>46254</v>
      </c>
      <c r="C3249" s="8" t="n">
        <v>7170</v>
      </c>
      <c r="D3249" s="8" t="n">
        <v>6735</v>
      </c>
      <c r="E3249" s="8" t="n">
        <v>37960</v>
      </c>
      <c r="F3249" s="8" t="s">
        <v>2200</v>
      </c>
      <c r="G3249" s="8" t="s">
        <v>2201</v>
      </c>
      <c r="H3249" s="8" t="s">
        <v>2897</v>
      </c>
    </row>
    <row r="3250" customFormat="false" ht="15" hidden="false" customHeight="false" outlineLevel="0" collapsed="false">
      <c r="A3250" s="7" t="n">
        <v>46224</v>
      </c>
      <c r="B3250" s="7" t="n">
        <v>46283</v>
      </c>
      <c r="C3250" s="8" t="n">
        <v>7249</v>
      </c>
      <c r="D3250" s="8" t="n">
        <v>920</v>
      </c>
      <c r="E3250" s="8" t="n">
        <v>965</v>
      </c>
      <c r="F3250" s="8" t="s">
        <v>2200</v>
      </c>
      <c r="G3250" s="8" t="s">
        <v>2201</v>
      </c>
      <c r="H3250" s="8" t="s">
        <v>2897</v>
      </c>
    </row>
    <row r="3251" customFormat="false" ht="15" hidden="false" customHeight="false" outlineLevel="0" collapsed="false">
      <c r="A3251" s="7" t="n">
        <v>46224</v>
      </c>
      <c r="B3251" s="7" t="n">
        <v>46311</v>
      </c>
      <c r="C3251" s="8" t="n">
        <v>7328</v>
      </c>
      <c r="D3251" s="8" t="n">
        <v>0</v>
      </c>
      <c r="E3251" s="8" t="n">
        <v>0</v>
      </c>
      <c r="F3251" s="8" t="s">
        <v>2200</v>
      </c>
      <c r="G3251" s="8" t="s">
        <v>2201</v>
      </c>
      <c r="H3251" s="8" t="s">
        <v>2897</v>
      </c>
    </row>
    <row r="3252" customFormat="false" ht="15" hidden="false" customHeight="false" outlineLevel="0" collapsed="false">
      <c r="A3252" s="7" t="n">
        <v>46224</v>
      </c>
      <c r="B3252" s="7" t="n">
        <v>46346</v>
      </c>
      <c r="C3252" s="8" t="n">
        <v>7407</v>
      </c>
      <c r="D3252" s="8" t="n">
        <v>0</v>
      </c>
      <c r="E3252" s="8" t="n">
        <v>0</v>
      </c>
      <c r="F3252" s="8" t="s">
        <v>2200</v>
      </c>
      <c r="G3252" s="8" t="s">
        <v>2201</v>
      </c>
      <c r="H3252" s="8" t="s">
        <v>2897</v>
      </c>
    </row>
    <row r="3253" customFormat="false" ht="15" hidden="false" customHeight="false" outlineLevel="0" collapsed="false">
      <c r="A3253" s="7" t="n">
        <v>46225</v>
      </c>
      <c r="B3253" s="7" t="n">
        <v>46254</v>
      </c>
      <c r="C3253" s="8" t="n">
        <v>7173</v>
      </c>
      <c r="D3253" s="8" t="n">
        <v>3280</v>
      </c>
      <c r="E3253" s="8" t="n">
        <v>36990</v>
      </c>
      <c r="F3253" s="8" t="s">
        <v>2200</v>
      </c>
      <c r="G3253" s="8" t="s">
        <v>2201</v>
      </c>
      <c r="H3253" s="8" t="s">
        <v>2898</v>
      </c>
    </row>
    <row r="3254" customFormat="false" ht="15" hidden="false" customHeight="false" outlineLevel="0" collapsed="false">
      <c r="A3254" s="7" t="n">
        <v>46225</v>
      </c>
      <c r="B3254" s="7" t="n">
        <v>46283</v>
      </c>
      <c r="C3254" s="8" t="n">
        <v>7242</v>
      </c>
      <c r="D3254" s="8" t="n">
        <v>1040</v>
      </c>
      <c r="E3254" s="8" t="n">
        <v>1810</v>
      </c>
      <c r="F3254" s="8" t="s">
        <v>2200</v>
      </c>
      <c r="G3254" s="8" t="s">
        <v>2201</v>
      </c>
      <c r="H3254" s="8" t="s">
        <v>2898</v>
      </c>
    </row>
    <row r="3255" customFormat="false" ht="15" hidden="false" customHeight="false" outlineLevel="0" collapsed="false">
      <c r="A3255" s="7" t="n">
        <v>46225</v>
      </c>
      <c r="B3255" s="7" t="n">
        <v>46311</v>
      </c>
      <c r="C3255" s="8" t="n">
        <v>7311</v>
      </c>
      <c r="D3255" s="8" t="n">
        <v>0</v>
      </c>
      <c r="E3255" s="8" t="n">
        <v>0</v>
      </c>
      <c r="F3255" s="8" t="s">
        <v>2200</v>
      </c>
      <c r="G3255" s="8" t="s">
        <v>2201</v>
      </c>
      <c r="H3255" s="8" t="s">
        <v>2898</v>
      </c>
    </row>
    <row r="3256" customFormat="false" ht="15" hidden="false" customHeight="false" outlineLevel="0" collapsed="false">
      <c r="A3256" s="7" t="n">
        <v>46225</v>
      </c>
      <c r="B3256" s="7" t="n">
        <v>46346</v>
      </c>
      <c r="C3256" s="8" t="n">
        <v>7380</v>
      </c>
      <c r="D3256" s="8" t="n">
        <v>0</v>
      </c>
      <c r="E3256" s="8" t="n">
        <v>0</v>
      </c>
      <c r="F3256" s="8" t="s">
        <v>2200</v>
      </c>
      <c r="G3256" s="8" t="s">
        <v>2201</v>
      </c>
      <c r="H3256" s="8" t="s">
        <v>2898</v>
      </c>
    </row>
    <row r="3257" customFormat="false" ht="15" hidden="false" customHeight="false" outlineLevel="0" collapsed="false">
      <c r="A3257" s="7" t="n">
        <v>46226</v>
      </c>
      <c r="B3257" s="7" t="n">
        <v>46254</v>
      </c>
      <c r="C3257" s="8" t="n">
        <v>7107</v>
      </c>
      <c r="D3257" s="8" t="n">
        <v>7805</v>
      </c>
      <c r="E3257" s="8" t="n">
        <v>34555</v>
      </c>
      <c r="F3257" s="8" t="s">
        <v>2200</v>
      </c>
      <c r="G3257" s="8" t="s">
        <v>2201</v>
      </c>
      <c r="H3257" s="8" t="s">
        <v>2899</v>
      </c>
    </row>
    <row r="3258" customFormat="false" ht="15" hidden="false" customHeight="false" outlineLevel="0" collapsed="false">
      <c r="A3258" s="7" t="n">
        <v>46226</v>
      </c>
      <c r="B3258" s="7" t="n">
        <v>46283</v>
      </c>
      <c r="C3258" s="8" t="n">
        <v>7189</v>
      </c>
      <c r="D3258" s="8" t="n">
        <v>3275</v>
      </c>
      <c r="E3258" s="8" t="n">
        <v>3085</v>
      </c>
      <c r="F3258" s="8" t="s">
        <v>2200</v>
      </c>
      <c r="G3258" s="8" t="s">
        <v>2201</v>
      </c>
      <c r="H3258" s="8" t="s">
        <v>2899</v>
      </c>
    </row>
    <row r="3259" customFormat="false" ht="15" hidden="false" customHeight="false" outlineLevel="0" collapsed="false">
      <c r="A3259" s="7" t="n">
        <v>46226</v>
      </c>
      <c r="B3259" s="7" t="n">
        <v>46311</v>
      </c>
      <c r="C3259" s="8" t="n">
        <v>7271</v>
      </c>
      <c r="D3259" s="8" t="n">
        <v>0</v>
      </c>
      <c r="E3259" s="8" t="n">
        <v>0</v>
      </c>
      <c r="F3259" s="8" t="s">
        <v>2200</v>
      </c>
      <c r="G3259" s="8" t="s">
        <v>2201</v>
      </c>
      <c r="H3259" s="8" t="s">
        <v>2899</v>
      </c>
    </row>
    <row r="3260" customFormat="false" ht="15" hidden="false" customHeight="false" outlineLevel="0" collapsed="false">
      <c r="A3260" s="7" t="n">
        <v>46226</v>
      </c>
      <c r="B3260" s="7" t="n">
        <v>46346</v>
      </c>
      <c r="C3260" s="8" t="n">
        <v>7353</v>
      </c>
      <c r="D3260" s="8" t="n">
        <v>0</v>
      </c>
      <c r="E3260" s="8" t="n">
        <v>0</v>
      </c>
      <c r="F3260" s="8" t="s">
        <v>2200</v>
      </c>
      <c r="G3260" s="8" t="s">
        <v>2201</v>
      </c>
      <c r="H3260" s="8" t="s">
        <v>2899</v>
      </c>
    </row>
    <row r="3261" customFormat="false" ht="15" hidden="false" customHeight="false" outlineLevel="0" collapsed="false">
      <c r="A3261" s="7" t="n">
        <v>46227</v>
      </c>
      <c r="B3261" s="7" t="n">
        <v>46254</v>
      </c>
      <c r="C3261" s="8" t="n">
        <v>7126</v>
      </c>
      <c r="D3261" s="8" t="n">
        <v>5465</v>
      </c>
      <c r="E3261" s="8" t="n">
        <v>33685</v>
      </c>
      <c r="F3261" s="8" t="s">
        <v>2200</v>
      </c>
      <c r="G3261" s="8" t="s">
        <v>2201</v>
      </c>
      <c r="H3261" s="8" t="s">
        <v>2900</v>
      </c>
    </row>
    <row r="3262" customFormat="false" ht="15" hidden="false" customHeight="false" outlineLevel="0" collapsed="false">
      <c r="A3262" s="7" t="n">
        <v>46227</v>
      </c>
      <c r="B3262" s="7" t="n">
        <v>46283</v>
      </c>
      <c r="C3262" s="8" t="n">
        <v>7201</v>
      </c>
      <c r="D3262" s="8" t="n">
        <v>2480</v>
      </c>
      <c r="E3262" s="8" t="n">
        <v>4650</v>
      </c>
      <c r="F3262" s="8" t="s">
        <v>2200</v>
      </c>
      <c r="G3262" s="8" t="s">
        <v>2201</v>
      </c>
      <c r="H3262" s="8" t="s">
        <v>2900</v>
      </c>
    </row>
    <row r="3263" customFormat="false" ht="15" hidden="false" customHeight="false" outlineLevel="0" collapsed="false">
      <c r="A3263" s="7" t="n">
        <v>46227</v>
      </c>
      <c r="B3263" s="7" t="n">
        <v>46311</v>
      </c>
      <c r="C3263" s="8" t="n">
        <v>7276</v>
      </c>
      <c r="D3263" s="8" t="n">
        <v>0</v>
      </c>
      <c r="E3263" s="8" t="n">
        <v>0</v>
      </c>
      <c r="F3263" s="8" t="s">
        <v>2200</v>
      </c>
      <c r="G3263" s="8" t="s">
        <v>2201</v>
      </c>
      <c r="H3263" s="8" t="s">
        <v>2900</v>
      </c>
    </row>
    <row r="3264" customFormat="false" ht="15" hidden="false" customHeight="false" outlineLevel="0" collapsed="false">
      <c r="A3264" s="7" t="n">
        <v>46227</v>
      </c>
      <c r="B3264" s="7" t="n">
        <v>46346</v>
      </c>
      <c r="C3264" s="8" t="n">
        <v>7351</v>
      </c>
      <c r="D3264" s="8" t="n">
        <v>0</v>
      </c>
      <c r="E3264" s="8" t="n">
        <v>0</v>
      </c>
      <c r="F3264" s="8" t="s">
        <v>2200</v>
      </c>
      <c r="G3264" s="8" t="s">
        <v>2201</v>
      </c>
      <c r="H3264" s="8" t="s">
        <v>2900</v>
      </c>
    </row>
    <row r="3265" customFormat="false" ht="15" hidden="false" customHeight="false" outlineLevel="0" collapsed="false">
      <c r="A3265" s="7" t="n">
        <v>46230</v>
      </c>
      <c r="B3265" s="7" t="n">
        <v>46254</v>
      </c>
      <c r="C3265" s="8" t="n">
        <v>7013</v>
      </c>
      <c r="D3265" s="8" t="n">
        <v>7365</v>
      </c>
      <c r="E3265" s="8" t="n">
        <v>31945</v>
      </c>
      <c r="F3265" s="8" t="s">
        <v>2200</v>
      </c>
      <c r="G3265" s="8" t="s">
        <v>2201</v>
      </c>
      <c r="H3265" s="8" t="s">
        <v>2901</v>
      </c>
    </row>
    <row r="3266" customFormat="false" ht="15" hidden="false" customHeight="false" outlineLevel="0" collapsed="false">
      <c r="A3266" s="7" t="n">
        <v>46230</v>
      </c>
      <c r="B3266" s="7" t="n">
        <v>46283</v>
      </c>
      <c r="C3266" s="8" t="n">
        <v>7094</v>
      </c>
      <c r="D3266" s="8" t="n">
        <v>3945</v>
      </c>
      <c r="E3266" s="8" t="n">
        <v>5795</v>
      </c>
      <c r="F3266" s="8" t="s">
        <v>2200</v>
      </c>
      <c r="G3266" s="8" t="s">
        <v>2201</v>
      </c>
      <c r="H3266" s="8" t="s">
        <v>2901</v>
      </c>
    </row>
    <row r="3267" customFormat="false" ht="15" hidden="false" customHeight="false" outlineLevel="0" collapsed="false">
      <c r="A3267" s="7" t="n">
        <v>46230</v>
      </c>
      <c r="B3267" s="7" t="n">
        <v>46311</v>
      </c>
      <c r="C3267" s="8" t="n">
        <v>7175</v>
      </c>
      <c r="D3267" s="8" t="n">
        <v>0</v>
      </c>
      <c r="E3267" s="8" t="n">
        <v>0</v>
      </c>
      <c r="F3267" s="8" t="s">
        <v>2200</v>
      </c>
      <c r="G3267" s="8" t="s">
        <v>2201</v>
      </c>
      <c r="H3267" s="8" t="s">
        <v>2901</v>
      </c>
    </row>
    <row r="3268" customFormat="false" ht="15" hidden="false" customHeight="false" outlineLevel="0" collapsed="false">
      <c r="A3268" s="7" t="n">
        <v>46230</v>
      </c>
      <c r="B3268" s="7" t="n">
        <v>46346</v>
      </c>
      <c r="C3268" s="8" t="n">
        <v>7256</v>
      </c>
      <c r="D3268" s="8" t="n">
        <v>0</v>
      </c>
      <c r="E3268" s="8" t="n">
        <v>0</v>
      </c>
      <c r="F3268" s="8" t="s">
        <v>2200</v>
      </c>
      <c r="G3268" s="8" t="s">
        <v>2201</v>
      </c>
      <c r="H3268" s="8" t="s">
        <v>2901</v>
      </c>
    </row>
    <row r="3269" customFormat="false" ht="15" hidden="false" customHeight="false" outlineLevel="0" collapsed="false">
      <c r="A3269" s="7" t="n">
        <v>46231</v>
      </c>
      <c r="B3269" s="7" t="n">
        <v>46254</v>
      </c>
      <c r="C3269" s="8" t="n">
        <v>7023</v>
      </c>
      <c r="D3269" s="8" t="n">
        <v>5910</v>
      </c>
      <c r="E3269" s="8" t="n">
        <v>30085</v>
      </c>
      <c r="F3269" s="8" t="s">
        <v>2200</v>
      </c>
      <c r="G3269" s="8" t="s">
        <v>2201</v>
      </c>
      <c r="H3269" s="8" t="s">
        <v>2902</v>
      </c>
    </row>
    <row r="3270" customFormat="false" ht="15" hidden="false" customHeight="false" outlineLevel="0" collapsed="false">
      <c r="A3270" s="7" t="n">
        <v>46231</v>
      </c>
      <c r="B3270" s="7" t="n">
        <v>46283</v>
      </c>
      <c r="C3270" s="8" t="n">
        <v>7102</v>
      </c>
      <c r="D3270" s="8" t="n">
        <v>3150</v>
      </c>
      <c r="E3270" s="8" t="n">
        <v>6890</v>
      </c>
      <c r="F3270" s="8" t="s">
        <v>2200</v>
      </c>
      <c r="G3270" s="8" t="s">
        <v>2201</v>
      </c>
      <c r="H3270" s="8" t="s">
        <v>2902</v>
      </c>
    </row>
    <row r="3271" customFormat="false" ht="15" hidden="false" customHeight="false" outlineLevel="0" collapsed="false">
      <c r="A3271" s="7" t="n">
        <v>46231</v>
      </c>
      <c r="B3271" s="7" t="n">
        <v>46311</v>
      </c>
      <c r="C3271" s="8" t="n">
        <v>7181</v>
      </c>
      <c r="D3271" s="8" t="n">
        <v>0</v>
      </c>
      <c r="E3271" s="8" t="n">
        <v>0</v>
      </c>
      <c r="F3271" s="8" t="s">
        <v>2200</v>
      </c>
      <c r="G3271" s="8" t="s">
        <v>2201</v>
      </c>
      <c r="H3271" s="8" t="s">
        <v>2902</v>
      </c>
    </row>
    <row r="3272" customFormat="false" ht="15" hidden="false" customHeight="false" outlineLevel="0" collapsed="false">
      <c r="A3272" s="7" t="n">
        <v>46231</v>
      </c>
      <c r="B3272" s="7" t="n">
        <v>46346</v>
      </c>
      <c r="C3272" s="8" t="n">
        <v>7260</v>
      </c>
      <c r="D3272" s="8" t="n">
        <v>0</v>
      </c>
      <c r="E3272" s="8" t="n">
        <v>0</v>
      </c>
      <c r="F3272" s="8" t="s">
        <v>2200</v>
      </c>
      <c r="G3272" s="8" t="s">
        <v>2201</v>
      </c>
      <c r="H3272" s="8" t="s">
        <v>2902</v>
      </c>
    </row>
    <row r="3273" customFormat="false" ht="15" hidden="false" customHeight="false" outlineLevel="0" collapsed="false">
      <c r="A3273" s="7" t="n">
        <v>46232</v>
      </c>
      <c r="B3273" s="7" t="n">
        <v>46254</v>
      </c>
      <c r="C3273" s="8" t="n">
        <v>7040</v>
      </c>
      <c r="D3273" s="8" t="n">
        <v>2700</v>
      </c>
      <c r="E3273" s="8" t="n">
        <v>29670</v>
      </c>
      <c r="F3273" s="8" t="s">
        <v>2200</v>
      </c>
      <c r="G3273" s="8" t="s">
        <v>2201</v>
      </c>
      <c r="H3273" s="8" t="s">
        <v>2903</v>
      </c>
    </row>
    <row r="3274" customFormat="false" ht="15" hidden="false" customHeight="false" outlineLevel="0" collapsed="false">
      <c r="A3274" s="7" t="n">
        <v>46232</v>
      </c>
      <c r="B3274" s="7" t="n">
        <v>46283</v>
      </c>
      <c r="C3274" s="8" t="n">
        <v>7113</v>
      </c>
      <c r="D3274" s="8" t="n">
        <v>950</v>
      </c>
      <c r="E3274" s="8" t="n">
        <v>7395</v>
      </c>
      <c r="F3274" s="8" t="s">
        <v>2200</v>
      </c>
      <c r="G3274" s="8" t="s">
        <v>2201</v>
      </c>
      <c r="H3274" s="8" t="s">
        <v>2903</v>
      </c>
    </row>
    <row r="3275" customFormat="false" ht="15" hidden="false" customHeight="false" outlineLevel="0" collapsed="false">
      <c r="A3275" s="7" t="n">
        <v>46232</v>
      </c>
      <c r="B3275" s="7" t="n">
        <v>46311</v>
      </c>
      <c r="C3275" s="8" t="n">
        <v>7186</v>
      </c>
      <c r="D3275" s="8" t="n">
        <v>0</v>
      </c>
      <c r="E3275" s="8" t="n">
        <v>0</v>
      </c>
      <c r="F3275" s="8" t="s">
        <v>2200</v>
      </c>
      <c r="G3275" s="8" t="s">
        <v>2201</v>
      </c>
      <c r="H3275" s="8" t="s">
        <v>2903</v>
      </c>
    </row>
    <row r="3276" customFormat="false" ht="15" hidden="false" customHeight="false" outlineLevel="0" collapsed="false">
      <c r="A3276" s="7" t="n">
        <v>46232</v>
      </c>
      <c r="B3276" s="7" t="n">
        <v>46346</v>
      </c>
      <c r="C3276" s="8" t="n">
        <v>7259</v>
      </c>
      <c r="D3276" s="8" t="n">
        <v>0</v>
      </c>
      <c r="E3276" s="8" t="n">
        <v>0</v>
      </c>
      <c r="F3276" s="8" t="s">
        <v>2200</v>
      </c>
      <c r="G3276" s="8" t="s">
        <v>2201</v>
      </c>
      <c r="H3276" s="8" t="s">
        <v>2903</v>
      </c>
    </row>
    <row r="3277" customFormat="false" ht="15" hidden="false" customHeight="false" outlineLevel="0" collapsed="false">
      <c r="A3277" s="7" t="n">
        <v>46233</v>
      </c>
      <c r="B3277" s="7" t="n">
        <v>46254</v>
      </c>
      <c r="C3277" s="8" t="n">
        <v>7038</v>
      </c>
      <c r="D3277" s="8" t="n">
        <v>5795</v>
      </c>
      <c r="E3277" s="8" t="n">
        <v>27475</v>
      </c>
      <c r="F3277" s="8" t="s">
        <v>2200</v>
      </c>
      <c r="G3277" s="8" t="s">
        <v>2201</v>
      </c>
      <c r="H3277" s="8" t="s">
        <v>2904</v>
      </c>
    </row>
    <row r="3278" customFormat="false" ht="15" hidden="false" customHeight="false" outlineLevel="0" collapsed="false">
      <c r="A3278" s="7" t="n">
        <v>46233</v>
      </c>
      <c r="B3278" s="7" t="n">
        <v>46283</v>
      </c>
      <c r="C3278" s="8" t="n">
        <v>7120</v>
      </c>
      <c r="D3278" s="8" t="n">
        <v>3425</v>
      </c>
      <c r="E3278" s="8" t="n">
        <v>9435</v>
      </c>
      <c r="F3278" s="8" t="s">
        <v>2200</v>
      </c>
      <c r="G3278" s="8" t="s">
        <v>2201</v>
      </c>
      <c r="H3278" s="8" t="s">
        <v>2904</v>
      </c>
    </row>
    <row r="3279" customFormat="false" ht="15" hidden="false" customHeight="false" outlineLevel="0" collapsed="false">
      <c r="A3279" s="7" t="n">
        <v>46233</v>
      </c>
      <c r="B3279" s="7" t="n">
        <v>46311</v>
      </c>
      <c r="C3279" s="8" t="n">
        <v>7202</v>
      </c>
      <c r="D3279" s="8" t="n">
        <v>0</v>
      </c>
      <c r="E3279" s="8" t="n">
        <v>0</v>
      </c>
      <c r="F3279" s="8" t="s">
        <v>2200</v>
      </c>
      <c r="G3279" s="8" t="s">
        <v>2201</v>
      </c>
      <c r="H3279" s="8" t="s">
        <v>2904</v>
      </c>
    </row>
    <row r="3280" customFormat="false" ht="15" hidden="false" customHeight="false" outlineLevel="0" collapsed="false">
      <c r="A3280" s="7" t="n">
        <v>46233</v>
      </c>
      <c r="B3280" s="7" t="n">
        <v>46346</v>
      </c>
      <c r="C3280" s="8" t="n">
        <v>7284</v>
      </c>
      <c r="D3280" s="8" t="n">
        <v>0</v>
      </c>
      <c r="E3280" s="8" t="n">
        <v>0</v>
      </c>
      <c r="F3280" s="8" t="s">
        <v>2200</v>
      </c>
      <c r="G3280" s="8" t="s">
        <v>2201</v>
      </c>
      <c r="H3280" s="8" t="s">
        <v>2904</v>
      </c>
    </row>
    <row r="3281" customFormat="false" ht="15" hidden="false" customHeight="false" outlineLevel="0" collapsed="false">
      <c r="A3281" s="7" t="n">
        <v>46234</v>
      </c>
      <c r="B3281" s="7" t="n">
        <v>46254</v>
      </c>
      <c r="C3281" s="8" t="n">
        <v>7035</v>
      </c>
      <c r="D3281" s="8" t="n">
        <v>5355</v>
      </c>
      <c r="E3281" s="8" t="n">
        <v>26510</v>
      </c>
      <c r="F3281" s="8" t="s">
        <v>2200</v>
      </c>
      <c r="G3281" s="8" t="s">
        <v>2201</v>
      </c>
      <c r="H3281" s="8" t="s">
        <v>2905</v>
      </c>
    </row>
    <row r="3282" customFormat="false" ht="15" hidden="false" customHeight="false" outlineLevel="0" collapsed="false">
      <c r="A3282" s="7" t="n">
        <v>46234</v>
      </c>
      <c r="B3282" s="7" t="n">
        <v>46283</v>
      </c>
      <c r="C3282" s="8" t="n">
        <v>7119</v>
      </c>
      <c r="D3282" s="8" t="n">
        <v>4110</v>
      </c>
      <c r="E3282" s="8" t="n">
        <v>10895</v>
      </c>
      <c r="F3282" s="8" t="s">
        <v>2200</v>
      </c>
      <c r="G3282" s="8" t="s">
        <v>2201</v>
      </c>
      <c r="H3282" s="8" t="s">
        <v>2905</v>
      </c>
    </row>
    <row r="3283" customFormat="false" ht="15" hidden="false" customHeight="false" outlineLevel="0" collapsed="false">
      <c r="A3283" s="7" t="n">
        <v>46234</v>
      </c>
      <c r="B3283" s="7" t="n">
        <v>46311</v>
      </c>
      <c r="C3283" s="8" t="n">
        <v>7203</v>
      </c>
      <c r="D3283" s="8" t="n">
        <v>0</v>
      </c>
      <c r="E3283" s="8" t="n">
        <v>0</v>
      </c>
      <c r="F3283" s="8" t="s">
        <v>2200</v>
      </c>
      <c r="G3283" s="8" t="s">
        <v>2201</v>
      </c>
      <c r="H3283" s="8" t="s">
        <v>2905</v>
      </c>
    </row>
    <row r="3284" customFormat="false" ht="15" hidden="false" customHeight="false" outlineLevel="0" collapsed="false">
      <c r="A3284" s="7" t="n">
        <v>46234</v>
      </c>
      <c r="B3284" s="7" t="n">
        <v>46346</v>
      </c>
      <c r="C3284" s="8" t="n">
        <v>7287</v>
      </c>
      <c r="D3284" s="8" t="n">
        <v>0</v>
      </c>
      <c r="E3284" s="8" t="n">
        <v>0</v>
      </c>
      <c r="F3284" s="8" t="s">
        <v>2200</v>
      </c>
      <c r="G3284" s="8" t="s">
        <v>2201</v>
      </c>
      <c r="H3284" s="8" t="s">
        <v>2905</v>
      </c>
    </row>
    <row r="3285" customFormat="false" ht="15" hidden="false" customHeight="false" outlineLevel="0" collapsed="false">
      <c r="A3285" s="7" t="n">
        <v>46237</v>
      </c>
      <c r="B3285" s="7" t="n">
        <v>46254</v>
      </c>
      <c r="C3285" s="8" t="n">
        <v>7065</v>
      </c>
      <c r="D3285" s="8" t="n">
        <v>6415</v>
      </c>
      <c r="E3285" s="8" t="n">
        <v>24245</v>
      </c>
      <c r="F3285" s="8" t="s">
        <v>2200</v>
      </c>
      <c r="G3285" s="8" t="s">
        <v>2201</v>
      </c>
      <c r="H3285" s="8" t="s">
        <v>2906</v>
      </c>
    </row>
    <row r="3286" customFormat="false" ht="15" hidden="false" customHeight="false" outlineLevel="0" collapsed="false">
      <c r="A3286" s="7" t="n">
        <v>46237</v>
      </c>
      <c r="B3286" s="7" t="n">
        <v>46283</v>
      </c>
      <c r="C3286" s="8" t="n">
        <v>7152</v>
      </c>
      <c r="D3286" s="8" t="n">
        <v>8040</v>
      </c>
      <c r="E3286" s="8" t="n">
        <v>15675</v>
      </c>
      <c r="F3286" s="8" t="s">
        <v>2200</v>
      </c>
      <c r="G3286" s="8" t="s">
        <v>2201</v>
      </c>
      <c r="H3286" s="8" t="s">
        <v>2906</v>
      </c>
    </row>
    <row r="3287" customFormat="false" ht="15" hidden="false" customHeight="false" outlineLevel="0" collapsed="false">
      <c r="A3287" s="7" t="n">
        <v>46237</v>
      </c>
      <c r="B3287" s="7" t="n">
        <v>46311</v>
      </c>
      <c r="C3287" s="8" t="n">
        <v>7239</v>
      </c>
      <c r="D3287" s="8" t="n">
        <v>0</v>
      </c>
      <c r="E3287" s="8" t="n">
        <v>0</v>
      </c>
      <c r="F3287" s="8" t="s">
        <v>2200</v>
      </c>
      <c r="G3287" s="8" t="s">
        <v>2201</v>
      </c>
      <c r="H3287" s="8" t="s">
        <v>2906</v>
      </c>
    </row>
    <row r="3288" customFormat="false" ht="15" hidden="false" customHeight="false" outlineLevel="0" collapsed="false">
      <c r="A3288" s="7" t="n">
        <v>46237</v>
      </c>
      <c r="B3288" s="7" t="n">
        <v>46346</v>
      </c>
      <c r="C3288" s="8" t="n">
        <v>7326</v>
      </c>
      <c r="D3288" s="8" t="n">
        <v>0</v>
      </c>
      <c r="E3288" s="8" t="n">
        <v>0</v>
      </c>
      <c r="F3288" s="8" t="s">
        <v>2200</v>
      </c>
      <c r="G3288" s="8" t="s">
        <v>2201</v>
      </c>
      <c r="H3288" s="8" t="s">
        <v>2906</v>
      </c>
    </row>
    <row r="3289" customFormat="false" ht="15" hidden="false" customHeight="false" outlineLevel="0" collapsed="false">
      <c r="A3289" s="7" t="n">
        <v>46237</v>
      </c>
      <c r="B3289" s="7" t="n">
        <v>46374</v>
      </c>
      <c r="C3289" s="8" t="n">
        <v>7413</v>
      </c>
      <c r="D3289" s="8" t="n">
        <v>0</v>
      </c>
      <c r="E3289" s="8" t="n">
        <v>0</v>
      </c>
      <c r="F3289" s="8" t="s">
        <v>2200</v>
      </c>
      <c r="G3289" s="8" t="s">
        <v>2201</v>
      </c>
      <c r="H3289" s="8" t="s">
        <v>2906</v>
      </c>
    </row>
    <row r="3290" customFormat="false" ht="15" hidden="false" customHeight="false" outlineLevel="0" collapsed="false">
      <c r="A3290" s="7" t="n">
        <v>46238</v>
      </c>
      <c r="B3290" s="7" t="n">
        <v>46254</v>
      </c>
      <c r="C3290" s="8" t="n">
        <v>7094</v>
      </c>
      <c r="D3290" s="8" t="n">
        <v>6660</v>
      </c>
      <c r="E3290" s="8" t="n">
        <v>20970</v>
      </c>
      <c r="F3290" s="8" t="s">
        <v>2200</v>
      </c>
      <c r="G3290" s="8" t="s">
        <v>2201</v>
      </c>
      <c r="H3290" s="8" t="s">
        <v>2907</v>
      </c>
    </row>
    <row r="3291" customFormat="false" ht="15" hidden="false" customHeight="false" outlineLevel="0" collapsed="false">
      <c r="A3291" s="7" t="n">
        <v>46238</v>
      </c>
      <c r="B3291" s="7" t="n">
        <v>46283</v>
      </c>
      <c r="C3291" s="8" t="n">
        <v>7178</v>
      </c>
      <c r="D3291" s="8" t="n">
        <v>6355</v>
      </c>
      <c r="E3291" s="8" t="n">
        <v>19520</v>
      </c>
      <c r="F3291" s="8" t="s">
        <v>2200</v>
      </c>
      <c r="G3291" s="8" t="s">
        <v>2201</v>
      </c>
      <c r="H3291" s="8" t="s">
        <v>2907</v>
      </c>
    </row>
    <row r="3292" customFormat="false" ht="15" hidden="false" customHeight="false" outlineLevel="0" collapsed="false">
      <c r="A3292" s="7" t="n">
        <v>46238</v>
      </c>
      <c r="B3292" s="7" t="n">
        <v>46311</v>
      </c>
      <c r="C3292" s="8" t="n">
        <v>7262</v>
      </c>
      <c r="D3292" s="8" t="n">
        <v>0</v>
      </c>
      <c r="E3292" s="8" t="n">
        <v>0</v>
      </c>
      <c r="F3292" s="8" t="s">
        <v>2200</v>
      </c>
      <c r="G3292" s="8" t="s">
        <v>2201</v>
      </c>
      <c r="H3292" s="8" t="s">
        <v>2907</v>
      </c>
    </row>
    <row r="3293" customFormat="false" ht="15" hidden="false" customHeight="false" outlineLevel="0" collapsed="false">
      <c r="A3293" s="7" t="n">
        <v>46238</v>
      </c>
      <c r="B3293" s="7" t="n">
        <v>46346</v>
      </c>
      <c r="C3293" s="8" t="n">
        <v>7346</v>
      </c>
      <c r="D3293" s="8" t="n">
        <v>0</v>
      </c>
      <c r="E3293" s="8" t="n">
        <v>0</v>
      </c>
      <c r="F3293" s="8" t="s">
        <v>2200</v>
      </c>
      <c r="G3293" s="8" t="s">
        <v>2201</v>
      </c>
      <c r="H3293" s="8" t="s">
        <v>2907</v>
      </c>
    </row>
    <row r="3294" customFormat="false" ht="15" hidden="false" customHeight="false" outlineLevel="0" collapsed="false">
      <c r="A3294" s="7" t="n">
        <v>46238</v>
      </c>
      <c r="B3294" s="7" t="n">
        <v>46374</v>
      </c>
      <c r="C3294" s="8" t="n">
        <v>7430</v>
      </c>
      <c r="D3294" s="8" t="n">
        <v>0</v>
      </c>
      <c r="E3294" s="8" t="n">
        <v>0</v>
      </c>
      <c r="F3294" s="8" t="s">
        <v>2200</v>
      </c>
      <c r="G3294" s="8" t="s">
        <v>2201</v>
      </c>
      <c r="H3294" s="8" t="s">
        <v>2907</v>
      </c>
    </row>
    <row r="3295" customFormat="false" ht="15" hidden="false" customHeight="false" outlineLevel="0" collapsed="false">
      <c r="A3295" s="7" t="n">
        <v>46239</v>
      </c>
      <c r="B3295" s="7" t="n">
        <v>46254</v>
      </c>
      <c r="C3295" s="8" t="n">
        <v>7135</v>
      </c>
      <c r="D3295" s="8" t="n">
        <v>7075</v>
      </c>
      <c r="E3295" s="8" t="n">
        <v>17430</v>
      </c>
      <c r="F3295" s="8" t="s">
        <v>2200</v>
      </c>
      <c r="G3295" s="8" t="s">
        <v>2201</v>
      </c>
      <c r="H3295" s="8" t="s">
        <v>2908</v>
      </c>
    </row>
    <row r="3296" customFormat="false" ht="15" hidden="false" customHeight="false" outlineLevel="0" collapsed="false">
      <c r="A3296" s="7" t="n">
        <v>46239</v>
      </c>
      <c r="B3296" s="7" t="n">
        <v>46283</v>
      </c>
      <c r="C3296" s="8" t="n">
        <v>7220</v>
      </c>
      <c r="D3296" s="8" t="n">
        <v>7995</v>
      </c>
      <c r="E3296" s="8" t="n">
        <v>24265</v>
      </c>
      <c r="F3296" s="8" t="s">
        <v>2200</v>
      </c>
      <c r="G3296" s="8" t="s">
        <v>2201</v>
      </c>
      <c r="H3296" s="8" t="s">
        <v>2908</v>
      </c>
    </row>
    <row r="3297" customFormat="false" ht="15" hidden="false" customHeight="false" outlineLevel="0" collapsed="false">
      <c r="A3297" s="7" t="n">
        <v>46239</v>
      </c>
      <c r="B3297" s="7" t="n">
        <v>46311</v>
      </c>
      <c r="C3297" s="8" t="n">
        <v>7305</v>
      </c>
      <c r="D3297" s="8" t="n">
        <v>0</v>
      </c>
      <c r="E3297" s="8" t="n">
        <v>0</v>
      </c>
      <c r="F3297" s="8" t="s">
        <v>2200</v>
      </c>
      <c r="G3297" s="8" t="s">
        <v>2201</v>
      </c>
      <c r="H3297" s="8" t="s">
        <v>2908</v>
      </c>
    </row>
    <row r="3298" customFormat="false" ht="15" hidden="false" customHeight="false" outlineLevel="0" collapsed="false">
      <c r="A3298" s="7" t="n">
        <v>46239</v>
      </c>
      <c r="B3298" s="7" t="n">
        <v>46346</v>
      </c>
      <c r="C3298" s="8" t="n">
        <v>7390</v>
      </c>
      <c r="D3298" s="8" t="n">
        <v>0</v>
      </c>
      <c r="E3298" s="8" t="n">
        <v>0</v>
      </c>
      <c r="F3298" s="8" t="s">
        <v>2200</v>
      </c>
      <c r="G3298" s="8" t="s">
        <v>2201</v>
      </c>
      <c r="H3298" s="8" t="s">
        <v>2908</v>
      </c>
    </row>
    <row r="3299" customFormat="false" ht="15" hidden="false" customHeight="false" outlineLevel="0" collapsed="false">
      <c r="A3299" s="7" t="n">
        <v>46239</v>
      </c>
      <c r="B3299" s="7" t="n">
        <v>46374</v>
      </c>
      <c r="C3299" s="8" t="n">
        <v>7475</v>
      </c>
      <c r="D3299" s="8" t="n">
        <v>0</v>
      </c>
      <c r="E3299" s="8" t="n">
        <v>0</v>
      </c>
      <c r="F3299" s="8" t="s">
        <v>2200</v>
      </c>
      <c r="G3299" s="8" t="s">
        <v>2201</v>
      </c>
      <c r="H3299" s="8" t="s">
        <v>2908</v>
      </c>
    </row>
    <row r="3300" customFormat="false" ht="15" hidden="false" customHeight="false" outlineLevel="0" collapsed="false">
      <c r="A3300" s="7" t="n">
        <v>46240</v>
      </c>
      <c r="B3300" s="7" t="n">
        <v>46254</v>
      </c>
      <c r="C3300" s="8" t="n">
        <v>7131</v>
      </c>
      <c r="D3300" s="8" t="n">
        <v>3870</v>
      </c>
      <c r="E3300" s="8" t="n">
        <v>15830</v>
      </c>
      <c r="F3300" s="8" t="s">
        <v>2200</v>
      </c>
      <c r="G3300" s="8" t="s">
        <v>2201</v>
      </c>
      <c r="H3300" s="8" t="s">
        <v>2909</v>
      </c>
    </row>
    <row r="3301" customFormat="false" ht="15" hidden="false" customHeight="false" outlineLevel="0" collapsed="false">
      <c r="A3301" s="7" t="n">
        <v>46240</v>
      </c>
      <c r="B3301" s="7" t="n">
        <v>46283</v>
      </c>
      <c r="C3301" s="8" t="n">
        <v>7212</v>
      </c>
      <c r="D3301" s="8" t="n">
        <v>6620</v>
      </c>
      <c r="E3301" s="8" t="n">
        <v>25860</v>
      </c>
      <c r="F3301" s="8" t="s">
        <v>2200</v>
      </c>
      <c r="G3301" s="8" t="s">
        <v>2201</v>
      </c>
      <c r="H3301" s="8" t="s">
        <v>2909</v>
      </c>
    </row>
    <row r="3302" customFormat="false" ht="15" hidden="false" customHeight="false" outlineLevel="0" collapsed="false">
      <c r="A3302" s="7" t="n">
        <v>46240</v>
      </c>
      <c r="B3302" s="7" t="n">
        <v>46311</v>
      </c>
      <c r="C3302" s="8" t="n">
        <v>7293</v>
      </c>
      <c r="D3302" s="8" t="n">
        <v>0</v>
      </c>
      <c r="E3302" s="8" t="n">
        <v>0</v>
      </c>
      <c r="F3302" s="8" t="s">
        <v>2200</v>
      </c>
      <c r="G3302" s="8" t="s">
        <v>2201</v>
      </c>
      <c r="H3302" s="8" t="s">
        <v>2909</v>
      </c>
    </row>
    <row r="3303" customFormat="false" ht="15" hidden="false" customHeight="false" outlineLevel="0" collapsed="false">
      <c r="A3303" s="7" t="n">
        <v>46240</v>
      </c>
      <c r="B3303" s="7" t="n">
        <v>46346</v>
      </c>
      <c r="C3303" s="8" t="n">
        <v>7374</v>
      </c>
      <c r="D3303" s="8" t="n">
        <v>0</v>
      </c>
      <c r="E3303" s="8" t="n">
        <v>0</v>
      </c>
      <c r="F3303" s="8" t="s">
        <v>2200</v>
      </c>
      <c r="G3303" s="8" t="s">
        <v>2201</v>
      </c>
      <c r="H3303" s="8" t="s">
        <v>2909</v>
      </c>
    </row>
    <row r="3304" customFormat="false" ht="15" hidden="false" customHeight="false" outlineLevel="0" collapsed="false">
      <c r="A3304" s="7" t="n">
        <v>46240</v>
      </c>
      <c r="B3304" s="7" t="n">
        <v>46374</v>
      </c>
      <c r="C3304" s="8" t="n">
        <v>7455</v>
      </c>
      <c r="D3304" s="8" t="n">
        <v>0</v>
      </c>
      <c r="E3304" s="8" t="n">
        <v>0</v>
      </c>
      <c r="F3304" s="8" t="s">
        <v>2200</v>
      </c>
      <c r="G3304" s="8" t="s">
        <v>2201</v>
      </c>
      <c r="H3304" s="8" t="s">
        <v>2909</v>
      </c>
    </row>
    <row r="3305" customFormat="false" ht="15" hidden="false" customHeight="false" outlineLevel="0" collapsed="false">
      <c r="A3305" s="7" t="n">
        <v>46241</v>
      </c>
      <c r="B3305" s="7" t="n">
        <v>46254</v>
      </c>
      <c r="C3305" s="8" t="n">
        <v>7116</v>
      </c>
      <c r="D3305" s="8" t="n">
        <v>2795</v>
      </c>
      <c r="E3305" s="8" t="n">
        <v>14185</v>
      </c>
      <c r="F3305" s="8" t="s">
        <v>2200</v>
      </c>
      <c r="G3305" s="8" t="s">
        <v>2201</v>
      </c>
      <c r="H3305" s="8" t="s">
        <v>2910</v>
      </c>
    </row>
    <row r="3306" customFormat="false" ht="15" hidden="false" customHeight="false" outlineLevel="0" collapsed="false">
      <c r="A3306" s="7" t="n">
        <v>46241</v>
      </c>
      <c r="B3306" s="7" t="n">
        <v>46283</v>
      </c>
      <c r="C3306" s="8" t="n">
        <v>7193</v>
      </c>
      <c r="D3306" s="8" t="n">
        <v>4505</v>
      </c>
      <c r="E3306" s="8" t="n">
        <v>26535</v>
      </c>
      <c r="F3306" s="8" t="s">
        <v>2200</v>
      </c>
      <c r="G3306" s="8" t="s">
        <v>2201</v>
      </c>
      <c r="H3306" s="8" t="s">
        <v>2910</v>
      </c>
    </row>
    <row r="3307" customFormat="false" ht="15" hidden="false" customHeight="false" outlineLevel="0" collapsed="false">
      <c r="A3307" s="7" t="n">
        <v>46241</v>
      </c>
      <c r="B3307" s="7" t="n">
        <v>46311</v>
      </c>
      <c r="C3307" s="8" t="n">
        <v>7270</v>
      </c>
      <c r="D3307" s="8" t="n">
        <v>5</v>
      </c>
      <c r="E3307" s="8" t="n">
        <v>5</v>
      </c>
      <c r="F3307" s="8" t="s">
        <v>2200</v>
      </c>
      <c r="G3307" s="8" t="s">
        <v>2201</v>
      </c>
      <c r="H3307" s="8" t="s">
        <v>2910</v>
      </c>
    </row>
    <row r="3308" customFormat="false" ht="15" hidden="false" customHeight="false" outlineLevel="0" collapsed="false">
      <c r="A3308" s="7" t="n">
        <v>46241</v>
      </c>
      <c r="B3308" s="7" t="n">
        <v>46346</v>
      </c>
      <c r="C3308" s="8" t="n">
        <v>7347</v>
      </c>
      <c r="D3308" s="8" t="n">
        <v>0</v>
      </c>
      <c r="E3308" s="8" t="n">
        <v>0</v>
      </c>
      <c r="F3308" s="8" t="s">
        <v>2200</v>
      </c>
      <c r="G3308" s="8" t="s">
        <v>2201</v>
      </c>
      <c r="H3308" s="8" t="s">
        <v>2910</v>
      </c>
    </row>
    <row r="3309" customFormat="false" ht="15" hidden="false" customHeight="false" outlineLevel="0" collapsed="false">
      <c r="A3309" s="7" t="n">
        <v>46241</v>
      </c>
      <c r="B3309" s="7" t="n">
        <v>46374</v>
      </c>
      <c r="C3309" s="8" t="n">
        <v>7424</v>
      </c>
      <c r="D3309" s="8" t="n">
        <v>0</v>
      </c>
      <c r="E3309" s="8" t="n">
        <v>0</v>
      </c>
      <c r="F3309" s="8" t="s">
        <v>2200</v>
      </c>
      <c r="G3309" s="8" t="s">
        <v>2201</v>
      </c>
      <c r="H3309" s="8" t="s">
        <v>2910</v>
      </c>
    </row>
    <row r="3310" customFormat="false" ht="15" hidden="false" customHeight="false" outlineLevel="0" collapsed="false">
      <c r="A3310" s="7" t="n">
        <v>46244</v>
      </c>
      <c r="B3310" s="7" t="n">
        <v>46254</v>
      </c>
      <c r="C3310" s="8" t="n">
        <v>7114</v>
      </c>
      <c r="D3310" s="8" t="n">
        <v>4530</v>
      </c>
      <c r="E3310" s="8" t="n">
        <v>10820</v>
      </c>
      <c r="F3310" s="8" t="s">
        <v>2200</v>
      </c>
      <c r="G3310" s="8" t="s">
        <v>2201</v>
      </c>
      <c r="H3310" s="8" t="s">
        <v>2911</v>
      </c>
    </row>
    <row r="3311" customFormat="false" ht="15" hidden="false" customHeight="false" outlineLevel="0" collapsed="false">
      <c r="A3311" s="7" t="n">
        <v>46244</v>
      </c>
      <c r="B3311" s="7" t="n">
        <v>46283</v>
      </c>
      <c r="C3311" s="8" t="n">
        <v>7198</v>
      </c>
      <c r="D3311" s="8" t="n">
        <v>5785</v>
      </c>
      <c r="E3311" s="8" t="n">
        <v>29210</v>
      </c>
      <c r="F3311" s="8" t="s">
        <v>2200</v>
      </c>
      <c r="G3311" s="8" t="s">
        <v>2201</v>
      </c>
      <c r="H3311" s="8" t="s">
        <v>2911</v>
      </c>
    </row>
    <row r="3312" customFormat="false" ht="15" hidden="false" customHeight="false" outlineLevel="0" collapsed="false">
      <c r="A3312" s="7" t="n">
        <v>46244</v>
      </c>
      <c r="B3312" s="7" t="n">
        <v>46311</v>
      </c>
      <c r="C3312" s="8" t="n">
        <v>7282</v>
      </c>
      <c r="D3312" s="8" t="n">
        <v>0</v>
      </c>
      <c r="E3312" s="8" t="n">
        <v>5</v>
      </c>
      <c r="F3312" s="8" t="s">
        <v>2200</v>
      </c>
      <c r="G3312" s="8" t="s">
        <v>2201</v>
      </c>
      <c r="H3312" s="8" t="s">
        <v>2911</v>
      </c>
    </row>
    <row r="3313" customFormat="false" ht="15" hidden="false" customHeight="false" outlineLevel="0" collapsed="false">
      <c r="A3313" s="7" t="n">
        <v>46244</v>
      </c>
      <c r="B3313" s="7" t="n">
        <v>46346</v>
      </c>
      <c r="C3313" s="8" t="n">
        <v>7366</v>
      </c>
      <c r="D3313" s="8" t="n">
        <v>0</v>
      </c>
      <c r="E3313" s="8" t="n">
        <v>0</v>
      </c>
      <c r="F3313" s="8" t="s">
        <v>2200</v>
      </c>
      <c r="G3313" s="8" t="s">
        <v>2201</v>
      </c>
      <c r="H3313" s="8" t="s">
        <v>2911</v>
      </c>
    </row>
    <row r="3314" customFormat="false" ht="15" hidden="false" customHeight="false" outlineLevel="0" collapsed="false">
      <c r="A3314" s="7" t="n">
        <v>46244</v>
      </c>
      <c r="B3314" s="7" t="n">
        <v>46374</v>
      </c>
      <c r="C3314" s="8" t="n">
        <v>7450</v>
      </c>
      <c r="D3314" s="8" t="n">
        <v>0</v>
      </c>
      <c r="E3314" s="8" t="n">
        <v>0</v>
      </c>
      <c r="F3314" s="8" t="s">
        <v>2200</v>
      </c>
      <c r="G3314" s="8" t="s">
        <v>2201</v>
      </c>
      <c r="H3314" s="8" t="s">
        <v>2911</v>
      </c>
    </row>
    <row r="3315" customFormat="false" ht="15" hidden="false" customHeight="false" outlineLevel="0" collapsed="false">
      <c r="A3315" s="7" t="n">
        <v>46245</v>
      </c>
      <c r="B3315" s="7" t="n">
        <v>46254</v>
      </c>
      <c r="C3315" s="8" t="n">
        <v>7150</v>
      </c>
      <c r="D3315" s="8" t="n">
        <v>4800</v>
      </c>
      <c r="E3315" s="8" t="n">
        <v>7200</v>
      </c>
      <c r="F3315" s="8" t="s">
        <v>2200</v>
      </c>
      <c r="G3315" s="8" t="s">
        <v>2201</v>
      </c>
      <c r="H3315" s="8" t="s">
        <v>2912</v>
      </c>
    </row>
    <row r="3316" customFormat="false" ht="15" hidden="false" customHeight="false" outlineLevel="0" collapsed="false">
      <c r="A3316" s="7" t="n">
        <v>46245</v>
      </c>
      <c r="B3316" s="7" t="n">
        <v>46283</v>
      </c>
      <c r="C3316" s="8" t="n">
        <v>7223</v>
      </c>
      <c r="D3316" s="8" t="n">
        <v>6500</v>
      </c>
      <c r="E3316" s="8" t="n">
        <v>32820</v>
      </c>
      <c r="F3316" s="8" t="s">
        <v>2200</v>
      </c>
      <c r="G3316" s="8" t="s">
        <v>2201</v>
      </c>
      <c r="H3316" s="8" t="s">
        <v>2912</v>
      </c>
    </row>
    <row r="3317" customFormat="false" ht="15" hidden="false" customHeight="false" outlineLevel="0" collapsed="false">
      <c r="A3317" s="7" t="n">
        <v>46245</v>
      </c>
      <c r="B3317" s="7" t="n">
        <v>46311</v>
      </c>
      <c r="C3317" s="8" t="n">
        <v>7340</v>
      </c>
      <c r="D3317" s="8" t="n">
        <v>10</v>
      </c>
      <c r="E3317" s="8" t="n">
        <v>15</v>
      </c>
      <c r="F3317" s="8" t="s">
        <v>2200</v>
      </c>
      <c r="G3317" s="8" t="s">
        <v>2201</v>
      </c>
      <c r="H3317" s="8" t="s">
        <v>2912</v>
      </c>
    </row>
    <row r="3318" customFormat="false" ht="15" hidden="false" customHeight="false" outlineLevel="0" collapsed="false">
      <c r="A3318" s="7" t="n">
        <v>46245</v>
      </c>
      <c r="B3318" s="7" t="n">
        <v>46346</v>
      </c>
      <c r="C3318" s="8" t="n">
        <v>7457</v>
      </c>
      <c r="D3318" s="8" t="n">
        <v>0</v>
      </c>
      <c r="E3318" s="8" t="n">
        <v>0</v>
      </c>
      <c r="F3318" s="8" t="s">
        <v>2200</v>
      </c>
      <c r="G3318" s="8" t="s">
        <v>2201</v>
      </c>
      <c r="H3318" s="8" t="s">
        <v>2912</v>
      </c>
    </row>
    <row r="3319" customFormat="false" ht="15" hidden="false" customHeight="false" outlineLevel="0" collapsed="false">
      <c r="A3319" s="7" t="n">
        <v>46245</v>
      </c>
      <c r="B3319" s="7" t="n">
        <v>46374</v>
      </c>
      <c r="C3319" s="8" t="n">
        <v>7574</v>
      </c>
      <c r="D3319" s="8" t="n">
        <v>0</v>
      </c>
      <c r="E3319" s="8" t="n">
        <v>0</v>
      </c>
      <c r="F3319" s="8" t="s">
        <v>2200</v>
      </c>
      <c r="G3319" s="8" t="s">
        <v>2201</v>
      </c>
      <c r="H3319" s="8" t="s">
        <v>2912</v>
      </c>
    </row>
    <row r="3320" customFormat="false" ht="15" hidden="false" customHeight="false" outlineLevel="0" collapsed="false">
      <c r="A3320" s="7" t="n">
        <v>46246</v>
      </c>
      <c r="B3320" s="7" t="n">
        <v>46254</v>
      </c>
      <c r="C3320" s="8" t="n">
        <v>7098</v>
      </c>
      <c r="D3320" s="8" t="n">
        <v>2880</v>
      </c>
      <c r="E3320" s="8" t="n">
        <v>5480</v>
      </c>
      <c r="F3320" s="8" t="s">
        <v>2200</v>
      </c>
      <c r="G3320" s="8" t="s">
        <v>2201</v>
      </c>
      <c r="H3320" s="8" t="s">
        <v>2913</v>
      </c>
    </row>
    <row r="3321" customFormat="false" ht="15" hidden="false" customHeight="false" outlineLevel="0" collapsed="false">
      <c r="A3321" s="7" t="n">
        <v>46246</v>
      </c>
      <c r="B3321" s="7" t="n">
        <v>46283</v>
      </c>
      <c r="C3321" s="8" t="n">
        <v>7181</v>
      </c>
      <c r="D3321" s="8" t="n">
        <v>5740</v>
      </c>
      <c r="E3321" s="8" t="n">
        <v>34295</v>
      </c>
      <c r="F3321" s="8" t="s">
        <v>2200</v>
      </c>
      <c r="G3321" s="8" t="s">
        <v>2201</v>
      </c>
      <c r="H3321" s="8" t="s">
        <v>2913</v>
      </c>
    </row>
    <row r="3322" customFormat="false" ht="15" hidden="false" customHeight="false" outlineLevel="0" collapsed="false">
      <c r="A3322" s="7" t="n">
        <v>46246</v>
      </c>
      <c r="B3322" s="7" t="n">
        <v>46311</v>
      </c>
      <c r="C3322" s="8" t="n">
        <v>7285</v>
      </c>
      <c r="D3322" s="8" t="n">
        <v>60</v>
      </c>
      <c r="E3322" s="8" t="n">
        <v>55</v>
      </c>
      <c r="F3322" s="8" t="s">
        <v>2200</v>
      </c>
      <c r="G3322" s="8" t="s">
        <v>2201</v>
      </c>
      <c r="H3322" s="8" t="s">
        <v>2913</v>
      </c>
    </row>
    <row r="3323" customFormat="false" ht="15" hidden="false" customHeight="false" outlineLevel="0" collapsed="false">
      <c r="A3323" s="7" t="n">
        <v>46246</v>
      </c>
      <c r="B3323" s="7" t="n">
        <v>46346</v>
      </c>
      <c r="C3323" s="8" t="n">
        <v>7389</v>
      </c>
      <c r="D3323" s="8" t="n">
        <v>0</v>
      </c>
      <c r="E3323" s="8" t="n">
        <v>0</v>
      </c>
      <c r="F3323" s="8" t="s">
        <v>2200</v>
      </c>
      <c r="G3323" s="8" t="s">
        <v>2201</v>
      </c>
      <c r="H3323" s="8" t="s">
        <v>2913</v>
      </c>
    </row>
    <row r="3324" customFormat="false" ht="15" hidden="false" customHeight="false" outlineLevel="0" collapsed="false">
      <c r="A3324" s="7" t="n">
        <v>46246</v>
      </c>
      <c r="B3324" s="7" t="n">
        <v>46374</v>
      </c>
      <c r="C3324" s="8" t="n">
        <v>7493</v>
      </c>
      <c r="D3324" s="8" t="n">
        <v>0</v>
      </c>
      <c r="E3324" s="8" t="n">
        <v>0</v>
      </c>
      <c r="F3324" s="8" t="s">
        <v>2200</v>
      </c>
      <c r="G3324" s="8" t="s">
        <v>2201</v>
      </c>
      <c r="H3324" s="8" t="s">
        <v>2913</v>
      </c>
    </row>
    <row r="3325" customFormat="false" ht="15" hidden="false" customHeight="false" outlineLevel="0" collapsed="false">
      <c r="A3325" s="7" t="n">
        <v>46247</v>
      </c>
      <c r="B3325" s="7" t="n">
        <v>46254</v>
      </c>
      <c r="C3325" s="8" t="n">
        <v>7089</v>
      </c>
      <c r="D3325" s="8" t="n">
        <v>2755</v>
      </c>
      <c r="E3325" s="8" t="n">
        <v>4795</v>
      </c>
      <c r="F3325" s="8" t="s">
        <v>2200</v>
      </c>
      <c r="G3325" s="8" t="s">
        <v>2201</v>
      </c>
      <c r="H3325" s="8" t="s">
        <v>2914</v>
      </c>
    </row>
    <row r="3326" customFormat="false" ht="15" hidden="false" customHeight="false" outlineLevel="0" collapsed="false">
      <c r="A3326" s="7" t="n">
        <v>46247</v>
      </c>
      <c r="B3326" s="7" t="n">
        <v>46283</v>
      </c>
      <c r="C3326" s="8" t="n">
        <v>7164</v>
      </c>
      <c r="D3326" s="8" t="n">
        <v>6505</v>
      </c>
      <c r="E3326" s="8" t="n">
        <v>34940</v>
      </c>
      <c r="F3326" s="8" t="s">
        <v>2200</v>
      </c>
      <c r="G3326" s="8" t="s">
        <v>2201</v>
      </c>
      <c r="H3326" s="8" t="s">
        <v>2914</v>
      </c>
    </row>
    <row r="3327" customFormat="false" ht="15" hidden="false" customHeight="false" outlineLevel="0" collapsed="false">
      <c r="A3327" s="7" t="n">
        <v>46247</v>
      </c>
      <c r="B3327" s="7" t="n">
        <v>46311</v>
      </c>
      <c r="C3327" s="8" t="n">
        <v>7212</v>
      </c>
      <c r="D3327" s="8" t="n">
        <v>75</v>
      </c>
      <c r="E3327" s="8" t="n">
        <v>115</v>
      </c>
      <c r="F3327" s="8" t="s">
        <v>2200</v>
      </c>
      <c r="G3327" s="8" t="s">
        <v>2201</v>
      </c>
      <c r="H3327" s="8" t="s">
        <v>2914</v>
      </c>
    </row>
    <row r="3328" customFormat="false" ht="15" hidden="false" customHeight="false" outlineLevel="0" collapsed="false">
      <c r="A3328" s="7" t="n">
        <v>46247</v>
      </c>
      <c r="B3328" s="7" t="n">
        <v>46346</v>
      </c>
      <c r="C3328" s="8" t="n">
        <v>7260</v>
      </c>
      <c r="D3328" s="8" t="n">
        <v>0</v>
      </c>
      <c r="E3328" s="8" t="n">
        <v>0</v>
      </c>
      <c r="F3328" s="8" t="s">
        <v>2200</v>
      </c>
      <c r="G3328" s="8" t="s">
        <v>2201</v>
      </c>
      <c r="H3328" s="8" t="s">
        <v>2914</v>
      </c>
    </row>
    <row r="3329" customFormat="false" ht="15" hidden="false" customHeight="false" outlineLevel="0" collapsed="false">
      <c r="A3329" s="7" t="n">
        <v>46247</v>
      </c>
      <c r="B3329" s="7" t="n">
        <v>46374</v>
      </c>
      <c r="C3329" s="8" t="n">
        <v>7308</v>
      </c>
      <c r="D3329" s="8" t="n">
        <v>0</v>
      </c>
      <c r="E3329" s="8" t="n">
        <v>0</v>
      </c>
      <c r="F3329" s="8" t="s">
        <v>2200</v>
      </c>
      <c r="G3329" s="8" t="s">
        <v>2201</v>
      </c>
      <c r="H3329" s="8" t="s">
        <v>2914</v>
      </c>
    </row>
    <row r="3330" customFormat="false" ht="15" hidden="false" customHeight="false" outlineLevel="0" collapsed="false">
      <c r="A3330" s="7" t="n">
        <v>46248</v>
      </c>
      <c r="B3330" s="7" t="n">
        <v>46254</v>
      </c>
      <c r="C3330" s="8" t="n">
        <v>7096</v>
      </c>
      <c r="D3330" s="8" t="n">
        <v>1495</v>
      </c>
      <c r="E3330" s="8" t="n">
        <v>4065</v>
      </c>
      <c r="F3330" s="8" t="s">
        <v>2200</v>
      </c>
      <c r="G3330" s="8" t="s">
        <v>2201</v>
      </c>
      <c r="H3330" s="8" t="s">
        <v>2915</v>
      </c>
    </row>
    <row r="3331" customFormat="false" ht="15" hidden="false" customHeight="false" outlineLevel="0" collapsed="false">
      <c r="A3331" s="7" t="n">
        <v>46248</v>
      </c>
      <c r="B3331" s="7" t="n">
        <v>46283</v>
      </c>
      <c r="C3331" s="8" t="n">
        <v>7170</v>
      </c>
      <c r="D3331" s="8" t="n">
        <v>2495</v>
      </c>
      <c r="E3331" s="8" t="n">
        <v>36150</v>
      </c>
      <c r="F3331" s="8" t="s">
        <v>2200</v>
      </c>
      <c r="G3331" s="8" t="s">
        <v>2201</v>
      </c>
      <c r="H3331" s="8" t="s">
        <v>2915</v>
      </c>
    </row>
    <row r="3332" customFormat="false" ht="15" hidden="false" customHeight="false" outlineLevel="0" collapsed="false">
      <c r="A3332" s="7" t="n">
        <v>46248</v>
      </c>
      <c r="B3332" s="7" t="n">
        <v>46311</v>
      </c>
      <c r="C3332" s="8" t="n">
        <v>7242</v>
      </c>
      <c r="D3332" s="8" t="n">
        <v>15</v>
      </c>
      <c r="E3332" s="8" t="n">
        <v>125</v>
      </c>
      <c r="F3332" s="8" t="s">
        <v>2200</v>
      </c>
      <c r="G3332" s="8" t="s">
        <v>2201</v>
      </c>
      <c r="H3332" s="8" t="s">
        <v>2915</v>
      </c>
    </row>
    <row r="3333" customFormat="false" ht="15" hidden="false" customHeight="false" outlineLevel="0" collapsed="false">
      <c r="A3333" s="7" t="n">
        <v>46248</v>
      </c>
      <c r="B3333" s="7" t="n">
        <v>46346</v>
      </c>
      <c r="C3333" s="8" t="n">
        <v>7314</v>
      </c>
      <c r="D3333" s="8" t="n">
        <v>0</v>
      </c>
      <c r="E3333" s="8" t="n">
        <v>0</v>
      </c>
      <c r="F3333" s="8" t="s">
        <v>2200</v>
      </c>
      <c r="G3333" s="8" t="s">
        <v>2201</v>
      </c>
      <c r="H3333" s="8" t="s">
        <v>2915</v>
      </c>
    </row>
    <row r="3334" customFormat="false" ht="15" hidden="false" customHeight="false" outlineLevel="0" collapsed="false">
      <c r="A3334" s="7" t="n">
        <v>46248</v>
      </c>
      <c r="B3334" s="7" t="n">
        <v>46374</v>
      </c>
      <c r="C3334" s="8" t="n">
        <v>7386</v>
      </c>
      <c r="D3334" s="8" t="n">
        <v>0</v>
      </c>
      <c r="E3334" s="8" t="n">
        <v>0</v>
      </c>
      <c r="F3334" s="8" t="s">
        <v>2200</v>
      </c>
      <c r="G3334" s="8" t="s">
        <v>2201</v>
      </c>
      <c r="H3334" s="8" t="s">
        <v>2915</v>
      </c>
    </row>
    <row r="3335" customFormat="false" ht="15" hidden="false" customHeight="false" outlineLevel="0" collapsed="false">
      <c r="A3335" s="7" t="n">
        <v>46251</v>
      </c>
      <c r="B3335" s="7" t="n">
        <v>46254</v>
      </c>
      <c r="C3335" s="8" t="n">
        <v>7081</v>
      </c>
      <c r="D3335" s="8" t="n">
        <v>2170</v>
      </c>
      <c r="E3335" s="8" t="n">
        <v>2990</v>
      </c>
      <c r="F3335" s="8" t="s">
        <v>2200</v>
      </c>
      <c r="G3335" s="8" t="s">
        <v>2201</v>
      </c>
      <c r="H3335" s="8" t="s">
        <v>2916</v>
      </c>
    </row>
    <row r="3336" customFormat="false" ht="15" hidden="false" customHeight="false" outlineLevel="0" collapsed="false">
      <c r="A3336" s="7" t="n">
        <v>46251</v>
      </c>
      <c r="B3336" s="7" t="n">
        <v>46283</v>
      </c>
      <c r="C3336" s="8" t="n">
        <v>7159</v>
      </c>
      <c r="D3336" s="8" t="n">
        <v>3670</v>
      </c>
      <c r="E3336" s="8" t="n">
        <v>37450</v>
      </c>
      <c r="F3336" s="8" t="s">
        <v>2200</v>
      </c>
      <c r="G3336" s="8" t="s">
        <v>2201</v>
      </c>
      <c r="H3336" s="8" t="s">
        <v>2916</v>
      </c>
    </row>
    <row r="3337" customFormat="false" ht="15" hidden="false" customHeight="false" outlineLevel="0" collapsed="false">
      <c r="A3337" s="7" t="n">
        <v>46251</v>
      </c>
      <c r="B3337" s="7" t="n">
        <v>46311</v>
      </c>
      <c r="C3337" s="8" t="n">
        <v>7249</v>
      </c>
      <c r="D3337" s="8" t="n">
        <v>95</v>
      </c>
      <c r="E3337" s="8" t="n">
        <v>190</v>
      </c>
      <c r="F3337" s="8" t="s">
        <v>2200</v>
      </c>
      <c r="G3337" s="8" t="s">
        <v>2201</v>
      </c>
      <c r="H3337" s="8" t="s">
        <v>2916</v>
      </c>
    </row>
    <row r="3338" customFormat="false" ht="15" hidden="false" customHeight="false" outlineLevel="0" collapsed="false">
      <c r="A3338" s="7" t="n">
        <v>46251</v>
      </c>
      <c r="B3338" s="7" t="n">
        <v>46346</v>
      </c>
      <c r="C3338" s="8" t="n">
        <v>7339</v>
      </c>
      <c r="D3338" s="8" t="n">
        <v>0</v>
      </c>
      <c r="E3338" s="8" t="n">
        <v>0</v>
      </c>
      <c r="F3338" s="8" t="s">
        <v>2200</v>
      </c>
      <c r="G3338" s="8" t="s">
        <v>2201</v>
      </c>
      <c r="H3338" s="8" t="s">
        <v>2916</v>
      </c>
    </row>
    <row r="3339" customFormat="false" ht="15" hidden="false" customHeight="false" outlineLevel="0" collapsed="false">
      <c r="A3339" s="7" t="n">
        <v>46251</v>
      </c>
      <c r="B3339" s="7" t="n">
        <v>46374</v>
      </c>
      <c r="C3339" s="8" t="n">
        <v>7429</v>
      </c>
      <c r="D3339" s="8" t="n">
        <v>0</v>
      </c>
      <c r="E3339" s="8" t="n">
        <v>0</v>
      </c>
      <c r="F3339" s="8" t="s">
        <v>2200</v>
      </c>
      <c r="G3339" s="8" t="s">
        <v>2201</v>
      </c>
      <c r="H3339" s="8" t="s">
        <v>2916</v>
      </c>
    </row>
    <row r="3340" customFormat="false" ht="15" hidden="false" customHeight="false" outlineLevel="0" collapsed="false">
      <c r="A3340" s="7" t="n">
        <v>46252</v>
      </c>
      <c r="B3340" s="7" t="n">
        <v>46254</v>
      </c>
      <c r="C3340" s="8" t="n">
        <v>7109</v>
      </c>
      <c r="D3340" s="8" t="n">
        <v>1155</v>
      </c>
      <c r="E3340" s="8" t="n">
        <v>2620</v>
      </c>
      <c r="F3340" s="8" t="s">
        <v>2200</v>
      </c>
      <c r="G3340" s="8" t="s">
        <v>2201</v>
      </c>
      <c r="H3340" s="8" t="s">
        <v>2917</v>
      </c>
    </row>
    <row r="3341" customFormat="false" ht="15" hidden="false" customHeight="false" outlineLevel="0" collapsed="false">
      <c r="A3341" s="7" t="n">
        <v>46252</v>
      </c>
      <c r="B3341" s="7" t="n">
        <v>46283</v>
      </c>
      <c r="C3341" s="8" t="n">
        <v>7204</v>
      </c>
      <c r="D3341" s="8" t="n">
        <v>5940</v>
      </c>
      <c r="E3341" s="8" t="n">
        <v>38715</v>
      </c>
      <c r="F3341" s="8" t="s">
        <v>2200</v>
      </c>
      <c r="G3341" s="8" t="s">
        <v>2201</v>
      </c>
      <c r="H3341" s="8" t="s">
        <v>2917</v>
      </c>
    </row>
    <row r="3342" customFormat="false" ht="15" hidden="false" customHeight="false" outlineLevel="0" collapsed="false">
      <c r="A3342" s="7" t="n">
        <v>46252</v>
      </c>
      <c r="B3342" s="7" t="n">
        <v>46311</v>
      </c>
      <c r="C3342" s="8" t="n">
        <v>7254</v>
      </c>
      <c r="D3342" s="8" t="n">
        <v>410</v>
      </c>
      <c r="E3342" s="8" t="n">
        <v>545</v>
      </c>
      <c r="F3342" s="8" t="s">
        <v>2200</v>
      </c>
      <c r="G3342" s="8" t="s">
        <v>2201</v>
      </c>
      <c r="H3342" s="8" t="s">
        <v>2917</v>
      </c>
    </row>
    <row r="3343" customFormat="false" ht="15" hidden="false" customHeight="false" outlineLevel="0" collapsed="false">
      <c r="A3343" s="7" t="n">
        <v>46252</v>
      </c>
      <c r="B3343" s="7" t="n">
        <v>46346</v>
      </c>
      <c r="C3343" s="8" t="n">
        <v>7304</v>
      </c>
      <c r="D3343" s="8" t="n">
        <v>0</v>
      </c>
      <c r="E3343" s="8" t="n">
        <v>0</v>
      </c>
      <c r="F3343" s="8" t="s">
        <v>2200</v>
      </c>
      <c r="G3343" s="8" t="s">
        <v>2201</v>
      </c>
      <c r="H3343" s="8" t="s">
        <v>2917</v>
      </c>
    </row>
    <row r="3344" customFormat="false" ht="15" hidden="false" customHeight="false" outlineLevel="0" collapsed="false">
      <c r="A3344" s="7" t="n">
        <v>46252</v>
      </c>
      <c r="B3344" s="7" t="n">
        <v>46374</v>
      </c>
      <c r="C3344" s="8" t="n">
        <v>7354</v>
      </c>
      <c r="D3344" s="8" t="n">
        <v>0</v>
      </c>
      <c r="E3344" s="8" t="n">
        <v>0</v>
      </c>
      <c r="F3344" s="8" t="s">
        <v>2200</v>
      </c>
      <c r="G3344" s="8" t="s">
        <v>2201</v>
      </c>
      <c r="H3344" s="8" t="s">
        <v>2917</v>
      </c>
    </row>
    <row r="3345" customFormat="false" ht="15" hidden="false" customHeight="false" outlineLevel="0" collapsed="false">
      <c r="A3345" s="7" t="n">
        <v>46253</v>
      </c>
      <c r="B3345" s="7" t="n">
        <v>46254</v>
      </c>
      <c r="C3345" s="8" t="n">
        <v>7109</v>
      </c>
      <c r="D3345" s="8" t="n">
        <v>15</v>
      </c>
      <c r="E3345" s="8" t="n">
        <v>40</v>
      </c>
      <c r="F3345" s="8" t="s">
        <v>2200</v>
      </c>
      <c r="G3345" s="8" t="s">
        <v>2201</v>
      </c>
      <c r="H3345" s="8" t="s">
        <v>2918</v>
      </c>
    </row>
    <row r="3346" customFormat="false" ht="15" hidden="false" customHeight="false" outlineLevel="0" collapsed="false">
      <c r="A3346" s="7" t="n">
        <v>46253</v>
      </c>
      <c r="B3346" s="7" t="n">
        <v>46283</v>
      </c>
      <c r="C3346" s="8" t="n">
        <v>7192</v>
      </c>
      <c r="D3346" s="8" t="n">
        <v>2335</v>
      </c>
      <c r="E3346" s="8" t="n">
        <v>38050</v>
      </c>
      <c r="F3346" s="8" t="s">
        <v>2200</v>
      </c>
      <c r="G3346" s="8" t="s">
        <v>2201</v>
      </c>
      <c r="H3346" s="8" t="s">
        <v>2918</v>
      </c>
    </row>
    <row r="3347" customFormat="false" ht="15" hidden="false" customHeight="false" outlineLevel="0" collapsed="false">
      <c r="A3347" s="7" t="n">
        <v>46253</v>
      </c>
      <c r="B3347" s="7" t="n">
        <v>46311</v>
      </c>
      <c r="C3347" s="8" t="n">
        <v>7263</v>
      </c>
      <c r="D3347" s="8" t="n">
        <v>175</v>
      </c>
      <c r="E3347" s="8" t="n">
        <v>635</v>
      </c>
      <c r="F3347" s="8" t="s">
        <v>2200</v>
      </c>
      <c r="G3347" s="8" t="s">
        <v>2201</v>
      </c>
      <c r="H3347" s="8" t="s">
        <v>2918</v>
      </c>
    </row>
    <row r="3348" customFormat="false" ht="15" hidden="false" customHeight="false" outlineLevel="0" collapsed="false">
      <c r="A3348" s="7" t="n">
        <v>46253</v>
      </c>
      <c r="B3348" s="7" t="n">
        <v>46346</v>
      </c>
      <c r="C3348" s="8" t="n">
        <v>7334</v>
      </c>
      <c r="D3348" s="8" t="n">
        <v>0</v>
      </c>
      <c r="E3348" s="8" t="n">
        <v>0</v>
      </c>
      <c r="F3348" s="8" t="s">
        <v>2200</v>
      </c>
      <c r="G3348" s="8" t="s">
        <v>2201</v>
      </c>
      <c r="H3348" s="8" t="s">
        <v>2918</v>
      </c>
    </row>
    <row r="3349" customFormat="false" ht="15" hidden="false" customHeight="false" outlineLevel="0" collapsed="false">
      <c r="A3349" s="7" t="n">
        <v>46253</v>
      </c>
      <c r="B3349" s="7" t="n">
        <v>46374</v>
      </c>
      <c r="C3349" s="8" t="n">
        <v>7405</v>
      </c>
      <c r="D3349" s="8" t="n">
        <v>0</v>
      </c>
      <c r="E3349" s="8" t="n">
        <v>0</v>
      </c>
      <c r="F3349" s="8" t="s">
        <v>2200</v>
      </c>
      <c r="G3349" s="8" t="s">
        <v>2201</v>
      </c>
      <c r="H3349" s="8" t="s">
        <v>2918</v>
      </c>
    </row>
    <row r="3350" customFormat="false" ht="15" hidden="false" customHeight="false" outlineLevel="0" collapsed="false">
      <c r="A3350" s="7" t="n">
        <v>46254</v>
      </c>
      <c r="B3350" s="7" t="n">
        <v>46254</v>
      </c>
      <c r="C3350" s="8" t="n">
        <v>7112</v>
      </c>
      <c r="D3350" s="8" t="n">
        <v>40</v>
      </c>
      <c r="E3350" s="8" t="n">
        <v>45</v>
      </c>
      <c r="F3350" s="8" t="s">
        <v>2200</v>
      </c>
      <c r="G3350" s="8" t="s">
        <v>2201</v>
      </c>
      <c r="H3350" s="8" t="s">
        <v>2919</v>
      </c>
    </row>
    <row r="3351" customFormat="false" ht="15" hidden="false" customHeight="false" outlineLevel="0" collapsed="false">
      <c r="A3351" s="7" t="n">
        <v>46254</v>
      </c>
      <c r="B3351" s="7" t="n">
        <v>46283</v>
      </c>
      <c r="C3351" s="8" t="n">
        <v>7223</v>
      </c>
      <c r="D3351" s="8" t="n">
        <v>4665</v>
      </c>
      <c r="E3351" s="8" t="n">
        <v>37725</v>
      </c>
      <c r="F3351" s="8" t="s">
        <v>2200</v>
      </c>
      <c r="G3351" s="8" t="s">
        <v>2201</v>
      </c>
      <c r="H3351" s="8" t="s">
        <v>2919</v>
      </c>
    </row>
    <row r="3352" customFormat="false" ht="15" hidden="false" customHeight="false" outlineLevel="0" collapsed="false">
      <c r="A3352" s="7" t="n">
        <v>46254</v>
      </c>
      <c r="B3352" s="7" t="n">
        <v>46311</v>
      </c>
      <c r="C3352" s="8" t="n">
        <v>7315</v>
      </c>
      <c r="D3352" s="8" t="n">
        <v>900</v>
      </c>
      <c r="E3352" s="8" t="n">
        <v>1370</v>
      </c>
      <c r="F3352" s="8" t="s">
        <v>2200</v>
      </c>
      <c r="G3352" s="8" t="s">
        <v>2201</v>
      </c>
      <c r="H3352" s="8" t="s">
        <v>2919</v>
      </c>
    </row>
    <row r="3353" customFormat="false" ht="15" hidden="false" customHeight="false" outlineLevel="0" collapsed="false">
      <c r="A3353" s="7" t="n">
        <v>46254</v>
      </c>
      <c r="B3353" s="7" t="n">
        <v>46346</v>
      </c>
      <c r="C3353" s="8" t="n">
        <v>7407</v>
      </c>
      <c r="D3353" s="8" t="n">
        <v>0</v>
      </c>
      <c r="E3353" s="8" t="n">
        <v>0</v>
      </c>
      <c r="F3353" s="8" t="s">
        <v>2200</v>
      </c>
      <c r="G3353" s="8" t="s">
        <v>2201</v>
      </c>
      <c r="H3353" s="8" t="s">
        <v>2919</v>
      </c>
    </row>
    <row r="3354" customFormat="false" ht="15" hidden="false" customHeight="false" outlineLevel="0" collapsed="false">
      <c r="A3354" s="7" t="n">
        <v>46254</v>
      </c>
      <c r="B3354" s="7" t="n">
        <v>46374</v>
      </c>
      <c r="C3354" s="8" t="n">
        <v>7499</v>
      </c>
      <c r="D3354" s="8" t="n">
        <v>0</v>
      </c>
      <c r="E3354" s="8" t="n">
        <v>0</v>
      </c>
      <c r="F3354" s="8" t="s">
        <v>2200</v>
      </c>
      <c r="G3354" s="8" t="s">
        <v>2201</v>
      </c>
      <c r="H3354" s="8" t="s">
        <v>2919</v>
      </c>
    </row>
    <row r="3355" customFormat="false" ht="15" hidden="false" customHeight="false" outlineLevel="0" collapsed="false">
      <c r="A3355" s="7" t="n">
        <v>46255</v>
      </c>
      <c r="B3355" s="7" t="n">
        <v>46283</v>
      </c>
      <c r="C3355" s="8" t="n">
        <v>7295</v>
      </c>
      <c r="D3355" s="8" t="n">
        <v>7910</v>
      </c>
      <c r="E3355" s="8" t="n">
        <v>37185</v>
      </c>
      <c r="F3355" s="8" t="s">
        <v>2200</v>
      </c>
      <c r="G3355" s="8" t="s">
        <v>2201</v>
      </c>
      <c r="H3355" s="8" t="s">
        <v>2920</v>
      </c>
    </row>
    <row r="3356" customFormat="false" ht="15" hidden="false" customHeight="false" outlineLevel="0" collapsed="false">
      <c r="A3356" s="7" t="n">
        <v>46255</v>
      </c>
      <c r="B3356" s="7" t="n">
        <v>46311</v>
      </c>
      <c r="C3356" s="8" t="n">
        <v>7369</v>
      </c>
      <c r="D3356" s="8" t="n">
        <v>1630</v>
      </c>
      <c r="E3356" s="8" t="n">
        <v>2520</v>
      </c>
      <c r="F3356" s="8" t="s">
        <v>2200</v>
      </c>
      <c r="G3356" s="8" t="s">
        <v>2201</v>
      </c>
      <c r="H3356" s="8" t="s">
        <v>2920</v>
      </c>
    </row>
    <row r="3357" customFormat="false" ht="15" hidden="false" customHeight="false" outlineLevel="0" collapsed="false">
      <c r="A3357" s="7" t="n">
        <v>46255</v>
      </c>
      <c r="B3357" s="7" t="n">
        <v>46346</v>
      </c>
      <c r="C3357" s="8" t="n">
        <v>7443</v>
      </c>
      <c r="D3357" s="8" t="n">
        <v>0</v>
      </c>
      <c r="E3357" s="8" t="n">
        <v>0</v>
      </c>
      <c r="F3357" s="8" t="s">
        <v>2200</v>
      </c>
      <c r="G3357" s="8" t="s">
        <v>2201</v>
      </c>
      <c r="H3357" s="8" t="s">
        <v>2920</v>
      </c>
    </row>
    <row r="3358" customFormat="false" ht="15" hidden="false" customHeight="false" outlineLevel="0" collapsed="false">
      <c r="A3358" s="7" t="n">
        <v>46255</v>
      </c>
      <c r="B3358" s="7" t="n">
        <v>46374</v>
      </c>
      <c r="C3358" s="8" t="n">
        <v>7517</v>
      </c>
      <c r="D3358" s="8" t="n">
        <v>0</v>
      </c>
      <c r="E3358" s="8" t="n">
        <v>0</v>
      </c>
      <c r="F3358" s="8" t="s">
        <v>2200</v>
      </c>
      <c r="G3358" s="8" t="s">
        <v>2201</v>
      </c>
      <c r="H3358" s="8" t="s">
        <v>2920</v>
      </c>
    </row>
    <row r="3359" customFormat="false" ht="15" hidden="false" customHeight="false" outlineLevel="0" collapsed="false">
      <c r="A3359" s="7" t="n">
        <v>46258</v>
      </c>
      <c r="B3359" s="7" t="n">
        <v>46283</v>
      </c>
      <c r="C3359" s="8" t="n">
        <v>7362</v>
      </c>
      <c r="D3359" s="8" t="n">
        <v>9165</v>
      </c>
      <c r="E3359" s="8" t="n">
        <v>36935</v>
      </c>
      <c r="F3359" s="8" t="s">
        <v>2200</v>
      </c>
      <c r="G3359" s="8" t="s">
        <v>2201</v>
      </c>
      <c r="H3359" s="8" t="s">
        <v>2921</v>
      </c>
    </row>
    <row r="3360" customFormat="false" ht="15" hidden="false" customHeight="false" outlineLevel="0" collapsed="false">
      <c r="A3360" s="7" t="n">
        <v>46258</v>
      </c>
      <c r="B3360" s="7" t="n">
        <v>46311</v>
      </c>
      <c r="C3360" s="8" t="n">
        <v>7452</v>
      </c>
      <c r="D3360" s="8" t="n">
        <v>4605</v>
      </c>
      <c r="E3360" s="8" t="n">
        <v>5310</v>
      </c>
      <c r="F3360" s="8" t="s">
        <v>2200</v>
      </c>
      <c r="G3360" s="8" t="s">
        <v>2201</v>
      </c>
      <c r="H3360" s="8" t="s">
        <v>2921</v>
      </c>
    </row>
    <row r="3361" customFormat="false" ht="15" hidden="false" customHeight="false" outlineLevel="0" collapsed="false">
      <c r="A3361" s="7" t="n">
        <v>46258</v>
      </c>
      <c r="B3361" s="7" t="n">
        <v>46346</v>
      </c>
      <c r="C3361" s="8" t="n">
        <v>7542</v>
      </c>
      <c r="D3361" s="8" t="n">
        <v>0</v>
      </c>
      <c r="E3361" s="8" t="n">
        <v>0</v>
      </c>
      <c r="F3361" s="8" t="s">
        <v>2200</v>
      </c>
      <c r="G3361" s="8" t="s">
        <v>2201</v>
      </c>
      <c r="H3361" s="8" t="s">
        <v>2921</v>
      </c>
    </row>
    <row r="3362" customFormat="false" ht="15" hidden="false" customHeight="false" outlineLevel="0" collapsed="false">
      <c r="A3362" s="7" t="n">
        <v>46258</v>
      </c>
      <c r="B3362" s="7" t="n">
        <v>46374</v>
      </c>
      <c r="C3362" s="8" t="n">
        <v>7632</v>
      </c>
      <c r="D3362" s="8" t="n">
        <v>0</v>
      </c>
      <c r="E3362" s="8" t="n">
        <v>0</v>
      </c>
      <c r="F3362" s="8" t="s">
        <v>2200</v>
      </c>
      <c r="G3362" s="8" t="s">
        <v>2201</v>
      </c>
      <c r="H3362" s="8" t="s">
        <v>2921</v>
      </c>
    </row>
    <row r="3363" customFormat="false" ht="15" hidden="false" customHeight="false" outlineLevel="0" collapsed="false">
      <c r="A3363" s="7" t="n">
        <v>46259</v>
      </c>
      <c r="B3363" s="7" t="n">
        <v>46283</v>
      </c>
      <c r="C3363" s="8" t="n">
        <v>7346</v>
      </c>
      <c r="D3363" s="8" t="n">
        <v>3810</v>
      </c>
      <c r="E3363" s="8" t="n">
        <v>36145</v>
      </c>
      <c r="F3363" s="8" t="s">
        <v>2200</v>
      </c>
      <c r="G3363" s="8" t="s">
        <v>2201</v>
      </c>
      <c r="H3363" s="8" t="s">
        <v>2922</v>
      </c>
    </row>
    <row r="3364" customFormat="false" ht="15" hidden="false" customHeight="false" outlineLevel="0" collapsed="false">
      <c r="A3364" s="7" t="n">
        <v>46259</v>
      </c>
      <c r="B3364" s="7" t="n">
        <v>46311</v>
      </c>
      <c r="C3364" s="8" t="n">
        <v>7437</v>
      </c>
      <c r="D3364" s="8" t="n">
        <v>2130</v>
      </c>
      <c r="E3364" s="8" t="n">
        <v>6340</v>
      </c>
      <c r="F3364" s="8" t="s">
        <v>2200</v>
      </c>
      <c r="G3364" s="8" t="s">
        <v>2201</v>
      </c>
      <c r="H3364" s="8" t="s">
        <v>2922</v>
      </c>
    </row>
    <row r="3365" customFormat="false" ht="15" hidden="false" customHeight="false" outlineLevel="0" collapsed="false">
      <c r="A3365" s="7" t="n">
        <v>46259</v>
      </c>
      <c r="B3365" s="7" t="n">
        <v>46346</v>
      </c>
      <c r="C3365" s="8" t="n">
        <v>7528</v>
      </c>
      <c r="D3365" s="8" t="n">
        <v>0</v>
      </c>
      <c r="E3365" s="8" t="n">
        <v>0</v>
      </c>
      <c r="F3365" s="8" t="s">
        <v>2200</v>
      </c>
      <c r="G3365" s="8" t="s">
        <v>2201</v>
      </c>
      <c r="H3365" s="8" t="s">
        <v>2922</v>
      </c>
    </row>
    <row r="3366" customFormat="false" ht="15" hidden="false" customHeight="false" outlineLevel="0" collapsed="false">
      <c r="A3366" s="7" t="n">
        <v>46259</v>
      </c>
      <c r="B3366" s="7" t="n">
        <v>46374</v>
      </c>
      <c r="C3366" s="8" t="n">
        <v>7619</v>
      </c>
      <c r="D3366" s="8" t="n">
        <v>0</v>
      </c>
      <c r="E3366" s="8" t="n">
        <v>0</v>
      </c>
      <c r="F3366" s="8" t="s">
        <v>2200</v>
      </c>
      <c r="G3366" s="8" t="s">
        <v>2201</v>
      </c>
      <c r="H3366" s="8" t="s">
        <v>2922</v>
      </c>
    </row>
    <row r="3367" customFormat="false" ht="15" hidden="false" customHeight="false" outlineLevel="0" collapsed="false">
      <c r="A3367" s="7" t="n">
        <v>46260</v>
      </c>
      <c r="B3367" s="7" t="n">
        <v>46283</v>
      </c>
      <c r="C3367" s="8" t="n">
        <v>7340</v>
      </c>
      <c r="D3367" s="8" t="n">
        <v>4140</v>
      </c>
      <c r="E3367" s="8" t="n">
        <v>34945</v>
      </c>
      <c r="F3367" s="8" t="s">
        <v>2200</v>
      </c>
      <c r="G3367" s="8" t="s">
        <v>2201</v>
      </c>
      <c r="H3367" s="8" t="s">
        <v>2923</v>
      </c>
    </row>
    <row r="3368" customFormat="false" ht="15" hidden="false" customHeight="false" outlineLevel="0" collapsed="false">
      <c r="A3368" s="7" t="n">
        <v>46260</v>
      </c>
      <c r="B3368" s="7" t="n">
        <v>46311</v>
      </c>
      <c r="C3368" s="8" t="n">
        <v>7429</v>
      </c>
      <c r="D3368" s="8" t="n">
        <v>1835</v>
      </c>
      <c r="E3368" s="8" t="n">
        <v>7490</v>
      </c>
      <c r="F3368" s="8" t="s">
        <v>2200</v>
      </c>
      <c r="G3368" s="8" t="s">
        <v>2201</v>
      </c>
      <c r="H3368" s="8" t="s">
        <v>2923</v>
      </c>
    </row>
    <row r="3369" customFormat="false" ht="15" hidden="false" customHeight="false" outlineLevel="0" collapsed="false">
      <c r="A3369" s="7" t="n">
        <v>46260</v>
      </c>
      <c r="B3369" s="7" t="n">
        <v>46346</v>
      </c>
      <c r="C3369" s="8" t="n">
        <v>7518</v>
      </c>
      <c r="D3369" s="8" t="n">
        <v>0</v>
      </c>
      <c r="E3369" s="8" t="n">
        <v>0</v>
      </c>
      <c r="F3369" s="8" t="s">
        <v>2200</v>
      </c>
      <c r="G3369" s="8" t="s">
        <v>2201</v>
      </c>
      <c r="H3369" s="8" t="s">
        <v>2923</v>
      </c>
    </row>
    <row r="3370" customFormat="false" ht="15" hidden="false" customHeight="false" outlineLevel="0" collapsed="false">
      <c r="A3370" s="7" t="n">
        <v>46260</v>
      </c>
      <c r="B3370" s="7" t="n">
        <v>46374</v>
      </c>
      <c r="C3370" s="8" t="n">
        <v>7607</v>
      </c>
      <c r="D3370" s="8" t="n">
        <v>0</v>
      </c>
      <c r="E3370" s="8" t="n">
        <v>0</v>
      </c>
      <c r="F3370" s="8" t="s">
        <v>2200</v>
      </c>
      <c r="G3370" s="8" t="s">
        <v>2201</v>
      </c>
      <c r="H3370" s="8" t="s">
        <v>2923</v>
      </c>
    </row>
    <row r="3371" customFormat="false" ht="15" hidden="false" customHeight="false" outlineLevel="0" collapsed="false">
      <c r="A3371" s="7" t="n">
        <v>46261</v>
      </c>
      <c r="B3371" s="7" t="n">
        <v>46283</v>
      </c>
      <c r="C3371" s="8" t="n">
        <v>7384</v>
      </c>
      <c r="D3371" s="8" t="n">
        <v>7095</v>
      </c>
      <c r="E3371" s="8" t="n">
        <v>33220</v>
      </c>
      <c r="F3371" s="8" t="s">
        <v>2200</v>
      </c>
      <c r="G3371" s="8" t="s">
        <v>2201</v>
      </c>
      <c r="H3371" s="8" t="s">
        <v>2924</v>
      </c>
    </row>
    <row r="3372" customFormat="false" ht="15" hidden="false" customHeight="false" outlineLevel="0" collapsed="false">
      <c r="A3372" s="7" t="n">
        <v>46261</v>
      </c>
      <c r="B3372" s="7" t="n">
        <v>46311</v>
      </c>
      <c r="C3372" s="8" t="n">
        <v>7478</v>
      </c>
      <c r="D3372" s="8" t="n">
        <v>3770</v>
      </c>
      <c r="E3372" s="8" t="n">
        <v>9900</v>
      </c>
      <c r="F3372" s="8" t="s">
        <v>2200</v>
      </c>
      <c r="G3372" s="8" t="s">
        <v>2201</v>
      </c>
      <c r="H3372" s="8" t="s">
        <v>2924</v>
      </c>
    </row>
    <row r="3373" customFormat="false" ht="15" hidden="false" customHeight="false" outlineLevel="0" collapsed="false">
      <c r="A3373" s="7" t="n">
        <v>46261</v>
      </c>
      <c r="B3373" s="7" t="n">
        <v>46346</v>
      </c>
      <c r="C3373" s="8" t="n">
        <v>7572</v>
      </c>
      <c r="D3373" s="8" t="n">
        <v>0</v>
      </c>
      <c r="E3373" s="8" t="n">
        <v>0</v>
      </c>
      <c r="F3373" s="8" t="s">
        <v>2200</v>
      </c>
      <c r="G3373" s="8" t="s">
        <v>2201</v>
      </c>
      <c r="H3373" s="8" t="s">
        <v>2924</v>
      </c>
    </row>
    <row r="3374" customFormat="false" ht="15" hidden="false" customHeight="false" outlineLevel="0" collapsed="false">
      <c r="A3374" s="7" t="n">
        <v>46261</v>
      </c>
      <c r="B3374" s="7" t="n">
        <v>46374</v>
      </c>
      <c r="C3374" s="8" t="n">
        <v>7666</v>
      </c>
      <c r="D3374" s="8" t="n">
        <v>0</v>
      </c>
      <c r="E3374" s="8" t="n">
        <v>0</v>
      </c>
      <c r="F3374" s="8" t="s">
        <v>2200</v>
      </c>
      <c r="G3374" s="8" t="s">
        <v>2201</v>
      </c>
      <c r="H3374" s="8" t="s">
        <v>2924</v>
      </c>
    </row>
    <row r="3375" customFormat="false" ht="15" hidden="false" customHeight="false" outlineLevel="0" collapsed="false">
      <c r="A3375" s="7" t="n">
        <v>46262</v>
      </c>
      <c r="B3375" s="7" t="n">
        <v>46283</v>
      </c>
      <c r="C3375" s="8" t="n">
        <v>7445</v>
      </c>
      <c r="D3375" s="8" t="n">
        <v>8885</v>
      </c>
      <c r="E3375" s="8" t="n">
        <v>29835</v>
      </c>
      <c r="F3375" s="8" t="s">
        <v>2200</v>
      </c>
      <c r="G3375" s="8" t="s">
        <v>2201</v>
      </c>
      <c r="H3375" s="8" t="s">
        <v>2925</v>
      </c>
    </row>
    <row r="3376" customFormat="false" ht="15" hidden="false" customHeight="false" outlineLevel="0" collapsed="false">
      <c r="A3376" s="7" t="n">
        <v>46262</v>
      </c>
      <c r="B3376" s="7" t="n">
        <v>46311</v>
      </c>
      <c r="C3376" s="8" t="n">
        <v>7543</v>
      </c>
      <c r="D3376" s="8" t="n">
        <v>5630</v>
      </c>
      <c r="E3376" s="8" t="n">
        <v>13175</v>
      </c>
      <c r="F3376" s="8" t="s">
        <v>2200</v>
      </c>
      <c r="G3376" s="8" t="s">
        <v>2201</v>
      </c>
      <c r="H3376" s="8" t="s">
        <v>2925</v>
      </c>
    </row>
    <row r="3377" customFormat="false" ht="15" hidden="false" customHeight="false" outlineLevel="0" collapsed="false">
      <c r="A3377" s="7" t="n">
        <v>46262</v>
      </c>
      <c r="B3377" s="7" t="n">
        <v>46346</v>
      </c>
      <c r="C3377" s="8" t="n">
        <v>7641</v>
      </c>
      <c r="D3377" s="8" t="n">
        <v>5</v>
      </c>
      <c r="E3377" s="8" t="n">
        <v>5</v>
      </c>
      <c r="F3377" s="8" t="s">
        <v>2200</v>
      </c>
      <c r="G3377" s="8" t="s">
        <v>2201</v>
      </c>
      <c r="H3377" s="8" t="s">
        <v>2925</v>
      </c>
    </row>
    <row r="3378" customFormat="false" ht="15" hidden="false" customHeight="false" outlineLevel="0" collapsed="false">
      <c r="A3378" s="7" t="n">
        <v>46262</v>
      </c>
      <c r="B3378" s="7" t="n">
        <v>46374</v>
      </c>
      <c r="C3378" s="8" t="n">
        <v>7739</v>
      </c>
      <c r="D3378" s="8" t="n">
        <v>0</v>
      </c>
      <c r="E3378" s="8" t="n">
        <v>0</v>
      </c>
      <c r="F3378" s="8" t="s">
        <v>2200</v>
      </c>
      <c r="G3378" s="8" t="s">
        <v>2201</v>
      </c>
      <c r="H3378" s="8" t="s">
        <v>2925</v>
      </c>
    </row>
    <row r="3379" customFormat="false" ht="15" hidden="false" customHeight="false" outlineLevel="0" collapsed="false">
      <c r="A3379" s="7" t="n">
        <v>46265</v>
      </c>
      <c r="B3379" s="7" t="n">
        <v>46283</v>
      </c>
      <c r="C3379" s="8" t="n">
        <v>7475</v>
      </c>
      <c r="D3379" s="8" t="n">
        <v>6205</v>
      </c>
      <c r="E3379" s="8" t="n">
        <v>27780</v>
      </c>
      <c r="F3379" s="8" t="s">
        <v>2200</v>
      </c>
      <c r="G3379" s="8" t="s">
        <v>2201</v>
      </c>
      <c r="H3379" s="8" t="s">
        <v>2926</v>
      </c>
    </row>
    <row r="3380" customFormat="false" ht="15" hidden="false" customHeight="false" outlineLevel="0" collapsed="false">
      <c r="A3380" s="7" t="n">
        <v>46265</v>
      </c>
      <c r="B3380" s="7" t="n">
        <v>46311</v>
      </c>
      <c r="C3380" s="8" t="n">
        <v>7570</v>
      </c>
      <c r="D3380" s="8" t="n">
        <v>6035</v>
      </c>
      <c r="E3380" s="8" t="n">
        <v>16755</v>
      </c>
      <c r="F3380" s="8" t="s">
        <v>2200</v>
      </c>
      <c r="G3380" s="8" t="s">
        <v>2201</v>
      </c>
      <c r="H3380" s="8" t="s">
        <v>2926</v>
      </c>
    </row>
    <row r="3381" customFormat="false" ht="15" hidden="false" customHeight="false" outlineLevel="0" collapsed="false">
      <c r="A3381" s="7" t="n">
        <v>46265</v>
      </c>
      <c r="B3381" s="7" t="n">
        <v>46346</v>
      </c>
      <c r="C3381" s="8" t="n">
        <v>7665</v>
      </c>
      <c r="D3381" s="8" t="n">
        <v>30</v>
      </c>
      <c r="E3381" s="8" t="n">
        <v>35</v>
      </c>
      <c r="F3381" s="8" t="s">
        <v>2200</v>
      </c>
      <c r="G3381" s="8" t="s">
        <v>2201</v>
      </c>
      <c r="H3381" s="8" t="s">
        <v>2926</v>
      </c>
    </row>
    <row r="3382" customFormat="false" ht="15" hidden="false" customHeight="false" outlineLevel="0" collapsed="false">
      <c r="A3382" s="7" t="n">
        <v>46265</v>
      </c>
      <c r="B3382" s="7" t="n">
        <v>46374</v>
      </c>
      <c r="C3382" s="8" t="n">
        <v>7760</v>
      </c>
      <c r="D3382" s="8" t="n">
        <v>0</v>
      </c>
      <c r="E3382" s="8" t="n">
        <v>0</v>
      </c>
      <c r="F3382" s="8" t="s">
        <v>2200</v>
      </c>
      <c r="G3382" s="8" t="s">
        <v>2201</v>
      </c>
      <c r="H3382" s="8" t="s">
        <v>2926</v>
      </c>
    </row>
    <row r="3383" customFormat="false" ht="15" hidden="false" customHeight="false" outlineLevel="0" collapsed="false">
      <c r="A3383" s="7" t="n">
        <v>46266</v>
      </c>
      <c r="B3383" s="7" t="n">
        <v>46283</v>
      </c>
      <c r="C3383" s="8" t="n">
        <v>7428</v>
      </c>
      <c r="D3383" s="8" t="n">
        <v>5460</v>
      </c>
      <c r="E3383" s="8" t="n">
        <v>26150</v>
      </c>
      <c r="F3383" s="8" t="s">
        <v>2200</v>
      </c>
      <c r="G3383" s="8" t="s">
        <v>2201</v>
      </c>
      <c r="H3383" s="8" t="s">
        <v>2927</v>
      </c>
    </row>
    <row r="3384" customFormat="false" ht="15" hidden="false" customHeight="false" outlineLevel="0" collapsed="false">
      <c r="A3384" s="7" t="n">
        <v>46266</v>
      </c>
      <c r="B3384" s="7" t="n">
        <v>46311</v>
      </c>
      <c r="C3384" s="8" t="n">
        <v>7528</v>
      </c>
      <c r="D3384" s="8" t="n">
        <v>4855</v>
      </c>
      <c r="E3384" s="8" t="n">
        <v>18820</v>
      </c>
      <c r="F3384" s="8" t="s">
        <v>2200</v>
      </c>
      <c r="G3384" s="8" t="s">
        <v>2201</v>
      </c>
      <c r="H3384" s="8" t="s">
        <v>2927</v>
      </c>
    </row>
    <row r="3385" customFormat="false" ht="15" hidden="false" customHeight="false" outlineLevel="0" collapsed="false">
      <c r="A3385" s="7" t="n">
        <v>46266</v>
      </c>
      <c r="B3385" s="7" t="n">
        <v>46346</v>
      </c>
      <c r="C3385" s="8" t="n">
        <v>7628</v>
      </c>
      <c r="D3385" s="8" t="n">
        <v>150</v>
      </c>
      <c r="E3385" s="8" t="n">
        <v>175</v>
      </c>
      <c r="F3385" s="8" t="s">
        <v>2200</v>
      </c>
      <c r="G3385" s="8" t="s">
        <v>2201</v>
      </c>
      <c r="H3385" s="8" t="s">
        <v>2927</v>
      </c>
    </row>
    <row r="3386" customFormat="false" ht="15" hidden="false" customHeight="false" outlineLevel="0" collapsed="false">
      <c r="A3386" s="7" t="n">
        <v>46266</v>
      </c>
      <c r="B3386" s="7" t="n">
        <v>46374</v>
      </c>
      <c r="C3386" s="8" t="n">
        <v>7728</v>
      </c>
      <c r="D3386" s="8" t="n">
        <v>0</v>
      </c>
      <c r="E3386" s="8" t="n">
        <v>0</v>
      </c>
      <c r="F3386" s="8" t="s">
        <v>2200</v>
      </c>
      <c r="G3386" s="8" t="s">
        <v>2201</v>
      </c>
      <c r="H3386" s="8" t="s">
        <v>2927</v>
      </c>
    </row>
    <row r="3387" customFormat="false" ht="15" hidden="false" customHeight="false" outlineLevel="0" collapsed="false">
      <c r="A3387" s="7" t="n">
        <v>46266</v>
      </c>
      <c r="B3387" s="7" t="n">
        <v>46407</v>
      </c>
      <c r="C3387" s="8" t="n">
        <v>7828</v>
      </c>
      <c r="D3387" s="8" t="n">
        <v>0</v>
      </c>
      <c r="E3387" s="8" t="n">
        <v>0</v>
      </c>
      <c r="F3387" s="8" t="s">
        <v>2200</v>
      </c>
      <c r="G3387" s="8" t="s">
        <v>2201</v>
      </c>
      <c r="H3387" s="8" t="s">
        <v>2927</v>
      </c>
    </row>
    <row r="3388" customFormat="false" ht="15" hidden="false" customHeight="false" outlineLevel="0" collapsed="false">
      <c r="A3388" s="7" t="n">
        <v>46267</v>
      </c>
      <c r="B3388" s="7" t="n">
        <v>46283</v>
      </c>
      <c r="C3388" s="8" t="n">
        <v>7497</v>
      </c>
      <c r="D3388" s="8" t="n">
        <v>8465</v>
      </c>
      <c r="E3388" s="8" t="n">
        <v>22360</v>
      </c>
      <c r="F3388" s="8" t="s">
        <v>2200</v>
      </c>
      <c r="G3388" s="8" t="s">
        <v>2201</v>
      </c>
      <c r="H3388" s="8" t="s">
        <v>2928</v>
      </c>
    </row>
    <row r="3389" customFormat="false" ht="15" hidden="false" customHeight="false" outlineLevel="0" collapsed="false">
      <c r="A3389" s="7" t="n">
        <v>46267</v>
      </c>
      <c r="B3389" s="7" t="n">
        <v>46311</v>
      </c>
      <c r="C3389" s="8" t="n">
        <v>7609</v>
      </c>
      <c r="D3389" s="8" t="n">
        <v>9325</v>
      </c>
      <c r="E3389" s="8" t="n">
        <v>22665</v>
      </c>
      <c r="F3389" s="8" t="s">
        <v>2200</v>
      </c>
      <c r="G3389" s="8" t="s">
        <v>2201</v>
      </c>
      <c r="H3389" s="8" t="s">
        <v>2928</v>
      </c>
    </row>
    <row r="3390" customFormat="false" ht="15" hidden="false" customHeight="false" outlineLevel="0" collapsed="false">
      <c r="A3390" s="7" t="n">
        <v>46267</v>
      </c>
      <c r="B3390" s="7" t="n">
        <v>46346</v>
      </c>
      <c r="C3390" s="8" t="n">
        <v>7693</v>
      </c>
      <c r="D3390" s="8" t="n">
        <v>930</v>
      </c>
      <c r="E3390" s="8" t="n">
        <v>725</v>
      </c>
      <c r="F3390" s="8" t="s">
        <v>2200</v>
      </c>
      <c r="G3390" s="8" t="s">
        <v>2201</v>
      </c>
      <c r="H3390" s="8" t="s">
        <v>2928</v>
      </c>
    </row>
    <row r="3391" customFormat="false" ht="15" hidden="false" customHeight="false" outlineLevel="0" collapsed="false">
      <c r="A3391" s="7" t="n">
        <v>46267</v>
      </c>
      <c r="B3391" s="7" t="n">
        <v>46374</v>
      </c>
      <c r="C3391" s="8" t="n">
        <v>7777</v>
      </c>
      <c r="D3391" s="8" t="n">
        <v>0</v>
      </c>
      <c r="E3391" s="8" t="n">
        <v>0</v>
      </c>
      <c r="F3391" s="8" t="s">
        <v>2200</v>
      </c>
      <c r="G3391" s="8" t="s">
        <v>2201</v>
      </c>
      <c r="H3391" s="8" t="s">
        <v>2928</v>
      </c>
    </row>
    <row r="3392" customFormat="false" ht="15" hidden="false" customHeight="false" outlineLevel="0" collapsed="false">
      <c r="A3392" s="7" t="n">
        <v>46267</v>
      </c>
      <c r="B3392" s="7" t="n">
        <v>46407</v>
      </c>
      <c r="C3392" s="8" t="n">
        <v>7861</v>
      </c>
      <c r="D3392" s="8" t="n">
        <v>0</v>
      </c>
      <c r="E3392" s="8" t="n">
        <v>0</v>
      </c>
      <c r="F3392" s="8" t="s">
        <v>2200</v>
      </c>
      <c r="G3392" s="8" t="s">
        <v>2201</v>
      </c>
      <c r="H3392" s="8" t="s">
        <v>2928</v>
      </c>
    </row>
    <row r="3393" customFormat="false" ht="15" hidden="false" customHeight="false" outlineLevel="0" collapsed="false">
      <c r="A3393" s="7" t="n">
        <v>46268</v>
      </c>
      <c r="B3393" s="7" t="n">
        <v>46283</v>
      </c>
      <c r="C3393" s="8" t="n">
        <v>7542</v>
      </c>
      <c r="D3393" s="8" t="n">
        <v>8010</v>
      </c>
      <c r="E3393" s="8" t="n">
        <v>19245</v>
      </c>
      <c r="F3393" s="8" t="s">
        <v>2200</v>
      </c>
      <c r="G3393" s="8" t="s">
        <v>2201</v>
      </c>
      <c r="H3393" s="8" t="s">
        <v>2929</v>
      </c>
    </row>
    <row r="3394" customFormat="false" ht="15" hidden="false" customHeight="false" outlineLevel="0" collapsed="false">
      <c r="A3394" s="7" t="n">
        <v>46268</v>
      </c>
      <c r="B3394" s="7" t="n">
        <v>46311</v>
      </c>
      <c r="C3394" s="8" t="n">
        <v>7659</v>
      </c>
      <c r="D3394" s="8" t="n">
        <v>9240</v>
      </c>
      <c r="E3394" s="8" t="n">
        <v>24485</v>
      </c>
      <c r="F3394" s="8" t="s">
        <v>2200</v>
      </c>
      <c r="G3394" s="8" t="s">
        <v>2201</v>
      </c>
      <c r="H3394" s="8" t="s">
        <v>2929</v>
      </c>
    </row>
    <row r="3395" customFormat="false" ht="15" hidden="false" customHeight="false" outlineLevel="0" collapsed="false">
      <c r="A3395" s="7" t="n">
        <v>46268</v>
      </c>
      <c r="B3395" s="7" t="n">
        <v>46346</v>
      </c>
      <c r="C3395" s="8" t="n">
        <v>7761</v>
      </c>
      <c r="D3395" s="8" t="n">
        <v>385</v>
      </c>
      <c r="E3395" s="8" t="n">
        <v>955</v>
      </c>
      <c r="F3395" s="8" t="s">
        <v>2200</v>
      </c>
      <c r="G3395" s="8" t="s">
        <v>2201</v>
      </c>
      <c r="H3395" s="8" t="s">
        <v>2929</v>
      </c>
    </row>
    <row r="3396" customFormat="false" ht="15" hidden="false" customHeight="false" outlineLevel="0" collapsed="false">
      <c r="A3396" s="7" t="n">
        <v>46268</v>
      </c>
      <c r="B3396" s="7" t="n">
        <v>46374</v>
      </c>
      <c r="C3396" s="8" t="n">
        <v>7863</v>
      </c>
      <c r="D3396" s="8" t="n">
        <v>0</v>
      </c>
      <c r="E3396" s="8" t="n">
        <v>0</v>
      </c>
      <c r="F3396" s="8" t="s">
        <v>2200</v>
      </c>
      <c r="G3396" s="8" t="s">
        <v>2201</v>
      </c>
      <c r="H3396" s="8" t="s">
        <v>2929</v>
      </c>
    </row>
    <row r="3397" customFormat="false" ht="15" hidden="false" customHeight="false" outlineLevel="0" collapsed="false">
      <c r="A3397" s="7" t="n">
        <v>46268</v>
      </c>
      <c r="B3397" s="7" t="n">
        <v>46407</v>
      </c>
      <c r="C3397" s="8" t="n">
        <v>7965</v>
      </c>
      <c r="D3397" s="8" t="n">
        <v>0</v>
      </c>
      <c r="E3397" s="8" t="n">
        <v>0</v>
      </c>
      <c r="F3397" s="8" t="s">
        <v>2200</v>
      </c>
      <c r="G3397" s="8" t="s">
        <v>2201</v>
      </c>
      <c r="H3397" s="8" t="s">
        <v>2929</v>
      </c>
    </row>
    <row r="3398" customFormat="false" ht="15" hidden="false" customHeight="false" outlineLevel="0" collapsed="false">
      <c r="A3398" s="7" t="n">
        <v>46269</v>
      </c>
      <c r="B3398" s="7" t="n">
        <v>46283</v>
      </c>
      <c r="C3398" s="8" t="n">
        <v>7559</v>
      </c>
      <c r="D3398" s="8" t="n">
        <v>4590</v>
      </c>
      <c r="E3398" s="8" t="n">
        <v>18405</v>
      </c>
      <c r="F3398" s="8" t="s">
        <v>2200</v>
      </c>
      <c r="G3398" s="8" t="s">
        <v>2201</v>
      </c>
      <c r="H3398" s="8" t="s">
        <v>2930</v>
      </c>
    </row>
    <row r="3399" customFormat="false" ht="15" hidden="false" customHeight="false" outlineLevel="0" collapsed="false">
      <c r="A3399" s="7" t="n">
        <v>46269</v>
      </c>
      <c r="B3399" s="7" t="n">
        <v>46311</v>
      </c>
      <c r="C3399" s="8" t="n">
        <v>7675</v>
      </c>
      <c r="D3399" s="8" t="n">
        <v>7520</v>
      </c>
      <c r="E3399" s="8" t="n">
        <v>25895</v>
      </c>
      <c r="F3399" s="8" t="s">
        <v>2200</v>
      </c>
      <c r="G3399" s="8" t="s">
        <v>2201</v>
      </c>
      <c r="H3399" s="8" t="s">
        <v>2930</v>
      </c>
    </row>
    <row r="3400" customFormat="false" ht="15" hidden="false" customHeight="false" outlineLevel="0" collapsed="false">
      <c r="A3400" s="7" t="n">
        <v>46269</v>
      </c>
      <c r="B3400" s="7" t="n">
        <v>46346</v>
      </c>
      <c r="C3400" s="8" t="n">
        <v>7795</v>
      </c>
      <c r="D3400" s="8" t="n">
        <v>590</v>
      </c>
      <c r="E3400" s="8" t="n">
        <v>1420</v>
      </c>
      <c r="F3400" s="8" t="s">
        <v>2200</v>
      </c>
      <c r="G3400" s="8" t="s">
        <v>2201</v>
      </c>
      <c r="H3400" s="8" t="s">
        <v>2930</v>
      </c>
    </row>
    <row r="3401" customFormat="false" ht="15" hidden="false" customHeight="false" outlineLevel="0" collapsed="false">
      <c r="A3401" s="7" t="n">
        <v>46269</v>
      </c>
      <c r="B3401" s="7" t="n">
        <v>46374</v>
      </c>
      <c r="C3401" s="8" t="n">
        <v>7915</v>
      </c>
      <c r="D3401" s="8" t="n">
        <v>0</v>
      </c>
      <c r="E3401" s="8" t="n">
        <v>0</v>
      </c>
      <c r="F3401" s="8" t="s">
        <v>2200</v>
      </c>
      <c r="G3401" s="8" t="s">
        <v>2201</v>
      </c>
      <c r="H3401" s="8" t="s">
        <v>2930</v>
      </c>
    </row>
    <row r="3402" customFormat="false" ht="15" hidden="false" customHeight="false" outlineLevel="0" collapsed="false">
      <c r="A3402" s="7" t="n">
        <v>46269</v>
      </c>
      <c r="B3402" s="7" t="n">
        <v>46407</v>
      </c>
      <c r="C3402" s="8" t="n">
        <v>8035</v>
      </c>
      <c r="D3402" s="8" t="n">
        <v>0</v>
      </c>
      <c r="E3402" s="8" t="n">
        <v>0</v>
      </c>
      <c r="F3402" s="8" t="s">
        <v>2200</v>
      </c>
      <c r="G3402" s="8" t="s">
        <v>2201</v>
      </c>
      <c r="H3402" s="8" t="s">
        <v>2930</v>
      </c>
    </row>
    <row r="3403" customFormat="false" ht="15" hidden="false" customHeight="false" outlineLevel="0" collapsed="false">
      <c r="A3403" s="7" t="n">
        <v>46272</v>
      </c>
      <c r="B3403" s="7" t="n">
        <v>46283</v>
      </c>
      <c r="C3403" s="8" t="n">
        <v>7510</v>
      </c>
      <c r="D3403" s="8" t="n">
        <v>5985</v>
      </c>
      <c r="E3403" s="8" t="n">
        <v>16190</v>
      </c>
      <c r="F3403" s="8" t="s">
        <v>2200</v>
      </c>
      <c r="G3403" s="8" t="s">
        <v>2201</v>
      </c>
      <c r="H3403" s="8" t="s">
        <v>2931</v>
      </c>
    </row>
    <row r="3404" customFormat="false" ht="15" hidden="false" customHeight="false" outlineLevel="0" collapsed="false">
      <c r="A3404" s="7" t="n">
        <v>46272</v>
      </c>
      <c r="B3404" s="7" t="n">
        <v>46311</v>
      </c>
      <c r="C3404" s="8" t="n">
        <v>7620</v>
      </c>
      <c r="D3404" s="8" t="n">
        <v>7270</v>
      </c>
      <c r="E3404" s="8" t="n">
        <v>27775</v>
      </c>
      <c r="F3404" s="8" t="s">
        <v>2200</v>
      </c>
      <c r="G3404" s="8" t="s">
        <v>2201</v>
      </c>
      <c r="H3404" s="8" t="s">
        <v>2931</v>
      </c>
    </row>
    <row r="3405" customFormat="false" ht="15" hidden="false" customHeight="false" outlineLevel="0" collapsed="false">
      <c r="A3405" s="7" t="n">
        <v>46272</v>
      </c>
      <c r="B3405" s="7" t="n">
        <v>46346</v>
      </c>
      <c r="C3405" s="8" t="n">
        <v>7776</v>
      </c>
      <c r="D3405" s="8" t="n">
        <v>380</v>
      </c>
      <c r="E3405" s="8" t="n">
        <v>1720</v>
      </c>
      <c r="F3405" s="8" t="s">
        <v>2200</v>
      </c>
      <c r="G3405" s="8" t="s">
        <v>2201</v>
      </c>
      <c r="H3405" s="8" t="s">
        <v>2931</v>
      </c>
    </row>
    <row r="3406" customFormat="false" ht="15" hidden="false" customHeight="false" outlineLevel="0" collapsed="false">
      <c r="A3406" s="7" t="n">
        <v>46272</v>
      </c>
      <c r="B3406" s="7" t="n">
        <v>46374</v>
      </c>
      <c r="C3406" s="8" t="n">
        <v>7932</v>
      </c>
      <c r="D3406" s="8" t="n">
        <v>0</v>
      </c>
      <c r="E3406" s="8" t="n">
        <v>0</v>
      </c>
      <c r="F3406" s="8" t="s">
        <v>2200</v>
      </c>
      <c r="G3406" s="8" t="s">
        <v>2201</v>
      </c>
      <c r="H3406" s="8" t="s">
        <v>2931</v>
      </c>
    </row>
    <row r="3407" customFormat="false" ht="15" hidden="false" customHeight="false" outlineLevel="0" collapsed="false">
      <c r="A3407" s="7" t="n">
        <v>46272</v>
      </c>
      <c r="B3407" s="7" t="n">
        <v>46407</v>
      </c>
      <c r="C3407" s="8" t="n">
        <v>8088</v>
      </c>
      <c r="D3407" s="8" t="n">
        <v>0</v>
      </c>
      <c r="E3407" s="8" t="n">
        <v>0</v>
      </c>
      <c r="F3407" s="8" t="s">
        <v>2200</v>
      </c>
      <c r="G3407" s="8" t="s">
        <v>2201</v>
      </c>
      <c r="H3407" s="8" t="s">
        <v>2931</v>
      </c>
    </row>
    <row r="3408" customFormat="false" ht="15" hidden="false" customHeight="false" outlineLevel="0" collapsed="false">
      <c r="A3408" s="7" t="n">
        <v>46273</v>
      </c>
      <c r="B3408" s="7" t="n">
        <v>46283</v>
      </c>
      <c r="C3408" s="8" t="n">
        <v>7452</v>
      </c>
      <c r="D3408" s="8" t="n">
        <v>7525</v>
      </c>
      <c r="E3408" s="8" t="n">
        <v>13895</v>
      </c>
      <c r="F3408" s="8" t="s">
        <v>2200</v>
      </c>
      <c r="G3408" s="8" t="s">
        <v>2201</v>
      </c>
      <c r="H3408" s="8" t="s">
        <v>2932</v>
      </c>
    </row>
    <row r="3409" customFormat="false" ht="15" hidden="false" customHeight="false" outlineLevel="0" collapsed="false">
      <c r="A3409" s="7" t="n">
        <v>46273</v>
      </c>
      <c r="B3409" s="7" t="n">
        <v>46311</v>
      </c>
      <c r="C3409" s="8" t="n">
        <v>7562</v>
      </c>
      <c r="D3409" s="8" t="n">
        <v>12070</v>
      </c>
      <c r="E3409" s="8" t="n">
        <v>29640</v>
      </c>
      <c r="F3409" s="8" t="s">
        <v>2200</v>
      </c>
      <c r="G3409" s="8" t="s">
        <v>2201</v>
      </c>
      <c r="H3409" s="8" t="s">
        <v>2932</v>
      </c>
    </row>
    <row r="3410" customFormat="false" ht="15" hidden="false" customHeight="false" outlineLevel="0" collapsed="false">
      <c r="A3410" s="7" t="n">
        <v>46273</v>
      </c>
      <c r="B3410" s="7" t="n">
        <v>46346</v>
      </c>
      <c r="C3410" s="8" t="n">
        <v>7768</v>
      </c>
      <c r="D3410" s="8" t="n">
        <v>520</v>
      </c>
      <c r="E3410" s="8" t="n">
        <v>1920</v>
      </c>
      <c r="F3410" s="8" t="s">
        <v>2200</v>
      </c>
      <c r="G3410" s="8" t="s">
        <v>2201</v>
      </c>
      <c r="H3410" s="8" t="s">
        <v>2932</v>
      </c>
    </row>
    <row r="3411" customFormat="false" ht="15" hidden="false" customHeight="false" outlineLevel="0" collapsed="false">
      <c r="A3411" s="7" t="n">
        <v>46273</v>
      </c>
      <c r="B3411" s="7" t="n">
        <v>46374</v>
      </c>
      <c r="C3411" s="8" t="n">
        <v>7974</v>
      </c>
      <c r="D3411" s="8" t="n">
        <v>0</v>
      </c>
      <c r="E3411" s="8" t="n">
        <v>0</v>
      </c>
      <c r="F3411" s="8" t="s">
        <v>2200</v>
      </c>
      <c r="G3411" s="8" t="s">
        <v>2201</v>
      </c>
      <c r="H3411" s="8" t="s">
        <v>2932</v>
      </c>
    </row>
    <row r="3412" customFormat="false" ht="15" hidden="false" customHeight="false" outlineLevel="0" collapsed="false">
      <c r="A3412" s="7" t="n">
        <v>46273</v>
      </c>
      <c r="B3412" s="7" t="n">
        <v>46407</v>
      </c>
      <c r="C3412" s="8" t="n">
        <v>8180</v>
      </c>
      <c r="D3412" s="8" t="n">
        <v>0</v>
      </c>
      <c r="E3412" s="8" t="n">
        <v>0</v>
      </c>
      <c r="F3412" s="8" t="s">
        <v>2200</v>
      </c>
      <c r="G3412" s="8" t="s">
        <v>2201</v>
      </c>
      <c r="H3412" s="8" t="s">
        <v>2932</v>
      </c>
    </row>
    <row r="3413" customFormat="false" ht="15" hidden="false" customHeight="false" outlineLevel="0" collapsed="false">
      <c r="A3413" s="7" t="n">
        <v>46274</v>
      </c>
      <c r="B3413" s="7" t="n">
        <v>46283</v>
      </c>
      <c r="C3413" s="8" t="n">
        <v>7477</v>
      </c>
      <c r="D3413" s="8" t="n">
        <v>4675</v>
      </c>
      <c r="E3413" s="8" t="n">
        <v>12190</v>
      </c>
      <c r="F3413" s="8" t="s">
        <v>2200</v>
      </c>
      <c r="G3413" s="8" t="s">
        <v>2201</v>
      </c>
      <c r="H3413" s="8" t="s">
        <v>2933</v>
      </c>
    </row>
    <row r="3414" customFormat="false" ht="15" hidden="false" customHeight="false" outlineLevel="0" collapsed="false">
      <c r="A3414" s="7" t="n">
        <v>46274</v>
      </c>
      <c r="B3414" s="7" t="n">
        <v>46311</v>
      </c>
      <c r="C3414" s="8" t="n">
        <v>7564</v>
      </c>
      <c r="D3414" s="8" t="n">
        <v>10340</v>
      </c>
      <c r="E3414" s="8" t="n">
        <v>32250</v>
      </c>
      <c r="F3414" s="8" t="s">
        <v>2200</v>
      </c>
      <c r="G3414" s="8" t="s">
        <v>2201</v>
      </c>
      <c r="H3414" s="8" t="s">
        <v>2933</v>
      </c>
    </row>
    <row r="3415" customFormat="false" ht="15" hidden="false" customHeight="false" outlineLevel="0" collapsed="false">
      <c r="A3415" s="7" t="n">
        <v>46274</v>
      </c>
      <c r="B3415" s="7" t="n">
        <v>46346</v>
      </c>
      <c r="C3415" s="8" t="n">
        <v>7704</v>
      </c>
      <c r="D3415" s="8" t="n">
        <v>535</v>
      </c>
      <c r="E3415" s="8" t="n">
        <v>2370</v>
      </c>
      <c r="F3415" s="8" t="s">
        <v>2200</v>
      </c>
      <c r="G3415" s="8" t="s">
        <v>2201</v>
      </c>
      <c r="H3415" s="8" t="s">
        <v>2933</v>
      </c>
    </row>
    <row r="3416" customFormat="false" ht="15" hidden="false" customHeight="false" outlineLevel="0" collapsed="false">
      <c r="A3416" s="7" t="n">
        <v>46274</v>
      </c>
      <c r="B3416" s="7" t="n">
        <v>46374</v>
      </c>
      <c r="C3416" s="8" t="n">
        <v>7844</v>
      </c>
      <c r="D3416" s="8" t="n">
        <v>0</v>
      </c>
      <c r="E3416" s="8" t="n">
        <v>0</v>
      </c>
      <c r="F3416" s="8" t="s">
        <v>2200</v>
      </c>
      <c r="G3416" s="8" t="s">
        <v>2201</v>
      </c>
      <c r="H3416" s="8" t="s">
        <v>2933</v>
      </c>
    </row>
    <row r="3417" customFormat="false" ht="15" hidden="false" customHeight="false" outlineLevel="0" collapsed="false">
      <c r="A3417" s="7" t="n">
        <v>46274</v>
      </c>
      <c r="B3417" s="7" t="n">
        <v>46407</v>
      </c>
      <c r="C3417" s="8" t="n">
        <v>7984</v>
      </c>
      <c r="D3417" s="8" t="n">
        <v>0</v>
      </c>
      <c r="E3417" s="8" t="n">
        <v>0</v>
      </c>
      <c r="F3417" s="8" t="s">
        <v>2200</v>
      </c>
      <c r="G3417" s="8" t="s">
        <v>2201</v>
      </c>
      <c r="H3417" s="8" t="s">
        <v>2933</v>
      </c>
    </row>
    <row r="3418" customFormat="false" ht="15" hidden="false" customHeight="false" outlineLevel="0" collapsed="false">
      <c r="A3418" s="7" t="n">
        <v>46275</v>
      </c>
      <c r="B3418" s="7" t="n">
        <v>46283</v>
      </c>
      <c r="C3418" s="8" t="n">
        <v>7494</v>
      </c>
      <c r="D3418" s="8" t="n">
        <v>2820</v>
      </c>
      <c r="E3418" s="8" t="n">
        <v>10790</v>
      </c>
      <c r="F3418" s="8" t="s">
        <v>2200</v>
      </c>
      <c r="G3418" s="8" t="s">
        <v>2201</v>
      </c>
      <c r="H3418" s="8" t="s">
        <v>2934</v>
      </c>
    </row>
    <row r="3419" customFormat="false" ht="15" hidden="false" customHeight="false" outlineLevel="0" collapsed="false">
      <c r="A3419" s="7" t="n">
        <v>46275</v>
      </c>
      <c r="B3419" s="7" t="n">
        <v>46311</v>
      </c>
      <c r="C3419" s="8" t="n">
        <v>7593</v>
      </c>
      <c r="D3419" s="8" t="n">
        <v>6390</v>
      </c>
      <c r="E3419" s="8" t="n">
        <v>32385</v>
      </c>
      <c r="F3419" s="8" t="s">
        <v>2200</v>
      </c>
      <c r="G3419" s="8" t="s">
        <v>2201</v>
      </c>
      <c r="H3419" s="8" t="s">
        <v>2934</v>
      </c>
    </row>
    <row r="3420" customFormat="false" ht="15" hidden="false" customHeight="false" outlineLevel="0" collapsed="false">
      <c r="A3420" s="7" t="n">
        <v>46275</v>
      </c>
      <c r="B3420" s="7" t="n">
        <v>46346</v>
      </c>
      <c r="C3420" s="8" t="n">
        <v>7720</v>
      </c>
      <c r="D3420" s="8" t="n">
        <v>265</v>
      </c>
      <c r="E3420" s="8" t="n">
        <v>2555</v>
      </c>
      <c r="F3420" s="8" t="s">
        <v>2200</v>
      </c>
      <c r="G3420" s="8" t="s">
        <v>2201</v>
      </c>
      <c r="H3420" s="8" t="s">
        <v>2934</v>
      </c>
    </row>
    <row r="3421" customFormat="false" ht="15" hidden="false" customHeight="false" outlineLevel="0" collapsed="false">
      <c r="A3421" s="7" t="n">
        <v>46275</v>
      </c>
      <c r="B3421" s="7" t="n">
        <v>46374</v>
      </c>
      <c r="C3421" s="8" t="n">
        <v>7847</v>
      </c>
      <c r="D3421" s="8" t="n">
        <v>0</v>
      </c>
      <c r="E3421" s="8" t="n">
        <v>0</v>
      </c>
      <c r="F3421" s="8" t="s">
        <v>2200</v>
      </c>
      <c r="G3421" s="8" t="s">
        <v>2201</v>
      </c>
      <c r="H3421" s="8" t="s">
        <v>2934</v>
      </c>
    </row>
    <row r="3422" customFormat="false" ht="15" hidden="false" customHeight="false" outlineLevel="0" collapsed="false">
      <c r="A3422" s="7" t="n">
        <v>46275</v>
      </c>
      <c r="B3422" s="7" t="n">
        <v>46407</v>
      </c>
      <c r="C3422" s="8" t="n">
        <v>7974</v>
      </c>
      <c r="D3422" s="8" t="n">
        <v>0</v>
      </c>
      <c r="E3422" s="8" t="n">
        <v>0</v>
      </c>
      <c r="F3422" s="8" t="s">
        <v>2200</v>
      </c>
      <c r="G3422" s="8" t="s">
        <v>2201</v>
      </c>
      <c r="H3422" s="8" t="s">
        <v>2934</v>
      </c>
    </row>
    <row r="3423" customFormat="false" ht="15" hidden="false" customHeight="false" outlineLevel="0" collapsed="false">
      <c r="A3423" s="7" t="n">
        <v>46276</v>
      </c>
      <c r="B3423" s="7" t="n">
        <v>46283</v>
      </c>
      <c r="C3423" s="8" t="n">
        <v>7618</v>
      </c>
      <c r="D3423" s="8" t="n">
        <v>6435</v>
      </c>
      <c r="E3423" s="8" t="n">
        <v>6985</v>
      </c>
      <c r="F3423" s="8" t="s">
        <v>2200</v>
      </c>
      <c r="G3423" s="8" t="s">
        <v>2201</v>
      </c>
      <c r="H3423" s="8" t="s">
        <v>2935</v>
      </c>
    </row>
    <row r="3424" customFormat="false" ht="15" hidden="false" customHeight="false" outlineLevel="0" collapsed="false">
      <c r="A3424" s="7" t="n">
        <v>46276</v>
      </c>
      <c r="B3424" s="7" t="n">
        <v>46311</v>
      </c>
      <c r="C3424" s="8" t="n">
        <v>7711</v>
      </c>
      <c r="D3424" s="8" t="n">
        <v>13275</v>
      </c>
      <c r="E3424" s="8" t="n">
        <v>35005</v>
      </c>
      <c r="F3424" s="8" t="s">
        <v>2200</v>
      </c>
      <c r="G3424" s="8" t="s">
        <v>2201</v>
      </c>
      <c r="H3424" s="8" t="s">
        <v>2935</v>
      </c>
    </row>
    <row r="3425" customFormat="false" ht="15" hidden="false" customHeight="false" outlineLevel="0" collapsed="false">
      <c r="A3425" s="7" t="n">
        <v>46276</v>
      </c>
      <c r="B3425" s="7" t="n">
        <v>46346</v>
      </c>
      <c r="C3425" s="8" t="n">
        <v>7804</v>
      </c>
      <c r="D3425" s="8" t="n">
        <v>575</v>
      </c>
      <c r="E3425" s="8" t="n">
        <v>2860</v>
      </c>
      <c r="F3425" s="8" t="s">
        <v>2200</v>
      </c>
      <c r="G3425" s="8" t="s">
        <v>2201</v>
      </c>
      <c r="H3425" s="8" t="s">
        <v>2935</v>
      </c>
    </row>
    <row r="3426" customFormat="false" ht="15" hidden="false" customHeight="false" outlineLevel="0" collapsed="false">
      <c r="A3426" s="7" t="n">
        <v>46276</v>
      </c>
      <c r="B3426" s="7" t="n">
        <v>46374</v>
      </c>
      <c r="C3426" s="8" t="n">
        <v>7897</v>
      </c>
      <c r="D3426" s="8" t="n">
        <v>0</v>
      </c>
      <c r="E3426" s="8" t="n">
        <v>0</v>
      </c>
      <c r="F3426" s="8" t="s">
        <v>2200</v>
      </c>
      <c r="G3426" s="8" t="s">
        <v>2201</v>
      </c>
      <c r="H3426" s="8" t="s">
        <v>2935</v>
      </c>
    </row>
    <row r="3427" customFormat="false" ht="15" hidden="false" customHeight="false" outlineLevel="0" collapsed="false">
      <c r="A3427" s="7" t="n">
        <v>46276</v>
      </c>
      <c r="B3427" s="7" t="n">
        <v>46407</v>
      </c>
      <c r="C3427" s="8" t="n">
        <v>7990</v>
      </c>
      <c r="D3427" s="8" t="n">
        <v>0</v>
      </c>
      <c r="E3427" s="8" t="n">
        <v>0</v>
      </c>
      <c r="F3427" s="8" t="s">
        <v>2200</v>
      </c>
      <c r="G3427" s="8" t="s">
        <v>2201</v>
      </c>
      <c r="H3427" s="8" t="s">
        <v>2935</v>
      </c>
    </row>
    <row r="3428" customFormat="false" ht="15" hidden="false" customHeight="false" outlineLevel="0" collapsed="false">
      <c r="A3428" s="7" t="n">
        <v>46280</v>
      </c>
      <c r="B3428" s="7" t="n">
        <v>46283</v>
      </c>
      <c r="C3428" s="8" t="n">
        <v>7447</v>
      </c>
      <c r="D3428" s="8" t="n">
        <v>5980</v>
      </c>
      <c r="E3428" s="8" t="n">
        <v>2210</v>
      </c>
      <c r="F3428" s="8" t="s">
        <v>2200</v>
      </c>
      <c r="G3428" s="8" t="s">
        <v>2201</v>
      </c>
      <c r="H3428" s="8" t="s">
        <v>2936</v>
      </c>
    </row>
    <row r="3429" customFormat="false" ht="15" hidden="false" customHeight="false" outlineLevel="0" collapsed="false">
      <c r="A3429" s="7" t="n">
        <v>46280</v>
      </c>
      <c r="B3429" s="7" t="n">
        <v>46311</v>
      </c>
      <c r="C3429" s="8" t="n">
        <v>7561</v>
      </c>
      <c r="D3429" s="8" t="n">
        <v>13455</v>
      </c>
      <c r="E3429" s="8" t="n">
        <v>36100</v>
      </c>
      <c r="F3429" s="8" t="s">
        <v>2200</v>
      </c>
      <c r="G3429" s="8" t="s">
        <v>2201</v>
      </c>
      <c r="H3429" s="8" t="s">
        <v>2936</v>
      </c>
    </row>
    <row r="3430" customFormat="false" ht="15" hidden="false" customHeight="false" outlineLevel="0" collapsed="false">
      <c r="A3430" s="7" t="n">
        <v>46280</v>
      </c>
      <c r="B3430" s="7" t="n">
        <v>46346</v>
      </c>
      <c r="C3430" s="8" t="n">
        <v>7690</v>
      </c>
      <c r="D3430" s="8" t="n">
        <v>885</v>
      </c>
      <c r="E3430" s="8" t="n">
        <v>3170</v>
      </c>
      <c r="F3430" s="8" t="s">
        <v>2200</v>
      </c>
      <c r="G3430" s="8" t="s">
        <v>2201</v>
      </c>
      <c r="H3430" s="8" t="s">
        <v>2936</v>
      </c>
    </row>
    <row r="3431" customFormat="false" ht="15" hidden="false" customHeight="false" outlineLevel="0" collapsed="false">
      <c r="A3431" s="7" t="n">
        <v>46280</v>
      </c>
      <c r="B3431" s="7" t="n">
        <v>46374</v>
      </c>
      <c r="C3431" s="8" t="n">
        <v>7819</v>
      </c>
      <c r="D3431" s="8" t="n">
        <v>0</v>
      </c>
      <c r="E3431" s="8" t="n">
        <v>0</v>
      </c>
      <c r="F3431" s="8" t="s">
        <v>2200</v>
      </c>
      <c r="G3431" s="8" t="s">
        <v>2201</v>
      </c>
      <c r="H3431" s="8" t="s">
        <v>2936</v>
      </c>
    </row>
    <row r="3432" customFormat="false" ht="15" hidden="false" customHeight="false" outlineLevel="0" collapsed="false">
      <c r="A3432" s="7" t="n">
        <v>46280</v>
      </c>
      <c r="B3432" s="7" t="n">
        <v>46407</v>
      </c>
      <c r="C3432" s="8" t="n">
        <v>7948</v>
      </c>
      <c r="D3432" s="8" t="n">
        <v>0</v>
      </c>
      <c r="E3432" s="8" t="n">
        <v>0</v>
      </c>
      <c r="F3432" s="8" t="s">
        <v>2200</v>
      </c>
      <c r="G3432" s="8" t="s">
        <v>2201</v>
      </c>
      <c r="H3432" s="8" t="s">
        <v>2936</v>
      </c>
    </row>
    <row r="3433" customFormat="false" ht="15" hidden="false" customHeight="false" outlineLevel="0" collapsed="false">
      <c r="A3433" s="7" t="n">
        <v>46281</v>
      </c>
      <c r="B3433" s="7" t="n">
        <v>46283</v>
      </c>
      <c r="C3433" s="8" t="n">
        <v>7528</v>
      </c>
      <c r="D3433" s="8" t="n">
        <v>1970</v>
      </c>
      <c r="E3433" s="8" t="n">
        <v>2275</v>
      </c>
      <c r="F3433" s="8" t="s">
        <v>2200</v>
      </c>
      <c r="G3433" s="8" t="s">
        <v>2201</v>
      </c>
      <c r="H3433" s="8" t="s">
        <v>2937</v>
      </c>
    </row>
    <row r="3434" customFormat="false" ht="15" hidden="false" customHeight="false" outlineLevel="0" collapsed="false">
      <c r="A3434" s="7" t="n">
        <v>46281</v>
      </c>
      <c r="B3434" s="7" t="n">
        <v>46311</v>
      </c>
      <c r="C3434" s="8" t="n">
        <v>7628</v>
      </c>
      <c r="D3434" s="8" t="n">
        <v>7625</v>
      </c>
      <c r="E3434" s="8" t="n">
        <v>36230</v>
      </c>
      <c r="F3434" s="8" t="s">
        <v>2200</v>
      </c>
      <c r="G3434" s="8" t="s">
        <v>2201</v>
      </c>
      <c r="H3434" s="8" t="s">
        <v>2937</v>
      </c>
    </row>
    <row r="3435" customFormat="false" ht="15" hidden="false" customHeight="false" outlineLevel="0" collapsed="false">
      <c r="A3435" s="7" t="n">
        <v>46281</v>
      </c>
      <c r="B3435" s="7" t="n">
        <v>46346</v>
      </c>
      <c r="C3435" s="8" t="n">
        <v>7750</v>
      </c>
      <c r="D3435" s="8" t="n">
        <v>495</v>
      </c>
      <c r="E3435" s="8" t="n">
        <v>3495</v>
      </c>
      <c r="F3435" s="8" t="s">
        <v>2200</v>
      </c>
      <c r="G3435" s="8" t="s">
        <v>2201</v>
      </c>
      <c r="H3435" s="8" t="s">
        <v>2937</v>
      </c>
    </row>
    <row r="3436" customFormat="false" ht="15" hidden="false" customHeight="false" outlineLevel="0" collapsed="false">
      <c r="A3436" s="7" t="n">
        <v>46281</v>
      </c>
      <c r="B3436" s="7" t="n">
        <v>46374</v>
      </c>
      <c r="C3436" s="8" t="n">
        <v>7872</v>
      </c>
      <c r="D3436" s="8" t="n">
        <v>0</v>
      </c>
      <c r="E3436" s="8" t="n">
        <v>0</v>
      </c>
      <c r="F3436" s="8" t="s">
        <v>2200</v>
      </c>
      <c r="G3436" s="8" t="s">
        <v>2201</v>
      </c>
      <c r="H3436" s="8" t="s">
        <v>2937</v>
      </c>
    </row>
    <row r="3437" customFormat="false" ht="15" hidden="false" customHeight="false" outlineLevel="0" collapsed="false">
      <c r="A3437" s="7" t="n">
        <v>46281</v>
      </c>
      <c r="B3437" s="7" t="n">
        <v>46407</v>
      </c>
      <c r="C3437" s="8" t="n">
        <v>7994</v>
      </c>
      <c r="D3437" s="8" t="n">
        <v>0</v>
      </c>
      <c r="E3437" s="8" t="n">
        <v>0</v>
      </c>
      <c r="F3437" s="8" t="s">
        <v>2200</v>
      </c>
      <c r="G3437" s="8" t="s">
        <v>2201</v>
      </c>
      <c r="H3437" s="8" t="s">
        <v>2937</v>
      </c>
    </row>
    <row r="3438" customFormat="false" ht="15" hidden="false" customHeight="false" outlineLevel="0" collapsed="false">
      <c r="A3438" s="7" t="n">
        <v>46282</v>
      </c>
      <c r="B3438" s="7" t="n">
        <v>46283</v>
      </c>
      <c r="C3438" s="8" t="n">
        <v>7528</v>
      </c>
      <c r="D3438" s="8" t="n">
        <v>50</v>
      </c>
      <c r="E3438" s="8" t="n">
        <v>385</v>
      </c>
      <c r="F3438" s="8" t="s">
        <v>2200</v>
      </c>
      <c r="G3438" s="8" t="s">
        <v>2201</v>
      </c>
      <c r="H3438" s="8" t="s">
        <v>2938</v>
      </c>
    </row>
    <row r="3439" customFormat="false" ht="15" hidden="false" customHeight="false" outlineLevel="0" collapsed="false">
      <c r="A3439" s="7" t="n">
        <v>46282</v>
      </c>
      <c r="B3439" s="7" t="n">
        <v>46311</v>
      </c>
      <c r="C3439" s="8" t="n">
        <v>7668</v>
      </c>
      <c r="D3439" s="8" t="n">
        <v>3935</v>
      </c>
      <c r="E3439" s="8" t="n">
        <v>36305</v>
      </c>
      <c r="F3439" s="8" t="s">
        <v>2200</v>
      </c>
      <c r="G3439" s="8" t="s">
        <v>2201</v>
      </c>
      <c r="H3439" s="8" t="s">
        <v>2938</v>
      </c>
    </row>
    <row r="3440" customFormat="false" ht="15" hidden="false" customHeight="false" outlineLevel="0" collapsed="false">
      <c r="A3440" s="7" t="n">
        <v>46282</v>
      </c>
      <c r="B3440" s="7" t="n">
        <v>46346</v>
      </c>
      <c r="C3440" s="8" t="n">
        <v>7799</v>
      </c>
      <c r="D3440" s="8" t="n">
        <v>490</v>
      </c>
      <c r="E3440" s="8" t="n">
        <v>3795</v>
      </c>
      <c r="F3440" s="8" t="s">
        <v>2200</v>
      </c>
      <c r="G3440" s="8" t="s">
        <v>2201</v>
      </c>
      <c r="H3440" s="8" t="s">
        <v>2938</v>
      </c>
    </row>
    <row r="3441" customFormat="false" ht="15" hidden="false" customHeight="false" outlineLevel="0" collapsed="false">
      <c r="A3441" s="7" t="n">
        <v>46282</v>
      </c>
      <c r="B3441" s="7" t="n">
        <v>46374</v>
      </c>
      <c r="C3441" s="8" t="n">
        <v>7930</v>
      </c>
      <c r="D3441" s="8" t="n">
        <v>0</v>
      </c>
      <c r="E3441" s="8" t="n">
        <v>0</v>
      </c>
      <c r="F3441" s="8" t="s">
        <v>2200</v>
      </c>
      <c r="G3441" s="8" t="s">
        <v>2201</v>
      </c>
      <c r="H3441" s="8" t="s">
        <v>2938</v>
      </c>
    </row>
    <row r="3442" customFormat="false" ht="15" hidden="false" customHeight="false" outlineLevel="0" collapsed="false">
      <c r="A3442" s="7" t="n">
        <v>46282</v>
      </c>
      <c r="B3442" s="7" t="n">
        <v>46407</v>
      </c>
      <c r="C3442" s="8" t="n">
        <v>8061</v>
      </c>
      <c r="D3442" s="8" t="n">
        <v>0</v>
      </c>
      <c r="E3442" s="8" t="n">
        <v>0</v>
      </c>
      <c r="F3442" s="8" t="s">
        <v>2200</v>
      </c>
      <c r="G3442" s="8" t="s">
        <v>2201</v>
      </c>
      <c r="H3442" s="8" t="s">
        <v>2938</v>
      </c>
    </row>
    <row r="3443" customFormat="false" ht="15" hidden="false" customHeight="false" outlineLevel="0" collapsed="false">
      <c r="A3443" s="7" t="n">
        <v>46283</v>
      </c>
      <c r="B3443" s="7" t="n">
        <v>46283</v>
      </c>
      <c r="C3443" s="8" t="n">
        <v>7528</v>
      </c>
      <c r="D3443" s="8" t="n">
        <v>190</v>
      </c>
      <c r="E3443" s="8" t="n">
        <v>60</v>
      </c>
      <c r="F3443" s="8" t="s">
        <v>2200</v>
      </c>
      <c r="G3443" s="8" t="s">
        <v>2201</v>
      </c>
      <c r="H3443" s="8" t="s">
        <v>2939</v>
      </c>
    </row>
    <row r="3444" customFormat="false" ht="15" hidden="false" customHeight="false" outlineLevel="0" collapsed="false">
      <c r="A3444" s="7" t="n">
        <v>46283</v>
      </c>
      <c r="B3444" s="7" t="n">
        <v>46311</v>
      </c>
      <c r="C3444" s="8" t="n">
        <v>7675</v>
      </c>
      <c r="D3444" s="8" t="n">
        <v>6820</v>
      </c>
      <c r="E3444" s="8" t="n">
        <v>36265</v>
      </c>
      <c r="F3444" s="8" t="s">
        <v>2200</v>
      </c>
      <c r="G3444" s="8" t="s">
        <v>2201</v>
      </c>
      <c r="H3444" s="8" t="s">
        <v>2939</v>
      </c>
    </row>
    <row r="3445" customFormat="false" ht="15" hidden="false" customHeight="false" outlineLevel="0" collapsed="false">
      <c r="A3445" s="7" t="n">
        <v>46283</v>
      </c>
      <c r="B3445" s="7" t="n">
        <v>46346</v>
      </c>
      <c r="C3445" s="8" t="n">
        <v>7804</v>
      </c>
      <c r="D3445" s="8" t="n">
        <v>875</v>
      </c>
      <c r="E3445" s="8" t="n">
        <v>4130</v>
      </c>
      <c r="F3445" s="8" t="s">
        <v>2200</v>
      </c>
      <c r="G3445" s="8" t="s">
        <v>2201</v>
      </c>
      <c r="H3445" s="8" t="s">
        <v>2939</v>
      </c>
    </row>
    <row r="3446" customFormat="false" ht="15" hidden="false" customHeight="false" outlineLevel="0" collapsed="false">
      <c r="A3446" s="7" t="n">
        <v>46283</v>
      </c>
      <c r="B3446" s="7" t="n">
        <v>46374</v>
      </c>
      <c r="C3446" s="8" t="n">
        <v>7933</v>
      </c>
      <c r="D3446" s="8" t="n">
        <v>0</v>
      </c>
      <c r="E3446" s="8" t="n">
        <v>0</v>
      </c>
      <c r="F3446" s="8" t="s">
        <v>2200</v>
      </c>
      <c r="G3446" s="8" t="s">
        <v>2201</v>
      </c>
      <c r="H3446" s="8" t="s">
        <v>2939</v>
      </c>
    </row>
    <row r="3447" customFormat="false" ht="15" hidden="false" customHeight="false" outlineLevel="0" collapsed="false">
      <c r="A3447" s="7" t="n">
        <v>46283</v>
      </c>
      <c r="B3447" s="7" t="n">
        <v>46407</v>
      </c>
      <c r="C3447" s="8" t="n">
        <v>8062</v>
      </c>
      <c r="D3447" s="8" t="n">
        <v>0</v>
      </c>
      <c r="E3447" s="8" t="n">
        <v>0</v>
      </c>
      <c r="F3447" s="8" t="s">
        <v>2200</v>
      </c>
      <c r="G3447" s="8" t="s">
        <v>2201</v>
      </c>
      <c r="H3447" s="8" t="s">
        <v>2939</v>
      </c>
    </row>
    <row r="3448" customFormat="false" ht="15" hidden="false" customHeight="false" outlineLevel="0" collapsed="false">
      <c r="A3448" s="7" t="n">
        <v>46286</v>
      </c>
      <c r="B3448" s="7" t="n">
        <v>46311</v>
      </c>
      <c r="C3448" s="8" t="n">
        <v>7714</v>
      </c>
      <c r="D3448" s="8" t="n">
        <v>7985</v>
      </c>
      <c r="E3448" s="8" t="n">
        <v>34545</v>
      </c>
      <c r="F3448" s="8" t="s">
        <v>2200</v>
      </c>
      <c r="G3448" s="8" t="s">
        <v>2201</v>
      </c>
      <c r="H3448" s="8" t="s">
        <v>2940</v>
      </c>
    </row>
    <row r="3449" customFormat="false" ht="15" hidden="false" customHeight="false" outlineLevel="0" collapsed="false">
      <c r="A3449" s="7" t="n">
        <v>46286</v>
      </c>
      <c r="B3449" s="7" t="n">
        <v>46346</v>
      </c>
      <c r="C3449" s="8" t="n">
        <v>7857</v>
      </c>
      <c r="D3449" s="8" t="n">
        <v>3040</v>
      </c>
      <c r="E3449" s="8" t="n">
        <v>6110</v>
      </c>
      <c r="F3449" s="8" t="s">
        <v>2200</v>
      </c>
      <c r="G3449" s="8" t="s">
        <v>2201</v>
      </c>
      <c r="H3449" s="8" t="s">
        <v>2940</v>
      </c>
    </row>
    <row r="3450" customFormat="false" ht="15" hidden="false" customHeight="false" outlineLevel="0" collapsed="false">
      <c r="A3450" s="7" t="n">
        <v>46286</v>
      </c>
      <c r="B3450" s="7" t="n">
        <v>46374</v>
      </c>
      <c r="C3450" s="8" t="n">
        <v>8000</v>
      </c>
      <c r="D3450" s="8" t="n">
        <v>0</v>
      </c>
      <c r="E3450" s="8" t="n">
        <v>0</v>
      </c>
      <c r="F3450" s="8" t="s">
        <v>2200</v>
      </c>
      <c r="G3450" s="8" t="s">
        <v>2201</v>
      </c>
      <c r="H3450" s="8" t="s">
        <v>2940</v>
      </c>
    </row>
    <row r="3451" customFormat="false" ht="15" hidden="false" customHeight="false" outlineLevel="0" collapsed="false">
      <c r="A3451" s="7" t="n">
        <v>46286</v>
      </c>
      <c r="B3451" s="7" t="n">
        <v>46407</v>
      </c>
      <c r="C3451" s="8" t="n">
        <v>8143</v>
      </c>
      <c r="D3451" s="8" t="n">
        <v>0</v>
      </c>
      <c r="E3451" s="8" t="n">
        <v>0</v>
      </c>
      <c r="F3451" s="8" t="s">
        <v>2200</v>
      </c>
      <c r="G3451" s="8" t="s">
        <v>2201</v>
      </c>
      <c r="H3451" s="8" t="s">
        <v>2940</v>
      </c>
    </row>
    <row r="3452" customFormat="false" ht="15" hidden="false" customHeight="false" outlineLevel="0" collapsed="false">
      <c r="A3452" s="7" t="n">
        <v>46287</v>
      </c>
      <c r="B3452" s="7" t="n">
        <v>46311</v>
      </c>
      <c r="C3452" s="8" t="n">
        <v>7726</v>
      </c>
      <c r="D3452" s="8" t="n">
        <v>5825</v>
      </c>
      <c r="E3452" s="8" t="n">
        <v>33815</v>
      </c>
      <c r="F3452" s="8" t="s">
        <v>2200</v>
      </c>
      <c r="G3452" s="8" t="s">
        <v>2201</v>
      </c>
      <c r="H3452" s="8" t="s">
        <v>2941</v>
      </c>
    </row>
    <row r="3453" customFormat="false" ht="15" hidden="false" customHeight="false" outlineLevel="0" collapsed="false">
      <c r="A3453" s="7" t="n">
        <v>46287</v>
      </c>
      <c r="B3453" s="7" t="n">
        <v>46346</v>
      </c>
      <c r="C3453" s="8" t="n">
        <v>7880</v>
      </c>
      <c r="D3453" s="8" t="n">
        <v>3100</v>
      </c>
      <c r="E3453" s="8" t="n">
        <v>8080</v>
      </c>
      <c r="F3453" s="8" t="s">
        <v>2200</v>
      </c>
      <c r="G3453" s="8" t="s">
        <v>2201</v>
      </c>
      <c r="H3453" s="8" t="s">
        <v>2941</v>
      </c>
    </row>
    <row r="3454" customFormat="false" ht="15" hidden="false" customHeight="false" outlineLevel="0" collapsed="false">
      <c r="A3454" s="7" t="n">
        <v>46287</v>
      </c>
      <c r="B3454" s="7" t="n">
        <v>46374</v>
      </c>
      <c r="C3454" s="8" t="n">
        <v>8034</v>
      </c>
      <c r="D3454" s="8" t="n">
        <v>0</v>
      </c>
      <c r="E3454" s="8" t="n">
        <v>0</v>
      </c>
      <c r="F3454" s="8" t="s">
        <v>2200</v>
      </c>
      <c r="G3454" s="8" t="s">
        <v>2201</v>
      </c>
      <c r="H3454" s="8" t="s">
        <v>2941</v>
      </c>
    </row>
    <row r="3455" customFormat="false" ht="15" hidden="false" customHeight="false" outlineLevel="0" collapsed="false">
      <c r="A3455" s="7" t="n">
        <v>46287</v>
      </c>
      <c r="B3455" s="7" t="n">
        <v>46407</v>
      </c>
      <c r="C3455" s="8" t="n">
        <v>8188</v>
      </c>
      <c r="D3455" s="8" t="n">
        <v>0</v>
      </c>
      <c r="E3455" s="8" t="n">
        <v>0</v>
      </c>
      <c r="F3455" s="8" t="s">
        <v>2200</v>
      </c>
      <c r="G3455" s="8" t="s">
        <v>2201</v>
      </c>
      <c r="H3455" s="8" t="s">
        <v>2941</v>
      </c>
    </row>
    <row r="3456" customFormat="false" ht="15" hidden="false" customHeight="false" outlineLevel="0" collapsed="false">
      <c r="A3456" s="7" t="n">
        <v>46288</v>
      </c>
      <c r="B3456" s="7" t="n">
        <v>46311</v>
      </c>
      <c r="C3456" s="8" t="n">
        <v>7728</v>
      </c>
      <c r="D3456" s="8" t="n">
        <v>4810</v>
      </c>
      <c r="E3456" s="8" t="n">
        <v>33615</v>
      </c>
      <c r="F3456" s="8" t="s">
        <v>2200</v>
      </c>
      <c r="G3456" s="8" t="s">
        <v>2201</v>
      </c>
      <c r="H3456" s="8" t="s">
        <v>2942</v>
      </c>
    </row>
    <row r="3457" customFormat="false" ht="15" hidden="false" customHeight="false" outlineLevel="0" collapsed="false">
      <c r="A3457" s="7" t="n">
        <v>46288</v>
      </c>
      <c r="B3457" s="7" t="n">
        <v>46346</v>
      </c>
      <c r="C3457" s="8" t="n">
        <v>7887</v>
      </c>
      <c r="D3457" s="8" t="n">
        <v>2055</v>
      </c>
      <c r="E3457" s="8" t="n">
        <v>9420</v>
      </c>
      <c r="F3457" s="8" t="s">
        <v>2200</v>
      </c>
      <c r="G3457" s="8" t="s">
        <v>2201</v>
      </c>
      <c r="H3457" s="8" t="s">
        <v>2942</v>
      </c>
    </row>
    <row r="3458" customFormat="false" ht="15" hidden="false" customHeight="false" outlineLevel="0" collapsed="false">
      <c r="A3458" s="7" t="n">
        <v>46288</v>
      </c>
      <c r="B3458" s="7" t="n">
        <v>46374</v>
      </c>
      <c r="C3458" s="8" t="n">
        <v>8046</v>
      </c>
      <c r="D3458" s="8" t="n">
        <v>0</v>
      </c>
      <c r="E3458" s="8" t="n">
        <v>0</v>
      </c>
      <c r="F3458" s="8" t="s">
        <v>2200</v>
      </c>
      <c r="G3458" s="8" t="s">
        <v>2201</v>
      </c>
      <c r="H3458" s="8" t="s">
        <v>2942</v>
      </c>
    </row>
    <row r="3459" customFormat="false" ht="15" hidden="false" customHeight="false" outlineLevel="0" collapsed="false">
      <c r="A3459" s="7" t="n">
        <v>46288</v>
      </c>
      <c r="B3459" s="7" t="n">
        <v>46407</v>
      </c>
      <c r="C3459" s="8" t="n">
        <v>8205</v>
      </c>
      <c r="D3459" s="8" t="n">
        <v>0</v>
      </c>
      <c r="E3459" s="8" t="n">
        <v>0</v>
      </c>
      <c r="F3459" s="8" t="s">
        <v>2200</v>
      </c>
      <c r="G3459" s="8" t="s">
        <v>2201</v>
      </c>
      <c r="H3459" s="8" t="s">
        <v>2942</v>
      </c>
    </row>
    <row r="3460" customFormat="false" ht="15" hidden="false" customHeight="false" outlineLevel="0" collapsed="false">
      <c r="A3460" s="7" t="n">
        <v>46289</v>
      </c>
      <c r="B3460" s="7" t="n">
        <v>46311</v>
      </c>
      <c r="C3460" s="8" t="n">
        <v>7695</v>
      </c>
      <c r="D3460" s="8" t="n">
        <v>6385</v>
      </c>
      <c r="E3460" s="8" t="n">
        <v>31840</v>
      </c>
      <c r="F3460" s="8" t="s">
        <v>2200</v>
      </c>
      <c r="G3460" s="8" t="s">
        <v>2201</v>
      </c>
      <c r="H3460" s="8" t="s">
        <v>2943</v>
      </c>
    </row>
    <row r="3461" customFormat="false" ht="15" hidden="false" customHeight="false" outlineLevel="0" collapsed="false">
      <c r="A3461" s="7" t="n">
        <v>46289</v>
      </c>
      <c r="B3461" s="7" t="n">
        <v>46346</v>
      </c>
      <c r="C3461" s="8" t="n">
        <v>7850</v>
      </c>
      <c r="D3461" s="8" t="n">
        <v>3605</v>
      </c>
      <c r="E3461" s="8" t="n">
        <v>11535</v>
      </c>
      <c r="F3461" s="8" t="s">
        <v>2200</v>
      </c>
      <c r="G3461" s="8" t="s">
        <v>2201</v>
      </c>
      <c r="H3461" s="8" t="s">
        <v>2943</v>
      </c>
    </row>
    <row r="3462" customFormat="false" ht="15" hidden="false" customHeight="false" outlineLevel="0" collapsed="false">
      <c r="A3462" s="7" t="n">
        <v>46289</v>
      </c>
      <c r="B3462" s="7" t="n">
        <v>46374</v>
      </c>
      <c r="C3462" s="8" t="n">
        <v>8005</v>
      </c>
      <c r="D3462" s="8" t="n">
        <v>0</v>
      </c>
      <c r="E3462" s="8" t="n">
        <v>0</v>
      </c>
      <c r="F3462" s="8" t="s">
        <v>2200</v>
      </c>
      <c r="G3462" s="8" t="s">
        <v>2201</v>
      </c>
      <c r="H3462" s="8" t="s">
        <v>2943</v>
      </c>
    </row>
    <row r="3463" customFormat="false" ht="15" hidden="false" customHeight="false" outlineLevel="0" collapsed="false">
      <c r="A3463" s="7" t="n">
        <v>46289</v>
      </c>
      <c r="B3463" s="7" t="n">
        <v>46407</v>
      </c>
      <c r="C3463" s="8" t="n">
        <v>8160</v>
      </c>
      <c r="D3463" s="8" t="n">
        <v>0</v>
      </c>
      <c r="E3463" s="8" t="n">
        <v>0</v>
      </c>
      <c r="F3463" s="8" t="s">
        <v>2200</v>
      </c>
      <c r="G3463" s="8" t="s">
        <v>2201</v>
      </c>
      <c r="H3463" s="8" t="s">
        <v>2943</v>
      </c>
    </row>
    <row r="3464" customFormat="false" ht="15" hidden="false" customHeight="false" outlineLevel="0" collapsed="false">
      <c r="A3464" s="7" t="n">
        <v>46290</v>
      </c>
      <c r="B3464" s="7" t="n">
        <v>46311</v>
      </c>
      <c r="C3464" s="8" t="n">
        <v>7665</v>
      </c>
      <c r="D3464" s="8" t="n">
        <v>6575</v>
      </c>
      <c r="E3464" s="8" t="n">
        <v>30740</v>
      </c>
      <c r="F3464" s="8" t="s">
        <v>2200</v>
      </c>
      <c r="G3464" s="8" t="s">
        <v>2201</v>
      </c>
      <c r="H3464" s="8" t="s">
        <v>2944</v>
      </c>
    </row>
    <row r="3465" customFormat="false" ht="15" hidden="false" customHeight="false" outlineLevel="0" collapsed="false">
      <c r="A3465" s="7" t="n">
        <v>46290</v>
      </c>
      <c r="B3465" s="7" t="n">
        <v>46346</v>
      </c>
      <c r="C3465" s="8" t="n">
        <v>7828</v>
      </c>
      <c r="D3465" s="8" t="n">
        <v>4260</v>
      </c>
      <c r="E3465" s="8" t="n">
        <v>14250</v>
      </c>
      <c r="F3465" s="8" t="s">
        <v>2200</v>
      </c>
      <c r="G3465" s="8" t="s">
        <v>2201</v>
      </c>
      <c r="H3465" s="8" t="s">
        <v>2944</v>
      </c>
    </row>
    <row r="3466" customFormat="false" ht="15" hidden="false" customHeight="false" outlineLevel="0" collapsed="false">
      <c r="A3466" s="7" t="n">
        <v>46290</v>
      </c>
      <c r="B3466" s="7" t="n">
        <v>46374</v>
      </c>
      <c r="C3466" s="8" t="n">
        <v>7991</v>
      </c>
      <c r="D3466" s="8" t="n">
        <v>5</v>
      </c>
      <c r="E3466" s="8" t="n">
        <v>5</v>
      </c>
      <c r="F3466" s="8" t="s">
        <v>2200</v>
      </c>
      <c r="G3466" s="8" t="s">
        <v>2201</v>
      </c>
      <c r="H3466" s="8" t="s">
        <v>2944</v>
      </c>
    </row>
    <row r="3467" customFormat="false" ht="15" hidden="false" customHeight="false" outlineLevel="0" collapsed="false">
      <c r="A3467" s="7" t="n">
        <v>46290</v>
      </c>
      <c r="B3467" s="7" t="n">
        <v>46407</v>
      </c>
      <c r="C3467" s="8" t="n">
        <v>8154</v>
      </c>
      <c r="D3467" s="8" t="n">
        <v>0</v>
      </c>
      <c r="E3467" s="8" t="n">
        <v>0</v>
      </c>
      <c r="F3467" s="8" t="s">
        <v>2200</v>
      </c>
      <c r="G3467" s="8" t="s">
        <v>2201</v>
      </c>
      <c r="H3467" s="8" t="s">
        <v>2944</v>
      </c>
    </row>
    <row r="3468" customFormat="false" ht="15" hidden="false" customHeight="false" outlineLevel="0" collapsed="false">
      <c r="A3468" s="7" t="n">
        <v>46293</v>
      </c>
      <c r="B3468" s="7" t="n">
        <v>46311</v>
      </c>
      <c r="C3468" s="8" t="n">
        <v>7661</v>
      </c>
      <c r="D3468" s="8" t="n">
        <v>4505</v>
      </c>
      <c r="E3468" s="8" t="n">
        <v>29560</v>
      </c>
      <c r="F3468" s="8" t="s">
        <v>2200</v>
      </c>
      <c r="G3468" s="8" t="s">
        <v>2201</v>
      </c>
      <c r="H3468" s="8" t="s">
        <v>2945</v>
      </c>
    </row>
    <row r="3469" customFormat="false" ht="15" hidden="false" customHeight="false" outlineLevel="0" collapsed="false">
      <c r="A3469" s="7" t="n">
        <v>46293</v>
      </c>
      <c r="B3469" s="7" t="n">
        <v>46346</v>
      </c>
      <c r="C3469" s="8" t="n">
        <v>7809</v>
      </c>
      <c r="D3469" s="8" t="n">
        <v>2875</v>
      </c>
      <c r="E3469" s="8" t="n">
        <v>15750</v>
      </c>
      <c r="F3469" s="8" t="s">
        <v>2200</v>
      </c>
      <c r="G3469" s="8" t="s">
        <v>2201</v>
      </c>
      <c r="H3469" s="8" t="s">
        <v>2945</v>
      </c>
    </row>
    <row r="3470" customFormat="false" ht="15" hidden="false" customHeight="false" outlineLevel="0" collapsed="false">
      <c r="A3470" s="7" t="n">
        <v>46293</v>
      </c>
      <c r="B3470" s="7" t="n">
        <v>46374</v>
      </c>
      <c r="C3470" s="8" t="n">
        <v>7957</v>
      </c>
      <c r="D3470" s="8" t="n">
        <v>5</v>
      </c>
      <c r="E3470" s="8" t="n">
        <v>10</v>
      </c>
      <c r="F3470" s="8" t="s">
        <v>2200</v>
      </c>
      <c r="G3470" s="8" t="s">
        <v>2201</v>
      </c>
      <c r="H3470" s="8" t="s">
        <v>2945</v>
      </c>
    </row>
    <row r="3471" customFormat="false" ht="15" hidden="false" customHeight="false" outlineLevel="0" collapsed="false">
      <c r="A3471" s="7" t="n">
        <v>46293</v>
      </c>
      <c r="B3471" s="7" t="n">
        <v>46407</v>
      </c>
      <c r="C3471" s="8" t="n">
        <v>8105</v>
      </c>
      <c r="D3471" s="8" t="n">
        <v>0</v>
      </c>
      <c r="E3471" s="8" t="n">
        <v>0</v>
      </c>
      <c r="F3471" s="8" t="s">
        <v>2200</v>
      </c>
      <c r="G3471" s="8" t="s">
        <v>2201</v>
      </c>
      <c r="H3471" s="8" t="s">
        <v>2945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3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6" min="14" style="0" width="11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8"/>
    <col collapsed="false" customWidth="true" hidden="false" outlineLevel="0" max="20" min="20" style="0" width="9"/>
  </cols>
  <sheetData>
    <row r="1" customFormat="false" ht="16.15" hidden="false" customHeight="false" outlineLevel="0" collapsed="false">
      <c r="A1" s="1" t="s">
        <v>2946</v>
      </c>
    </row>
    <row r="2" customFormat="false" ht="15" hidden="false" customHeight="false" outlineLevel="0" collapsed="false">
      <c r="A2" s="3" t="s">
        <v>2947</v>
      </c>
    </row>
    <row r="3" customFormat="false" ht="15" hidden="false" customHeight="false" outlineLevel="0" collapsed="false">
      <c r="A3" s="3" t="s">
        <v>2948</v>
      </c>
    </row>
    <row r="4" customFormat="false" ht="15" hidden="false" customHeight="false" outlineLevel="0" collapsed="false">
      <c r="A4" s="3" t="s">
        <v>2949</v>
      </c>
      <c r="G4" s="10" t="n">
        <v>7</v>
      </c>
    </row>
    <row r="5" customFormat="false" ht="15" hidden="false" customHeight="false" outlineLevel="0" collapsed="false">
      <c r="A5" s="3" t="s">
        <v>2950</v>
      </c>
      <c r="G5" s="11" t="n">
        <f aca="false">MAX(A47:A790)</f>
        <v>46293</v>
      </c>
    </row>
    <row r="7" customFormat="false" ht="115.65" hidden="false" customHeight="false" outlineLevel="0" collapsed="false">
      <c r="A7" s="4" t="s">
        <v>2951</v>
      </c>
      <c r="B7" s="4" t="s">
        <v>2952</v>
      </c>
      <c r="C7" s="4" t="s">
        <v>2953</v>
      </c>
      <c r="D7" s="4" t="s">
        <v>2954</v>
      </c>
      <c r="E7" s="4" t="s">
        <v>2955</v>
      </c>
      <c r="F7" s="4" t="s">
        <v>2956</v>
      </c>
      <c r="G7" s="4" t="s">
        <v>2957</v>
      </c>
      <c r="H7" s="4" t="s">
        <v>2958</v>
      </c>
      <c r="I7" s="4" t="s">
        <v>2959</v>
      </c>
      <c r="J7" s="4" t="s">
        <v>2960</v>
      </c>
      <c r="K7" s="4" t="s">
        <v>2961</v>
      </c>
      <c r="L7" s="4" t="s">
        <v>2962</v>
      </c>
      <c r="M7" s="4" t="s">
        <v>2963</v>
      </c>
      <c r="N7" s="4" t="s">
        <v>2964</v>
      </c>
    </row>
    <row r="8" customFormat="false" ht="15" hidden="false" customHeight="false" outlineLevel="0" collapsed="false">
      <c r="A8" s="3" t="n">
        <v>1</v>
      </c>
      <c r="B8" s="11" t="n">
        <f aca="false">IF(H52,A52,A53)</f>
        <v>45202</v>
      </c>
      <c r="C8" s="11" t="n">
        <f aca="false">A53</f>
        <v>45203</v>
      </c>
      <c r="D8" s="3" t="str">
        <f aca="false">IF(H52,"OI signal: next-month OI &gt; held OI at previous close","Calendar backstop: "&amp;D53&amp;" trading days left")</f>
        <v>OI signal: next-month OI &gt; held OI at previous close</v>
      </c>
      <c r="E8" s="11" t="n">
        <f aca="false">B53</f>
        <v>45219</v>
      </c>
      <c r="F8" s="11" t="n">
        <f aca="false">C53</f>
        <v>45250</v>
      </c>
      <c r="G8" s="3" t="n">
        <f aca="false">D53</f>
        <v>12</v>
      </c>
      <c r="H8" s="3" t="n">
        <f aca="false">IF(H52,E52,SUMIFS('Futures Data'!$E$5:$E$3471,'Futures Data'!$A$5:$A$3471,A53,'Futures Data'!$B$5:$B$3471,B53))</f>
        <v>18280</v>
      </c>
      <c r="I8" s="3" t="n">
        <f aca="false">IF(H52,G52,E53)</f>
        <v>19645</v>
      </c>
      <c r="J8" s="3" t="n">
        <f aca="false">J53</f>
        <v>6135</v>
      </c>
      <c r="K8" s="3" t="n">
        <f aca="false">K53</f>
        <v>6193</v>
      </c>
      <c r="L8" s="3" t="n">
        <f aca="false">L53</f>
        <v>58</v>
      </c>
      <c r="M8" s="12" t="n">
        <f aca="false">L53/J53</f>
        <v>0.00945395273023635</v>
      </c>
      <c r="N8" s="11" t="n">
        <f aca="false">A54</f>
        <v>45204</v>
      </c>
    </row>
    <row r="9" customFormat="false" ht="15" hidden="false" customHeight="false" outlineLevel="0" collapsed="false">
      <c r="A9" s="3" t="n">
        <v>2</v>
      </c>
      <c r="B9" s="11" t="n">
        <f aca="false">IF(H77,A77,A78)</f>
        <v>45239</v>
      </c>
      <c r="C9" s="11" t="n">
        <f aca="false">A78</f>
        <v>45239</v>
      </c>
      <c r="D9" s="3" t="str">
        <f aca="false">IF(H77,"OI signal: next-month OI &gt; held OI at previous close","Calendar backstop: "&amp;D78&amp;" trading days left")</f>
        <v>Calendar backstop: 7 trading days left</v>
      </c>
      <c r="E9" s="11" t="n">
        <f aca="false">B78</f>
        <v>45250</v>
      </c>
      <c r="F9" s="11" t="n">
        <f aca="false">C78</f>
        <v>45280</v>
      </c>
      <c r="G9" s="3" t="n">
        <f aca="false">D78</f>
        <v>7</v>
      </c>
      <c r="H9" s="3" t="n">
        <f aca="false">IF(H77,E77,SUMIFS('Futures Data'!$E$5:$E$3471,'Futures Data'!$A$5:$A$3471,A78,'Futures Data'!$B$5:$B$3471,B78))</f>
        <v>20495</v>
      </c>
      <c r="I9" s="3" t="n">
        <f aca="false">IF(H77,G77,E78)</f>
        <v>15600</v>
      </c>
      <c r="J9" s="3" t="n">
        <f aca="false">J78</f>
        <v>5953</v>
      </c>
      <c r="K9" s="3" t="n">
        <f aca="false">K78</f>
        <v>5873</v>
      </c>
      <c r="L9" s="3" t="n">
        <f aca="false">L78</f>
        <v>-80</v>
      </c>
      <c r="M9" s="12" t="n">
        <f aca="false">L78/J78</f>
        <v>-0.0134386023853519</v>
      </c>
      <c r="N9" s="11" t="n">
        <f aca="false">A79</f>
        <v>45240</v>
      </c>
    </row>
    <row r="10" customFormat="false" ht="15" hidden="false" customHeight="false" outlineLevel="0" collapsed="false">
      <c r="A10" s="3" t="n">
        <v>3</v>
      </c>
      <c r="B10" s="11" t="n">
        <f aca="false">IF(H94,A94,A95)</f>
        <v>45264</v>
      </c>
      <c r="C10" s="11" t="n">
        <f aca="false">A95</f>
        <v>45265</v>
      </c>
      <c r="D10" s="3" t="str">
        <f aca="false">IF(H94,"OI signal: next-month OI &gt; held OI at previous close","Calendar backstop: "&amp;D95&amp;" trading days left")</f>
        <v>OI signal: next-month OI &gt; held OI at previous close</v>
      </c>
      <c r="E10" s="11" t="n">
        <f aca="false">B95</f>
        <v>45280</v>
      </c>
      <c r="F10" s="11" t="n">
        <f aca="false">C95</f>
        <v>45310</v>
      </c>
      <c r="G10" s="3" t="n">
        <f aca="false">D95</f>
        <v>11</v>
      </c>
      <c r="H10" s="3" t="n">
        <f aca="false">IF(H94,E94,SUMIFS('Futures Data'!$E$5:$E$3471,'Futures Data'!$A$5:$A$3471,A95,'Futures Data'!$B$5:$B$3471,B95))</f>
        <v>10310</v>
      </c>
      <c r="I10" s="3" t="n">
        <f aca="false">IF(H94,G94,E95)</f>
        <v>12010</v>
      </c>
      <c r="J10" s="3" t="n">
        <f aca="false">J95</f>
        <v>5880</v>
      </c>
      <c r="K10" s="3" t="n">
        <f aca="false">K95</f>
        <v>5925</v>
      </c>
      <c r="L10" s="3" t="n">
        <f aca="false">L95</f>
        <v>45</v>
      </c>
      <c r="M10" s="12" t="n">
        <f aca="false">L95/J95</f>
        <v>0.0076530612244898</v>
      </c>
      <c r="N10" s="11" t="n">
        <f aca="false">A96</f>
        <v>45266</v>
      </c>
    </row>
    <row r="11" customFormat="false" ht="15" hidden="false" customHeight="false" outlineLevel="0" collapsed="false">
      <c r="A11" s="3" t="n">
        <v>4</v>
      </c>
      <c r="B11" s="11" t="n">
        <f aca="false">IF(H113,A113,A114)</f>
        <v>45292</v>
      </c>
      <c r="C11" s="11" t="n">
        <f aca="false">A114</f>
        <v>45293</v>
      </c>
      <c r="D11" s="3" t="str">
        <f aca="false">IF(H113,"OI signal: next-month OI &gt; held OI at previous close","Calendar backstop: "&amp;D114&amp;" trading days left")</f>
        <v>OI signal: next-month OI &gt; held OI at previous close</v>
      </c>
      <c r="E11" s="11" t="n">
        <f aca="false">B114</f>
        <v>45310</v>
      </c>
      <c r="F11" s="11" t="n">
        <f aca="false">C114</f>
        <v>45342</v>
      </c>
      <c r="G11" s="3" t="n">
        <f aca="false">D114</f>
        <v>13</v>
      </c>
      <c r="H11" s="3" t="n">
        <f aca="false">IF(H113,E113,SUMIFS('Futures Data'!$E$5:$E$3471,'Futures Data'!$A$5:$A$3471,A114,'Futures Data'!$B$5:$B$3471,B114))</f>
        <v>14005</v>
      </c>
      <c r="I11" s="3" t="n">
        <f aca="false">IF(H113,G113,E114)</f>
        <v>16060</v>
      </c>
      <c r="J11" s="3" t="n">
        <f aca="false">J114</f>
        <v>5670</v>
      </c>
      <c r="K11" s="3" t="n">
        <f aca="false">K114</f>
        <v>5708</v>
      </c>
      <c r="L11" s="3" t="n">
        <f aca="false">L114</f>
        <v>38</v>
      </c>
      <c r="M11" s="12" t="n">
        <f aca="false">L114/J114</f>
        <v>0.00670194003527337</v>
      </c>
      <c r="N11" s="11" t="n">
        <f aca="false">A115</f>
        <v>45294</v>
      </c>
    </row>
    <row r="12" customFormat="false" ht="15" hidden="false" customHeight="false" outlineLevel="0" collapsed="false">
      <c r="A12" s="3" t="n">
        <v>5</v>
      </c>
      <c r="B12" s="11" t="n">
        <f aca="false">IF(H139,A139,A140)</f>
        <v>45330</v>
      </c>
      <c r="C12" s="11" t="n">
        <f aca="false">A140</f>
        <v>45331</v>
      </c>
      <c r="D12" s="3" t="str">
        <f aca="false">IF(H139,"OI signal: next-month OI &gt; held OI at previous close","Calendar backstop: "&amp;D140&amp;" trading days left")</f>
        <v>OI signal: next-month OI &gt; held OI at previous close</v>
      </c>
      <c r="E12" s="11" t="n">
        <f aca="false">B140</f>
        <v>45342</v>
      </c>
      <c r="F12" s="11" t="n">
        <f aca="false">C140</f>
        <v>45371</v>
      </c>
      <c r="G12" s="3" t="n">
        <f aca="false">D140</f>
        <v>7</v>
      </c>
      <c r="H12" s="3" t="n">
        <f aca="false">IF(H139,E139,SUMIFS('Futures Data'!$E$5:$E$3471,'Futures Data'!$A$5:$A$3471,A140,'Futures Data'!$B$5:$B$3471,B140))</f>
        <v>14835</v>
      </c>
      <c r="I12" s="3" t="n">
        <f aca="false">IF(H139,G139,E140)</f>
        <v>15515</v>
      </c>
      <c r="J12" s="3" t="n">
        <f aca="false">J140</f>
        <v>5773</v>
      </c>
      <c r="K12" s="3" t="n">
        <f aca="false">K140</f>
        <v>5610</v>
      </c>
      <c r="L12" s="3" t="n">
        <f aca="false">L140</f>
        <v>-163</v>
      </c>
      <c r="M12" s="12" t="n">
        <f aca="false">L140/J140</f>
        <v>-0.0282348865407934</v>
      </c>
      <c r="N12" s="11" t="n">
        <f aca="false">A141</f>
        <v>45334</v>
      </c>
    </row>
    <row r="13" customFormat="false" ht="15" hidden="false" customHeight="false" outlineLevel="0" collapsed="false">
      <c r="A13" s="3" t="n">
        <v>6</v>
      </c>
      <c r="B13" s="11" t="n">
        <f aca="false">IF(H147,A147,A148)</f>
        <v>45342</v>
      </c>
      <c r="C13" s="11" t="n">
        <f aca="false">A148</f>
        <v>45343</v>
      </c>
      <c r="D13" s="3" t="str">
        <f aca="false">IF(H147,"OI signal: next-month OI &gt; held OI at previous close","Calendar backstop: "&amp;D148&amp;" trading days left")</f>
        <v>OI signal: next-month OI &gt; held OI at previous close</v>
      </c>
      <c r="E13" s="11" t="n">
        <f aca="false">B148</f>
        <v>45371</v>
      </c>
      <c r="F13" s="11" t="n">
        <f aca="false">C148</f>
        <v>45401</v>
      </c>
      <c r="G13" s="3" t="n">
        <f aca="false">D148</f>
        <v>19</v>
      </c>
      <c r="H13" s="3" t="n">
        <f aca="false">IF(H147,E147,SUMIFS('Futures Data'!$E$5:$E$3471,'Futures Data'!$A$5:$A$3471,A148,'Futures Data'!$B$5:$B$3471,B148))</f>
        <v>18545</v>
      </c>
      <c r="I13" s="3" t="n">
        <f aca="false">IF(H147,G147,E148)</f>
        <v>21670</v>
      </c>
      <c r="J13" s="3" t="n">
        <f aca="false">J148</f>
        <v>5759</v>
      </c>
      <c r="K13" s="3" t="n">
        <f aca="false">K148</f>
        <v>5840</v>
      </c>
      <c r="L13" s="3" t="n">
        <f aca="false">L148</f>
        <v>81</v>
      </c>
      <c r="M13" s="12" t="n">
        <f aca="false">L148/J148</f>
        <v>0.0140649418301789</v>
      </c>
      <c r="N13" s="11" t="n">
        <f aca="false">A149</f>
        <v>45344</v>
      </c>
    </row>
    <row r="14" customFormat="false" ht="15" hidden="false" customHeight="false" outlineLevel="0" collapsed="false">
      <c r="A14" s="3" t="n">
        <v>7</v>
      </c>
      <c r="B14" s="11" t="n">
        <f aca="false">IF(H177,A177,A178)</f>
        <v>45390</v>
      </c>
      <c r="C14" s="11" t="n">
        <f aca="false">A178</f>
        <v>45390</v>
      </c>
      <c r="D14" s="3" t="str">
        <f aca="false">IF(H177,"OI signal: next-month OI &gt; held OI at previous close","Calendar backstop: "&amp;D178&amp;" trading days left")</f>
        <v>Calendar backstop: 7 trading days left</v>
      </c>
      <c r="E14" s="11" t="n">
        <f aca="false">B178</f>
        <v>45401</v>
      </c>
      <c r="F14" s="11" t="n">
        <f aca="false">C178</f>
        <v>45432</v>
      </c>
      <c r="G14" s="3" t="n">
        <f aca="false">D178</f>
        <v>7</v>
      </c>
      <c r="H14" s="3" t="n">
        <f aca="false">IF(H177,E177,SUMIFS('Futures Data'!$E$5:$E$3471,'Futures Data'!$A$5:$A$3471,A178,'Futures Data'!$B$5:$B$3471,B178))</f>
        <v>23950</v>
      </c>
      <c r="I14" s="3" t="n">
        <f aca="false">IF(H177,G177,E178)</f>
        <v>11970</v>
      </c>
      <c r="J14" s="3" t="n">
        <f aca="false">J178</f>
        <v>5931</v>
      </c>
      <c r="K14" s="3" t="n">
        <f aca="false">K178</f>
        <v>5895</v>
      </c>
      <c r="L14" s="3" t="n">
        <f aca="false">L178</f>
        <v>-36</v>
      </c>
      <c r="M14" s="12" t="n">
        <f aca="false">L178/J178</f>
        <v>-0.00606980273141123</v>
      </c>
      <c r="N14" s="11" t="n">
        <f aca="false">A179</f>
        <v>45391</v>
      </c>
    </row>
    <row r="15" customFormat="false" ht="15" hidden="false" customHeight="false" outlineLevel="0" collapsed="false">
      <c r="A15" s="3" t="n">
        <v>8</v>
      </c>
      <c r="B15" s="11" t="n">
        <f aca="false">IF(H194,A194,A195)</f>
        <v>45415</v>
      </c>
      <c r="C15" s="11" t="n">
        <f aca="false">A195</f>
        <v>45418</v>
      </c>
      <c r="D15" s="3" t="str">
        <f aca="false">IF(H194,"OI signal: next-month OI &gt; held OI at previous close","Calendar backstop: "&amp;D195&amp;" trading days left")</f>
        <v>OI signal: next-month OI &gt; held OI at previous close</v>
      </c>
      <c r="E15" s="11" t="n">
        <f aca="false">B195</f>
        <v>45432</v>
      </c>
      <c r="F15" s="11" t="n">
        <f aca="false">C195</f>
        <v>45463</v>
      </c>
      <c r="G15" s="3" t="n">
        <f aca="false">D195</f>
        <v>9</v>
      </c>
      <c r="H15" s="3" t="n">
        <f aca="false">IF(H194,E194,SUMIFS('Futures Data'!$E$5:$E$3471,'Futures Data'!$A$5:$A$3471,A195,'Futures Data'!$B$5:$B$3471,B195))</f>
        <v>13380</v>
      </c>
      <c r="I15" s="3" t="n">
        <f aca="false">IF(H194,G194,E195)</f>
        <v>15675</v>
      </c>
      <c r="J15" s="3" t="n">
        <f aca="false">J195</f>
        <v>5590</v>
      </c>
      <c r="K15" s="3" t="n">
        <f aca="false">K195</f>
        <v>5674</v>
      </c>
      <c r="L15" s="3" t="n">
        <f aca="false">L195</f>
        <v>84</v>
      </c>
      <c r="M15" s="12" t="n">
        <f aca="false">L195/J195</f>
        <v>0.0150268336314848</v>
      </c>
      <c r="N15" s="11" t="n">
        <f aca="false">A196</f>
        <v>45419</v>
      </c>
    </row>
    <row r="16" customFormat="false" ht="15" hidden="false" customHeight="false" outlineLevel="0" collapsed="false">
      <c r="A16" s="3" t="n">
        <v>9</v>
      </c>
      <c r="B16" s="11" t="n">
        <f aca="false">IF(H215,A215,A216)</f>
        <v>45447</v>
      </c>
      <c r="C16" s="11" t="n">
        <f aca="false">A216</f>
        <v>45448</v>
      </c>
      <c r="D16" s="3" t="str">
        <f aca="false">IF(H215,"OI signal: next-month OI &gt; held OI at previous close","Calendar backstop: "&amp;D216&amp;" trading days left")</f>
        <v>OI signal: next-month OI &gt; held OI at previous close</v>
      </c>
      <c r="E16" s="11" t="n">
        <f aca="false">B216</f>
        <v>45463</v>
      </c>
      <c r="F16" s="11" t="n">
        <f aca="false">C216</f>
        <v>45492</v>
      </c>
      <c r="G16" s="3" t="n">
        <f aca="false">D216</f>
        <v>10</v>
      </c>
      <c r="H16" s="3" t="n">
        <f aca="false">IF(H215,E215,SUMIFS('Futures Data'!$E$5:$E$3471,'Futures Data'!$A$5:$A$3471,A216,'Futures Data'!$B$5:$B$3471,B216))</f>
        <v>16785</v>
      </c>
      <c r="I16" s="3" t="n">
        <f aca="false">IF(H215,G215,E216)</f>
        <v>18175</v>
      </c>
      <c r="J16" s="3" t="n">
        <f aca="false">J216</f>
        <v>5700</v>
      </c>
      <c r="K16" s="3" t="n">
        <f aca="false">K216</f>
        <v>5775</v>
      </c>
      <c r="L16" s="3" t="n">
        <f aca="false">L216</f>
        <v>75</v>
      </c>
      <c r="M16" s="12" t="n">
        <f aca="false">L216/J216</f>
        <v>0.0131578947368421</v>
      </c>
      <c r="N16" s="11" t="n">
        <f aca="false">A217</f>
        <v>45449</v>
      </c>
    </row>
    <row r="17" customFormat="false" ht="15" hidden="false" customHeight="false" outlineLevel="0" collapsed="false">
      <c r="A17" s="3" t="n">
        <v>10</v>
      </c>
      <c r="B17" s="11" t="n">
        <f aca="false">IF(H236,A236,A237)</f>
        <v>45477</v>
      </c>
      <c r="C17" s="11" t="n">
        <f aca="false">A237</f>
        <v>45478</v>
      </c>
      <c r="D17" s="3" t="str">
        <f aca="false">IF(H236,"OI signal: next-month OI &gt; held OI at previous close","Calendar backstop: "&amp;D237&amp;" trading days left")</f>
        <v>OI signal: next-month OI &gt; held OI at previous close</v>
      </c>
      <c r="E17" s="11" t="n">
        <f aca="false">B237</f>
        <v>45492</v>
      </c>
      <c r="F17" s="11" t="n">
        <f aca="false">C237</f>
        <v>45524</v>
      </c>
      <c r="G17" s="3" t="n">
        <f aca="false">D237</f>
        <v>9</v>
      </c>
      <c r="H17" s="3" t="n">
        <f aca="false">IF(H236,E236,SUMIFS('Futures Data'!$E$5:$E$3471,'Futures Data'!$A$5:$A$3471,A237,'Futures Data'!$B$5:$B$3471,B237))</f>
        <v>17945</v>
      </c>
      <c r="I17" s="3" t="n">
        <f aca="false">IF(H236,G236,E237)</f>
        <v>20205</v>
      </c>
      <c r="J17" s="3" t="n">
        <f aca="false">J237</f>
        <v>5896</v>
      </c>
      <c r="K17" s="3" t="n">
        <f aca="false">K237</f>
        <v>5976</v>
      </c>
      <c r="L17" s="3" t="n">
        <f aca="false">L237</f>
        <v>80</v>
      </c>
      <c r="M17" s="12" t="n">
        <f aca="false">L237/J237</f>
        <v>0.0135685210312076</v>
      </c>
      <c r="N17" s="11" t="n">
        <f aca="false">A238</f>
        <v>45481</v>
      </c>
    </row>
    <row r="18" customFormat="false" ht="15" hidden="false" customHeight="false" outlineLevel="0" collapsed="false">
      <c r="A18" s="3" t="n">
        <v>11</v>
      </c>
      <c r="B18" s="11" t="n">
        <f aca="false">IF(H256,A256,A257)</f>
        <v>45506</v>
      </c>
      <c r="C18" s="11" t="n">
        <f aca="false">A257</f>
        <v>45509</v>
      </c>
      <c r="D18" s="3" t="str">
        <f aca="false">IF(H256,"OI signal: next-month OI &gt; held OI at previous close","Calendar backstop: "&amp;D257&amp;" trading days left")</f>
        <v>OI signal: next-month OI &gt; held OI at previous close</v>
      </c>
      <c r="E18" s="11" t="n">
        <f aca="false">B257</f>
        <v>45524</v>
      </c>
      <c r="F18" s="11" t="n">
        <f aca="false">C257</f>
        <v>45555</v>
      </c>
      <c r="G18" s="3" t="n">
        <f aca="false">D257</f>
        <v>10</v>
      </c>
      <c r="H18" s="3" t="n">
        <f aca="false">IF(H256,E256,SUMIFS('Futures Data'!$E$5:$E$3471,'Futures Data'!$A$5:$A$3471,A257,'Futures Data'!$B$5:$B$3471,B257))</f>
        <v>22955</v>
      </c>
      <c r="I18" s="3" t="n">
        <f aca="false">IF(H256,G256,E257)</f>
        <v>24380</v>
      </c>
      <c r="J18" s="3" t="n">
        <f aca="false">J257</f>
        <v>6193</v>
      </c>
      <c r="K18" s="3" t="n">
        <f aca="false">K257</f>
        <v>6260</v>
      </c>
      <c r="L18" s="3" t="n">
        <f aca="false">L257</f>
        <v>67</v>
      </c>
      <c r="M18" s="12" t="n">
        <f aca="false">L257/J257</f>
        <v>0.010818666236073</v>
      </c>
      <c r="N18" s="11" t="n">
        <f aca="false">A258</f>
        <v>45510</v>
      </c>
    </row>
    <row r="19" customFormat="false" ht="15" hidden="false" customHeight="false" outlineLevel="0" collapsed="false">
      <c r="A19" s="3" t="n">
        <v>12</v>
      </c>
      <c r="B19" s="11" t="n">
        <f aca="false">IF(H278,A278,A279)</f>
        <v>45539</v>
      </c>
      <c r="C19" s="11" t="n">
        <f aca="false">A279</f>
        <v>45540</v>
      </c>
      <c r="D19" s="3" t="str">
        <f aca="false">IF(H278,"OI signal: next-month OI &gt; held OI at previous close","Calendar backstop: "&amp;D279&amp;" trading days left")</f>
        <v>OI signal: next-month OI &gt; held OI at previous close</v>
      </c>
      <c r="E19" s="11" t="n">
        <f aca="false">B279</f>
        <v>45555</v>
      </c>
      <c r="F19" s="11" t="n">
        <f aca="false">C279</f>
        <v>45583</v>
      </c>
      <c r="G19" s="3" t="n">
        <f aca="false">D279</f>
        <v>11</v>
      </c>
      <c r="H19" s="3" t="n">
        <f aca="false">IF(H278,E278,SUMIFS('Futures Data'!$E$5:$E$3471,'Futures Data'!$A$5:$A$3471,A279,'Futures Data'!$B$5:$B$3471,B279))</f>
        <v>17915</v>
      </c>
      <c r="I19" s="3" t="n">
        <f aca="false">IF(H278,G278,E279)</f>
        <v>23995</v>
      </c>
      <c r="J19" s="3" t="n">
        <f aca="false">J279</f>
        <v>6108</v>
      </c>
      <c r="K19" s="3" t="n">
        <f aca="false">K279</f>
        <v>6193</v>
      </c>
      <c r="L19" s="3" t="n">
        <f aca="false">L279</f>
        <v>85</v>
      </c>
      <c r="M19" s="12" t="n">
        <f aca="false">L279/J279</f>
        <v>0.0139161755075311</v>
      </c>
      <c r="N19" s="11" t="n">
        <f aca="false">A280</f>
        <v>45541</v>
      </c>
    </row>
    <row r="20" customFormat="false" ht="15" hidden="false" customHeight="false" outlineLevel="0" collapsed="false">
      <c r="A20" s="3" t="n">
        <v>13</v>
      </c>
      <c r="B20" s="11" t="n">
        <f aca="false">IF(H298,A298,A299)</f>
        <v>45568</v>
      </c>
      <c r="C20" s="11" t="n">
        <f aca="false">A299</f>
        <v>45569</v>
      </c>
      <c r="D20" s="3" t="str">
        <f aca="false">IF(H298,"OI signal: next-month OI &gt; held OI at previous close","Calendar backstop: "&amp;D299&amp;" trading days left")</f>
        <v>OI signal: next-month OI &gt; held OI at previous close</v>
      </c>
      <c r="E20" s="11" t="n">
        <f aca="false">B299</f>
        <v>45583</v>
      </c>
      <c r="F20" s="11" t="n">
        <f aca="false">C299</f>
        <v>45616</v>
      </c>
      <c r="G20" s="3" t="n">
        <f aca="false">D299</f>
        <v>10</v>
      </c>
      <c r="H20" s="3" t="n">
        <f aca="false">IF(H298,E298,SUMIFS('Futures Data'!$E$5:$E$3471,'Futures Data'!$A$5:$A$3471,A299,'Futures Data'!$B$5:$B$3471,B299))</f>
        <v>22525</v>
      </c>
      <c r="I20" s="3" t="n">
        <f aca="false">IF(H298,G298,E299)</f>
        <v>28215</v>
      </c>
      <c r="J20" s="3" t="n">
        <f aca="false">J299</f>
        <v>6819</v>
      </c>
      <c r="K20" s="3" t="n">
        <f aca="false">K299</f>
        <v>6889</v>
      </c>
      <c r="L20" s="3" t="n">
        <f aca="false">L299</f>
        <v>70</v>
      </c>
      <c r="M20" s="12" t="n">
        <f aca="false">L299/J299</f>
        <v>0.0102654348144889</v>
      </c>
      <c r="N20" s="11" t="n">
        <f aca="false">A300</f>
        <v>45572</v>
      </c>
    </row>
    <row r="21" customFormat="false" ht="15" hidden="false" customHeight="false" outlineLevel="0" collapsed="false">
      <c r="A21" s="3" t="n">
        <v>14</v>
      </c>
      <c r="B21" s="11" t="n">
        <f aca="false">IF(H317,A317,A318)</f>
        <v>45595</v>
      </c>
      <c r="C21" s="11" t="n">
        <f aca="false">A318</f>
        <v>45596</v>
      </c>
      <c r="D21" s="3" t="str">
        <f aca="false">IF(H317,"OI signal: next-month OI &gt; held OI at previous close","Calendar backstop: "&amp;D318&amp;" trading days left")</f>
        <v>OI signal: next-month OI &gt; held OI at previous close</v>
      </c>
      <c r="E21" s="11" t="n">
        <f aca="false">B318</f>
        <v>45616</v>
      </c>
      <c r="F21" s="11" t="n">
        <f aca="false">C318</f>
        <v>45646</v>
      </c>
      <c r="G21" s="3" t="n">
        <f aca="false">D318</f>
        <v>12</v>
      </c>
      <c r="H21" s="3" t="n">
        <f aca="false">IF(H317,E317,SUMIFS('Futures Data'!$E$5:$E$3471,'Futures Data'!$A$5:$A$3471,A318,'Futures Data'!$B$5:$B$3471,B318))</f>
        <v>18835</v>
      </c>
      <c r="I21" s="3" t="n">
        <f aca="false">IF(H317,G317,E318)</f>
        <v>20575</v>
      </c>
      <c r="J21" s="3" t="n">
        <f aca="false">J318</f>
        <v>6603</v>
      </c>
      <c r="K21" s="3" t="n">
        <f aca="false">K318</f>
        <v>6724</v>
      </c>
      <c r="L21" s="3" t="n">
        <f aca="false">L318</f>
        <v>121</v>
      </c>
      <c r="M21" s="12" t="n">
        <f aca="false">L318/J318</f>
        <v>0.0183250037861578</v>
      </c>
      <c r="N21" s="11" t="n">
        <f aca="false">A319</f>
        <v>45597</v>
      </c>
    </row>
    <row r="22" customFormat="false" ht="15" hidden="false" customHeight="false" outlineLevel="0" collapsed="false">
      <c r="A22" s="3" t="n">
        <v>15</v>
      </c>
      <c r="B22" s="11" t="n">
        <f aca="false">IF(H343,A343,A344)</f>
        <v>45635</v>
      </c>
      <c r="C22" s="11" t="n">
        <f aca="false">A344</f>
        <v>45636</v>
      </c>
      <c r="D22" s="3" t="str">
        <f aca="false">IF(H343,"OI signal: next-month OI &gt; held OI at previous close","Calendar backstop: "&amp;D344&amp;" trading days left")</f>
        <v>OI signal: next-month OI &gt; held OI at previous close</v>
      </c>
      <c r="E22" s="11" t="n">
        <f aca="false">B344</f>
        <v>45646</v>
      </c>
      <c r="F22" s="11" t="n">
        <f aca="false">C344</f>
        <v>45677</v>
      </c>
      <c r="G22" s="3" t="n">
        <f aca="false">D344</f>
        <v>8</v>
      </c>
      <c r="H22" s="3" t="n">
        <f aca="false">IF(H343,E343,SUMIFS('Futures Data'!$E$5:$E$3471,'Futures Data'!$A$5:$A$3471,A344,'Futures Data'!$B$5:$B$3471,B344))</f>
        <v>13170</v>
      </c>
      <c r="I22" s="3" t="n">
        <f aca="false">IF(H343,G343,E344)</f>
        <v>16915</v>
      </c>
      <c r="J22" s="3" t="n">
        <f aca="false">J344</f>
        <v>6294</v>
      </c>
      <c r="K22" s="3" t="n">
        <f aca="false">K344</f>
        <v>6368</v>
      </c>
      <c r="L22" s="3" t="n">
        <f aca="false">L344</f>
        <v>74</v>
      </c>
      <c r="M22" s="12" t="n">
        <f aca="false">L344/J344</f>
        <v>0.0117572291070861</v>
      </c>
      <c r="N22" s="11" t="n">
        <f aca="false">A345</f>
        <v>45637</v>
      </c>
    </row>
    <row r="23" customFormat="false" ht="15" hidden="false" customHeight="false" outlineLevel="0" collapsed="false">
      <c r="A23" s="3" t="n">
        <v>16</v>
      </c>
      <c r="B23" s="11" t="n">
        <f aca="false">IF(H364,A364,A365)</f>
        <v>45665</v>
      </c>
      <c r="C23" s="11" t="n">
        <f aca="false">A365</f>
        <v>45666</v>
      </c>
      <c r="D23" s="3" t="str">
        <f aca="false">IF(H364,"OI signal: next-month OI &gt; held OI at previous close","Calendar backstop: "&amp;D365&amp;" trading days left")</f>
        <v>OI signal: next-month OI &gt; held OI at previous close</v>
      </c>
      <c r="E23" s="11" t="n">
        <f aca="false">B365</f>
        <v>45677</v>
      </c>
      <c r="F23" s="11" t="n">
        <f aca="false">C365</f>
        <v>45708</v>
      </c>
      <c r="G23" s="3" t="n">
        <f aca="false">D365</f>
        <v>7</v>
      </c>
      <c r="H23" s="3" t="n">
        <f aca="false">IF(H364,E364,SUMIFS('Futures Data'!$E$5:$E$3471,'Futures Data'!$A$5:$A$3471,A365,'Futures Data'!$B$5:$B$3471,B365))</f>
        <v>13065</v>
      </c>
      <c r="I23" s="3" t="n">
        <f aca="false">IF(H364,G364,E365)</f>
        <v>13230</v>
      </c>
      <c r="J23" s="3" t="n">
        <f aca="false">J365</f>
        <v>6318</v>
      </c>
      <c r="K23" s="3" t="n">
        <f aca="false">K365</f>
        <v>6368</v>
      </c>
      <c r="L23" s="3" t="n">
        <f aca="false">L365</f>
        <v>50</v>
      </c>
      <c r="M23" s="12" t="n">
        <f aca="false">L365/J365</f>
        <v>0.00791389680278569</v>
      </c>
      <c r="N23" s="11" t="n">
        <f aca="false">A366</f>
        <v>45667</v>
      </c>
    </row>
    <row r="24" customFormat="false" ht="15" hidden="false" customHeight="false" outlineLevel="0" collapsed="false">
      <c r="A24" s="3" t="n">
        <v>17</v>
      </c>
      <c r="B24" s="11" t="n">
        <f aca="false">IF(H388,A388,A389)</f>
        <v>45698</v>
      </c>
      <c r="C24" s="11" t="n">
        <f aca="false">A389</f>
        <v>45699</v>
      </c>
      <c r="D24" s="3" t="str">
        <f aca="false">IF(H388,"OI signal: next-month OI &gt; held OI at previous close","Calendar backstop: "&amp;D389&amp;" trading days left")</f>
        <v>OI signal: next-month OI &gt; held OI at previous close</v>
      </c>
      <c r="E24" s="11" t="n">
        <f aca="false">B389</f>
        <v>45708</v>
      </c>
      <c r="F24" s="11" t="n">
        <f aca="false">C389</f>
        <v>45736</v>
      </c>
      <c r="G24" s="3" t="n">
        <f aca="false">D389</f>
        <v>7</v>
      </c>
      <c r="H24" s="3" t="n">
        <f aca="false">IF(H388,E388,SUMIFS('Futures Data'!$E$5:$E$3471,'Futures Data'!$A$5:$A$3471,A389,'Futures Data'!$B$5:$B$3471,B389))</f>
        <v>15180</v>
      </c>
      <c r="I24" s="3" t="n">
        <f aca="false">IF(H388,G388,E389)</f>
        <v>16360</v>
      </c>
      <c r="J24" s="3" t="n">
        <f aca="false">J389</f>
        <v>6543</v>
      </c>
      <c r="K24" s="3" t="n">
        <f aca="false">K389</f>
        <v>6290</v>
      </c>
      <c r="L24" s="3" t="n">
        <f aca="false">L389</f>
        <v>-253</v>
      </c>
      <c r="M24" s="12" t="n">
        <f aca="false">L389/J389</f>
        <v>-0.0386672780070304</v>
      </c>
      <c r="N24" s="11" t="n">
        <f aca="false">A390</f>
        <v>45700</v>
      </c>
    </row>
    <row r="25" customFormat="false" ht="15" hidden="false" customHeight="false" outlineLevel="0" collapsed="false">
      <c r="A25" s="3" t="n">
        <v>18</v>
      </c>
      <c r="B25" s="11" t="n">
        <f aca="false">IF(H406,A406,A407)</f>
        <v>45726</v>
      </c>
      <c r="C25" s="11" t="n">
        <f aca="false">A407</f>
        <v>45726</v>
      </c>
      <c r="D25" s="3" t="str">
        <f aca="false">IF(H406,"OI signal: next-month OI &gt; held OI at previous close","Calendar backstop: "&amp;D407&amp;" trading days left")</f>
        <v>Calendar backstop: 7 trading days left</v>
      </c>
      <c r="E25" s="11" t="n">
        <f aca="false">B407</f>
        <v>45736</v>
      </c>
      <c r="F25" s="11" t="n">
        <f aca="false">C407</f>
        <v>45764</v>
      </c>
      <c r="G25" s="3" t="n">
        <f aca="false">D407</f>
        <v>7</v>
      </c>
      <c r="H25" s="3" t="n">
        <f aca="false">IF(H406,E406,SUMIFS('Futures Data'!$E$5:$E$3471,'Futures Data'!$A$5:$A$3471,A407,'Futures Data'!$B$5:$B$3471,B407))</f>
        <v>20320</v>
      </c>
      <c r="I25" s="3" t="n">
        <f aca="false">IF(H406,G406,E407)</f>
        <v>13095</v>
      </c>
      <c r="J25" s="3" t="n">
        <f aca="false">J407</f>
        <v>6256</v>
      </c>
      <c r="K25" s="3" t="n">
        <f aca="false">K407</f>
        <v>6264</v>
      </c>
      <c r="L25" s="3" t="n">
        <f aca="false">L407</f>
        <v>8</v>
      </c>
      <c r="M25" s="12" t="n">
        <f aca="false">L407/J407</f>
        <v>0.00127877237851662</v>
      </c>
      <c r="N25" s="11" t="n">
        <f aca="false">A408</f>
        <v>45727</v>
      </c>
    </row>
    <row r="26" customFormat="false" ht="15" hidden="false" customHeight="false" outlineLevel="0" collapsed="false">
      <c r="A26" s="3" t="n">
        <v>19</v>
      </c>
      <c r="B26" s="11" t="n">
        <f aca="false">IF(H417,A417,A418)</f>
        <v>45741</v>
      </c>
      <c r="C26" s="11" t="n">
        <f aca="false">A418</f>
        <v>45742</v>
      </c>
      <c r="D26" s="3" t="str">
        <f aca="false">IF(H417,"OI signal: next-month OI &gt; held OI at previous close","Calendar backstop: "&amp;D418&amp;" trading days left")</f>
        <v>OI signal: next-month OI &gt; held OI at previous close</v>
      </c>
      <c r="E26" s="11" t="n">
        <f aca="false">B418</f>
        <v>45764</v>
      </c>
      <c r="F26" s="11" t="n">
        <f aca="false">C418</f>
        <v>45797</v>
      </c>
      <c r="G26" s="3" t="n">
        <f aca="false">D418</f>
        <v>13</v>
      </c>
      <c r="H26" s="3" t="n">
        <f aca="false">IF(H417,E417,SUMIFS('Futures Data'!$E$5:$E$3471,'Futures Data'!$A$5:$A$3471,A418,'Futures Data'!$B$5:$B$3471,B418))</f>
        <v>13800</v>
      </c>
      <c r="I26" s="3" t="n">
        <f aca="false">IF(H417,G417,E418)</f>
        <v>14885</v>
      </c>
      <c r="J26" s="3" t="n">
        <f aca="false">J418</f>
        <v>6272</v>
      </c>
      <c r="K26" s="3" t="n">
        <f aca="false">K418</f>
        <v>6340</v>
      </c>
      <c r="L26" s="3" t="n">
        <f aca="false">L418</f>
        <v>68</v>
      </c>
      <c r="M26" s="12" t="n">
        <f aca="false">L418/J418</f>
        <v>0.0108418367346939</v>
      </c>
      <c r="N26" s="11" t="n">
        <f aca="false">A419</f>
        <v>45743</v>
      </c>
    </row>
    <row r="27" customFormat="false" ht="15" hidden="false" customHeight="false" outlineLevel="0" collapsed="false">
      <c r="A27" s="3" t="n">
        <v>20</v>
      </c>
      <c r="B27" s="11" t="n">
        <f aca="false">IF(H437,A437,A438)</f>
        <v>45775</v>
      </c>
      <c r="C27" s="11" t="n">
        <f aca="false">A438</f>
        <v>45776</v>
      </c>
      <c r="D27" s="3" t="str">
        <f aca="false">IF(H437,"OI signal: next-month OI &gt; held OI at previous close","Calendar backstop: "&amp;D438&amp;" trading days left")</f>
        <v>OI signal: next-month OI &gt; held OI at previous close</v>
      </c>
      <c r="E27" s="11" t="n">
        <f aca="false">B438</f>
        <v>45797</v>
      </c>
      <c r="F27" s="11" t="n">
        <f aca="false">C438</f>
        <v>45828</v>
      </c>
      <c r="G27" s="3" t="n">
        <f aca="false">D438</f>
        <v>14</v>
      </c>
      <c r="H27" s="3" t="n">
        <f aca="false">IF(H437,E437,SUMIFS('Futures Data'!$E$5:$E$3471,'Futures Data'!$A$5:$A$3471,A438,'Futures Data'!$B$5:$B$3471,B438))</f>
        <v>17560</v>
      </c>
      <c r="I27" s="3" t="n">
        <f aca="false">IF(H437,G437,E438)</f>
        <v>18605</v>
      </c>
      <c r="J27" s="3" t="n">
        <f aca="false">J438</f>
        <v>6261</v>
      </c>
      <c r="K27" s="3" t="n">
        <f aca="false">K438</f>
        <v>6326</v>
      </c>
      <c r="L27" s="3" t="n">
        <f aca="false">L438</f>
        <v>65</v>
      </c>
      <c r="M27" s="12" t="n">
        <f aca="false">L438/J438</f>
        <v>0.0103817281584411</v>
      </c>
      <c r="N27" s="11" t="n">
        <f aca="false">A439</f>
        <v>45777</v>
      </c>
    </row>
    <row r="28" customFormat="false" ht="15" hidden="false" customHeight="false" outlineLevel="0" collapsed="false">
      <c r="A28" s="3" t="n">
        <v>21</v>
      </c>
      <c r="B28" s="11" t="n">
        <f aca="false">IF(H462,A462,A463)</f>
        <v>45811</v>
      </c>
      <c r="C28" s="11" t="n">
        <f aca="false">A463</f>
        <v>45812</v>
      </c>
      <c r="D28" s="3" t="str">
        <f aca="false">IF(H462,"OI signal: next-month OI &gt; held OI at previous close","Calendar backstop: "&amp;D463&amp;" trading days left")</f>
        <v>OI signal: next-month OI &gt; held OI at previous close</v>
      </c>
      <c r="E28" s="11" t="n">
        <f aca="false">B463</f>
        <v>45828</v>
      </c>
      <c r="F28" s="11" t="n">
        <f aca="false">C463</f>
        <v>45856</v>
      </c>
      <c r="G28" s="3" t="n">
        <f aca="false">D463</f>
        <v>12</v>
      </c>
      <c r="H28" s="3" t="n">
        <f aca="false">IF(H462,E462,SUMIFS('Futures Data'!$E$5:$E$3471,'Futures Data'!$A$5:$A$3471,A463,'Futures Data'!$B$5:$B$3471,B463))</f>
        <v>18280</v>
      </c>
      <c r="I28" s="3" t="n">
        <f aca="false">IF(H462,G462,E463)</f>
        <v>19515</v>
      </c>
      <c r="J28" s="3" t="n">
        <f aca="false">J463</f>
        <v>6392</v>
      </c>
      <c r="K28" s="3" t="n">
        <f aca="false">K463</f>
        <v>6470</v>
      </c>
      <c r="L28" s="3" t="n">
        <f aca="false">L463</f>
        <v>78</v>
      </c>
      <c r="M28" s="12" t="n">
        <f aca="false">L463/J463</f>
        <v>0.0122027534418023</v>
      </c>
      <c r="N28" s="11" t="n">
        <f aca="false">A464</f>
        <v>45813</v>
      </c>
    </row>
    <row r="29" customFormat="false" ht="15" hidden="false" customHeight="false" outlineLevel="0" collapsed="false">
      <c r="A29" s="3" t="n">
        <v>22</v>
      </c>
      <c r="B29" s="11" t="n">
        <f aca="false">IF(H482,A482,A483)</f>
        <v>45839</v>
      </c>
      <c r="C29" s="11" t="n">
        <f aca="false">A483</f>
        <v>45840</v>
      </c>
      <c r="D29" s="3" t="str">
        <f aca="false">IF(H482,"OI signal: next-month OI &gt; held OI at previous close","Calendar backstop: "&amp;D483&amp;" trading days left")</f>
        <v>OI signal: next-month OI &gt; held OI at previous close</v>
      </c>
      <c r="E29" s="11" t="n">
        <f aca="false">B483</f>
        <v>45856</v>
      </c>
      <c r="F29" s="11" t="n">
        <f aca="false">C483</f>
        <v>45889</v>
      </c>
      <c r="G29" s="3" t="n">
        <f aca="false">D483</f>
        <v>12</v>
      </c>
      <c r="H29" s="3" t="n">
        <f aca="false">IF(H482,E482,SUMIFS('Futures Data'!$E$5:$E$3471,'Futures Data'!$A$5:$A$3471,A483,'Futures Data'!$B$5:$B$3471,B483))</f>
        <v>21870</v>
      </c>
      <c r="I29" s="3" t="n">
        <f aca="false">IF(H482,G482,E483)</f>
        <v>23290</v>
      </c>
      <c r="J29" s="3" t="n">
        <f aca="false">J483</f>
        <v>6898</v>
      </c>
      <c r="K29" s="3" t="n">
        <f aca="false">K483</f>
        <v>6974</v>
      </c>
      <c r="L29" s="3" t="n">
        <f aca="false">L483</f>
        <v>76</v>
      </c>
      <c r="M29" s="12" t="n">
        <f aca="false">L483/J483</f>
        <v>0.01101768628588</v>
      </c>
      <c r="N29" s="11" t="n">
        <f aca="false">A484</f>
        <v>45841</v>
      </c>
    </row>
    <row r="30" customFormat="false" ht="15" hidden="false" customHeight="false" outlineLevel="0" collapsed="false">
      <c r="A30" s="3" t="n">
        <v>23</v>
      </c>
      <c r="B30" s="11" t="n">
        <f aca="false">IF(H508,A508,A509)</f>
        <v>45875</v>
      </c>
      <c r="C30" s="11" t="n">
        <f aca="false">A509</f>
        <v>45876</v>
      </c>
      <c r="D30" s="3" t="str">
        <f aca="false">IF(H508,"OI signal: next-month OI &gt; held OI at previous close","Calendar backstop: "&amp;D509&amp;" trading days left")</f>
        <v>OI signal: next-month OI &gt; held OI at previous close</v>
      </c>
      <c r="E30" s="11" t="n">
        <f aca="false">B509</f>
        <v>45889</v>
      </c>
      <c r="F30" s="11" t="n">
        <f aca="false">C509</f>
        <v>45919</v>
      </c>
      <c r="G30" s="3" t="n">
        <f aca="false">D509</f>
        <v>8</v>
      </c>
      <c r="H30" s="3" t="n">
        <f aca="false">IF(H508,E508,SUMIFS('Futures Data'!$E$5:$E$3471,'Futures Data'!$A$5:$A$3471,A509,'Futures Data'!$B$5:$B$3471,B509))</f>
        <v>21840</v>
      </c>
      <c r="I30" s="3" t="n">
        <f aca="false">IF(H508,G508,E509)</f>
        <v>22505</v>
      </c>
      <c r="J30" s="3" t="n">
        <f aca="false">J509</f>
        <v>6638</v>
      </c>
      <c r="K30" s="3" t="n">
        <f aca="false">K509</f>
        <v>6704</v>
      </c>
      <c r="L30" s="3" t="n">
        <f aca="false">L509</f>
        <v>66</v>
      </c>
      <c r="M30" s="12" t="n">
        <f aca="false">L509/J509</f>
        <v>0.00994275384151853</v>
      </c>
      <c r="N30" s="11" t="n">
        <f aca="false">A510</f>
        <v>45877</v>
      </c>
    </row>
    <row r="31" customFormat="false" ht="15" hidden="false" customHeight="false" outlineLevel="0" collapsed="false">
      <c r="A31" s="3" t="n">
        <v>24</v>
      </c>
      <c r="B31" s="11" t="n">
        <f aca="false">IF(H526,A526,A527)</f>
        <v>45903</v>
      </c>
      <c r="C31" s="11" t="n">
        <f aca="false">A527</f>
        <v>45904</v>
      </c>
      <c r="D31" s="3" t="str">
        <f aca="false">IF(H526,"OI signal: next-month OI &gt; held OI at previous close","Calendar backstop: "&amp;D527&amp;" trading days left")</f>
        <v>OI signal: next-month OI &gt; held OI at previous close</v>
      </c>
      <c r="E31" s="11" t="n">
        <f aca="false">B527</f>
        <v>45919</v>
      </c>
      <c r="F31" s="11" t="n">
        <f aca="false">C527</f>
        <v>45950</v>
      </c>
      <c r="G31" s="3" t="n">
        <f aca="false">D527</f>
        <v>11</v>
      </c>
      <c r="H31" s="3" t="n">
        <f aca="false">IF(H526,E526,SUMIFS('Futures Data'!$E$5:$E$3471,'Futures Data'!$A$5:$A$3471,A527,'Futures Data'!$B$5:$B$3471,B527))</f>
        <v>18165</v>
      </c>
      <c r="I31" s="3" t="n">
        <f aca="false">IF(H526,G526,E527)</f>
        <v>18950</v>
      </c>
      <c r="J31" s="3" t="n">
        <f aca="false">J527</f>
        <v>6622</v>
      </c>
      <c r="K31" s="3" t="n">
        <f aca="false">K527</f>
        <v>6685</v>
      </c>
      <c r="L31" s="3" t="n">
        <f aca="false">L527</f>
        <v>63</v>
      </c>
      <c r="M31" s="12" t="n">
        <f aca="false">L527/J527</f>
        <v>0.00951374207188161</v>
      </c>
      <c r="N31" s="11" t="n">
        <f aca="false">A528</f>
        <v>45905</v>
      </c>
    </row>
    <row r="32" customFormat="false" ht="15" hidden="false" customHeight="false" outlineLevel="0" collapsed="false">
      <c r="A32" s="3" t="n">
        <v>25</v>
      </c>
      <c r="B32" s="11" t="n">
        <f aca="false">IF(H546,A546,A547)</f>
        <v>45931</v>
      </c>
      <c r="C32" s="11" t="n">
        <f aca="false">A547</f>
        <v>45933</v>
      </c>
      <c r="D32" s="3" t="str">
        <f aca="false">IF(H546,"OI signal: next-month OI &gt; held OI at previous close","Calendar backstop: "&amp;D547&amp;" trading days left")</f>
        <v>OI signal: next-month OI &gt; held OI at previous close</v>
      </c>
      <c r="E32" s="11" t="n">
        <f aca="false">B547</f>
        <v>45950</v>
      </c>
      <c r="F32" s="11" t="n">
        <f aca="false">C547</f>
        <v>45981</v>
      </c>
      <c r="G32" s="3" t="n">
        <f aca="false">D547</f>
        <v>11</v>
      </c>
      <c r="H32" s="3" t="n">
        <f aca="false">IF(H546,E546,SUMIFS('Futures Data'!$E$5:$E$3471,'Futures Data'!$A$5:$A$3471,A547,'Futures Data'!$B$5:$B$3471,B547))</f>
        <v>17630</v>
      </c>
      <c r="I32" s="3" t="n">
        <f aca="false">IF(H546,G546,E547)</f>
        <v>19320</v>
      </c>
      <c r="J32" s="3" t="n">
        <f aca="false">J547</f>
        <v>6466</v>
      </c>
      <c r="K32" s="3" t="n">
        <f aca="false">K547</f>
        <v>6542</v>
      </c>
      <c r="L32" s="3" t="n">
        <f aca="false">L547</f>
        <v>76</v>
      </c>
      <c r="M32" s="12" t="n">
        <f aca="false">L547/J547</f>
        <v>0.0117537890504176</v>
      </c>
      <c r="N32" s="11" t="n">
        <f aca="false">A548</f>
        <v>45936</v>
      </c>
    </row>
    <row r="33" customFormat="false" ht="15" hidden="false" customHeight="false" outlineLevel="0" collapsed="false">
      <c r="A33" s="3" t="n">
        <v>26</v>
      </c>
      <c r="B33" s="11" t="n">
        <f aca="false">IF(H569,A569,A570)</f>
        <v>45967</v>
      </c>
      <c r="C33" s="11" t="n">
        <f aca="false">A570</f>
        <v>45968</v>
      </c>
      <c r="D33" s="3" t="str">
        <f aca="false">IF(H569,"OI signal: next-month OI &gt; held OI at previous close","Calendar backstop: "&amp;D570&amp;" trading days left")</f>
        <v>OI signal: next-month OI &gt; held OI at previous close</v>
      </c>
      <c r="E33" s="11" t="n">
        <f aca="false">B570</f>
        <v>45981</v>
      </c>
      <c r="F33" s="11" t="n">
        <f aca="false">C570</f>
        <v>46010</v>
      </c>
      <c r="G33" s="3" t="n">
        <f aca="false">D570</f>
        <v>9</v>
      </c>
      <c r="H33" s="3" t="n">
        <f aca="false">IF(H569,E569,SUMIFS('Futures Data'!$E$5:$E$3471,'Futures Data'!$A$5:$A$3471,A570,'Futures Data'!$B$5:$B$3471,B570))</f>
        <v>18525</v>
      </c>
      <c r="I33" s="3" t="n">
        <f aca="false">IF(H569,G569,E570)</f>
        <v>19865</v>
      </c>
      <c r="J33" s="3" t="n">
        <f aca="false">J570</f>
        <v>6758</v>
      </c>
      <c r="K33" s="3" t="n">
        <f aca="false">K570</f>
        <v>6829</v>
      </c>
      <c r="L33" s="3" t="n">
        <f aca="false">L570</f>
        <v>71</v>
      </c>
      <c r="M33" s="12" t="n">
        <f aca="false">L570/J570</f>
        <v>0.0105060668836934</v>
      </c>
      <c r="N33" s="11" t="n">
        <f aca="false">A571</f>
        <v>45971</v>
      </c>
    </row>
    <row r="34" customFormat="false" ht="15" hidden="false" customHeight="false" outlineLevel="0" collapsed="false">
      <c r="A34" s="3" t="n">
        <v>27</v>
      </c>
      <c r="B34" s="11" t="n">
        <f aca="false">IF(H590,A590,A591)</f>
        <v>45996</v>
      </c>
      <c r="C34" s="11" t="n">
        <f aca="false">A591</f>
        <v>45999</v>
      </c>
      <c r="D34" s="3" t="str">
        <f aca="false">IF(H590,"OI signal: next-month OI &gt; held OI at previous close","Calendar backstop: "&amp;D591&amp;" trading days left")</f>
        <v>OI signal: next-month OI &gt; held OI at previous close</v>
      </c>
      <c r="E34" s="11" t="n">
        <f aca="false">B591</f>
        <v>46010</v>
      </c>
      <c r="F34" s="11" t="n">
        <f aca="false">C591</f>
        <v>46042</v>
      </c>
      <c r="G34" s="3" t="n">
        <f aca="false">D591</f>
        <v>9</v>
      </c>
      <c r="H34" s="3" t="n">
        <f aca="false">IF(H590,E590,SUMIFS('Futures Data'!$E$5:$E$3471,'Futures Data'!$A$5:$A$3471,A591,'Futures Data'!$B$5:$B$3471,B591))</f>
        <v>13785</v>
      </c>
      <c r="I34" s="3" t="n">
        <f aca="false">IF(H590,G590,E591)</f>
        <v>15585</v>
      </c>
      <c r="J34" s="3" t="n">
        <f aca="false">J591</f>
        <v>6958</v>
      </c>
      <c r="K34" s="3" t="n">
        <f aca="false">K591</f>
        <v>6984</v>
      </c>
      <c r="L34" s="3" t="n">
        <f aca="false">L591</f>
        <v>26</v>
      </c>
      <c r="M34" s="12" t="n">
        <f aca="false">L591/J591</f>
        <v>0.00373670594998563</v>
      </c>
      <c r="N34" s="11" t="n">
        <f aca="false">A592</f>
        <v>46000</v>
      </c>
    </row>
    <row r="35" customFormat="false" ht="15" hidden="false" customHeight="false" outlineLevel="0" collapsed="false">
      <c r="A35" s="3" t="n">
        <v>28</v>
      </c>
      <c r="B35" s="11" t="n">
        <f aca="false">IF(H612,A612,A613)</f>
        <v>46030</v>
      </c>
      <c r="C35" s="11" t="n">
        <f aca="false">A613</f>
        <v>46030</v>
      </c>
      <c r="D35" s="3" t="str">
        <f aca="false">IF(H612,"OI signal: next-month OI &gt; held OI at previous close","Calendar backstop: "&amp;D613&amp;" trading days left")</f>
        <v>Calendar backstop: 7 trading days left</v>
      </c>
      <c r="E35" s="11" t="n">
        <f aca="false">B613</f>
        <v>46042</v>
      </c>
      <c r="F35" s="11" t="n">
        <f aca="false">C613</f>
        <v>46073</v>
      </c>
      <c r="G35" s="3" t="n">
        <f aca="false">D613</f>
        <v>7</v>
      </c>
      <c r="H35" s="3" t="n">
        <f aca="false">IF(H612,E612,SUMIFS('Futures Data'!$E$5:$E$3471,'Futures Data'!$A$5:$A$3471,A613,'Futures Data'!$B$5:$B$3471,B613))</f>
        <v>12415</v>
      </c>
      <c r="I35" s="3" t="n">
        <f aca="false">IF(H612,G612,E613)</f>
        <v>14460</v>
      </c>
      <c r="J35" s="3" t="n">
        <f aca="false">J613</f>
        <v>6618</v>
      </c>
      <c r="K35" s="3" t="n">
        <f aca="false">K613</f>
        <v>6667</v>
      </c>
      <c r="L35" s="3" t="n">
        <f aca="false">L613</f>
        <v>49</v>
      </c>
      <c r="M35" s="12" t="n">
        <f aca="false">L613/J613</f>
        <v>0.00740404956180115</v>
      </c>
      <c r="N35" s="11" t="n">
        <f aca="false">A614</f>
        <v>46031</v>
      </c>
    </row>
    <row r="36" customFormat="false" ht="15" hidden="false" customHeight="false" outlineLevel="0" collapsed="false">
      <c r="A36" s="3" t="n">
        <v>29</v>
      </c>
      <c r="B36" s="11" t="n">
        <f aca="false">IF(H635,A635,A636)</f>
        <v>46063</v>
      </c>
      <c r="C36" s="11" t="n">
        <f aca="false">A636</f>
        <v>46064</v>
      </c>
      <c r="D36" s="3" t="str">
        <f aca="false">IF(H635,"OI signal: next-month OI &gt; held OI at previous close","Calendar backstop: "&amp;D636&amp;" trading days left")</f>
        <v>OI signal: next-month OI &gt; held OI at previous close</v>
      </c>
      <c r="E36" s="11" t="n">
        <f aca="false">B636</f>
        <v>46073</v>
      </c>
      <c r="F36" s="11" t="n">
        <f aca="false">C636</f>
        <v>46101</v>
      </c>
      <c r="G36" s="3" t="n">
        <f aca="false">D636</f>
        <v>7</v>
      </c>
      <c r="H36" s="3" t="n">
        <f aca="false">IF(H635,E635,SUMIFS('Futures Data'!$E$5:$E$3471,'Futures Data'!$A$5:$A$3471,A636,'Futures Data'!$B$5:$B$3471,B636))</f>
        <v>14365</v>
      </c>
      <c r="I36" s="3" t="n">
        <f aca="false">IF(H635,G635,E636)</f>
        <v>15970</v>
      </c>
      <c r="J36" s="3" t="n">
        <f aca="false">J636</f>
        <v>6388</v>
      </c>
      <c r="K36" s="3" t="n">
        <f aca="false">K636</f>
        <v>6445</v>
      </c>
      <c r="L36" s="3" t="n">
        <f aca="false">L636</f>
        <v>57</v>
      </c>
      <c r="M36" s="12" t="n">
        <f aca="false">L636/J636</f>
        <v>0.00892298058860363</v>
      </c>
      <c r="N36" s="11" t="n">
        <f aca="false">A637</f>
        <v>46065</v>
      </c>
    </row>
    <row r="37" customFormat="false" ht="15" hidden="false" customHeight="false" outlineLevel="0" collapsed="false">
      <c r="A37" s="3" t="n">
        <v>30</v>
      </c>
      <c r="B37" s="11" t="n">
        <f aca="false">IF(H651,A651,A652)</f>
        <v>46086</v>
      </c>
      <c r="C37" s="11" t="n">
        <f aca="false">A652</f>
        <v>46087</v>
      </c>
      <c r="D37" s="3" t="str">
        <f aca="false">IF(H651,"OI signal: next-month OI &gt; held OI at previous close","Calendar backstop: "&amp;D652&amp;" trading days left")</f>
        <v>OI signal: next-month OI &gt; held OI at previous close</v>
      </c>
      <c r="E37" s="11" t="n">
        <f aca="false">B652</f>
        <v>46101</v>
      </c>
      <c r="F37" s="11" t="n">
        <f aca="false">C652</f>
        <v>46132</v>
      </c>
      <c r="G37" s="3" t="n">
        <f aca="false">D652</f>
        <v>10</v>
      </c>
      <c r="H37" s="3" t="n">
        <f aca="false">IF(H651,E651,SUMIFS('Futures Data'!$E$5:$E$3471,'Futures Data'!$A$5:$A$3471,A652,'Futures Data'!$B$5:$B$3471,B652))</f>
        <v>14625</v>
      </c>
      <c r="I37" s="3" t="n">
        <f aca="false">IF(H651,G651,E652)</f>
        <v>15370</v>
      </c>
      <c r="J37" s="3" t="n">
        <f aca="false">J652</f>
        <v>6277</v>
      </c>
      <c r="K37" s="3" t="n">
        <f aca="false">K652</f>
        <v>6322</v>
      </c>
      <c r="L37" s="3" t="n">
        <f aca="false">L652</f>
        <v>45</v>
      </c>
      <c r="M37" s="12" t="n">
        <f aca="false">L652/J652</f>
        <v>0.00716902979130158</v>
      </c>
      <c r="N37" s="11" t="n">
        <f aca="false">A653</f>
        <v>46090</v>
      </c>
    </row>
    <row r="38" customFormat="false" ht="15" hidden="false" customHeight="false" outlineLevel="0" collapsed="false">
      <c r="A38" s="3" t="n">
        <v>31</v>
      </c>
      <c r="B38" s="11" t="n">
        <f aca="false">IF(H671,A671,A672)</f>
        <v>46119</v>
      </c>
      <c r="C38" s="11" t="n">
        <f aca="false">A672</f>
        <v>46120</v>
      </c>
      <c r="D38" s="3" t="str">
        <f aca="false">IF(H671,"OI signal: next-month OI &gt; held OI at previous close","Calendar backstop: "&amp;D672&amp;" trading days left")</f>
        <v>OI signal: next-month OI &gt; held OI at previous close</v>
      </c>
      <c r="E38" s="11" t="n">
        <f aca="false">B672</f>
        <v>46132</v>
      </c>
      <c r="F38" s="11" t="n">
        <f aca="false">C672</f>
        <v>46162</v>
      </c>
      <c r="G38" s="3" t="n">
        <f aca="false">D672</f>
        <v>7</v>
      </c>
      <c r="H38" s="3" t="n">
        <f aca="false">IF(H671,E671,SUMIFS('Futures Data'!$E$5:$E$3471,'Futures Data'!$A$5:$A$3471,A672,'Futures Data'!$B$5:$B$3471,B672))</f>
        <v>14985</v>
      </c>
      <c r="I38" s="3" t="n">
        <f aca="false">IF(H671,G671,E672)</f>
        <v>16660</v>
      </c>
      <c r="J38" s="3" t="n">
        <f aca="false">J672</f>
        <v>6375</v>
      </c>
      <c r="K38" s="3" t="n">
        <f aca="false">K672</f>
        <v>6441</v>
      </c>
      <c r="L38" s="3" t="n">
        <f aca="false">L672</f>
        <v>66</v>
      </c>
      <c r="M38" s="12" t="n">
        <f aca="false">L672/J672</f>
        <v>0.0103529411764706</v>
      </c>
      <c r="N38" s="11" t="n">
        <f aca="false">A673</f>
        <v>46121</v>
      </c>
    </row>
    <row r="39" customFormat="false" ht="15" hidden="false" customHeight="false" outlineLevel="0" collapsed="false">
      <c r="A39" s="3" t="n">
        <v>32</v>
      </c>
      <c r="B39" s="11" t="n">
        <f aca="false">IF(H690,A690,A691)</f>
        <v>46148</v>
      </c>
      <c r="C39" s="11" t="n">
        <f aca="false">A691</f>
        <v>46149</v>
      </c>
      <c r="D39" s="3" t="str">
        <f aca="false">IF(H690,"OI signal: next-month OI &gt; held OI at previous close","Calendar backstop: "&amp;D691&amp;" trading days left")</f>
        <v>OI signal: next-month OI &gt; held OI at previous close</v>
      </c>
      <c r="E39" s="11" t="n">
        <f aca="false">B691</f>
        <v>46162</v>
      </c>
      <c r="F39" s="11" t="n">
        <f aca="false">C691</f>
        <v>46192</v>
      </c>
      <c r="G39" s="3" t="n">
        <f aca="false">D691</f>
        <v>9</v>
      </c>
      <c r="H39" s="3" t="n">
        <f aca="false">IF(H690,E690,SUMIFS('Futures Data'!$E$5:$E$3471,'Futures Data'!$A$5:$A$3471,A691,'Futures Data'!$B$5:$B$3471,B691))</f>
        <v>14275</v>
      </c>
      <c r="I39" s="3" t="n">
        <f aca="false">IF(H690,G690,E691)</f>
        <v>17020</v>
      </c>
      <c r="J39" s="3" t="n">
        <f aca="false">J691</f>
        <v>6501</v>
      </c>
      <c r="K39" s="3" t="n">
        <f aca="false">K691</f>
        <v>6592</v>
      </c>
      <c r="L39" s="3" t="n">
        <f aca="false">L691</f>
        <v>91</v>
      </c>
      <c r="M39" s="12" t="n">
        <f aca="false">L691/J691</f>
        <v>0.0139978464851561</v>
      </c>
      <c r="N39" s="11" t="n">
        <f aca="false">A692</f>
        <v>46150</v>
      </c>
    </row>
    <row r="40" customFormat="false" ht="15" hidden="false" customHeight="false" outlineLevel="0" collapsed="false">
      <c r="A40" s="3" t="n">
        <v>33</v>
      </c>
      <c r="B40" s="11" t="n">
        <f aca="false">IF(H713,A713,A714)</f>
        <v>46182</v>
      </c>
      <c r="C40" s="11" t="n">
        <f aca="false">A714</f>
        <v>46183</v>
      </c>
      <c r="D40" s="3" t="str">
        <f aca="false">IF(H713,"OI signal: next-month OI &gt; held OI at previous close","Calendar backstop: "&amp;D714&amp;" trading days left")</f>
        <v>OI signal: next-month OI &gt; held OI at previous close</v>
      </c>
      <c r="E40" s="11" t="n">
        <f aca="false">B714</f>
        <v>46192</v>
      </c>
      <c r="F40" s="11" t="n">
        <f aca="false">C714</f>
        <v>46223</v>
      </c>
      <c r="G40" s="3" t="n">
        <f aca="false">D714</f>
        <v>7</v>
      </c>
      <c r="H40" s="3" t="n">
        <f aca="false">IF(H713,E713,SUMIFS('Futures Data'!$E$5:$E$3471,'Futures Data'!$A$5:$A$3471,A714,'Futures Data'!$B$5:$B$3471,B714))</f>
        <v>15780</v>
      </c>
      <c r="I40" s="3" t="n">
        <f aca="false">IF(H713,G713,E714)</f>
        <v>17960</v>
      </c>
      <c r="J40" s="3" t="n">
        <f aca="false">J714</f>
        <v>6549</v>
      </c>
      <c r="K40" s="3" t="n">
        <f aca="false">K714</f>
        <v>6656</v>
      </c>
      <c r="L40" s="3" t="n">
        <f aca="false">L714</f>
        <v>107</v>
      </c>
      <c r="M40" s="12" t="n">
        <f aca="false">L714/J714</f>
        <v>0.0163383722705757</v>
      </c>
      <c r="N40" s="11" t="n">
        <f aca="false">A715</f>
        <v>46184</v>
      </c>
    </row>
    <row r="41" customFormat="false" ht="15" hidden="false" customHeight="false" outlineLevel="0" collapsed="false">
      <c r="A41" s="3" t="n">
        <v>34</v>
      </c>
      <c r="B41" s="11" t="n">
        <f aca="false">IF(H731,A731,A732)</f>
        <v>46209</v>
      </c>
      <c r="C41" s="11" t="n">
        <f aca="false">A732</f>
        <v>46210</v>
      </c>
      <c r="D41" s="3" t="str">
        <f aca="false">IF(H731,"OI signal: next-month OI &gt; held OI at previous close","Calendar backstop: "&amp;D732&amp;" trading days left")</f>
        <v>OI signal: next-month OI &gt; held OI at previous close</v>
      </c>
      <c r="E41" s="11" t="n">
        <f aca="false">B732</f>
        <v>46223</v>
      </c>
      <c r="F41" s="11" t="n">
        <f aca="false">C732</f>
        <v>46254</v>
      </c>
      <c r="G41" s="3" t="n">
        <f aca="false">D732</f>
        <v>9</v>
      </c>
      <c r="H41" s="3" t="n">
        <f aca="false">IF(H731,E731,SUMIFS('Futures Data'!$E$5:$E$3471,'Futures Data'!$A$5:$A$3471,A732,'Futures Data'!$B$5:$B$3471,B732))</f>
        <v>20145</v>
      </c>
      <c r="I41" s="3" t="n">
        <f aca="false">IF(H731,G731,E732)</f>
        <v>21375</v>
      </c>
      <c r="J41" s="3" t="n">
        <f aca="false">J732</f>
        <v>7042</v>
      </c>
      <c r="K41" s="3" t="n">
        <f aca="false">K732</f>
        <v>7125</v>
      </c>
      <c r="L41" s="3" t="n">
        <f aca="false">L732</f>
        <v>83</v>
      </c>
      <c r="M41" s="12" t="n">
        <f aca="false">L732/J732</f>
        <v>0.0117864243112752</v>
      </c>
      <c r="N41" s="11" t="n">
        <f aca="false">A733</f>
        <v>46211</v>
      </c>
    </row>
    <row r="42" customFormat="false" ht="15" hidden="false" customHeight="false" outlineLevel="0" collapsed="false">
      <c r="A42" s="3" t="n">
        <v>35</v>
      </c>
      <c r="B42" s="11" t="n">
        <f aca="false">IF(H753,A753,A754)</f>
        <v>46239</v>
      </c>
      <c r="C42" s="11" t="n">
        <f aca="false">A754</f>
        <v>46240</v>
      </c>
      <c r="D42" s="3" t="str">
        <f aca="false">IF(H753,"OI signal: next-month OI &gt; held OI at previous close","Calendar backstop: "&amp;D754&amp;" trading days left")</f>
        <v>OI signal: next-month OI &gt; held OI at previous close</v>
      </c>
      <c r="E42" s="11" t="n">
        <f aca="false">B754</f>
        <v>46254</v>
      </c>
      <c r="F42" s="11" t="n">
        <f aca="false">C754</f>
        <v>46283</v>
      </c>
      <c r="G42" s="3" t="n">
        <f aca="false">D754</f>
        <v>10</v>
      </c>
      <c r="H42" s="3" t="n">
        <f aca="false">IF(H753,E753,SUMIFS('Futures Data'!$E$5:$E$3471,'Futures Data'!$A$5:$A$3471,A754,'Futures Data'!$B$5:$B$3471,B754))</f>
        <v>17430</v>
      </c>
      <c r="I42" s="3" t="n">
        <f aca="false">IF(H753,G753,E754)</f>
        <v>24265</v>
      </c>
      <c r="J42" s="3" t="n">
        <f aca="false">J754</f>
        <v>7131</v>
      </c>
      <c r="K42" s="3" t="n">
        <f aca="false">K754</f>
        <v>7212</v>
      </c>
      <c r="L42" s="3" t="n">
        <f aca="false">L754</f>
        <v>81</v>
      </c>
      <c r="M42" s="12" t="n">
        <f aca="false">L754/J754</f>
        <v>0.0113588557004628</v>
      </c>
      <c r="N42" s="11" t="n">
        <f aca="false">A755</f>
        <v>46241</v>
      </c>
    </row>
    <row r="43" customFormat="false" ht="15" hidden="false" customHeight="false" outlineLevel="0" collapsed="false">
      <c r="A43" s="3" t="n">
        <v>36</v>
      </c>
      <c r="B43" s="11" t="n">
        <f aca="false">IF(H773,A773,A774)</f>
        <v>46267</v>
      </c>
      <c r="C43" s="11" t="n">
        <f aca="false">A774</f>
        <v>46268</v>
      </c>
      <c r="D43" s="3" t="str">
        <f aca="false">IF(H773,"OI signal: next-month OI &gt; held OI at previous close","Calendar backstop: "&amp;D774&amp;" trading days left")</f>
        <v>OI signal: next-month OI &gt; held OI at previous close</v>
      </c>
      <c r="E43" s="11" t="n">
        <f aca="false">B774</f>
        <v>46283</v>
      </c>
      <c r="F43" s="11" t="n">
        <f aca="false">C774</f>
        <v>46311</v>
      </c>
      <c r="G43" s="3" t="n">
        <f aca="false">D774</f>
        <v>10</v>
      </c>
      <c r="H43" s="3" t="n">
        <f aca="false">IF(H773,E773,SUMIFS('Futures Data'!$E$5:$E$3471,'Futures Data'!$A$5:$A$3471,A774,'Futures Data'!$B$5:$B$3471,B774))</f>
        <v>22360</v>
      </c>
      <c r="I43" s="3" t="n">
        <f aca="false">IF(H773,G773,E774)</f>
        <v>22665</v>
      </c>
      <c r="J43" s="3" t="n">
        <f aca="false">J774</f>
        <v>7542</v>
      </c>
      <c r="K43" s="3" t="n">
        <f aca="false">K774</f>
        <v>7659</v>
      </c>
      <c r="L43" s="3" t="n">
        <f aca="false">L774</f>
        <v>117</v>
      </c>
      <c r="M43" s="12" t="n">
        <f aca="false">L774/J774</f>
        <v>0.0155131264916468</v>
      </c>
      <c r="N43" s="11" t="n">
        <f aca="false">A775</f>
        <v>46269</v>
      </c>
    </row>
    <row r="44" customFormat="false" ht="15" hidden="false" customHeight="false" outlineLevel="0" collapsed="false">
      <c r="A44" s="3" t="s">
        <v>2965</v>
      </c>
      <c r="D44" s="3" t="n">
        <f aca="false">COUNTIF(I47:I790,TRUE())</f>
        <v>36</v>
      </c>
    </row>
    <row r="45" customFormat="false" ht="15" hidden="false" customHeight="false" outlineLevel="0" collapsed="false">
      <c r="A45" s="2" t="s">
        <v>2966</v>
      </c>
    </row>
    <row r="46" customFormat="false" ht="64.9" hidden="false" customHeight="false" outlineLevel="0" collapsed="false">
      <c r="A46" s="4" t="s">
        <v>2967</v>
      </c>
      <c r="B46" s="4" t="s">
        <v>2968</v>
      </c>
      <c r="C46" s="4" t="s">
        <v>2969</v>
      </c>
      <c r="D46" s="4" t="s">
        <v>2970</v>
      </c>
      <c r="E46" s="4" t="s">
        <v>2971</v>
      </c>
      <c r="F46" s="4" t="s">
        <v>2972</v>
      </c>
      <c r="G46" s="4" t="s">
        <v>2973</v>
      </c>
      <c r="H46" s="4" t="s">
        <v>2974</v>
      </c>
      <c r="I46" s="4" t="s">
        <v>2975</v>
      </c>
      <c r="J46" s="4" t="s">
        <v>2976</v>
      </c>
      <c r="K46" s="4" t="s">
        <v>2977</v>
      </c>
      <c r="L46" s="4" t="s">
        <v>2978</v>
      </c>
      <c r="M46" s="4" t="s">
        <v>2979</v>
      </c>
      <c r="N46" s="4" t="s">
        <v>2980</v>
      </c>
      <c r="O46" s="4" t="s">
        <v>2981</v>
      </c>
      <c r="P46" s="4" t="s">
        <v>2982</v>
      </c>
      <c r="Q46" s="4" t="s">
        <v>2983</v>
      </c>
      <c r="R46" s="4" t="s">
        <v>2984</v>
      </c>
      <c r="S46" s="4" t="s">
        <v>2985</v>
      </c>
      <c r="T46" s="4" t="s">
        <v>2986</v>
      </c>
    </row>
    <row r="47" customFormat="false" ht="15" hidden="false" customHeight="false" outlineLevel="0" collapsed="false">
      <c r="A47" s="7" t="n">
        <v>45194</v>
      </c>
      <c r="B47" s="11" t="n">
        <f aca="false">_xlfn.MINIFS('Futures Data'!$B$5:$B$3471,'Futures Data'!$A$5:$A$3471,A47,'Futures Data'!$B$5:$B$3471,"&gt;="&amp;A47)</f>
        <v>45219</v>
      </c>
      <c r="C47" s="11" t="n">
        <f aca="false">IF(D47&lt;=$G$4,_xlfn.MINIFS('Futures Data'!$B$5:$B$3471,'Futures Data'!$A$5:$A$3471,A47,'Futures Data'!$B$5:$B$3471,"&gt;"&amp;B47),B47)</f>
        <v>45219</v>
      </c>
      <c r="D47" s="3" t="n">
        <f aca="false">COUNTIFS($A$47:$A$790,"&gt;"&amp;A47,$A$47:$A$790,"&lt;="&amp;B47)+IF(B47&gt;$G$5,NETWORKDAYS($G$5+1,B47),0)</f>
        <v>18</v>
      </c>
      <c r="E47" s="3" t="n">
        <f aca="false">SUMIFS('Futures Data'!$E$5:$E$3471,'Futures Data'!$A$5:$A$3471,A47,'Futures Data'!$B$5:$B$3471,C47)</f>
        <v>27755</v>
      </c>
      <c r="F47" s="11" t="n">
        <f aca="false">_xlfn.MINIFS('Futures Data'!$B$5:$B$3471,'Futures Data'!$A$5:$A$3471,A47,'Futures Data'!$B$5:$B$3471,"&gt;"&amp;C47)</f>
        <v>45250</v>
      </c>
      <c r="G47" s="3" t="n">
        <f aca="false">SUMIFS('Futures Data'!$E$5:$E$3471,'Futures Data'!$A$5:$A$3471,A47,'Futures Data'!$B$5:$B$3471,F47)</f>
        <v>10270</v>
      </c>
      <c r="H47" s="9" t="b">
        <f aca="false">G47&gt;E47</f>
        <v>0</v>
      </c>
      <c r="I47" s="9" t="b">
        <f aca="false">C47&lt;&gt;B47</f>
        <v>0</v>
      </c>
      <c r="J47" s="3" t="n">
        <f aca="false">SUMIFS('Futures Data'!$C$5:$C$3471,'Futures Data'!$A$5:$A$3471,A47,'Futures Data'!$B$5:$B$3471,B47)</f>
        <v>6176</v>
      </c>
      <c r="K47" s="3" t="n">
        <f aca="false">SUMIFS('Futures Data'!$C$5:$C$3471,'Futures Data'!$A$5:$A$3471,A47,'Futures Data'!$B$5:$B$3471,C47)</f>
        <v>6176</v>
      </c>
      <c r="L47" s="3" t="n">
        <f aca="false">K47-J47</f>
        <v>0</v>
      </c>
      <c r="M47" s="3" t="n">
        <f aca="false">M48+L47</f>
        <v>1689</v>
      </c>
      <c r="N47" s="3" t="n">
        <f aca="false">J47+M47</f>
        <v>7865</v>
      </c>
      <c r="Q47" s="3" t="n">
        <f aca="false">SUMIFS('Futures Data'!$D$5:$D$3471,'Futures Data'!$A$5:$A$3471,A47,'Futures Data'!$B$5:$B$3471,B47)</f>
        <v>6820</v>
      </c>
      <c r="R47" s="7" t="n">
        <v>45219</v>
      </c>
      <c r="S47" s="9" t="b">
        <f aca="false">C47=R47</f>
        <v>1</v>
      </c>
    </row>
    <row r="48" customFormat="false" ht="15" hidden="false" customHeight="false" outlineLevel="0" collapsed="false">
      <c r="A48" s="7" t="n">
        <v>45195</v>
      </c>
      <c r="B48" s="11" t="n">
        <f aca="false">C47</f>
        <v>45219</v>
      </c>
      <c r="C48" s="11" t="n">
        <f aca="false">IF(OR(H47,D48&lt;=$G$4),_xlfn.MINIFS('Futures Data'!$B$5:$B$3471,'Futures Data'!$A$5:$A$3471,A48,'Futures Data'!$B$5:$B$3471,"&gt;"&amp;B48),B48)</f>
        <v>45219</v>
      </c>
      <c r="D48" s="3" t="n">
        <f aca="false">COUNTIFS($A$47:$A$790,"&gt;"&amp;A48,$A$47:$A$790,"&lt;="&amp;B48)+IF(B48&gt;$G$5,NETWORKDAYS($G$5+1,B48),0)</f>
        <v>17</v>
      </c>
      <c r="E48" s="3" t="n">
        <f aca="false">SUMIFS('Futures Data'!$E$5:$E$3471,'Futures Data'!$A$5:$A$3471,A48,'Futures Data'!$B$5:$B$3471,C48)</f>
        <v>26860</v>
      </c>
      <c r="F48" s="11" t="n">
        <f aca="false">_xlfn.MINIFS('Futures Data'!$B$5:$B$3471,'Futures Data'!$A$5:$A$3471,A48,'Futures Data'!$B$5:$B$3471,"&gt;"&amp;C48)</f>
        <v>45250</v>
      </c>
      <c r="G48" s="3" t="n">
        <f aca="false">SUMIFS('Futures Data'!$E$5:$E$3471,'Futures Data'!$A$5:$A$3471,A48,'Futures Data'!$B$5:$B$3471,F48)</f>
        <v>11415</v>
      </c>
      <c r="H48" s="9" t="b">
        <f aca="false">G48&gt;E48</f>
        <v>0</v>
      </c>
      <c r="I48" s="9" t="b">
        <f aca="false">C48&lt;&gt;B48</f>
        <v>0</v>
      </c>
      <c r="J48" s="3" t="n">
        <f aca="false">SUMIFS('Futures Data'!$C$5:$C$3471,'Futures Data'!$A$5:$A$3471,A48,'Futures Data'!$B$5:$B$3471,B48)</f>
        <v>6155</v>
      </c>
      <c r="K48" s="3" t="n">
        <f aca="false">SUMIFS('Futures Data'!$C$5:$C$3471,'Futures Data'!$A$5:$A$3471,A48,'Futures Data'!$B$5:$B$3471,C48)</f>
        <v>6155</v>
      </c>
      <c r="L48" s="3" t="n">
        <f aca="false">K48-J48</f>
        <v>0</v>
      </c>
      <c r="M48" s="3" t="n">
        <f aca="false">M49+L48</f>
        <v>1689</v>
      </c>
      <c r="N48" s="3" t="n">
        <f aca="false">J48+M48</f>
        <v>7844</v>
      </c>
      <c r="O48" s="13" t="n">
        <f aca="false">LN(J48/K47)</f>
        <v>-0.00340605308605823</v>
      </c>
      <c r="P48" s="13" t="n">
        <f aca="false">LN(N48/N47)</f>
        <v>-0.00267362817614126</v>
      </c>
      <c r="Q48" s="3" t="n">
        <f aca="false">SUMIFS('Futures Data'!$D$5:$D$3471,'Futures Data'!$A$5:$A$3471,A48,'Futures Data'!$B$5:$B$3471,B48)</f>
        <v>4340</v>
      </c>
      <c r="R48" s="7" t="n">
        <v>45219</v>
      </c>
      <c r="S48" s="9" t="b">
        <f aca="false">C48=R48</f>
        <v>1</v>
      </c>
      <c r="T48" s="9" t="b">
        <f aca="false">ABS(O48-LN(J48/SUMIFS('Futures Data'!$C$5:$C$3471,'Futures Data'!$A$5:$A$3471,A47,'Futures Data'!$B$5:$B$3471,B48)))&lt;0.000000001</f>
        <v>1</v>
      </c>
    </row>
    <row r="49" customFormat="false" ht="15" hidden="false" customHeight="false" outlineLevel="0" collapsed="false">
      <c r="A49" s="7" t="n">
        <v>45196</v>
      </c>
      <c r="B49" s="11" t="n">
        <f aca="false">C48</f>
        <v>45219</v>
      </c>
      <c r="C49" s="11" t="n">
        <f aca="false">IF(OR(H48,D49&lt;=$G$4),_xlfn.MINIFS('Futures Data'!$B$5:$B$3471,'Futures Data'!$A$5:$A$3471,A49,'Futures Data'!$B$5:$B$3471,"&gt;"&amp;B49),B49)</f>
        <v>45219</v>
      </c>
      <c r="D49" s="3" t="n">
        <f aca="false">COUNTIFS($A$47:$A$790,"&gt;"&amp;A49,$A$47:$A$790,"&lt;="&amp;B49)+IF(B49&gt;$G$5,NETWORKDAYS($G$5+1,B49),0)</f>
        <v>16</v>
      </c>
      <c r="E49" s="3" t="n">
        <f aca="false">SUMIFS('Futures Data'!$E$5:$E$3471,'Futures Data'!$A$5:$A$3471,A49,'Futures Data'!$B$5:$B$3471,C49)</f>
        <v>23975</v>
      </c>
      <c r="F49" s="11" t="n">
        <f aca="false">_xlfn.MINIFS('Futures Data'!$B$5:$B$3471,'Futures Data'!$A$5:$A$3471,A49,'Futures Data'!$B$5:$B$3471,"&gt;"&amp;C49)</f>
        <v>45250</v>
      </c>
      <c r="G49" s="3" t="n">
        <f aca="false">SUMIFS('Futures Data'!$E$5:$E$3471,'Futures Data'!$A$5:$A$3471,A49,'Futures Data'!$B$5:$B$3471,F49)</f>
        <v>15220</v>
      </c>
      <c r="H49" s="9" t="b">
        <f aca="false">G49&gt;E49</f>
        <v>0</v>
      </c>
      <c r="I49" s="9" t="b">
        <f aca="false">C49&lt;&gt;B49</f>
        <v>0</v>
      </c>
      <c r="J49" s="3" t="n">
        <f aca="false">SUMIFS('Futures Data'!$C$5:$C$3471,'Futures Data'!$A$5:$A$3471,A49,'Futures Data'!$B$5:$B$3471,B49)</f>
        <v>6164</v>
      </c>
      <c r="K49" s="3" t="n">
        <f aca="false">SUMIFS('Futures Data'!$C$5:$C$3471,'Futures Data'!$A$5:$A$3471,A49,'Futures Data'!$B$5:$B$3471,C49)</f>
        <v>6164</v>
      </c>
      <c r="L49" s="3" t="n">
        <f aca="false">K49-J49</f>
        <v>0</v>
      </c>
      <c r="M49" s="3" t="n">
        <f aca="false">M50+L49</f>
        <v>1689</v>
      </c>
      <c r="N49" s="3" t="n">
        <f aca="false">J49+M49</f>
        <v>7853</v>
      </c>
      <c r="O49" s="13" t="n">
        <f aca="false">LN(J49/K48)</f>
        <v>0.00146115782145253</v>
      </c>
      <c r="P49" s="13" t="n">
        <f aca="false">LN(N49/N48)</f>
        <v>0.0011467160586377</v>
      </c>
      <c r="Q49" s="3" t="n">
        <f aca="false">SUMIFS('Futures Data'!$D$5:$D$3471,'Futures Data'!$A$5:$A$3471,A49,'Futures Data'!$B$5:$B$3471,B49)</f>
        <v>8775</v>
      </c>
      <c r="R49" s="7" t="n">
        <v>45219</v>
      </c>
      <c r="S49" s="9" t="b">
        <f aca="false">C49=R49</f>
        <v>1</v>
      </c>
      <c r="T49" s="9" t="b">
        <f aca="false">ABS(O49-LN(J49/SUMIFS('Futures Data'!$C$5:$C$3471,'Futures Data'!$A$5:$A$3471,A48,'Futures Data'!$B$5:$B$3471,B49)))&lt;0.000000001</f>
        <v>1</v>
      </c>
    </row>
    <row r="50" customFormat="false" ht="15" hidden="false" customHeight="false" outlineLevel="0" collapsed="false">
      <c r="A50" s="7" t="n">
        <v>45197</v>
      </c>
      <c r="B50" s="11" t="n">
        <f aca="false">C49</f>
        <v>45219</v>
      </c>
      <c r="C50" s="11" t="n">
        <f aca="false">IF(OR(H49,D50&lt;=$G$4),_xlfn.MINIFS('Futures Data'!$B$5:$B$3471,'Futures Data'!$A$5:$A$3471,A50,'Futures Data'!$B$5:$B$3471,"&gt;"&amp;B50),B50)</f>
        <v>45219</v>
      </c>
      <c r="D50" s="3" t="n">
        <f aca="false">COUNTIFS($A$47:$A$790,"&gt;"&amp;A50,$A$47:$A$790,"&lt;="&amp;B50)+IF(B50&gt;$G$5,NETWORKDAYS($G$5+1,B50),0)</f>
        <v>15</v>
      </c>
      <c r="E50" s="3" t="n">
        <f aca="false">SUMIFS('Futures Data'!$E$5:$E$3471,'Futures Data'!$A$5:$A$3471,A50,'Futures Data'!$B$5:$B$3471,C50)</f>
        <v>22905</v>
      </c>
      <c r="F50" s="11" t="n">
        <f aca="false">_xlfn.MINIFS('Futures Data'!$B$5:$B$3471,'Futures Data'!$A$5:$A$3471,A50,'Futures Data'!$B$5:$B$3471,"&gt;"&amp;C50)</f>
        <v>45250</v>
      </c>
      <c r="G50" s="3" t="n">
        <f aca="false">SUMIFS('Futures Data'!$E$5:$E$3471,'Futures Data'!$A$5:$A$3471,A50,'Futures Data'!$B$5:$B$3471,F50)</f>
        <v>17070</v>
      </c>
      <c r="H50" s="9" t="b">
        <f aca="false">G50&gt;E50</f>
        <v>0</v>
      </c>
      <c r="I50" s="9" t="b">
        <f aca="false">C50&lt;&gt;B50</f>
        <v>0</v>
      </c>
      <c r="J50" s="3" t="n">
        <f aca="false">SUMIFS('Futures Data'!$C$5:$C$3471,'Futures Data'!$A$5:$A$3471,A50,'Futures Data'!$B$5:$B$3471,B50)</f>
        <v>6215</v>
      </c>
      <c r="K50" s="3" t="n">
        <f aca="false">SUMIFS('Futures Data'!$C$5:$C$3471,'Futures Data'!$A$5:$A$3471,A50,'Futures Data'!$B$5:$B$3471,C50)</f>
        <v>6215</v>
      </c>
      <c r="L50" s="3" t="n">
        <f aca="false">K50-J50</f>
        <v>0</v>
      </c>
      <c r="M50" s="3" t="n">
        <f aca="false">M51+L50</f>
        <v>1689</v>
      </c>
      <c r="N50" s="3" t="n">
        <f aca="false">J50+M50</f>
        <v>7904</v>
      </c>
      <c r="O50" s="13" t="n">
        <f aca="false">LN(J50/K49)</f>
        <v>0.00823980750480507</v>
      </c>
      <c r="P50" s="13" t="n">
        <f aca="false">LN(N50/N49)</f>
        <v>0.00647333605282903</v>
      </c>
      <c r="Q50" s="3" t="n">
        <f aca="false">SUMIFS('Futures Data'!$D$5:$D$3471,'Futures Data'!$A$5:$A$3471,A50,'Futures Data'!$B$5:$B$3471,B50)</f>
        <v>5835</v>
      </c>
      <c r="R50" s="7" t="n">
        <v>45219</v>
      </c>
      <c r="S50" s="9" t="b">
        <f aca="false">C50=R50</f>
        <v>1</v>
      </c>
      <c r="T50" s="9" t="b">
        <f aca="false">ABS(O50-LN(J50/SUMIFS('Futures Data'!$C$5:$C$3471,'Futures Data'!$A$5:$A$3471,A49,'Futures Data'!$B$5:$B$3471,B50)))&lt;0.000000001</f>
        <v>1</v>
      </c>
    </row>
    <row r="51" customFormat="false" ht="15" hidden="false" customHeight="false" outlineLevel="0" collapsed="false">
      <c r="A51" s="7" t="n">
        <v>45198</v>
      </c>
      <c r="B51" s="11" t="n">
        <f aca="false">C50</f>
        <v>45219</v>
      </c>
      <c r="C51" s="11" t="n">
        <f aca="false">IF(OR(H50,D51&lt;=$G$4),_xlfn.MINIFS('Futures Data'!$B$5:$B$3471,'Futures Data'!$A$5:$A$3471,A51,'Futures Data'!$B$5:$B$3471,"&gt;"&amp;B51),B51)</f>
        <v>45219</v>
      </c>
      <c r="D51" s="3" t="n">
        <f aca="false">COUNTIFS($A$47:$A$790,"&gt;"&amp;A51,$A$47:$A$790,"&lt;="&amp;B51)+IF(B51&gt;$G$5,NETWORKDAYS($G$5+1,B51),0)</f>
        <v>14</v>
      </c>
      <c r="E51" s="3" t="n">
        <f aca="false">SUMIFS('Futures Data'!$E$5:$E$3471,'Futures Data'!$A$5:$A$3471,A51,'Futures Data'!$B$5:$B$3471,C51)</f>
        <v>18665</v>
      </c>
      <c r="F51" s="11" t="n">
        <f aca="false">_xlfn.MINIFS('Futures Data'!$B$5:$B$3471,'Futures Data'!$A$5:$A$3471,A51,'Futures Data'!$B$5:$B$3471,"&gt;"&amp;C51)</f>
        <v>45250</v>
      </c>
      <c r="G51" s="3" t="n">
        <f aca="false">SUMIFS('Futures Data'!$E$5:$E$3471,'Futures Data'!$A$5:$A$3471,A51,'Futures Data'!$B$5:$B$3471,F51)</f>
        <v>18145</v>
      </c>
      <c r="H51" s="9" t="b">
        <f aca="false">G51&gt;E51</f>
        <v>0</v>
      </c>
      <c r="I51" s="9" t="b">
        <f aca="false">C51&lt;&gt;B51</f>
        <v>0</v>
      </c>
      <c r="J51" s="3" t="n">
        <f aca="false">SUMIFS('Futures Data'!$C$5:$C$3471,'Futures Data'!$A$5:$A$3471,A51,'Futures Data'!$B$5:$B$3471,B51)</f>
        <v>6137</v>
      </c>
      <c r="K51" s="3" t="n">
        <f aca="false">SUMIFS('Futures Data'!$C$5:$C$3471,'Futures Data'!$A$5:$A$3471,A51,'Futures Data'!$B$5:$B$3471,C51)</f>
        <v>6137</v>
      </c>
      <c r="L51" s="3" t="n">
        <f aca="false">K51-J51</f>
        <v>0</v>
      </c>
      <c r="M51" s="3" t="n">
        <f aca="false">M52+L51</f>
        <v>1689</v>
      </c>
      <c r="N51" s="3" t="n">
        <f aca="false">J51+M51</f>
        <v>7826</v>
      </c>
      <c r="O51" s="13" t="n">
        <f aca="false">LN(J51/K50)</f>
        <v>-0.0126297015557145</v>
      </c>
      <c r="P51" s="13" t="n">
        <f aca="false">LN(N51/N50)</f>
        <v>-0.00991743665734592</v>
      </c>
      <c r="Q51" s="3" t="n">
        <f aca="false">SUMIFS('Futures Data'!$D$5:$D$3471,'Futures Data'!$A$5:$A$3471,A51,'Futures Data'!$B$5:$B$3471,B51)</f>
        <v>9415</v>
      </c>
      <c r="R51" s="7" t="n">
        <v>45219</v>
      </c>
      <c r="S51" s="9" t="b">
        <f aca="false">C51=R51</f>
        <v>1</v>
      </c>
      <c r="T51" s="9" t="b">
        <f aca="false">ABS(O51-LN(J51/SUMIFS('Futures Data'!$C$5:$C$3471,'Futures Data'!$A$5:$A$3471,A50,'Futures Data'!$B$5:$B$3471,B51)))&lt;0.000000001</f>
        <v>1</v>
      </c>
    </row>
    <row r="52" customFormat="false" ht="15" hidden="false" customHeight="false" outlineLevel="0" collapsed="false">
      <c r="A52" s="7" t="n">
        <v>45202</v>
      </c>
      <c r="B52" s="11" t="n">
        <f aca="false">C51</f>
        <v>45219</v>
      </c>
      <c r="C52" s="11" t="n">
        <f aca="false">IF(OR(H51,D52&lt;=$G$4),_xlfn.MINIFS('Futures Data'!$B$5:$B$3471,'Futures Data'!$A$5:$A$3471,A52,'Futures Data'!$B$5:$B$3471,"&gt;"&amp;B52),B52)</f>
        <v>45219</v>
      </c>
      <c r="D52" s="3" t="n">
        <f aca="false">COUNTIFS($A$47:$A$790,"&gt;"&amp;A52,$A$47:$A$790,"&lt;="&amp;B52)+IF(B52&gt;$G$5,NETWORKDAYS($G$5+1,B52),0)</f>
        <v>13</v>
      </c>
      <c r="E52" s="3" t="n">
        <f aca="false">SUMIFS('Futures Data'!$E$5:$E$3471,'Futures Data'!$A$5:$A$3471,A52,'Futures Data'!$B$5:$B$3471,C52)</f>
        <v>18280</v>
      </c>
      <c r="F52" s="11" t="n">
        <f aca="false">_xlfn.MINIFS('Futures Data'!$B$5:$B$3471,'Futures Data'!$A$5:$A$3471,A52,'Futures Data'!$B$5:$B$3471,"&gt;"&amp;C52)</f>
        <v>45250</v>
      </c>
      <c r="G52" s="3" t="n">
        <f aca="false">SUMIFS('Futures Data'!$E$5:$E$3471,'Futures Data'!$A$5:$A$3471,A52,'Futures Data'!$B$5:$B$3471,F52)</f>
        <v>19645</v>
      </c>
      <c r="H52" s="9" t="b">
        <f aca="false">G52&gt;E52</f>
        <v>1</v>
      </c>
      <c r="I52" s="9" t="b">
        <f aca="false">C52&lt;&gt;B52</f>
        <v>0</v>
      </c>
      <c r="J52" s="3" t="n">
        <f aca="false">SUMIFS('Futures Data'!$C$5:$C$3471,'Futures Data'!$A$5:$A$3471,A52,'Futures Data'!$B$5:$B$3471,B52)</f>
        <v>6101</v>
      </c>
      <c r="K52" s="3" t="n">
        <f aca="false">SUMIFS('Futures Data'!$C$5:$C$3471,'Futures Data'!$A$5:$A$3471,A52,'Futures Data'!$B$5:$B$3471,C52)</f>
        <v>6101</v>
      </c>
      <c r="L52" s="3" t="n">
        <f aca="false">K52-J52</f>
        <v>0</v>
      </c>
      <c r="M52" s="3" t="n">
        <f aca="false">M53+L52</f>
        <v>1689</v>
      </c>
      <c r="N52" s="3" t="n">
        <f aca="false">J52+M52</f>
        <v>7790</v>
      </c>
      <c r="O52" s="13" t="n">
        <f aca="false">LN(J52/K51)</f>
        <v>-0.00588333123724457</v>
      </c>
      <c r="P52" s="13" t="n">
        <f aca="false">LN(N52/N51)</f>
        <v>-0.00461066390556386</v>
      </c>
      <c r="Q52" s="3" t="n">
        <f aca="false">SUMIFS('Futures Data'!$D$5:$D$3471,'Futures Data'!$A$5:$A$3471,A52,'Futures Data'!$B$5:$B$3471,B52)</f>
        <v>4630</v>
      </c>
      <c r="R52" s="7" t="n">
        <v>45219</v>
      </c>
      <c r="S52" s="9" t="b">
        <f aca="false">C52=R52</f>
        <v>1</v>
      </c>
      <c r="T52" s="9" t="b">
        <f aca="false">ABS(O52-LN(J52/SUMIFS('Futures Data'!$C$5:$C$3471,'Futures Data'!$A$5:$A$3471,A51,'Futures Data'!$B$5:$B$3471,B52)))&lt;0.000000001</f>
        <v>1</v>
      </c>
    </row>
    <row r="53" customFormat="false" ht="15" hidden="false" customHeight="false" outlineLevel="0" collapsed="false">
      <c r="A53" s="7" t="n">
        <v>45203</v>
      </c>
      <c r="B53" s="11" t="n">
        <f aca="false">C52</f>
        <v>45219</v>
      </c>
      <c r="C53" s="11" t="n">
        <f aca="false">IF(OR(H52,D53&lt;=$G$4),_xlfn.MINIFS('Futures Data'!$B$5:$B$3471,'Futures Data'!$A$5:$A$3471,A53,'Futures Data'!$B$5:$B$3471,"&gt;"&amp;B53),B53)</f>
        <v>45250</v>
      </c>
      <c r="D53" s="3" t="n">
        <f aca="false">COUNTIFS($A$47:$A$790,"&gt;"&amp;A53,$A$47:$A$790,"&lt;="&amp;B53)+IF(B53&gt;$G$5,NETWORKDAYS($G$5+1,B53),0)</f>
        <v>12</v>
      </c>
      <c r="E53" s="3" t="n">
        <f aca="false">SUMIFS('Futures Data'!$E$5:$E$3471,'Futures Data'!$A$5:$A$3471,A53,'Futures Data'!$B$5:$B$3471,C53)</f>
        <v>21280</v>
      </c>
      <c r="F53" s="11" t="n">
        <f aca="false">_xlfn.MINIFS('Futures Data'!$B$5:$B$3471,'Futures Data'!$A$5:$A$3471,A53,'Futures Data'!$B$5:$B$3471,"&gt;"&amp;C53)</f>
        <v>45280</v>
      </c>
      <c r="G53" s="3" t="n">
        <f aca="false">SUMIFS('Futures Data'!$E$5:$E$3471,'Futures Data'!$A$5:$A$3471,A53,'Futures Data'!$B$5:$B$3471,F53)</f>
        <v>270</v>
      </c>
      <c r="H53" s="9" t="b">
        <f aca="false">G53&gt;E53</f>
        <v>0</v>
      </c>
      <c r="I53" s="9" t="b">
        <f aca="false">C53&lt;&gt;B53</f>
        <v>1</v>
      </c>
      <c r="J53" s="3" t="n">
        <f aca="false">SUMIFS('Futures Data'!$C$5:$C$3471,'Futures Data'!$A$5:$A$3471,A53,'Futures Data'!$B$5:$B$3471,B53)</f>
        <v>6135</v>
      </c>
      <c r="K53" s="3" t="n">
        <f aca="false">SUMIFS('Futures Data'!$C$5:$C$3471,'Futures Data'!$A$5:$A$3471,A53,'Futures Data'!$B$5:$B$3471,C53)</f>
        <v>6193</v>
      </c>
      <c r="L53" s="3" t="n">
        <f aca="false">K53-J53</f>
        <v>58</v>
      </c>
      <c r="M53" s="3" t="n">
        <f aca="false">M54+L53</f>
        <v>1689</v>
      </c>
      <c r="N53" s="3" t="n">
        <f aca="false">J53+M53</f>
        <v>7824</v>
      </c>
      <c r="O53" s="13" t="n">
        <f aca="false">LN(J53/K52)</f>
        <v>0.00555738599315934</v>
      </c>
      <c r="P53" s="13" t="n">
        <f aca="false">LN(N53/N52)</f>
        <v>0.00435507284985938</v>
      </c>
      <c r="Q53" s="3" t="n">
        <f aca="false">SUMIFS('Futures Data'!$D$5:$D$3471,'Futures Data'!$A$5:$A$3471,A53,'Futures Data'!$B$5:$B$3471,B53)</f>
        <v>5905</v>
      </c>
      <c r="R53" s="7" t="n">
        <v>45250</v>
      </c>
      <c r="S53" s="9" t="b">
        <f aca="false">C53=R53</f>
        <v>1</v>
      </c>
      <c r="T53" s="9" t="b">
        <f aca="false">ABS(O53-LN(J53/SUMIFS('Futures Data'!$C$5:$C$3471,'Futures Data'!$A$5:$A$3471,A52,'Futures Data'!$B$5:$B$3471,B53)))&lt;0.000000001</f>
        <v>1</v>
      </c>
    </row>
    <row r="54" customFormat="false" ht="15" hidden="false" customHeight="false" outlineLevel="0" collapsed="false">
      <c r="A54" s="7" t="n">
        <v>45204</v>
      </c>
      <c r="B54" s="11" t="n">
        <f aca="false">C53</f>
        <v>45250</v>
      </c>
      <c r="C54" s="11" t="n">
        <f aca="false">IF(OR(H53,D54&lt;=$G$4),_xlfn.MINIFS('Futures Data'!$B$5:$B$3471,'Futures Data'!$A$5:$A$3471,A54,'Futures Data'!$B$5:$B$3471,"&gt;"&amp;B54),B54)</f>
        <v>45250</v>
      </c>
      <c r="D54" s="3" t="n">
        <f aca="false">COUNTIFS($A$47:$A$790,"&gt;"&amp;A54,$A$47:$A$790,"&lt;="&amp;B54)+IF(B54&gt;$G$5,NETWORKDAYS($G$5+1,B54),0)</f>
        <v>31</v>
      </c>
      <c r="E54" s="3" t="n">
        <f aca="false">SUMIFS('Futures Data'!$E$5:$E$3471,'Futures Data'!$A$5:$A$3471,A54,'Futures Data'!$B$5:$B$3471,C54)</f>
        <v>22020</v>
      </c>
      <c r="F54" s="11" t="n">
        <f aca="false">_xlfn.MINIFS('Futures Data'!$B$5:$B$3471,'Futures Data'!$A$5:$A$3471,A54,'Futures Data'!$B$5:$B$3471,"&gt;"&amp;C54)</f>
        <v>45280</v>
      </c>
      <c r="G54" s="3" t="n">
        <f aca="false">SUMIFS('Futures Data'!$E$5:$E$3471,'Futures Data'!$A$5:$A$3471,A54,'Futures Data'!$B$5:$B$3471,F54)</f>
        <v>320</v>
      </c>
      <c r="H54" s="9" t="b">
        <f aca="false">G54&gt;E54</f>
        <v>0</v>
      </c>
      <c r="I54" s="9" t="b">
        <f aca="false">C54&lt;&gt;B54</f>
        <v>0</v>
      </c>
      <c r="J54" s="3" t="n">
        <f aca="false">SUMIFS('Futures Data'!$C$5:$C$3471,'Futures Data'!$A$5:$A$3471,A54,'Futures Data'!$B$5:$B$3471,B54)</f>
        <v>6175</v>
      </c>
      <c r="K54" s="3" t="n">
        <f aca="false">SUMIFS('Futures Data'!$C$5:$C$3471,'Futures Data'!$A$5:$A$3471,A54,'Futures Data'!$B$5:$B$3471,C54)</f>
        <v>6175</v>
      </c>
      <c r="L54" s="3" t="n">
        <f aca="false">K54-J54</f>
        <v>0</v>
      </c>
      <c r="M54" s="3" t="n">
        <f aca="false">M55+L54</f>
        <v>1631</v>
      </c>
      <c r="N54" s="3" t="n">
        <f aca="false">J54+M54</f>
        <v>7806</v>
      </c>
      <c r="O54" s="13" t="n">
        <f aca="false">LN(J54/K53)</f>
        <v>-0.002910739441883</v>
      </c>
      <c r="P54" s="13" t="n">
        <f aca="false">LN(N54/N53)</f>
        <v>-0.00230326397409303</v>
      </c>
      <c r="Q54" s="3" t="n">
        <f aca="false">SUMIFS('Futures Data'!$D$5:$D$3471,'Futures Data'!$A$5:$A$3471,A54,'Futures Data'!$B$5:$B$3471,B54)</f>
        <v>4065</v>
      </c>
      <c r="R54" s="7" t="n">
        <v>45250</v>
      </c>
      <c r="S54" s="9" t="b">
        <f aca="false">C54=R54</f>
        <v>1</v>
      </c>
      <c r="T54" s="9" t="b">
        <f aca="false">ABS(O54-LN(J54/SUMIFS('Futures Data'!$C$5:$C$3471,'Futures Data'!$A$5:$A$3471,A53,'Futures Data'!$B$5:$B$3471,B54)))&lt;0.000000001</f>
        <v>1</v>
      </c>
    </row>
    <row r="55" customFormat="false" ht="15" hidden="false" customHeight="false" outlineLevel="0" collapsed="false">
      <c r="A55" s="7" t="n">
        <v>45205</v>
      </c>
      <c r="B55" s="11" t="n">
        <f aca="false">C54</f>
        <v>45250</v>
      </c>
      <c r="C55" s="11" t="n">
        <f aca="false">IF(OR(H54,D55&lt;=$G$4),_xlfn.MINIFS('Futures Data'!$B$5:$B$3471,'Futures Data'!$A$5:$A$3471,A55,'Futures Data'!$B$5:$B$3471,"&gt;"&amp;B55),B55)</f>
        <v>45250</v>
      </c>
      <c r="D55" s="3" t="n">
        <f aca="false">COUNTIFS($A$47:$A$790,"&gt;"&amp;A55,$A$47:$A$790,"&lt;="&amp;B55)+IF(B55&gt;$G$5,NETWORKDAYS($G$5+1,B55),0)</f>
        <v>30</v>
      </c>
      <c r="E55" s="3" t="n">
        <f aca="false">SUMIFS('Futures Data'!$E$5:$E$3471,'Futures Data'!$A$5:$A$3471,A55,'Futures Data'!$B$5:$B$3471,C55)</f>
        <v>22755</v>
      </c>
      <c r="F55" s="11" t="n">
        <f aca="false">_xlfn.MINIFS('Futures Data'!$B$5:$B$3471,'Futures Data'!$A$5:$A$3471,A55,'Futures Data'!$B$5:$B$3471,"&gt;"&amp;C55)</f>
        <v>45280</v>
      </c>
      <c r="G55" s="3" t="n">
        <f aca="false">SUMIFS('Futures Data'!$E$5:$E$3471,'Futures Data'!$A$5:$A$3471,A55,'Futures Data'!$B$5:$B$3471,F55)</f>
        <v>395</v>
      </c>
      <c r="H55" s="9" t="b">
        <f aca="false">G55&gt;E55</f>
        <v>0</v>
      </c>
      <c r="I55" s="9" t="b">
        <f aca="false">C55&lt;&gt;B55</f>
        <v>0</v>
      </c>
      <c r="J55" s="3" t="n">
        <f aca="false">SUMIFS('Futures Data'!$C$5:$C$3471,'Futures Data'!$A$5:$A$3471,A55,'Futures Data'!$B$5:$B$3471,B55)</f>
        <v>6162</v>
      </c>
      <c r="K55" s="3" t="n">
        <f aca="false">SUMIFS('Futures Data'!$C$5:$C$3471,'Futures Data'!$A$5:$A$3471,A55,'Futures Data'!$B$5:$B$3471,C55)</f>
        <v>6162</v>
      </c>
      <c r="L55" s="3" t="n">
        <f aca="false">K55-J55</f>
        <v>0</v>
      </c>
      <c r="M55" s="3" t="n">
        <f aca="false">M56+L55</f>
        <v>1631</v>
      </c>
      <c r="N55" s="3" t="n">
        <f aca="false">J55+M55</f>
        <v>7793</v>
      </c>
      <c r="O55" s="13" t="n">
        <f aca="false">LN(J55/K54)</f>
        <v>-0.0021074823395647</v>
      </c>
      <c r="P55" s="13" t="n">
        <f aca="false">LN(N55/N54)</f>
        <v>-0.00166677389699932</v>
      </c>
      <c r="Q55" s="3" t="n">
        <f aca="false">SUMIFS('Futures Data'!$D$5:$D$3471,'Futures Data'!$A$5:$A$3471,A55,'Futures Data'!$B$5:$B$3471,B55)</f>
        <v>6585</v>
      </c>
      <c r="R55" s="7" t="n">
        <v>45250</v>
      </c>
      <c r="S55" s="9" t="b">
        <f aca="false">C55=R55</f>
        <v>1</v>
      </c>
      <c r="T55" s="9" t="b">
        <f aca="false">ABS(O55-LN(J55/SUMIFS('Futures Data'!$C$5:$C$3471,'Futures Data'!$A$5:$A$3471,A54,'Futures Data'!$B$5:$B$3471,B55)))&lt;0.000000001</f>
        <v>1</v>
      </c>
    </row>
    <row r="56" customFormat="false" ht="15" hidden="false" customHeight="false" outlineLevel="0" collapsed="false">
      <c r="A56" s="7" t="n">
        <v>45208</v>
      </c>
      <c r="B56" s="11" t="n">
        <f aca="false">C55</f>
        <v>45250</v>
      </c>
      <c r="C56" s="11" t="n">
        <f aca="false">IF(OR(H55,D56&lt;=$G$4),_xlfn.MINIFS('Futures Data'!$B$5:$B$3471,'Futures Data'!$A$5:$A$3471,A56,'Futures Data'!$B$5:$B$3471,"&gt;"&amp;B56),B56)</f>
        <v>45250</v>
      </c>
      <c r="D56" s="3" t="n">
        <f aca="false">COUNTIFS($A$47:$A$790,"&gt;"&amp;A56,$A$47:$A$790,"&lt;="&amp;B56)+IF(B56&gt;$G$5,NETWORKDAYS($G$5+1,B56),0)</f>
        <v>29</v>
      </c>
      <c r="E56" s="3" t="n">
        <f aca="false">SUMIFS('Futures Data'!$E$5:$E$3471,'Futures Data'!$A$5:$A$3471,A56,'Futures Data'!$B$5:$B$3471,C56)</f>
        <v>24230</v>
      </c>
      <c r="F56" s="11" t="n">
        <f aca="false">_xlfn.MINIFS('Futures Data'!$B$5:$B$3471,'Futures Data'!$A$5:$A$3471,A56,'Futures Data'!$B$5:$B$3471,"&gt;"&amp;C56)</f>
        <v>45280</v>
      </c>
      <c r="G56" s="3" t="n">
        <f aca="false">SUMIFS('Futures Data'!$E$5:$E$3471,'Futures Data'!$A$5:$A$3471,A56,'Futures Data'!$B$5:$B$3471,F56)</f>
        <v>395</v>
      </c>
      <c r="H56" s="9" t="b">
        <f aca="false">G56&gt;E56</f>
        <v>0</v>
      </c>
      <c r="I56" s="9" t="b">
        <f aca="false">C56&lt;&gt;B56</f>
        <v>0</v>
      </c>
      <c r="J56" s="3" t="n">
        <f aca="false">SUMIFS('Futures Data'!$C$5:$C$3471,'Futures Data'!$A$5:$A$3471,A56,'Futures Data'!$B$5:$B$3471,B56)</f>
        <v>6115</v>
      </c>
      <c r="K56" s="3" t="n">
        <f aca="false">SUMIFS('Futures Data'!$C$5:$C$3471,'Futures Data'!$A$5:$A$3471,A56,'Futures Data'!$B$5:$B$3471,C56)</f>
        <v>6115</v>
      </c>
      <c r="L56" s="3" t="n">
        <f aca="false">K56-J56</f>
        <v>0</v>
      </c>
      <c r="M56" s="3" t="n">
        <f aca="false">M57+L56</f>
        <v>1631</v>
      </c>
      <c r="N56" s="3" t="n">
        <f aca="false">J56+M56</f>
        <v>7746</v>
      </c>
      <c r="O56" s="13" t="n">
        <f aca="false">LN(J56/K55)</f>
        <v>-0.00765663103534052</v>
      </c>
      <c r="P56" s="13" t="n">
        <f aca="false">LN(N56/N55)</f>
        <v>-0.00604931376886348</v>
      </c>
      <c r="Q56" s="3" t="n">
        <f aca="false">SUMIFS('Futures Data'!$D$5:$D$3471,'Futures Data'!$A$5:$A$3471,A56,'Futures Data'!$B$5:$B$3471,B56)</f>
        <v>5345</v>
      </c>
      <c r="R56" s="7" t="n">
        <v>45250</v>
      </c>
      <c r="S56" s="9" t="b">
        <f aca="false">C56=R56</f>
        <v>1</v>
      </c>
      <c r="T56" s="9" t="b">
        <f aca="false">ABS(O56-LN(J56/SUMIFS('Futures Data'!$C$5:$C$3471,'Futures Data'!$A$5:$A$3471,A55,'Futures Data'!$B$5:$B$3471,B56)))&lt;0.000000001</f>
        <v>1</v>
      </c>
    </row>
    <row r="57" customFormat="false" ht="15" hidden="false" customHeight="false" outlineLevel="0" collapsed="false">
      <c r="A57" s="7" t="n">
        <v>45209</v>
      </c>
      <c r="B57" s="11" t="n">
        <f aca="false">C56</f>
        <v>45250</v>
      </c>
      <c r="C57" s="11" t="n">
        <f aca="false">IF(OR(H56,D57&lt;=$G$4),_xlfn.MINIFS('Futures Data'!$B$5:$B$3471,'Futures Data'!$A$5:$A$3471,A57,'Futures Data'!$B$5:$B$3471,"&gt;"&amp;B57),B57)</f>
        <v>45250</v>
      </c>
      <c r="D57" s="3" t="n">
        <f aca="false">COUNTIFS($A$47:$A$790,"&gt;"&amp;A57,$A$47:$A$790,"&lt;="&amp;B57)+IF(B57&gt;$G$5,NETWORKDAYS($G$5+1,B57),0)</f>
        <v>28</v>
      </c>
      <c r="E57" s="3" t="n">
        <f aca="false">SUMIFS('Futures Data'!$E$5:$E$3471,'Futures Data'!$A$5:$A$3471,A57,'Futures Data'!$B$5:$B$3471,C57)</f>
        <v>25170</v>
      </c>
      <c r="F57" s="11" t="n">
        <f aca="false">_xlfn.MINIFS('Futures Data'!$B$5:$B$3471,'Futures Data'!$A$5:$A$3471,A57,'Futures Data'!$B$5:$B$3471,"&gt;"&amp;C57)</f>
        <v>45280</v>
      </c>
      <c r="G57" s="3" t="n">
        <f aca="false">SUMIFS('Futures Data'!$E$5:$E$3471,'Futures Data'!$A$5:$A$3471,A57,'Futures Data'!$B$5:$B$3471,F57)</f>
        <v>395</v>
      </c>
      <c r="H57" s="9" t="b">
        <f aca="false">G57&gt;E57</f>
        <v>0</v>
      </c>
      <c r="I57" s="9" t="b">
        <f aca="false">C57&lt;&gt;B57</f>
        <v>0</v>
      </c>
      <c r="J57" s="3" t="n">
        <f aca="false">SUMIFS('Futures Data'!$C$5:$C$3471,'Futures Data'!$A$5:$A$3471,A57,'Futures Data'!$B$5:$B$3471,B57)</f>
        <v>6124</v>
      </c>
      <c r="K57" s="3" t="n">
        <f aca="false">SUMIFS('Futures Data'!$C$5:$C$3471,'Futures Data'!$A$5:$A$3471,A57,'Futures Data'!$B$5:$B$3471,C57)</f>
        <v>6124</v>
      </c>
      <c r="L57" s="3" t="n">
        <f aca="false">K57-J57</f>
        <v>0</v>
      </c>
      <c r="M57" s="3" t="n">
        <f aca="false">M58+L57</f>
        <v>1631</v>
      </c>
      <c r="N57" s="3" t="n">
        <f aca="false">J57+M57</f>
        <v>7755</v>
      </c>
      <c r="O57" s="13" t="n">
        <f aca="false">LN(J57/K56)</f>
        <v>0.0014707086563016</v>
      </c>
      <c r="P57" s="13" t="n">
        <f aca="false">LN(N57/N56)</f>
        <v>0.00116121553594168</v>
      </c>
      <c r="Q57" s="3" t="n">
        <f aca="false">SUMIFS('Futures Data'!$D$5:$D$3471,'Futures Data'!$A$5:$A$3471,A57,'Futures Data'!$B$5:$B$3471,B57)</f>
        <v>5300</v>
      </c>
      <c r="R57" s="7" t="n">
        <v>45250</v>
      </c>
      <c r="S57" s="9" t="b">
        <f aca="false">C57=R57</f>
        <v>1</v>
      </c>
      <c r="T57" s="9" t="b">
        <f aca="false">ABS(O57-LN(J57/SUMIFS('Futures Data'!$C$5:$C$3471,'Futures Data'!$A$5:$A$3471,A56,'Futures Data'!$B$5:$B$3471,B57)))&lt;0.000000001</f>
        <v>1</v>
      </c>
    </row>
    <row r="58" customFormat="false" ht="15" hidden="false" customHeight="false" outlineLevel="0" collapsed="false">
      <c r="A58" s="7" t="n">
        <v>45210</v>
      </c>
      <c r="B58" s="11" t="n">
        <f aca="false">C57</f>
        <v>45250</v>
      </c>
      <c r="C58" s="11" t="n">
        <f aca="false">IF(OR(H57,D58&lt;=$G$4),_xlfn.MINIFS('Futures Data'!$B$5:$B$3471,'Futures Data'!$A$5:$A$3471,A58,'Futures Data'!$B$5:$B$3471,"&gt;"&amp;B58),B58)</f>
        <v>45250</v>
      </c>
      <c r="D58" s="3" t="n">
        <f aca="false">COUNTIFS($A$47:$A$790,"&gt;"&amp;A58,$A$47:$A$790,"&lt;="&amp;B58)+IF(B58&gt;$G$5,NETWORKDAYS($G$5+1,B58),0)</f>
        <v>27</v>
      </c>
      <c r="E58" s="3" t="n">
        <f aca="false">SUMIFS('Futures Data'!$E$5:$E$3471,'Futures Data'!$A$5:$A$3471,A58,'Futures Data'!$B$5:$B$3471,C58)</f>
        <v>27150</v>
      </c>
      <c r="F58" s="11" t="n">
        <f aca="false">_xlfn.MINIFS('Futures Data'!$B$5:$B$3471,'Futures Data'!$A$5:$A$3471,A58,'Futures Data'!$B$5:$B$3471,"&gt;"&amp;C58)</f>
        <v>45280</v>
      </c>
      <c r="G58" s="3" t="n">
        <f aca="false">SUMIFS('Futures Data'!$E$5:$E$3471,'Futures Data'!$A$5:$A$3471,A58,'Futures Data'!$B$5:$B$3471,F58)</f>
        <v>855</v>
      </c>
      <c r="H58" s="9" t="b">
        <f aca="false">G58&gt;E58</f>
        <v>0</v>
      </c>
      <c r="I58" s="9" t="b">
        <f aca="false">C58&lt;&gt;B58</f>
        <v>0</v>
      </c>
      <c r="J58" s="3" t="n">
        <f aca="false">SUMIFS('Futures Data'!$C$5:$C$3471,'Futures Data'!$A$5:$A$3471,A58,'Futures Data'!$B$5:$B$3471,B58)</f>
        <v>6072</v>
      </c>
      <c r="K58" s="3" t="n">
        <f aca="false">SUMIFS('Futures Data'!$C$5:$C$3471,'Futures Data'!$A$5:$A$3471,A58,'Futures Data'!$B$5:$B$3471,C58)</f>
        <v>6072</v>
      </c>
      <c r="L58" s="3" t="n">
        <f aca="false">K58-J58</f>
        <v>0</v>
      </c>
      <c r="M58" s="3" t="n">
        <f aca="false">M59+L58</f>
        <v>1631</v>
      </c>
      <c r="N58" s="3" t="n">
        <f aca="false">J58+M58</f>
        <v>7703</v>
      </c>
      <c r="O58" s="13" t="n">
        <f aca="false">LN(J58/K57)</f>
        <v>-0.00852743770210847</v>
      </c>
      <c r="P58" s="13" t="n">
        <f aca="false">LN(N58/N57)</f>
        <v>-0.00672793325767338</v>
      </c>
      <c r="Q58" s="3" t="n">
        <f aca="false">SUMIFS('Futures Data'!$D$5:$D$3471,'Futures Data'!$A$5:$A$3471,A58,'Futures Data'!$B$5:$B$3471,B58)</f>
        <v>10215</v>
      </c>
      <c r="R58" s="7" t="n">
        <v>45250</v>
      </c>
      <c r="S58" s="9" t="b">
        <f aca="false">C58=R58</f>
        <v>1</v>
      </c>
      <c r="T58" s="9" t="b">
        <f aca="false">ABS(O58-LN(J58/SUMIFS('Futures Data'!$C$5:$C$3471,'Futures Data'!$A$5:$A$3471,A57,'Futures Data'!$B$5:$B$3471,B58)))&lt;0.000000001</f>
        <v>1</v>
      </c>
    </row>
    <row r="59" customFormat="false" ht="15" hidden="false" customHeight="false" outlineLevel="0" collapsed="false">
      <c r="A59" s="7" t="n">
        <v>45211</v>
      </c>
      <c r="B59" s="11" t="n">
        <f aca="false">C58</f>
        <v>45250</v>
      </c>
      <c r="C59" s="11" t="n">
        <f aca="false">IF(OR(H58,D59&lt;=$G$4),_xlfn.MINIFS('Futures Data'!$B$5:$B$3471,'Futures Data'!$A$5:$A$3471,A59,'Futures Data'!$B$5:$B$3471,"&gt;"&amp;B59),B59)</f>
        <v>45250</v>
      </c>
      <c r="D59" s="3" t="n">
        <f aca="false">COUNTIFS($A$47:$A$790,"&gt;"&amp;A59,$A$47:$A$790,"&lt;="&amp;B59)+IF(B59&gt;$G$5,NETWORKDAYS($G$5+1,B59),0)</f>
        <v>26</v>
      </c>
      <c r="E59" s="3" t="n">
        <f aca="false">SUMIFS('Futures Data'!$E$5:$E$3471,'Futures Data'!$A$5:$A$3471,A59,'Futures Data'!$B$5:$B$3471,C59)</f>
        <v>28035</v>
      </c>
      <c r="F59" s="11" t="n">
        <f aca="false">_xlfn.MINIFS('Futures Data'!$B$5:$B$3471,'Futures Data'!$A$5:$A$3471,A59,'Futures Data'!$B$5:$B$3471,"&gt;"&amp;C59)</f>
        <v>45280</v>
      </c>
      <c r="G59" s="3" t="n">
        <f aca="false">SUMIFS('Futures Data'!$E$5:$E$3471,'Futures Data'!$A$5:$A$3471,A59,'Futures Data'!$B$5:$B$3471,F59)</f>
        <v>1230</v>
      </c>
      <c r="H59" s="9" t="b">
        <f aca="false">G59&gt;E59</f>
        <v>0</v>
      </c>
      <c r="I59" s="9" t="b">
        <f aca="false">C59&lt;&gt;B59</f>
        <v>0</v>
      </c>
      <c r="J59" s="3" t="n">
        <f aca="false">SUMIFS('Futures Data'!$C$5:$C$3471,'Futures Data'!$A$5:$A$3471,A59,'Futures Data'!$B$5:$B$3471,B59)</f>
        <v>6034</v>
      </c>
      <c r="K59" s="3" t="n">
        <f aca="false">SUMIFS('Futures Data'!$C$5:$C$3471,'Futures Data'!$A$5:$A$3471,A59,'Futures Data'!$B$5:$B$3471,C59)</f>
        <v>6034</v>
      </c>
      <c r="L59" s="3" t="n">
        <f aca="false">K59-J59</f>
        <v>0</v>
      </c>
      <c r="M59" s="3" t="n">
        <f aca="false">M60+L59</f>
        <v>1631</v>
      </c>
      <c r="N59" s="3" t="n">
        <f aca="false">J59+M59</f>
        <v>7665</v>
      </c>
      <c r="O59" s="13" t="n">
        <f aca="false">LN(J59/K58)</f>
        <v>-0.00627789935645949</v>
      </c>
      <c r="P59" s="13" t="n">
        <f aca="false">LN(N59/N58)</f>
        <v>-0.00494535104705125</v>
      </c>
      <c r="Q59" s="3" t="n">
        <f aca="false">SUMIFS('Futures Data'!$D$5:$D$3471,'Futures Data'!$A$5:$A$3471,A59,'Futures Data'!$B$5:$B$3471,B59)</f>
        <v>6825</v>
      </c>
      <c r="R59" s="7" t="n">
        <v>45250</v>
      </c>
      <c r="S59" s="9" t="b">
        <f aca="false">C59=R59</f>
        <v>1</v>
      </c>
      <c r="T59" s="9" t="b">
        <f aca="false">ABS(O59-LN(J59/SUMIFS('Futures Data'!$C$5:$C$3471,'Futures Data'!$A$5:$A$3471,A58,'Futures Data'!$B$5:$B$3471,B59)))&lt;0.000000001</f>
        <v>1</v>
      </c>
    </row>
    <row r="60" customFormat="false" ht="15" hidden="false" customHeight="false" outlineLevel="0" collapsed="false">
      <c r="A60" s="7" t="n">
        <v>45212</v>
      </c>
      <c r="B60" s="11" t="n">
        <f aca="false">C59</f>
        <v>45250</v>
      </c>
      <c r="C60" s="11" t="n">
        <f aca="false">IF(OR(H59,D60&lt;=$G$4),_xlfn.MINIFS('Futures Data'!$B$5:$B$3471,'Futures Data'!$A$5:$A$3471,A60,'Futures Data'!$B$5:$B$3471,"&gt;"&amp;B60),B60)</f>
        <v>45250</v>
      </c>
      <c r="D60" s="3" t="n">
        <f aca="false">COUNTIFS($A$47:$A$790,"&gt;"&amp;A60,$A$47:$A$790,"&lt;="&amp;B60)+IF(B60&gt;$G$5,NETWORKDAYS($G$5+1,B60),0)</f>
        <v>25</v>
      </c>
      <c r="E60" s="3" t="n">
        <f aca="false">SUMIFS('Futures Data'!$E$5:$E$3471,'Futures Data'!$A$5:$A$3471,A60,'Futures Data'!$B$5:$B$3471,C60)</f>
        <v>28110</v>
      </c>
      <c r="F60" s="11" t="n">
        <f aca="false">_xlfn.MINIFS('Futures Data'!$B$5:$B$3471,'Futures Data'!$A$5:$A$3471,A60,'Futures Data'!$B$5:$B$3471,"&gt;"&amp;C60)</f>
        <v>45280</v>
      </c>
      <c r="G60" s="3" t="n">
        <f aca="false">SUMIFS('Futures Data'!$E$5:$E$3471,'Futures Data'!$A$5:$A$3471,A60,'Futures Data'!$B$5:$B$3471,F60)</f>
        <v>2235</v>
      </c>
      <c r="H60" s="9" t="b">
        <f aca="false">G60&gt;E60</f>
        <v>0</v>
      </c>
      <c r="I60" s="9" t="b">
        <f aca="false">C60&lt;&gt;B60</f>
        <v>0</v>
      </c>
      <c r="J60" s="3" t="n">
        <f aca="false">SUMIFS('Futures Data'!$C$5:$C$3471,'Futures Data'!$A$5:$A$3471,A60,'Futures Data'!$B$5:$B$3471,B60)</f>
        <v>6035</v>
      </c>
      <c r="K60" s="3" t="n">
        <f aca="false">SUMIFS('Futures Data'!$C$5:$C$3471,'Futures Data'!$A$5:$A$3471,A60,'Futures Data'!$B$5:$B$3471,C60)</f>
        <v>6035</v>
      </c>
      <c r="L60" s="3" t="n">
        <f aca="false">K60-J60</f>
        <v>0</v>
      </c>
      <c r="M60" s="3" t="n">
        <f aca="false">M61+L60</f>
        <v>1631</v>
      </c>
      <c r="N60" s="3" t="n">
        <f aca="false">J60+M60</f>
        <v>7666</v>
      </c>
      <c r="O60" s="13" t="n">
        <f aca="false">LN(J60/K59)</f>
        <v>0.000165713812625423</v>
      </c>
      <c r="P60" s="13" t="n">
        <f aca="false">LN(N60/N59)</f>
        <v>0.000130454634585998</v>
      </c>
      <c r="Q60" s="3" t="n">
        <f aca="false">SUMIFS('Futures Data'!$D$5:$D$3471,'Futures Data'!$A$5:$A$3471,A60,'Futures Data'!$B$5:$B$3471,B60)</f>
        <v>6975</v>
      </c>
      <c r="R60" s="7" t="n">
        <v>45250</v>
      </c>
      <c r="S60" s="9" t="b">
        <f aca="false">C60=R60</f>
        <v>1</v>
      </c>
      <c r="T60" s="9" t="b">
        <f aca="false">ABS(O60-LN(J60/SUMIFS('Futures Data'!$C$5:$C$3471,'Futures Data'!$A$5:$A$3471,A59,'Futures Data'!$B$5:$B$3471,B60)))&lt;0.000000001</f>
        <v>1</v>
      </c>
    </row>
    <row r="61" customFormat="false" ht="15" hidden="false" customHeight="false" outlineLevel="0" collapsed="false">
      <c r="A61" s="7" t="n">
        <v>45215</v>
      </c>
      <c r="B61" s="11" t="n">
        <f aca="false">C60</f>
        <v>45250</v>
      </c>
      <c r="C61" s="11" t="n">
        <f aca="false">IF(OR(H60,D61&lt;=$G$4),_xlfn.MINIFS('Futures Data'!$B$5:$B$3471,'Futures Data'!$A$5:$A$3471,A61,'Futures Data'!$B$5:$B$3471,"&gt;"&amp;B61),B61)</f>
        <v>45250</v>
      </c>
      <c r="D61" s="3" t="n">
        <f aca="false">COUNTIFS($A$47:$A$790,"&gt;"&amp;A61,$A$47:$A$790,"&lt;="&amp;B61)+IF(B61&gt;$G$5,NETWORKDAYS($G$5+1,B61),0)</f>
        <v>24</v>
      </c>
      <c r="E61" s="3" t="n">
        <f aca="false">SUMIFS('Futures Data'!$E$5:$E$3471,'Futures Data'!$A$5:$A$3471,A61,'Futures Data'!$B$5:$B$3471,C61)</f>
        <v>28250</v>
      </c>
      <c r="F61" s="11" t="n">
        <f aca="false">_xlfn.MINIFS('Futures Data'!$B$5:$B$3471,'Futures Data'!$A$5:$A$3471,A61,'Futures Data'!$B$5:$B$3471,"&gt;"&amp;C61)</f>
        <v>45280</v>
      </c>
      <c r="G61" s="3" t="n">
        <f aca="false">SUMIFS('Futures Data'!$E$5:$E$3471,'Futures Data'!$A$5:$A$3471,A61,'Futures Data'!$B$5:$B$3471,F61)</f>
        <v>2810</v>
      </c>
      <c r="H61" s="9" t="b">
        <f aca="false">G61&gt;E61</f>
        <v>0</v>
      </c>
      <c r="I61" s="9" t="b">
        <f aca="false">C61&lt;&gt;B61</f>
        <v>0</v>
      </c>
      <c r="J61" s="3" t="n">
        <f aca="false">SUMIFS('Futures Data'!$C$5:$C$3471,'Futures Data'!$A$5:$A$3471,A61,'Futures Data'!$B$5:$B$3471,B61)</f>
        <v>6079</v>
      </c>
      <c r="K61" s="3" t="n">
        <f aca="false">SUMIFS('Futures Data'!$C$5:$C$3471,'Futures Data'!$A$5:$A$3471,A61,'Futures Data'!$B$5:$B$3471,C61)</f>
        <v>6079</v>
      </c>
      <c r="L61" s="3" t="n">
        <f aca="false">K61-J61</f>
        <v>0</v>
      </c>
      <c r="M61" s="3" t="n">
        <f aca="false">M62+L61</f>
        <v>1631</v>
      </c>
      <c r="N61" s="3" t="n">
        <f aca="false">J61+M61</f>
        <v>7710</v>
      </c>
      <c r="O61" s="13" t="n">
        <f aca="false">LN(J61/K60)</f>
        <v>0.00726435421709059</v>
      </c>
      <c r="P61" s="13" t="n">
        <f aca="false">LN(N61/N60)</f>
        <v>0.00572322061687468</v>
      </c>
      <c r="Q61" s="3" t="n">
        <f aca="false">SUMIFS('Futures Data'!$D$5:$D$3471,'Futures Data'!$A$5:$A$3471,A61,'Futures Data'!$B$5:$B$3471,B61)</f>
        <v>4975</v>
      </c>
      <c r="R61" s="7" t="n">
        <v>45250</v>
      </c>
      <c r="S61" s="9" t="b">
        <f aca="false">C61=R61</f>
        <v>1</v>
      </c>
      <c r="T61" s="9" t="b">
        <f aca="false">ABS(O61-LN(J61/SUMIFS('Futures Data'!$C$5:$C$3471,'Futures Data'!$A$5:$A$3471,A60,'Futures Data'!$B$5:$B$3471,B61)))&lt;0.000000001</f>
        <v>1</v>
      </c>
    </row>
    <row r="62" customFormat="false" ht="15" hidden="false" customHeight="false" outlineLevel="0" collapsed="false">
      <c r="A62" s="7" t="n">
        <v>45216</v>
      </c>
      <c r="B62" s="11" t="n">
        <f aca="false">C61</f>
        <v>45250</v>
      </c>
      <c r="C62" s="11" t="n">
        <f aca="false">IF(OR(H61,D62&lt;=$G$4),_xlfn.MINIFS('Futures Data'!$B$5:$B$3471,'Futures Data'!$A$5:$A$3471,A62,'Futures Data'!$B$5:$B$3471,"&gt;"&amp;B62),B62)</f>
        <v>45250</v>
      </c>
      <c r="D62" s="3" t="n">
        <f aca="false">COUNTIFS($A$47:$A$790,"&gt;"&amp;A62,$A$47:$A$790,"&lt;="&amp;B62)+IF(B62&gt;$G$5,NETWORKDAYS($G$5+1,B62),0)</f>
        <v>23</v>
      </c>
      <c r="E62" s="3" t="n">
        <f aca="false">SUMIFS('Futures Data'!$E$5:$E$3471,'Futures Data'!$A$5:$A$3471,A62,'Futures Data'!$B$5:$B$3471,C62)</f>
        <v>28425</v>
      </c>
      <c r="F62" s="11" t="n">
        <f aca="false">_xlfn.MINIFS('Futures Data'!$B$5:$B$3471,'Futures Data'!$A$5:$A$3471,A62,'Futures Data'!$B$5:$B$3471,"&gt;"&amp;C62)</f>
        <v>45280</v>
      </c>
      <c r="G62" s="3" t="n">
        <f aca="false">SUMIFS('Futures Data'!$E$5:$E$3471,'Futures Data'!$A$5:$A$3471,A62,'Futures Data'!$B$5:$B$3471,F62)</f>
        <v>3415</v>
      </c>
      <c r="H62" s="9" t="b">
        <f aca="false">G62&gt;E62</f>
        <v>0</v>
      </c>
      <c r="I62" s="9" t="b">
        <f aca="false">C62&lt;&gt;B62</f>
        <v>0</v>
      </c>
      <c r="J62" s="3" t="n">
        <f aca="false">SUMIFS('Futures Data'!$C$5:$C$3471,'Futures Data'!$A$5:$A$3471,A62,'Futures Data'!$B$5:$B$3471,B62)</f>
        <v>6071</v>
      </c>
      <c r="K62" s="3" t="n">
        <f aca="false">SUMIFS('Futures Data'!$C$5:$C$3471,'Futures Data'!$A$5:$A$3471,A62,'Futures Data'!$B$5:$B$3471,C62)</f>
        <v>6071</v>
      </c>
      <c r="L62" s="3" t="n">
        <f aca="false">K62-J62</f>
        <v>0</v>
      </c>
      <c r="M62" s="3" t="n">
        <f aca="false">M63+L62</f>
        <v>1631</v>
      </c>
      <c r="N62" s="3" t="n">
        <f aca="false">J62+M62</f>
        <v>7702</v>
      </c>
      <c r="O62" s="13" t="n">
        <f aca="false">LN(J62/K61)</f>
        <v>-0.00131687261828843</v>
      </c>
      <c r="P62" s="13" t="n">
        <f aca="false">LN(N62/N61)</f>
        <v>-0.00103815218252097</v>
      </c>
      <c r="Q62" s="3" t="n">
        <f aca="false">SUMIFS('Futures Data'!$D$5:$D$3471,'Futures Data'!$A$5:$A$3471,A62,'Futures Data'!$B$5:$B$3471,B62)</f>
        <v>3745</v>
      </c>
      <c r="R62" s="7" t="n">
        <v>45250</v>
      </c>
      <c r="S62" s="9" t="b">
        <f aca="false">C62=R62</f>
        <v>1</v>
      </c>
      <c r="T62" s="9" t="b">
        <f aca="false">ABS(O62-LN(J62/SUMIFS('Futures Data'!$C$5:$C$3471,'Futures Data'!$A$5:$A$3471,A61,'Futures Data'!$B$5:$B$3471,B62)))&lt;0.000000001</f>
        <v>1</v>
      </c>
    </row>
    <row r="63" customFormat="false" ht="15" hidden="false" customHeight="false" outlineLevel="0" collapsed="false">
      <c r="A63" s="7" t="n">
        <v>45217</v>
      </c>
      <c r="B63" s="11" t="n">
        <f aca="false">C62</f>
        <v>45250</v>
      </c>
      <c r="C63" s="11" t="n">
        <f aca="false">IF(OR(H62,D63&lt;=$G$4),_xlfn.MINIFS('Futures Data'!$B$5:$B$3471,'Futures Data'!$A$5:$A$3471,A63,'Futures Data'!$B$5:$B$3471,"&gt;"&amp;B63),B63)</f>
        <v>45250</v>
      </c>
      <c r="D63" s="3" t="n">
        <f aca="false">COUNTIFS($A$47:$A$790,"&gt;"&amp;A63,$A$47:$A$790,"&lt;="&amp;B63)+IF(B63&gt;$G$5,NETWORKDAYS($G$5+1,B63),0)</f>
        <v>22</v>
      </c>
      <c r="E63" s="3" t="n">
        <f aca="false">SUMIFS('Futures Data'!$E$5:$E$3471,'Futures Data'!$A$5:$A$3471,A63,'Futures Data'!$B$5:$B$3471,C63)</f>
        <v>29445</v>
      </c>
      <c r="F63" s="11" t="n">
        <f aca="false">_xlfn.MINIFS('Futures Data'!$B$5:$B$3471,'Futures Data'!$A$5:$A$3471,A63,'Futures Data'!$B$5:$B$3471,"&gt;"&amp;C63)</f>
        <v>45280</v>
      </c>
      <c r="G63" s="3" t="n">
        <f aca="false">SUMIFS('Futures Data'!$E$5:$E$3471,'Futures Data'!$A$5:$A$3471,A63,'Futures Data'!$B$5:$B$3471,F63)</f>
        <v>3870</v>
      </c>
      <c r="H63" s="9" t="b">
        <f aca="false">G63&gt;E63</f>
        <v>0</v>
      </c>
      <c r="I63" s="9" t="b">
        <f aca="false">C63&lt;&gt;B63</f>
        <v>0</v>
      </c>
      <c r="J63" s="3" t="n">
        <f aca="false">SUMIFS('Futures Data'!$C$5:$C$3471,'Futures Data'!$A$5:$A$3471,A63,'Futures Data'!$B$5:$B$3471,B63)</f>
        <v>6009</v>
      </c>
      <c r="K63" s="3" t="n">
        <f aca="false">SUMIFS('Futures Data'!$C$5:$C$3471,'Futures Data'!$A$5:$A$3471,A63,'Futures Data'!$B$5:$B$3471,C63)</f>
        <v>6009</v>
      </c>
      <c r="L63" s="3" t="n">
        <f aca="false">K63-J63</f>
        <v>0</v>
      </c>
      <c r="M63" s="3" t="n">
        <f aca="false">M64+L63</f>
        <v>1631</v>
      </c>
      <c r="N63" s="3" t="n">
        <f aca="false">J63+M63</f>
        <v>7640</v>
      </c>
      <c r="O63" s="13" t="n">
        <f aca="false">LN(J63/K62)</f>
        <v>-0.0102649907965061</v>
      </c>
      <c r="P63" s="13" t="n">
        <f aca="false">LN(N63/N62)</f>
        <v>-0.00808243221428798</v>
      </c>
      <c r="Q63" s="3" t="n">
        <f aca="false">SUMIFS('Futures Data'!$D$5:$D$3471,'Futures Data'!$A$5:$A$3471,A63,'Futures Data'!$B$5:$B$3471,B63)</f>
        <v>6400</v>
      </c>
      <c r="R63" s="7" t="n">
        <v>45250</v>
      </c>
      <c r="S63" s="9" t="b">
        <f aca="false">C63=R63</f>
        <v>1</v>
      </c>
      <c r="T63" s="9" t="b">
        <f aca="false">ABS(O63-LN(J63/SUMIFS('Futures Data'!$C$5:$C$3471,'Futures Data'!$A$5:$A$3471,A62,'Futures Data'!$B$5:$B$3471,B63)))&lt;0.000000001</f>
        <v>1</v>
      </c>
    </row>
    <row r="64" customFormat="false" ht="15" hidden="false" customHeight="false" outlineLevel="0" collapsed="false">
      <c r="A64" s="7" t="n">
        <v>45218</v>
      </c>
      <c r="B64" s="11" t="n">
        <f aca="false">C63</f>
        <v>45250</v>
      </c>
      <c r="C64" s="11" t="n">
        <f aca="false">IF(OR(H63,D64&lt;=$G$4),_xlfn.MINIFS('Futures Data'!$B$5:$B$3471,'Futures Data'!$A$5:$A$3471,A64,'Futures Data'!$B$5:$B$3471,"&gt;"&amp;B64),B64)</f>
        <v>45250</v>
      </c>
      <c r="D64" s="3" t="n">
        <f aca="false">COUNTIFS($A$47:$A$790,"&gt;"&amp;A64,$A$47:$A$790,"&lt;="&amp;B64)+IF(B64&gt;$G$5,NETWORKDAYS($G$5+1,B64),0)</f>
        <v>21</v>
      </c>
      <c r="E64" s="3" t="n">
        <f aca="false">SUMIFS('Futures Data'!$E$5:$E$3471,'Futures Data'!$A$5:$A$3471,A64,'Futures Data'!$B$5:$B$3471,C64)</f>
        <v>29190</v>
      </c>
      <c r="F64" s="11" t="n">
        <f aca="false">_xlfn.MINIFS('Futures Data'!$B$5:$B$3471,'Futures Data'!$A$5:$A$3471,A64,'Futures Data'!$B$5:$B$3471,"&gt;"&amp;C64)</f>
        <v>45280</v>
      </c>
      <c r="G64" s="3" t="n">
        <f aca="false">SUMIFS('Futures Data'!$E$5:$E$3471,'Futures Data'!$A$5:$A$3471,A64,'Futures Data'!$B$5:$B$3471,F64)</f>
        <v>4225</v>
      </c>
      <c r="H64" s="9" t="b">
        <f aca="false">G64&gt;E64</f>
        <v>0</v>
      </c>
      <c r="I64" s="9" t="b">
        <f aca="false">C64&lt;&gt;B64</f>
        <v>0</v>
      </c>
      <c r="J64" s="3" t="n">
        <f aca="false">SUMIFS('Futures Data'!$C$5:$C$3471,'Futures Data'!$A$5:$A$3471,A64,'Futures Data'!$B$5:$B$3471,B64)</f>
        <v>6006</v>
      </c>
      <c r="K64" s="3" t="n">
        <f aca="false">SUMIFS('Futures Data'!$C$5:$C$3471,'Futures Data'!$A$5:$A$3471,A64,'Futures Data'!$B$5:$B$3471,C64)</f>
        <v>6006</v>
      </c>
      <c r="L64" s="3" t="n">
        <f aca="false">K64-J64</f>
        <v>0</v>
      </c>
      <c r="M64" s="3" t="n">
        <f aca="false">M65+L64</f>
        <v>1631</v>
      </c>
      <c r="N64" s="3" t="n">
        <f aca="false">J64+M64</f>
        <v>7637</v>
      </c>
      <c r="O64" s="13" t="n">
        <f aca="false">LN(J64/K63)</f>
        <v>-0.00049937579065239</v>
      </c>
      <c r="P64" s="13" t="n">
        <f aca="false">LN(N64/N63)</f>
        <v>-0.000392747272181998</v>
      </c>
      <c r="Q64" s="3" t="n">
        <f aca="false">SUMIFS('Futures Data'!$D$5:$D$3471,'Futures Data'!$A$5:$A$3471,A64,'Futures Data'!$B$5:$B$3471,B64)</f>
        <v>4725</v>
      </c>
      <c r="R64" s="7" t="n">
        <v>45250</v>
      </c>
      <c r="S64" s="9" t="b">
        <f aca="false">C64=R64</f>
        <v>1</v>
      </c>
      <c r="T64" s="9" t="b">
        <f aca="false">ABS(O64-LN(J64/SUMIFS('Futures Data'!$C$5:$C$3471,'Futures Data'!$A$5:$A$3471,A63,'Futures Data'!$B$5:$B$3471,B64)))&lt;0.000000001</f>
        <v>1</v>
      </c>
    </row>
    <row r="65" customFormat="false" ht="15" hidden="false" customHeight="false" outlineLevel="0" collapsed="false">
      <c r="A65" s="7" t="n">
        <v>45219</v>
      </c>
      <c r="B65" s="11" t="n">
        <f aca="false">C64</f>
        <v>45250</v>
      </c>
      <c r="C65" s="11" t="n">
        <f aca="false">IF(OR(H64,D65&lt;=$G$4),_xlfn.MINIFS('Futures Data'!$B$5:$B$3471,'Futures Data'!$A$5:$A$3471,A65,'Futures Data'!$B$5:$B$3471,"&gt;"&amp;B65),B65)</f>
        <v>45250</v>
      </c>
      <c r="D65" s="3" t="n">
        <f aca="false">COUNTIFS($A$47:$A$790,"&gt;"&amp;A65,$A$47:$A$790,"&lt;="&amp;B65)+IF(B65&gt;$G$5,NETWORKDAYS($G$5+1,B65),0)</f>
        <v>20</v>
      </c>
      <c r="E65" s="3" t="n">
        <f aca="false">SUMIFS('Futures Data'!$E$5:$E$3471,'Futures Data'!$A$5:$A$3471,A65,'Futures Data'!$B$5:$B$3471,C65)</f>
        <v>29280</v>
      </c>
      <c r="F65" s="11" t="n">
        <f aca="false">_xlfn.MINIFS('Futures Data'!$B$5:$B$3471,'Futures Data'!$A$5:$A$3471,A65,'Futures Data'!$B$5:$B$3471,"&gt;"&amp;C65)</f>
        <v>45280</v>
      </c>
      <c r="G65" s="3" t="n">
        <f aca="false">SUMIFS('Futures Data'!$E$5:$E$3471,'Futures Data'!$A$5:$A$3471,A65,'Futures Data'!$B$5:$B$3471,F65)</f>
        <v>4745</v>
      </c>
      <c r="H65" s="9" t="b">
        <f aca="false">G65&gt;E65</f>
        <v>0</v>
      </c>
      <c r="I65" s="9" t="b">
        <f aca="false">C65&lt;&gt;B65</f>
        <v>0</v>
      </c>
      <c r="J65" s="3" t="n">
        <f aca="false">SUMIFS('Futures Data'!$C$5:$C$3471,'Futures Data'!$A$5:$A$3471,A65,'Futures Data'!$B$5:$B$3471,B65)</f>
        <v>6036</v>
      </c>
      <c r="K65" s="3" t="n">
        <f aca="false">SUMIFS('Futures Data'!$C$5:$C$3471,'Futures Data'!$A$5:$A$3471,A65,'Futures Data'!$B$5:$B$3471,C65)</f>
        <v>6036</v>
      </c>
      <c r="L65" s="3" t="n">
        <f aca="false">K65-J65</f>
        <v>0</v>
      </c>
      <c r="M65" s="3" t="n">
        <f aca="false">M66+L65</f>
        <v>1631</v>
      </c>
      <c r="N65" s="3" t="n">
        <f aca="false">J65+M65</f>
        <v>7667</v>
      </c>
      <c r="O65" s="13" t="n">
        <f aca="false">LN(J65/K64)</f>
        <v>0.00498257134446387</v>
      </c>
      <c r="P65" s="13" t="n">
        <f aca="false">LN(N65/N64)</f>
        <v>0.00392054867051023</v>
      </c>
      <c r="Q65" s="3" t="n">
        <f aca="false">SUMIFS('Futures Data'!$D$5:$D$3471,'Futures Data'!$A$5:$A$3471,A65,'Futures Data'!$B$5:$B$3471,B65)</f>
        <v>5235</v>
      </c>
      <c r="R65" s="7" t="n">
        <v>45250</v>
      </c>
      <c r="S65" s="9" t="b">
        <f aca="false">C65=R65</f>
        <v>1</v>
      </c>
      <c r="T65" s="9" t="b">
        <f aca="false">ABS(O65-LN(J65/SUMIFS('Futures Data'!$C$5:$C$3471,'Futures Data'!$A$5:$A$3471,A64,'Futures Data'!$B$5:$B$3471,B65)))&lt;0.000000001</f>
        <v>1</v>
      </c>
    </row>
    <row r="66" customFormat="false" ht="15" hidden="false" customHeight="false" outlineLevel="0" collapsed="false">
      <c r="A66" s="7" t="n">
        <v>45222</v>
      </c>
      <c r="B66" s="11" t="n">
        <f aca="false">C65</f>
        <v>45250</v>
      </c>
      <c r="C66" s="11" t="n">
        <f aca="false">IF(OR(H65,D66&lt;=$G$4),_xlfn.MINIFS('Futures Data'!$B$5:$B$3471,'Futures Data'!$A$5:$A$3471,A66,'Futures Data'!$B$5:$B$3471,"&gt;"&amp;B66),B66)</f>
        <v>45250</v>
      </c>
      <c r="D66" s="3" t="n">
        <f aca="false">COUNTIFS($A$47:$A$790,"&gt;"&amp;A66,$A$47:$A$790,"&lt;="&amp;B66)+IF(B66&gt;$G$5,NETWORKDAYS($G$5+1,B66),0)</f>
        <v>19</v>
      </c>
      <c r="E66" s="3" t="n">
        <f aca="false">SUMIFS('Futures Data'!$E$5:$E$3471,'Futures Data'!$A$5:$A$3471,A66,'Futures Data'!$B$5:$B$3471,C66)</f>
        <v>29210</v>
      </c>
      <c r="F66" s="11" t="n">
        <f aca="false">_xlfn.MINIFS('Futures Data'!$B$5:$B$3471,'Futures Data'!$A$5:$A$3471,A66,'Futures Data'!$B$5:$B$3471,"&gt;"&amp;C66)</f>
        <v>45280</v>
      </c>
      <c r="G66" s="3" t="n">
        <f aca="false">SUMIFS('Futures Data'!$E$5:$E$3471,'Futures Data'!$A$5:$A$3471,A66,'Futures Data'!$B$5:$B$3471,F66)</f>
        <v>4775</v>
      </c>
      <c r="H66" s="9" t="b">
        <f aca="false">G66&gt;E66</f>
        <v>0</v>
      </c>
      <c r="I66" s="9" t="b">
        <f aca="false">C66&lt;&gt;B66</f>
        <v>0</v>
      </c>
      <c r="J66" s="3" t="n">
        <f aca="false">SUMIFS('Futures Data'!$C$5:$C$3471,'Futures Data'!$A$5:$A$3471,A66,'Futures Data'!$B$5:$B$3471,B66)</f>
        <v>6036</v>
      </c>
      <c r="K66" s="3" t="n">
        <f aca="false">SUMIFS('Futures Data'!$C$5:$C$3471,'Futures Data'!$A$5:$A$3471,A66,'Futures Data'!$B$5:$B$3471,C66)</f>
        <v>6036</v>
      </c>
      <c r="L66" s="3" t="n">
        <f aca="false">K66-J66</f>
        <v>0</v>
      </c>
      <c r="M66" s="3" t="n">
        <f aca="false">M67+L66</f>
        <v>1631</v>
      </c>
      <c r="N66" s="3" t="n">
        <f aca="false">J66+M66</f>
        <v>7667</v>
      </c>
      <c r="O66" s="13" t="n">
        <f aca="false">LN(J66/K65)</f>
        <v>0</v>
      </c>
      <c r="P66" s="13" t="n">
        <f aca="false">LN(N66/N65)</f>
        <v>0</v>
      </c>
      <c r="Q66" s="3" t="n">
        <f aca="false">SUMIFS('Futures Data'!$D$5:$D$3471,'Futures Data'!$A$5:$A$3471,A66,'Futures Data'!$B$5:$B$3471,B66)</f>
        <v>2255</v>
      </c>
      <c r="R66" s="7" t="n">
        <v>45250</v>
      </c>
      <c r="S66" s="9" t="b">
        <f aca="false">C66=R66</f>
        <v>1</v>
      </c>
      <c r="T66" s="9" t="b">
        <f aca="false">ABS(O66-LN(J66/SUMIFS('Futures Data'!$C$5:$C$3471,'Futures Data'!$A$5:$A$3471,A65,'Futures Data'!$B$5:$B$3471,B66)))&lt;0.000000001</f>
        <v>1</v>
      </c>
    </row>
    <row r="67" customFormat="false" ht="15" hidden="false" customHeight="false" outlineLevel="0" collapsed="false">
      <c r="A67" s="7" t="n">
        <v>45224</v>
      </c>
      <c r="B67" s="11" t="n">
        <f aca="false">C66</f>
        <v>45250</v>
      </c>
      <c r="C67" s="11" t="n">
        <f aca="false">IF(OR(H66,D67&lt;=$G$4),_xlfn.MINIFS('Futures Data'!$B$5:$B$3471,'Futures Data'!$A$5:$A$3471,A67,'Futures Data'!$B$5:$B$3471,"&gt;"&amp;B67),B67)</f>
        <v>45250</v>
      </c>
      <c r="D67" s="3" t="n">
        <f aca="false">COUNTIFS($A$47:$A$790,"&gt;"&amp;A67,$A$47:$A$790,"&lt;="&amp;B67)+IF(B67&gt;$G$5,NETWORKDAYS($G$5+1,B67),0)</f>
        <v>18</v>
      </c>
      <c r="E67" s="3" t="n">
        <f aca="false">SUMIFS('Futures Data'!$E$5:$E$3471,'Futures Data'!$A$5:$A$3471,A67,'Futures Data'!$B$5:$B$3471,C67)</f>
        <v>29855</v>
      </c>
      <c r="F67" s="11" t="n">
        <f aca="false">_xlfn.MINIFS('Futures Data'!$B$5:$B$3471,'Futures Data'!$A$5:$A$3471,A67,'Futures Data'!$B$5:$B$3471,"&gt;"&amp;C67)</f>
        <v>45280</v>
      </c>
      <c r="G67" s="3" t="n">
        <f aca="false">SUMIFS('Futures Data'!$E$5:$E$3471,'Futures Data'!$A$5:$A$3471,A67,'Futures Data'!$B$5:$B$3471,F67)</f>
        <v>4090</v>
      </c>
      <c r="H67" s="9" t="b">
        <f aca="false">G67&gt;E67</f>
        <v>0</v>
      </c>
      <c r="I67" s="9" t="b">
        <f aca="false">C67&lt;&gt;B67</f>
        <v>0</v>
      </c>
      <c r="J67" s="3" t="n">
        <f aca="false">SUMIFS('Futures Data'!$C$5:$C$3471,'Futures Data'!$A$5:$A$3471,A67,'Futures Data'!$B$5:$B$3471,B67)</f>
        <v>6055</v>
      </c>
      <c r="K67" s="3" t="n">
        <f aca="false">SUMIFS('Futures Data'!$C$5:$C$3471,'Futures Data'!$A$5:$A$3471,A67,'Futures Data'!$B$5:$B$3471,C67)</f>
        <v>6055</v>
      </c>
      <c r="L67" s="3" t="n">
        <f aca="false">K67-J67</f>
        <v>0</v>
      </c>
      <c r="M67" s="3" t="n">
        <f aca="false">M68+L67</f>
        <v>1631</v>
      </c>
      <c r="N67" s="3" t="n">
        <f aca="false">J67+M67</f>
        <v>7686</v>
      </c>
      <c r="O67" s="13" t="n">
        <f aca="false">LN(J67/K66)</f>
        <v>0.00314283609945301</v>
      </c>
      <c r="P67" s="13" t="n">
        <f aca="false">LN(N67/N66)</f>
        <v>0.00247508756589478</v>
      </c>
      <c r="Q67" s="3" t="n">
        <f aca="false">SUMIFS('Futures Data'!$D$5:$D$3471,'Futures Data'!$A$5:$A$3471,A67,'Futures Data'!$B$5:$B$3471,B67)</f>
        <v>6345</v>
      </c>
      <c r="R67" s="7" t="n">
        <v>45250</v>
      </c>
      <c r="S67" s="9" t="b">
        <f aca="false">C67=R67</f>
        <v>1</v>
      </c>
      <c r="T67" s="9" t="b">
        <f aca="false">ABS(O67-LN(J67/SUMIFS('Futures Data'!$C$5:$C$3471,'Futures Data'!$A$5:$A$3471,A66,'Futures Data'!$B$5:$B$3471,B67)))&lt;0.000000001</f>
        <v>1</v>
      </c>
    </row>
    <row r="68" customFormat="false" ht="15" hidden="false" customHeight="false" outlineLevel="0" collapsed="false">
      <c r="A68" s="7" t="n">
        <v>45225</v>
      </c>
      <c r="B68" s="11" t="n">
        <f aca="false">C67</f>
        <v>45250</v>
      </c>
      <c r="C68" s="11" t="n">
        <f aca="false">IF(OR(H67,D68&lt;=$G$4),_xlfn.MINIFS('Futures Data'!$B$5:$B$3471,'Futures Data'!$A$5:$A$3471,A68,'Futures Data'!$B$5:$B$3471,"&gt;"&amp;B68),B68)</f>
        <v>45250</v>
      </c>
      <c r="D68" s="3" t="n">
        <f aca="false">COUNTIFS($A$47:$A$790,"&gt;"&amp;A68,$A$47:$A$790,"&lt;="&amp;B68)+IF(B68&gt;$G$5,NETWORKDAYS($G$5+1,B68),0)</f>
        <v>17</v>
      </c>
      <c r="E68" s="3" t="n">
        <f aca="false">SUMIFS('Futures Data'!$E$5:$E$3471,'Futures Data'!$A$5:$A$3471,A68,'Futures Data'!$B$5:$B$3471,C68)</f>
        <v>30600</v>
      </c>
      <c r="F68" s="11" t="n">
        <f aca="false">_xlfn.MINIFS('Futures Data'!$B$5:$B$3471,'Futures Data'!$A$5:$A$3471,A68,'Futures Data'!$B$5:$B$3471,"&gt;"&amp;C68)</f>
        <v>45280</v>
      </c>
      <c r="G68" s="3" t="n">
        <f aca="false">SUMIFS('Futures Data'!$E$5:$E$3471,'Futures Data'!$A$5:$A$3471,A68,'Futures Data'!$B$5:$B$3471,F68)</f>
        <v>4480</v>
      </c>
      <c r="H68" s="9" t="b">
        <f aca="false">G68&gt;E68</f>
        <v>0</v>
      </c>
      <c r="I68" s="9" t="b">
        <f aca="false">C68&lt;&gt;B68</f>
        <v>0</v>
      </c>
      <c r="J68" s="3" t="n">
        <f aca="false">SUMIFS('Futures Data'!$C$5:$C$3471,'Futures Data'!$A$5:$A$3471,A68,'Futures Data'!$B$5:$B$3471,B68)</f>
        <v>6008</v>
      </c>
      <c r="K68" s="3" t="n">
        <f aca="false">SUMIFS('Futures Data'!$C$5:$C$3471,'Futures Data'!$A$5:$A$3471,A68,'Futures Data'!$B$5:$B$3471,C68)</f>
        <v>6008</v>
      </c>
      <c r="L68" s="3" t="n">
        <f aca="false">K68-J68</f>
        <v>0</v>
      </c>
      <c r="M68" s="3" t="n">
        <f aca="false">M69+L68</f>
        <v>1631</v>
      </c>
      <c r="N68" s="3" t="n">
        <f aca="false">J68+M68</f>
        <v>7639</v>
      </c>
      <c r="O68" s="13" t="n">
        <f aca="false">LN(J68/K67)</f>
        <v>-0.00779246254322197</v>
      </c>
      <c r="P68" s="13" t="n">
        <f aca="false">LN(N68/N67)</f>
        <v>-0.00613378758342959</v>
      </c>
      <c r="Q68" s="3" t="n">
        <f aca="false">SUMIFS('Futures Data'!$D$5:$D$3471,'Futures Data'!$A$5:$A$3471,A68,'Futures Data'!$B$5:$B$3471,B68)</f>
        <v>3085</v>
      </c>
      <c r="R68" s="7" t="n">
        <v>45250</v>
      </c>
      <c r="S68" s="9" t="b">
        <f aca="false">C68=R68</f>
        <v>1</v>
      </c>
      <c r="T68" s="9" t="b">
        <f aca="false">ABS(O68-LN(J68/SUMIFS('Futures Data'!$C$5:$C$3471,'Futures Data'!$A$5:$A$3471,A67,'Futures Data'!$B$5:$B$3471,B68)))&lt;0.000000001</f>
        <v>1</v>
      </c>
    </row>
    <row r="69" customFormat="false" ht="15" hidden="false" customHeight="false" outlineLevel="0" collapsed="false">
      <c r="A69" s="7" t="n">
        <v>45226</v>
      </c>
      <c r="B69" s="11" t="n">
        <f aca="false">C68</f>
        <v>45250</v>
      </c>
      <c r="C69" s="11" t="n">
        <f aca="false">IF(OR(H68,D69&lt;=$G$4),_xlfn.MINIFS('Futures Data'!$B$5:$B$3471,'Futures Data'!$A$5:$A$3471,A69,'Futures Data'!$B$5:$B$3471,"&gt;"&amp;B69),B69)</f>
        <v>45250</v>
      </c>
      <c r="D69" s="3" t="n">
        <f aca="false">COUNTIFS($A$47:$A$790,"&gt;"&amp;A69,$A$47:$A$790,"&lt;="&amp;B69)+IF(B69&gt;$G$5,NETWORKDAYS($G$5+1,B69),0)</f>
        <v>16</v>
      </c>
      <c r="E69" s="3" t="n">
        <f aca="false">SUMIFS('Futures Data'!$E$5:$E$3471,'Futures Data'!$A$5:$A$3471,A69,'Futures Data'!$B$5:$B$3471,C69)</f>
        <v>30680</v>
      </c>
      <c r="F69" s="11" t="n">
        <f aca="false">_xlfn.MINIFS('Futures Data'!$B$5:$B$3471,'Futures Data'!$A$5:$A$3471,A69,'Futures Data'!$B$5:$B$3471,"&gt;"&amp;C69)</f>
        <v>45280</v>
      </c>
      <c r="G69" s="3" t="n">
        <f aca="false">SUMIFS('Futures Data'!$E$5:$E$3471,'Futures Data'!$A$5:$A$3471,A69,'Futures Data'!$B$5:$B$3471,F69)</f>
        <v>4950</v>
      </c>
      <c r="H69" s="9" t="b">
        <f aca="false">G69&gt;E69</f>
        <v>0</v>
      </c>
      <c r="I69" s="9" t="b">
        <f aca="false">C69&lt;&gt;B69</f>
        <v>0</v>
      </c>
      <c r="J69" s="3" t="n">
        <f aca="false">SUMIFS('Futures Data'!$C$5:$C$3471,'Futures Data'!$A$5:$A$3471,A69,'Futures Data'!$B$5:$B$3471,B69)</f>
        <v>5980</v>
      </c>
      <c r="K69" s="3" t="n">
        <f aca="false">SUMIFS('Futures Data'!$C$5:$C$3471,'Futures Data'!$A$5:$A$3471,A69,'Futures Data'!$B$5:$B$3471,C69)</f>
        <v>5980</v>
      </c>
      <c r="L69" s="3" t="n">
        <f aca="false">K69-J69</f>
        <v>0</v>
      </c>
      <c r="M69" s="3" t="n">
        <f aca="false">M70+L69</f>
        <v>1631</v>
      </c>
      <c r="N69" s="3" t="n">
        <f aca="false">J69+M69</f>
        <v>7611</v>
      </c>
      <c r="O69" s="13" t="n">
        <f aca="false">LN(J69/K68)</f>
        <v>-0.00467134649929324</v>
      </c>
      <c r="P69" s="13" t="n">
        <f aca="false">LN(N69/N68)</f>
        <v>-0.00367213527396819</v>
      </c>
      <c r="Q69" s="3" t="n">
        <f aca="false">SUMIFS('Futures Data'!$D$5:$D$3471,'Futures Data'!$A$5:$A$3471,A69,'Futures Data'!$B$5:$B$3471,B69)</f>
        <v>4765</v>
      </c>
      <c r="R69" s="7" t="n">
        <v>45250</v>
      </c>
      <c r="S69" s="9" t="b">
        <f aca="false">C69=R69</f>
        <v>1</v>
      </c>
      <c r="T69" s="9" t="b">
        <f aca="false">ABS(O69-LN(J69/SUMIFS('Futures Data'!$C$5:$C$3471,'Futures Data'!$A$5:$A$3471,A68,'Futures Data'!$B$5:$B$3471,B69)))&lt;0.000000001</f>
        <v>1</v>
      </c>
    </row>
    <row r="70" customFormat="false" ht="15" hidden="false" customHeight="false" outlineLevel="0" collapsed="false">
      <c r="A70" s="7" t="n">
        <v>45229</v>
      </c>
      <c r="B70" s="11" t="n">
        <f aca="false">C69</f>
        <v>45250</v>
      </c>
      <c r="C70" s="11" t="n">
        <f aca="false">IF(OR(H69,D70&lt;=$G$4),_xlfn.MINIFS('Futures Data'!$B$5:$B$3471,'Futures Data'!$A$5:$A$3471,A70,'Futures Data'!$B$5:$B$3471,"&gt;"&amp;B70),B70)</f>
        <v>45250</v>
      </c>
      <c r="D70" s="3" t="n">
        <f aca="false">COUNTIFS($A$47:$A$790,"&gt;"&amp;A70,$A$47:$A$790,"&lt;="&amp;B70)+IF(B70&gt;$G$5,NETWORKDAYS($G$5+1,B70),0)</f>
        <v>15</v>
      </c>
      <c r="E70" s="3" t="n">
        <f aca="false">SUMIFS('Futures Data'!$E$5:$E$3471,'Futures Data'!$A$5:$A$3471,A70,'Futures Data'!$B$5:$B$3471,C70)</f>
        <v>30205</v>
      </c>
      <c r="F70" s="11" t="n">
        <f aca="false">_xlfn.MINIFS('Futures Data'!$B$5:$B$3471,'Futures Data'!$A$5:$A$3471,A70,'Futures Data'!$B$5:$B$3471,"&gt;"&amp;C70)</f>
        <v>45280</v>
      </c>
      <c r="G70" s="3" t="n">
        <f aca="false">SUMIFS('Futures Data'!$E$5:$E$3471,'Futures Data'!$A$5:$A$3471,A70,'Futures Data'!$B$5:$B$3471,F70)</f>
        <v>6090</v>
      </c>
      <c r="H70" s="9" t="b">
        <f aca="false">G70&gt;E70</f>
        <v>0</v>
      </c>
      <c r="I70" s="9" t="b">
        <f aca="false">C70&lt;&gt;B70</f>
        <v>0</v>
      </c>
      <c r="J70" s="3" t="n">
        <f aca="false">SUMIFS('Futures Data'!$C$5:$C$3471,'Futures Data'!$A$5:$A$3471,A70,'Futures Data'!$B$5:$B$3471,B70)</f>
        <v>5920</v>
      </c>
      <c r="K70" s="3" t="n">
        <f aca="false">SUMIFS('Futures Data'!$C$5:$C$3471,'Futures Data'!$A$5:$A$3471,A70,'Futures Data'!$B$5:$B$3471,C70)</f>
        <v>5920</v>
      </c>
      <c r="L70" s="3" t="n">
        <f aca="false">K70-J70</f>
        <v>0</v>
      </c>
      <c r="M70" s="3" t="n">
        <f aca="false">M71+L70</f>
        <v>1631</v>
      </c>
      <c r="N70" s="3" t="n">
        <f aca="false">J70+M70</f>
        <v>7551</v>
      </c>
      <c r="O70" s="13" t="n">
        <f aca="false">LN(J70/K69)</f>
        <v>-0.010084119066626</v>
      </c>
      <c r="P70" s="13" t="n">
        <f aca="false">LN(N70/N69)</f>
        <v>-0.007914564463966</v>
      </c>
      <c r="Q70" s="3" t="n">
        <f aca="false">SUMIFS('Futures Data'!$D$5:$D$3471,'Futures Data'!$A$5:$A$3471,A70,'Futures Data'!$B$5:$B$3471,B70)</f>
        <v>7360</v>
      </c>
      <c r="R70" s="7" t="n">
        <v>45250</v>
      </c>
      <c r="S70" s="9" t="b">
        <f aca="false">C70=R70</f>
        <v>1</v>
      </c>
      <c r="T70" s="9" t="b">
        <f aca="false">ABS(O70-LN(J70/SUMIFS('Futures Data'!$C$5:$C$3471,'Futures Data'!$A$5:$A$3471,A69,'Futures Data'!$B$5:$B$3471,B70)))&lt;0.000000001</f>
        <v>1</v>
      </c>
    </row>
    <row r="71" customFormat="false" ht="15" hidden="false" customHeight="false" outlineLevel="0" collapsed="false">
      <c r="A71" s="7" t="n">
        <v>45230</v>
      </c>
      <c r="B71" s="11" t="n">
        <f aca="false">C70</f>
        <v>45250</v>
      </c>
      <c r="C71" s="11" t="n">
        <f aca="false">IF(OR(H70,D71&lt;=$G$4),_xlfn.MINIFS('Futures Data'!$B$5:$B$3471,'Futures Data'!$A$5:$A$3471,A71,'Futures Data'!$B$5:$B$3471,"&gt;"&amp;B71),B71)</f>
        <v>45250</v>
      </c>
      <c r="D71" s="3" t="n">
        <f aca="false">COUNTIFS($A$47:$A$790,"&gt;"&amp;A71,$A$47:$A$790,"&lt;="&amp;B71)+IF(B71&gt;$G$5,NETWORKDAYS($G$5+1,B71),0)</f>
        <v>14</v>
      </c>
      <c r="E71" s="3" t="n">
        <f aca="false">SUMIFS('Futures Data'!$E$5:$E$3471,'Futures Data'!$A$5:$A$3471,A71,'Futures Data'!$B$5:$B$3471,C71)</f>
        <v>29850</v>
      </c>
      <c r="F71" s="11" t="n">
        <f aca="false">_xlfn.MINIFS('Futures Data'!$B$5:$B$3471,'Futures Data'!$A$5:$A$3471,A71,'Futures Data'!$B$5:$B$3471,"&gt;"&amp;C71)</f>
        <v>45280</v>
      </c>
      <c r="G71" s="3" t="n">
        <f aca="false">SUMIFS('Futures Data'!$E$5:$E$3471,'Futures Data'!$A$5:$A$3471,A71,'Futures Data'!$B$5:$B$3471,F71)</f>
        <v>6960</v>
      </c>
      <c r="H71" s="9" t="b">
        <f aca="false">G71&gt;E71</f>
        <v>0</v>
      </c>
      <c r="I71" s="9" t="b">
        <f aca="false">C71&lt;&gt;B71</f>
        <v>0</v>
      </c>
      <c r="J71" s="3" t="n">
        <f aca="false">SUMIFS('Futures Data'!$C$5:$C$3471,'Futures Data'!$A$5:$A$3471,A71,'Futures Data'!$B$5:$B$3471,B71)</f>
        <v>5924</v>
      </c>
      <c r="K71" s="3" t="n">
        <f aca="false">SUMIFS('Futures Data'!$C$5:$C$3471,'Futures Data'!$A$5:$A$3471,A71,'Futures Data'!$B$5:$B$3471,C71)</f>
        <v>5924</v>
      </c>
      <c r="L71" s="3" t="n">
        <f aca="false">K71-J71</f>
        <v>0</v>
      </c>
      <c r="M71" s="3" t="n">
        <f aca="false">M72+L71</f>
        <v>1631</v>
      </c>
      <c r="N71" s="3" t="n">
        <f aca="false">J71+M71</f>
        <v>7555</v>
      </c>
      <c r="O71" s="13" t="n">
        <f aca="false">LN(J71/K70)</f>
        <v>0.000675447509637973</v>
      </c>
      <c r="P71" s="13" t="n">
        <f aca="false">LN(N71/N70)</f>
        <v>0.000529590903414433</v>
      </c>
      <c r="Q71" s="3" t="n">
        <f aca="false">SUMIFS('Futures Data'!$D$5:$D$3471,'Futures Data'!$A$5:$A$3471,A71,'Futures Data'!$B$5:$B$3471,B71)</f>
        <v>9165</v>
      </c>
      <c r="R71" s="7" t="n">
        <v>45250</v>
      </c>
      <c r="S71" s="9" t="b">
        <f aca="false">C71=R71</f>
        <v>1</v>
      </c>
      <c r="T71" s="9" t="b">
        <f aca="false">ABS(O71-LN(J71/SUMIFS('Futures Data'!$C$5:$C$3471,'Futures Data'!$A$5:$A$3471,A70,'Futures Data'!$B$5:$B$3471,B71)))&lt;0.000000001</f>
        <v>1</v>
      </c>
    </row>
    <row r="72" customFormat="false" ht="15" hidden="false" customHeight="false" outlineLevel="0" collapsed="false">
      <c r="A72" s="7" t="n">
        <v>45231</v>
      </c>
      <c r="B72" s="11" t="n">
        <f aca="false">C71</f>
        <v>45250</v>
      </c>
      <c r="C72" s="11" t="n">
        <f aca="false">IF(OR(H71,D72&lt;=$G$4),_xlfn.MINIFS('Futures Data'!$B$5:$B$3471,'Futures Data'!$A$5:$A$3471,A72,'Futures Data'!$B$5:$B$3471,"&gt;"&amp;B72),B72)</f>
        <v>45250</v>
      </c>
      <c r="D72" s="3" t="n">
        <f aca="false">COUNTIFS($A$47:$A$790,"&gt;"&amp;A72,$A$47:$A$790,"&lt;="&amp;B72)+IF(B72&gt;$G$5,NETWORKDAYS($G$5+1,B72),0)</f>
        <v>13</v>
      </c>
      <c r="E72" s="3" t="n">
        <f aca="false">SUMIFS('Futures Data'!$E$5:$E$3471,'Futures Data'!$A$5:$A$3471,A72,'Futures Data'!$B$5:$B$3471,C72)</f>
        <v>29565</v>
      </c>
      <c r="F72" s="11" t="n">
        <f aca="false">_xlfn.MINIFS('Futures Data'!$B$5:$B$3471,'Futures Data'!$A$5:$A$3471,A72,'Futures Data'!$B$5:$B$3471,"&gt;"&amp;C72)</f>
        <v>45280</v>
      </c>
      <c r="G72" s="3" t="n">
        <f aca="false">SUMIFS('Futures Data'!$E$5:$E$3471,'Futures Data'!$A$5:$A$3471,A72,'Futures Data'!$B$5:$B$3471,F72)</f>
        <v>7635</v>
      </c>
      <c r="H72" s="9" t="b">
        <f aca="false">G72&gt;E72</f>
        <v>0</v>
      </c>
      <c r="I72" s="9" t="b">
        <f aca="false">C72&lt;&gt;B72</f>
        <v>0</v>
      </c>
      <c r="J72" s="3" t="n">
        <f aca="false">SUMIFS('Futures Data'!$C$5:$C$3471,'Futures Data'!$A$5:$A$3471,A72,'Futures Data'!$B$5:$B$3471,B72)</f>
        <v>5892</v>
      </c>
      <c r="K72" s="3" t="n">
        <f aca="false">SUMIFS('Futures Data'!$C$5:$C$3471,'Futures Data'!$A$5:$A$3471,A72,'Futures Data'!$B$5:$B$3471,C72)</f>
        <v>5892</v>
      </c>
      <c r="L72" s="3" t="n">
        <f aca="false">K72-J72</f>
        <v>0</v>
      </c>
      <c r="M72" s="3" t="n">
        <f aca="false">M73+L72</f>
        <v>1631</v>
      </c>
      <c r="N72" s="3" t="n">
        <f aca="false">J72+M72</f>
        <v>7523</v>
      </c>
      <c r="O72" s="13" t="n">
        <f aca="false">LN(J72/K71)</f>
        <v>-0.00541639780516852</v>
      </c>
      <c r="P72" s="13" t="n">
        <f aca="false">LN(N72/N71)</f>
        <v>-0.00424460114661839</v>
      </c>
      <c r="Q72" s="3" t="n">
        <f aca="false">SUMIFS('Futures Data'!$D$5:$D$3471,'Futures Data'!$A$5:$A$3471,A72,'Futures Data'!$B$5:$B$3471,B72)</f>
        <v>5465</v>
      </c>
      <c r="R72" s="7" t="n">
        <v>45250</v>
      </c>
      <c r="S72" s="9" t="b">
        <f aca="false">C72=R72</f>
        <v>1</v>
      </c>
      <c r="T72" s="9" t="b">
        <f aca="false">ABS(O72-LN(J72/SUMIFS('Futures Data'!$C$5:$C$3471,'Futures Data'!$A$5:$A$3471,A71,'Futures Data'!$B$5:$B$3471,B72)))&lt;0.000000001</f>
        <v>1</v>
      </c>
    </row>
    <row r="73" customFormat="false" ht="15" hidden="false" customHeight="false" outlineLevel="0" collapsed="false">
      <c r="A73" s="7" t="n">
        <v>45232</v>
      </c>
      <c r="B73" s="11" t="n">
        <f aca="false">C72</f>
        <v>45250</v>
      </c>
      <c r="C73" s="11" t="n">
        <f aca="false">IF(OR(H72,D73&lt;=$G$4),_xlfn.MINIFS('Futures Data'!$B$5:$B$3471,'Futures Data'!$A$5:$A$3471,A73,'Futures Data'!$B$5:$B$3471,"&gt;"&amp;B73),B73)</f>
        <v>45250</v>
      </c>
      <c r="D73" s="3" t="n">
        <f aca="false">COUNTIFS($A$47:$A$790,"&gt;"&amp;A73,$A$47:$A$790,"&lt;="&amp;B73)+IF(B73&gt;$G$5,NETWORKDAYS($G$5+1,B73),0)</f>
        <v>12</v>
      </c>
      <c r="E73" s="3" t="n">
        <f aca="false">SUMIFS('Futures Data'!$E$5:$E$3471,'Futures Data'!$A$5:$A$3471,A73,'Futures Data'!$B$5:$B$3471,C73)</f>
        <v>28575</v>
      </c>
      <c r="F73" s="11" t="n">
        <f aca="false">_xlfn.MINIFS('Futures Data'!$B$5:$B$3471,'Futures Data'!$A$5:$A$3471,A73,'Futures Data'!$B$5:$B$3471,"&gt;"&amp;C73)</f>
        <v>45280</v>
      </c>
      <c r="G73" s="3" t="n">
        <f aca="false">SUMIFS('Futures Data'!$E$5:$E$3471,'Futures Data'!$A$5:$A$3471,A73,'Futures Data'!$B$5:$B$3471,F73)</f>
        <v>10035</v>
      </c>
      <c r="H73" s="9" t="b">
        <f aca="false">G73&gt;E73</f>
        <v>0</v>
      </c>
      <c r="I73" s="9" t="b">
        <f aca="false">C73&lt;&gt;B73</f>
        <v>0</v>
      </c>
      <c r="J73" s="3" t="n">
        <f aca="false">SUMIFS('Futures Data'!$C$5:$C$3471,'Futures Data'!$A$5:$A$3471,A73,'Futures Data'!$B$5:$B$3471,B73)</f>
        <v>5818</v>
      </c>
      <c r="K73" s="3" t="n">
        <f aca="false">SUMIFS('Futures Data'!$C$5:$C$3471,'Futures Data'!$A$5:$A$3471,A73,'Futures Data'!$B$5:$B$3471,C73)</f>
        <v>5818</v>
      </c>
      <c r="L73" s="3" t="n">
        <f aca="false">K73-J73</f>
        <v>0</v>
      </c>
      <c r="M73" s="3" t="n">
        <f aca="false">M74+L73</f>
        <v>1631</v>
      </c>
      <c r="N73" s="3" t="n">
        <f aca="false">J73+M73</f>
        <v>7449</v>
      </c>
      <c r="O73" s="13" t="n">
        <f aca="false">LN(J73/K72)</f>
        <v>-0.0126389385273739</v>
      </c>
      <c r="P73" s="13" t="n">
        <f aca="false">LN(N73/N72)</f>
        <v>-0.00988519938394526</v>
      </c>
      <c r="Q73" s="3" t="n">
        <f aca="false">SUMIFS('Futures Data'!$D$5:$D$3471,'Futures Data'!$A$5:$A$3471,A73,'Futures Data'!$B$5:$B$3471,B73)</f>
        <v>6240</v>
      </c>
      <c r="R73" s="7" t="n">
        <v>45250</v>
      </c>
      <c r="S73" s="9" t="b">
        <f aca="false">C73=R73</f>
        <v>1</v>
      </c>
      <c r="T73" s="9" t="b">
        <f aca="false">ABS(O73-LN(J73/SUMIFS('Futures Data'!$C$5:$C$3471,'Futures Data'!$A$5:$A$3471,A72,'Futures Data'!$B$5:$B$3471,B73)))&lt;0.000000001</f>
        <v>1</v>
      </c>
    </row>
    <row r="74" customFormat="false" ht="15" hidden="false" customHeight="false" outlineLevel="0" collapsed="false">
      <c r="A74" s="7" t="n">
        <v>45233</v>
      </c>
      <c r="B74" s="11" t="n">
        <f aca="false">C73</f>
        <v>45250</v>
      </c>
      <c r="C74" s="11" t="n">
        <f aca="false">IF(OR(H73,D74&lt;=$G$4),_xlfn.MINIFS('Futures Data'!$B$5:$B$3471,'Futures Data'!$A$5:$A$3471,A74,'Futures Data'!$B$5:$B$3471,"&gt;"&amp;B74),B74)</f>
        <v>45250</v>
      </c>
      <c r="D74" s="3" t="n">
        <f aca="false">COUNTIFS($A$47:$A$790,"&gt;"&amp;A74,$A$47:$A$790,"&lt;="&amp;B74)+IF(B74&gt;$G$5,NETWORKDAYS($G$5+1,B74),0)</f>
        <v>11</v>
      </c>
      <c r="E74" s="3" t="n">
        <f aca="false">SUMIFS('Futures Data'!$E$5:$E$3471,'Futures Data'!$A$5:$A$3471,A74,'Futures Data'!$B$5:$B$3471,C74)</f>
        <v>26020</v>
      </c>
      <c r="F74" s="11" t="n">
        <f aca="false">_xlfn.MINIFS('Futures Data'!$B$5:$B$3471,'Futures Data'!$A$5:$A$3471,A74,'Futures Data'!$B$5:$B$3471,"&gt;"&amp;C74)</f>
        <v>45280</v>
      </c>
      <c r="G74" s="3" t="n">
        <f aca="false">SUMIFS('Futures Data'!$E$5:$E$3471,'Futures Data'!$A$5:$A$3471,A74,'Futures Data'!$B$5:$B$3471,F74)</f>
        <v>11905</v>
      </c>
      <c r="H74" s="9" t="b">
        <f aca="false">G74&gt;E74</f>
        <v>0</v>
      </c>
      <c r="I74" s="9" t="b">
        <f aca="false">C74&lt;&gt;B74</f>
        <v>0</v>
      </c>
      <c r="J74" s="3" t="n">
        <f aca="false">SUMIFS('Futures Data'!$C$5:$C$3471,'Futures Data'!$A$5:$A$3471,A74,'Futures Data'!$B$5:$B$3471,B74)</f>
        <v>5815</v>
      </c>
      <c r="K74" s="3" t="n">
        <f aca="false">SUMIFS('Futures Data'!$C$5:$C$3471,'Futures Data'!$A$5:$A$3471,A74,'Futures Data'!$B$5:$B$3471,C74)</f>
        <v>5815</v>
      </c>
      <c r="L74" s="3" t="n">
        <f aca="false">K74-J74</f>
        <v>0</v>
      </c>
      <c r="M74" s="3" t="n">
        <f aca="false">M75+L74</f>
        <v>1631</v>
      </c>
      <c r="N74" s="3" t="n">
        <f aca="false">J74+M74</f>
        <v>7446</v>
      </c>
      <c r="O74" s="13" t="n">
        <f aca="false">LN(J74/K73)</f>
        <v>-0.000515774102382107</v>
      </c>
      <c r="P74" s="13" t="n">
        <f aca="false">LN(N74/N73)</f>
        <v>-0.000402819743614138</v>
      </c>
      <c r="Q74" s="3" t="n">
        <f aca="false">SUMIFS('Futures Data'!$D$5:$D$3471,'Futures Data'!$A$5:$A$3471,A74,'Futures Data'!$B$5:$B$3471,B74)</f>
        <v>5645</v>
      </c>
      <c r="R74" s="7" t="n">
        <v>45250</v>
      </c>
      <c r="S74" s="9" t="b">
        <f aca="false">C74=R74</f>
        <v>1</v>
      </c>
      <c r="T74" s="9" t="b">
        <f aca="false">ABS(O74-LN(J74/SUMIFS('Futures Data'!$C$5:$C$3471,'Futures Data'!$A$5:$A$3471,A73,'Futures Data'!$B$5:$B$3471,B74)))&lt;0.000000001</f>
        <v>1</v>
      </c>
    </row>
    <row r="75" customFormat="false" ht="15" hidden="false" customHeight="false" outlineLevel="0" collapsed="false">
      <c r="A75" s="7" t="n">
        <v>45236</v>
      </c>
      <c r="B75" s="11" t="n">
        <f aca="false">C74</f>
        <v>45250</v>
      </c>
      <c r="C75" s="11" t="n">
        <f aca="false">IF(OR(H74,D75&lt;=$G$4),_xlfn.MINIFS('Futures Data'!$B$5:$B$3471,'Futures Data'!$A$5:$A$3471,A75,'Futures Data'!$B$5:$B$3471,"&gt;"&amp;B75),B75)</f>
        <v>45250</v>
      </c>
      <c r="D75" s="3" t="n">
        <f aca="false">COUNTIFS($A$47:$A$790,"&gt;"&amp;A75,$A$47:$A$790,"&lt;="&amp;B75)+IF(B75&gt;$G$5,NETWORKDAYS($G$5+1,B75),0)</f>
        <v>10</v>
      </c>
      <c r="E75" s="3" t="n">
        <f aca="false">SUMIFS('Futures Data'!$E$5:$E$3471,'Futures Data'!$A$5:$A$3471,A75,'Futures Data'!$B$5:$B$3471,C75)</f>
        <v>26270</v>
      </c>
      <c r="F75" s="11" t="n">
        <f aca="false">_xlfn.MINIFS('Futures Data'!$B$5:$B$3471,'Futures Data'!$A$5:$A$3471,A75,'Futures Data'!$B$5:$B$3471,"&gt;"&amp;C75)</f>
        <v>45280</v>
      </c>
      <c r="G75" s="3" t="n">
        <f aca="false">SUMIFS('Futures Data'!$E$5:$E$3471,'Futures Data'!$A$5:$A$3471,A75,'Futures Data'!$B$5:$B$3471,F75)</f>
        <v>13605</v>
      </c>
      <c r="H75" s="9" t="b">
        <f aca="false">G75&gt;E75</f>
        <v>0</v>
      </c>
      <c r="I75" s="9" t="b">
        <f aca="false">C75&lt;&gt;B75</f>
        <v>0</v>
      </c>
      <c r="J75" s="3" t="n">
        <f aca="false">SUMIFS('Futures Data'!$C$5:$C$3471,'Futures Data'!$A$5:$A$3471,A75,'Futures Data'!$B$5:$B$3471,B75)</f>
        <v>5853</v>
      </c>
      <c r="K75" s="3" t="n">
        <f aca="false">SUMIFS('Futures Data'!$C$5:$C$3471,'Futures Data'!$A$5:$A$3471,A75,'Futures Data'!$B$5:$B$3471,C75)</f>
        <v>5853</v>
      </c>
      <c r="L75" s="3" t="n">
        <f aca="false">K75-J75</f>
        <v>0</v>
      </c>
      <c r="M75" s="3" t="n">
        <f aca="false">M76+L75</f>
        <v>1631</v>
      </c>
      <c r="N75" s="3" t="n">
        <f aca="false">J75+M75</f>
        <v>7484</v>
      </c>
      <c r="O75" s="13" t="n">
        <f aca="false">LN(J75/K74)</f>
        <v>0.00651356433845602</v>
      </c>
      <c r="P75" s="13" t="n">
        <f aca="false">LN(N75/N74)</f>
        <v>0.00509043296131812</v>
      </c>
      <c r="Q75" s="3" t="n">
        <f aca="false">SUMIFS('Futures Data'!$D$5:$D$3471,'Futures Data'!$A$5:$A$3471,A75,'Futures Data'!$B$5:$B$3471,B75)</f>
        <v>5975</v>
      </c>
      <c r="R75" s="7" t="n">
        <v>45250</v>
      </c>
      <c r="S75" s="9" t="b">
        <f aca="false">C75=R75</f>
        <v>1</v>
      </c>
      <c r="T75" s="9" t="b">
        <f aca="false">ABS(O75-LN(J75/SUMIFS('Futures Data'!$C$5:$C$3471,'Futures Data'!$A$5:$A$3471,A74,'Futures Data'!$B$5:$B$3471,B75)))&lt;0.000000001</f>
        <v>1</v>
      </c>
    </row>
    <row r="76" customFormat="false" ht="15" hidden="false" customHeight="false" outlineLevel="0" collapsed="false">
      <c r="A76" s="7" t="n">
        <v>45237</v>
      </c>
      <c r="B76" s="11" t="n">
        <f aca="false">C75</f>
        <v>45250</v>
      </c>
      <c r="C76" s="11" t="n">
        <f aca="false">IF(OR(H75,D76&lt;=$G$4),_xlfn.MINIFS('Futures Data'!$B$5:$B$3471,'Futures Data'!$A$5:$A$3471,A76,'Futures Data'!$B$5:$B$3471,"&gt;"&amp;B76),B76)</f>
        <v>45250</v>
      </c>
      <c r="D76" s="3" t="n">
        <f aca="false">COUNTIFS($A$47:$A$790,"&gt;"&amp;A76,$A$47:$A$790,"&lt;="&amp;B76)+IF(B76&gt;$G$5,NETWORKDAYS($G$5+1,B76),0)</f>
        <v>9</v>
      </c>
      <c r="E76" s="3" t="n">
        <f aca="false">SUMIFS('Futures Data'!$E$5:$E$3471,'Futures Data'!$A$5:$A$3471,A76,'Futures Data'!$B$5:$B$3471,C76)</f>
        <v>25330</v>
      </c>
      <c r="F76" s="11" t="n">
        <f aca="false">_xlfn.MINIFS('Futures Data'!$B$5:$B$3471,'Futures Data'!$A$5:$A$3471,A76,'Futures Data'!$B$5:$B$3471,"&gt;"&amp;C76)</f>
        <v>45280</v>
      </c>
      <c r="G76" s="3" t="n">
        <f aca="false">SUMIFS('Futures Data'!$E$5:$E$3471,'Futures Data'!$A$5:$A$3471,A76,'Futures Data'!$B$5:$B$3471,F76)</f>
        <v>13485</v>
      </c>
      <c r="H76" s="9" t="b">
        <f aca="false">G76&gt;E76</f>
        <v>0</v>
      </c>
      <c r="I76" s="9" t="b">
        <f aca="false">C76&lt;&gt;B76</f>
        <v>0</v>
      </c>
      <c r="J76" s="3" t="n">
        <f aca="false">SUMIFS('Futures Data'!$C$5:$C$3471,'Futures Data'!$A$5:$A$3471,A76,'Futures Data'!$B$5:$B$3471,B76)</f>
        <v>5893</v>
      </c>
      <c r="K76" s="3" t="n">
        <f aca="false">SUMIFS('Futures Data'!$C$5:$C$3471,'Futures Data'!$A$5:$A$3471,A76,'Futures Data'!$B$5:$B$3471,C76)</f>
        <v>5893</v>
      </c>
      <c r="L76" s="3" t="n">
        <f aca="false">K76-J76</f>
        <v>0</v>
      </c>
      <c r="M76" s="3" t="n">
        <f aca="false">M77+L76</f>
        <v>1631</v>
      </c>
      <c r="N76" s="3" t="n">
        <f aca="false">J76+M76</f>
        <v>7524</v>
      </c>
      <c r="O76" s="13" t="n">
        <f aca="false">LN(J76/K75)</f>
        <v>0.0068108555466925</v>
      </c>
      <c r="P76" s="13" t="n">
        <f aca="false">LN(N76/N75)</f>
        <v>0.00533050302694083</v>
      </c>
      <c r="Q76" s="3" t="n">
        <f aca="false">SUMIFS('Futures Data'!$D$5:$D$3471,'Futures Data'!$A$5:$A$3471,A76,'Futures Data'!$B$5:$B$3471,B76)</f>
        <v>6300</v>
      </c>
      <c r="R76" s="7" t="n">
        <v>45250</v>
      </c>
      <c r="S76" s="9" t="b">
        <f aca="false">C76=R76</f>
        <v>1</v>
      </c>
      <c r="T76" s="9" t="b">
        <f aca="false">ABS(O76-LN(J76/SUMIFS('Futures Data'!$C$5:$C$3471,'Futures Data'!$A$5:$A$3471,A75,'Futures Data'!$B$5:$B$3471,B76)))&lt;0.000000001</f>
        <v>1</v>
      </c>
    </row>
    <row r="77" customFormat="false" ht="15" hidden="false" customHeight="false" outlineLevel="0" collapsed="false">
      <c r="A77" s="7" t="n">
        <v>45238</v>
      </c>
      <c r="B77" s="11" t="n">
        <f aca="false">C76</f>
        <v>45250</v>
      </c>
      <c r="C77" s="11" t="n">
        <f aca="false">IF(OR(H76,D77&lt;=$G$4),_xlfn.MINIFS('Futures Data'!$B$5:$B$3471,'Futures Data'!$A$5:$A$3471,A77,'Futures Data'!$B$5:$B$3471,"&gt;"&amp;B77),B77)</f>
        <v>45250</v>
      </c>
      <c r="D77" s="3" t="n">
        <f aca="false">COUNTIFS($A$47:$A$790,"&gt;"&amp;A77,$A$47:$A$790,"&lt;="&amp;B77)+IF(B77&gt;$G$5,NETWORKDAYS($G$5+1,B77),0)</f>
        <v>8</v>
      </c>
      <c r="E77" s="3" t="n">
        <f aca="false">SUMIFS('Futures Data'!$E$5:$E$3471,'Futures Data'!$A$5:$A$3471,A77,'Futures Data'!$B$5:$B$3471,C77)</f>
        <v>24245</v>
      </c>
      <c r="F77" s="11" t="n">
        <f aca="false">_xlfn.MINIFS('Futures Data'!$B$5:$B$3471,'Futures Data'!$A$5:$A$3471,A77,'Futures Data'!$B$5:$B$3471,"&gt;"&amp;C77)</f>
        <v>45280</v>
      </c>
      <c r="G77" s="3" t="n">
        <f aca="false">SUMIFS('Futures Data'!$E$5:$E$3471,'Futures Data'!$A$5:$A$3471,A77,'Futures Data'!$B$5:$B$3471,F77)</f>
        <v>14085</v>
      </c>
      <c r="H77" s="9" t="b">
        <f aca="false">G77&gt;E77</f>
        <v>0</v>
      </c>
      <c r="I77" s="9" t="b">
        <f aca="false">C77&lt;&gt;B77</f>
        <v>0</v>
      </c>
      <c r="J77" s="3" t="n">
        <f aca="false">SUMIFS('Futures Data'!$C$5:$C$3471,'Futures Data'!$A$5:$A$3471,A77,'Futures Data'!$B$5:$B$3471,B77)</f>
        <v>5920</v>
      </c>
      <c r="K77" s="3" t="n">
        <f aca="false">SUMIFS('Futures Data'!$C$5:$C$3471,'Futures Data'!$A$5:$A$3471,A77,'Futures Data'!$B$5:$B$3471,C77)</f>
        <v>5920</v>
      </c>
      <c r="L77" s="3" t="n">
        <f aca="false">K77-J77</f>
        <v>0</v>
      </c>
      <c r="M77" s="3" t="n">
        <f aca="false">M78+L77</f>
        <v>1631</v>
      </c>
      <c r="N77" s="3" t="n">
        <f aca="false">J77+M77</f>
        <v>7551</v>
      </c>
      <c r="O77" s="13" t="n">
        <f aca="false">LN(J77/K76)</f>
        <v>0.00457124304013798</v>
      </c>
      <c r="P77" s="13" t="n">
        <f aca="false">LN(N77/N76)</f>
        <v>0.00358209338250466</v>
      </c>
      <c r="Q77" s="3" t="n">
        <f aca="false">SUMIFS('Futures Data'!$D$5:$D$3471,'Futures Data'!$A$5:$A$3471,A77,'Futures Data'!$B$5:$B$3471,B77)</f>
        <v>3630</v>
      </c>
      <c r="R77" s="7" t="n">
        <v>45250</v>
      </c>
      <c r="S77" s="9" t="b">
        <f aca="false">C77=R77</f>
        <v>1</v>
      </c>
      <c r="T77" s="9" t="b">
        <f aca="false">ABS(O77-LN(J77/SUMIFS('Futures Data'!$C$5:$C$3471,'Futures Data'!$A$5:$A$3471,A76,'Futures Data'!$B$5:$B$3471,B77)))&lt;0.000000001</f>
        <v>1</v>
      </c>
    </row>
    <row r="78" customFormat="false" ht="15" hidden="false" customHeight="false" outlineLevel="0" collapsed="false">
      <c r="A78" s="7" t="n">
        <v>45239</v>
      </c>
      <c r="B78" s="11" t="n">
        <f aca="false">C77</f>
        <v>45250</v>
      </c>
      <c r="C78" s="11" t="n">
        <f aca="false">IF(OR(H77,D78&lt;=$G$4),_xlfn.MINIFS('Futures Data'!$B$5:$B$3471,'Futures Data'!$A$5:$A$3471,A78,'Futures Data'!$B$5:$B$3471,"&gt;"&amp;B78),B78)</f>
        <v>45280</v>
      </c>
      <c r="D78" s="3" t="n">
        <f aca="false">COUNTIFS($A$47:$A$790,"&gt;"&amp;A78,$A$47:$A$790,"&lt;="&amp;B78)+IF(B78&gt;$G$5,NETWORKDAYS($G$5+1,B78),0)</f>
        <v>7</v>
      </c>
      <c r="E78" s="3" t="n">
        <f aca="false">SUMIFS('Futures Data'!$E$5:$E$3471,'Futures Data'!$A$5:$A$3471,A78,'Futures Data'!$B$5:$B$3471,C78)</f>
        <v>15600</v>
      </c>
      <c r="F78" s="11" t="n">
        <f aca="false">_xlfn.MINIFS('Futures Data'!$B$5:$B$3471,'Futures Data'!$A$5:$A$3471,A78,'Futures Data'!$B$5:$B$3471,"&gt;"&amp;C78)</f>
        <v>45310</v>
      </c>
      <c r="G78" s="3" t="n">
        <f aca="false">SUMIFS('Futures Data'!$E$5:$E$3471,'Futures Data'!$A$5:$A$3471,A78,'Futures Data'!$B$5:$B$3471,F78)</f>
        <v>0</v>
      </c>
      <c r="H78" s="9" t="b">
        <f aca="false">G78&gt;E78</f>
        <v>0</v>
      </c>
      <c r="I78" s="9" t="b">
        <f aca="false">C78&lt;&gt;B78</f>
        <v>1</v>
      </c>
      <c r="J78" s="3" t="n">
        <f aca="false">SUMIFS('Futures Data'!$C$5:$C$3471,'Futures Data'!$A$5:$A$3471,A78,'Futures Data'!$B$5:$B$3471,B78)</f>
        <v>5953</v>
      </c>
      <c r="K78" s="3" t="n">
        <f aca="false">SUMIFS('Futures Data'!$C$5:$C$3471,'Futures Data'!$A$5:$A$3471,A78,'Futures Data'!$B$5:$B$3471,C78)</f>
        <v>5873</v>
      </c>
      <c r="L78" s="3" t="n">
        <f aca="false">K78-J78</f>
        <v>-80</v>
      </c>
      <c r="M78" s="3" t="n">
        <f aca="false">M79+L78</f>
        <v>1631</v>
      </c>
      <c r="N78" s="3" t="n">
        <f aca="false">J78+M78</f>
        <v>7584</v>
      </c>
      <c r="O78" s="13" t="n">
        <f aca="false">LN(J78/K77)</f>
        <v>0.00555884527533867</v>
      </c>
      <c r="P78" s="13" t="n">
        <f aca="false">LN(N78/N77)</f>
        <v>0.00436076013143213</v>
      </c>
      <c r="Q78" s="3" t="n">
        <f aca="false">SUMIFS('Futures Data'!$D$5:$D$3471,'Futures Data'!$A$5:$A$3471,A78,'Futures Data'!$B$5:$B$3471,B78)</f>
        <v>8760</v>
      </c>
      <c r="R78" s="7" t="n">
        <v>45280</v>
      </c>
      <c r="S78" s="9" t="b">
        <f aca="false">C78=R78</f>
        <v>1</v>
      </c>
      <c r="T78" s="9" t="b">
        <f aca="false">ABS(O78-LN(J78/SUMIFS('Futures Data'!$C$5:$C$3471,'Futures Data'!$A$5:$A$3471,A77,'Futures Data'!$B$5:$B$3471,B78)))&lt;0.000000001</f>
        <v>1</v>
      </c>
    </row>
    <row r="79" customFormat="false" ht="15" hidden="false" customHeight="false" outlineLevel="0" collapsed="false">
      <c r="A79" s="7" t="n">
        <v>45240</v>
      </c>
      <c r="B79" s="11" t="n">
        <f aca="false">C78</f>
        <v>45280</v>
      </c>
      <c r="C79" s="11" t="n">
        <f aca="false">IF(OR(H78,D79&lt;=$G$4),_xlfn.MINIFS('Futures Data'!$B$5:$B$3471,'Futures Data'!$A$5:$A$3471,A79,'Futures Data'!$B$5:$B$3471,"&gt;"&amp;B79),B79)</f>
        <v>45280</v>
      </c>
      <c r="D79" s="3" t="n">
        <f aca="false">COUNTIFS($A$47:$A$790,"&gt;"&amp;A79,$A$47:$A$790,"&lt;="&amp;B79)+IF(B79&gt;$G$5,NETWORKDAYS($G$5+1,B79),0)</f>
        <v>27</v>
      </c>
      <c r="E79" s="3" t="n">
        <f aca="false">SUMIFS('Futures Data'!$E$5:$E$3471,'Futures Data'!$A$5:$A$3471,A79,'Futures Data'!$B$5:$B$3471,C79)</f>
        <v>17320</v>
      </c>
      <c r="F79" s="11" t="n">
        <f aca="false">_xlfn.MINIFS('Futures Data'!$B$5:$B$3471,'Futures Data'!$A$5:$A$3471,A79,'Futures Data'!$B$5:$B$3471,"&gt;"&amp;C79)</f>
        <v>45310</v>
      </c>
      <c r="G79" s="3" t="n">
        <f aca="false">SUMIFS('Futures Data'!$E$5:$E$3471,'Futures Data'!$A$5:$A$3471,A79,'Futures Data'!$B$5:$B$3471,F79)</f>
        <v>40</v>
      </c>
      <c r="H79" s="9" t="b">
        <f aca="false">G79&gt;E79</f>
        <v>0</v>
      </c>
      <c r="I79" s="9" t="b">
        <f aca="false">C79&lt;&gt;B79</f>
        <v>0</v>
      </c>
      <c r="J79" s="3" t="n">
        <f aca="false">SUMIFS('Futures Data'!$C$5:$C$3471,'Futures Data'!$A$5:$A$3471,A79,'Futures Data'!$B$5:$B$3471,B79)</f>
        <v>5878</v>
      </c>
      <c r="K79" s="3" t="n">
        <f aca="false">SUMIFS('Futures Data'!$C$5:$C$3471,'Futures Data'!$A$5:$A$3471,A79,'Futures Data'!$B$5:$B$3471,C79)</f>
        <v>5878</v>
      </c>
      <c r="L79" s="3" t="n">
        <f aca="false">K79-J79</f>
        <v>0</v>
      </c>
      <c r="M79" s="3" t="n">
        <f aca="false">M80+L79</f>
        <v>1711</v>
      </c>
      <c r="N79" s="3" t="n">
        <f aca="false">J79+M79</f>
        <v>7589</v>
      </c>
      <c r="O79" s="13" t="n">
        <f aca="false">LN(J79/K78)</f>
        <v>0.000850991456343164</v>
      </c>
      <c r="P79" s="13" t="n">
        <f aca="false">LN(N79/N78)</f>
        <v>0.000659065469055066</v>
      </c>
      <c r="Q79" s="3" t="n">
        <f aca="false">SUMIFS('Futures Data'!$D$5:$D$3471,'Futures Data'!$A$5:$A$3471,A79,'Futures Data'!$B$5:$B$3471,B79)</f>
        <v>8490</v>
      </c>
      <c r="R79" s="7" t="n">
        <v>45280</v>
      </c>
      <c r="S79" s="9" t="b">
        <f aca="false">C79=R79</f>
        <v>1</v>
      </c>
      <c r="T79" s="9" t="b">
        <f aca="false">ABS(O79-LN(J79/SUMIFS('Futures Data'!$C$5:$C$3471,'Futures Data'!$A$5:$A$3471,A78,'Futures Data'!$B$5:$B$3471,B79)))&lt;0.000000001</f>
        <v>1</v>
      </c>
    </row>
    <row r="80" customFormat="false" ht="15" hidden="false" customHeight="false" outlineLevel="0" collapsed="false">
      <c r="A80" s="7" t="n">
        <v>45242</v>
      </c>
      <c r="B80" s="11" t="n">
        <f aca="false">C79</f>
        <v>45280</v>
      </c>
      <c r="C80" s="11" t="n">
        <f aca="false">IF(OR(H79,D80&lt;=$G$4),_xlfn.MINIFS('Futures Data'!$B$5:$B$3471,'Futures Data'!$A$5:$A$3471,A80,'Futures Data'!$B$5:$B$3471,"&gt;"&amp;B80),B80)</f>
        <v>45280</v>
      </c>
      <c r="D80" s="3" t="n">
        <f aca="false">COUNTIFS($A$47:$A$790,"&gt;"&amp;A80,$A$47:$A$790,"&lt;="&amp;B80)+IF(B80&gt;$G$5,NETWORKDAYS($G$5+1,B80),0)</f>
        <v>26</v>
      </c>
      <c r="E80" s="3" t="n">
        <f aca="false">SUMIFS('Futures Data'!$E$5:$E$3471,'Futures Data'!$A$5:$A$3471,A80,'Futures Data'!$B$5:$B$3471,C80)</f>
        <v>17910</v>
      </c>
      <c r="F80" s="11" t="n">
        <f aca="false">_xlfn.MINIFS('Futures Data'!$B$5:$B$3471,'Futures Data'!$A$5:$A$3471,A80,'Futures Data'!$B$5:$B$3471,"&gt;"&amp;C80)</f>
        <v>45310</v>
      </c>
      <c r="G80" s="3" t="n">
        <f aca="false">SUMIFS('Futures Data'!$E$5:$E$3471,'Futures Data'!$A$5:$A$3471,A80,'Futures Data'!$B$5:$B$3471,F80)</f>
        <v>40</v>
      </c>
      <c r="H80" s="9" t="b">
        <f aca="false">G80&gt;E80</f>
        <v>0</v>
      </c>
      <c r="I80" s="9" t="b">
        <f aca="false">C80&lt;&gt;B80</f>
        <v>0</v>
      </c>
      <c r="J80" s="3" t="n">
        <f aca="false">SUMIFS('Futures Data'!$C$5:$C$3471,'Futures Data'!$A$5:$A$3471,A80,'Futures Data'!$B$5:$B$3471,B80)</f>
        <v>5879</v>
      </c>
      <c r="K80" s="3" t="n">
        <f aca="false">SUMIFS('Futures Data'!$C$5:$C$3471,'Futures Data'!$A$5:$A$3471,A80,'Futures Data'!$B$5:$B$3471,C80)</f>
        <v>5879</v>
      </c>
      <c r="L80" s="3" t="n">
        <f aca="false">K80-J80</f>
        <v>0</v>
      </c>
      <c r="M80" s="3" t="n">
        <f aca="false">M81+L80</f>
        <v>1711</v>
      </c>
      <c r="N80" s="3" t="n">
        <f aca="false">J80+M80</f>
        <v>7590</v>
      </c>
      <c r="O80" s="13" t="n">
        <f aca="false">LN(J80/K79)</f>
        <v>0.000170111423392347</v>
      </c>
      <c r="P80" s="13" t="n">
        <f aca="false">LN(N80/N79)</f>
        <v>0.000131760985762814</v>
      </c>
      <c r="Q80" s="3" t="n">
        <f aca="false">SUMIFS('Futures Data'!$D$5:$D$3471,'Futures Data'!$A$5:$A$3471,A80,'Futures Data'!$B$5:$B$3471,B80)</f>
        <v>2045</v>
      </c>
      <c r="R80" s="7" t="n">
        <v>45280</v>
      </c>
      <c r="S80" s="9" t="b">
        <f aca="false">C80=R80</f>
        <v>1</v>
      </c>
      <c r="T80" s="9" t="b">
        <f aca="false">ABS(O80-LN(J80/SUMIFS('Futures Data'!$C$5:$C$3471,'Futures Data'!$A$5:$A$3471,A79,'Futures Data'!$B$5:$B$3471,B80)))&lt;0.000000001</f>
        <v>1</v>
      </c>
    </row>
    <row r="81" customFormat="false" ht="15" hidden="false" customHeight="false" outlineLevel="0" collapsed="false">
      <c r="A81" s="7" t="n">
        <v>45243</v>
      </c>
      <c r="B81" s="11" t="n">
        <f aca="false">C80</f>
        <v>45280</v>
      </c>
      <c r="C81" s="11" t="n">
        <f aca="false">IF(OR(H80,D81&lt;=$G$4),_xlfn.MINIFS('Futures Data'!$B$5:$B$3471,'Futures Data'!$A$5:$A$3471,A81,'Futures Data'!$B$5:$B$3471,"&gt;"&amp;B81),B81)</f>
        <v>45280</v>
      </c>
      <c r="D81" s="3" t="n">
        <f aca="false">COUNTIFS($A$47:$A$790,"&gt;"&amp;A81,$A$47:$A$790,"&lt;="&amp;B81)+IF(B81&gt;$G$5,NETWORKDAYS($G$5+1,B81),0)</f>
        <v>25</v>
      </c>
      <c r="E81" s="3" t="n">
        <f aca="false">SUMIFS('Futures Data'!$E$5:$E$3471,'Futures Data'!$A$5:$A$3471,A81,'Futures Data'!$B$5:$B$3471,C81)</f>
        <v>21345</v>
      </c>
      <c r="F81" s="11" t="n">
        <f aca="false">_xlfn.MINIFS('Futures Data'!$B$5:$B$3471,'Futures Data'!$A$5:$A$3471,A81,'Futures Data'!$B$5:$B$3471,"&gt;"&amp;C81)</f>
        <v>45310</v>
      </c>
      <c r="G81" s="3" t="n">
        <f aca="false">SUMIFS('Futures Data'!$E$5:$E$3471,'Futures Data'!$A$5:$A$3471,A81,'Futures Data'!$B$5:$B$3471,F81)</f>
        <v>60</v>
      </c>
      <c r="H81" s="9" t="b">
        <f aca="false">G81&gt;E81</f>
        <v>0</v>
      </c>
      <c r="I81" s="9" t="b">
        <f aca="false">C81&lt;&gt;B81</f>
        <v>0</v>
      </c>
      <c r="J81" s="3" t="n">
        <f aca="false">SUMIFS('Futures Data'!$C$5:$C$3471,'Futures Data'!$A$5:$A$3471,A81,'Futures Data'!$B$5:$B$3471,B81)</f>
        <v>5897</v>
      </c>
      <c r="K81" s="3" t="n">
        <f aca="false">SUMIFS('Futures Data'!$C$5:$C$3471,'Futures Data'!$A$5:$A$3471,A81,'Futures Data'!$B$5:$B$3471,C81)</f>
        <v>5897</v>
      </c>
      <c r="L81" s="3" t="n">
        <f aca="false">K81-J81</f>
        <v>0</v>
      </c>
      <c r="M81" s="3" t="n">
        <f aca="false">M82+L81</f>
        <v>1711</v>
      </c>
      <c r="N81" s="3" t="n">
        <f aca="false">J81+M81</f>
        <v>7608</v>
      </c>
      <c r="O81" s="13" t="n">
        <f aca="false">LN(J81/K80)</f>
        <v>0.00305706759824917</v>
      </c>
      <c r="P81" s="13" t="n">
        <f aca="false">LN(N81/N80)</f>
        <v>0.00236873383555061</v>
      </c>
      <c r="Q81" s="3" t="n">
        <f aca="false">SUMIFS('Futures Data'!$D$5:$D$3471,'Futures Data'!$A$5:$A$3471,A81,'Futures Data'!$B$5:$B$3471,B81)</f>
        <v>10310</v>
      </c>
      <c r="R81" s="7" t="n">
        <v>45280</v>
      </c>
      <c r="S81" s="9" t="b">
        <f aca="false">C81=R81</f>
        <v>1</v>
      </c>
      <c r="T81" s="9" t="b">
        <f aca="false">ABS(O81-LN(J81/SUMIFS('Futures Data'!$C$5:$C$3471,'Futures Data'!$A$5:$A$3471,A80,'Futures Data'!$B$5:$B$3471,B81)))&lt;0.000000001</f>
        <v>1</v>
      </c>
    </row>
    <row r="82" customFormat="false" ht="15" hidden="false" customHeight="false" outlineLevel="0" collapsed="false">
      <c r="A82" s="7" t="n">
        <v>45245</v>
      </c>
      <c r="B82" s="11" t="n">
        <f aca="false">C81</f>
        <v>45280</v>
      </c>
      <c r="C82" s="11" t="n">
        <f aca="false">IF(OR(H81,D82&lt;=$G$4),_xlfn.MINIFS('Futures Data'!$B$5:$B$3471,'Futures Data'!$A$5:$A$3471,A82,'Futures Data'!$B$5:$B$3471,"&gt;"&amp;B82),B82)</f>
        <v>45280</v>
      </c>
      <c r="D82" s="3" t="n">
        <f aca="false">COUNTIFS($A$47:$A$790,"&gt;"&amp;A82,$A$47:$A$790,"&lt;="&amp;B82)+IF(B82&gt;$G$5,NETWORKDAYS($G$5+1,B82),0)</f>
        <v>24</v>
      </c>
      <c r="E82" s="3" t="n">
        <f aca="false">SUMIFS('Futures Data'!$E$5:$E$3471,'Futures Data'!$A$5:$A$3471,A82,'Futures Data'!$B$5:$B$3471,C82)</f>
        <v>21010</v>
      </c>
      <c r="F82" s="11" t="n">
        <f aca="false">_xlfn.MINIFS('Futures Data'!$B$5:$B$3471,'Futures Data'!$A$5:$A$3471,A82,'Futures Data'!$B$5:$B$3471,"&gt;"&amp;C82)</f>
        <v>45310</v>
      </c>
      <c r="G82" s="3" t="n">
        <f aca="false">SUMIFS('Futures Data'!$E$5:$E$3471,'Futures Data'!$A$5:$A$3471,A82,'Futures Data'!$B$5:$B$3471,F82)</f>
        <v>505</v>
      </c>
      <c r="H82" s="9" t="b">
        <f aca="false">G82&gt;E82</f>
        <v>0</v>
      </c>
      <c r="I82" s="9" t="b">
        <f aca="false">C82&lt;&gt;B82</f>
        <v>0</v>
      </c>
      <c r="J82" s="3" t="n">
        <f aca="false">SUMIFS('Futures Data'!$C$5:$C$3471,'Futures Data'!$A$5:$A$3471,A82,'Futures Data'!$B$5:$B$3471,B82)</f>
        <v>5959</v>
      </c>
      <c r="K82" s="3" t="n">
        <f aca="false">SUMIFS('Futures Data'!$C$5:$C$3471,'Futures Data'!$A$5:$A$3471,A82,'Futures Data'!$B$5:$B$3471,C82)</f>
        <v>5959</v>
      </c>
      <c r="L82" s="3" t="n">
        <f aca="false">K82-J82</f>
        <v>0</v>
      </c>
      <c r="M82" s="3" t="n">
        <f aca="false">M83+L82</f>
        <v>1711</v>
      </c>
      <c r="N82" s="3" t="n">
        <f aca="false">J82+M82</f>
        <v>7670</v>
      </c>
      <c r="O82" s="13" t="n">
        <f aca="false">LN(J82/K81)</f>
        <v>0.0104589347464747</v>
      </c>
      <c r="P82" s="13" t="n">
        <f aca="false">LN(N82/N81)</f>
        <v>0.00811629013607559</v>
      </c>
      <c r="Q82" s="3" t="n">
        <f aca="false">SUMIFS('Futures Data'!$D$5:$D$3471,'Futures Data'!$A$5:$A$3471,A82,'Futures Data'!$B$5:$B$3471,B82)</f>
        <v>5080</v>
      </c>
      <c r="R82" s="7" t="n">
        <v>45280</v>
      </c>
      <c r="S82" s="9" t="b">
        <f aca="false">C82=R82</f>
        <v>1</v>
      </c>
      <c r="T82" s="9" t="b">
        <f aca="false">ABS(O82-LN(J82/SUMIFS('Futures Data'!$C$5:$C$3471,'Futures Data'!$A$5:$A$3471,A81,'Futures Data'!$B$5:$B$3471,B82)))&lt;0.000000001</f>
        <v>1</v>
      </c>
    </row>
    <row r="83" customFormat="false" ht="15" hidden="false" customHeight="false" outlineLevel="0" collapsed="false">
      <c r="A83" s="7" t="n">
        <v>45246</v>
      </c>
      <c r="B83" s="11" t="n">
        <f aca="false">C82</f>
        <v>45280</v>
      </c>
      <c r="C83" s="11" t="n">
        <f aca="false">IF(OR(H82,D83&lt;=$G$4),_xlfn.MINIFS('Futures Data'!$B$5:$B$3471,'Futures Data'!$A$5:$A$3471,A83,'Futures Data'!$B$5:$B$3471,"&gt;"&amp;B83),B83)</f>
        <v>45280</v>
      </c>
      <c r="D83" s="3" t="n">
        <f aca="false">COUNTIFS($A$47:$A$790,"&gt;"&amp;A83,$A$47:$A$790,"&lt;="&amp;B83)+IF(B83&gt;$G$5,NETWORKDAYS($G$5+1,B83),0)</f>
        <v>23</v>
      </c>
      <c r="E83" s="3" t="n">
        <f aca="false">SUMIFS('Futures Data'!$E$5:$E$3471,'Futures Data'!$A$5:$A$3471,A83,'Futures Data'!$B$5:$B$3471,C83)</f>
        <v>21105</v>
      </c>
      <c r="F83" s="11" t="n">
        <f aca="false">_xlfn.MINIFS('Futures Data'!$B$5:$B$3471,'Futures Data'!$A$5:$A$3471,A83,'Futures Data'!$B$5:$B$3471,"&gt;"&amp;C83)</f>
        <v>45310</v>
      </c>
      <c r="G83" s="3" t="n">
        <f aca="false">SUMIFS('Futures Data'!$E$5:$E$3471,'Futures Data'!$A$5:$A$3471,A83,'Futures Data'!$B$5:$B$3471,F83)</f>
        <v>685</v>
      </c>
      <c r="H83" s="9" t="b">
        <f aca="false">G83&gt;E83</f>
        <v>0</v>
      </c>
      <c r="I83" s="9" t="b">
        <f aca="false">C83&lt;&gt;B83</f>
        <v>0</v>
      </c>
      <c r="J83" s="3" t="n">
        <f aca="false">SUMIFS('Futures Data'!$C$5:$C$3471,'Futures Data'!$A$5:$A$3471,A83,'Futures Data'!$B$5:$B$3471,B83)</f>
        <v>5936</v>
      </c>
      <c r="K83" s="3" t="n">
        <f aca="false">SUMIFS('Futures Data'!$C$5:$C$3471,'Futures Data'!$A$5:$A$3471,A83,'Futures Data'!$B$5:$B$3471,C83)</f>
        <v>5936</v>
      </c>
      <c r="L83" s="3" t="n">
        <f aca="false">K83-J83</f>
        <v>0</v>
      </c>
      <c r="M83" s="3" t="n">
        <f aca="false">M84+L83</f>
        <v>1711</v>
      </c>
      <c r="N83" s="3" t="n">
        <f aca="false">J83+M83</f>
        <v>7647</v>
      </c>
      <c r="O83" s="13" t="n">
        <f aca="false">LN(J83/K82)</f>
        <v>-0.00386717589976256</v>
      </c>
      <c r="P83" s="13" t="n">
        <f aca="false">LN(N83/N82)</f>
        <v>-0.00300320131707679</v>
      </c>
      <c r="Q83" s="3" t="n">
        <f aca="false">SUMIFS('Futures Data'!$D$5:$D$3471,'Futures Data'!$A$5:$A$3471,A83,'Futures Data'!$B$5:$B$3471,B83)</f>
        <v>4190</v>
      </c>
      <c r="R83" s="7" t="n">
        <v>45280</v>
      </c>
      <c r="S83" s="9" t="b">
        <f aca="false">C83=R83</f>
        <v>1</v>
      </c>
      <c r="T83" s="9" t="b">
        <f aca="false">ABS(O83-LN(J83/SUMIFS('Futures Data'!$C$5:$C$3471,'Futures Data'!$A$5:$A$3471,A82,'Futures Data'!$B$5:$B$3471,B83)))&lt;0.000000001</f>
        <v>1</v>
      </c>
    </row>
    <row r="84" customFormat="false" ht="15" hidden="false" customHeight="false" outlineLevel="0" collapsed="false">
      <c r="A84" s="7" t="n">
        <v>45247</v>
      </c>
      <c r="B84" s="11" t="n">
        <f aca="false">C83</f>
        <v>45280</v>
      </c>
      <c r="C84" s="11" t="n">
        <f aca="false">IF(OR(H83,D84&lt;=$G$4),_xlfn.MINIFS('Futures Data'!$B$5:$B$3471,'Futures Data'!$A$5:$A$3471,A84,'Futures Data'!$B$5:$B$3471,"&gt;"&amp;B84),B84)</f>
        <v>45280</v>
      </c>
      <c r="D84" s="3" t="n">
        <f aca="false">COUNTIFS($A$47:$A$790,"&gt;"&amp;A84,$A$47:$A$790,"&lt;="&amp;B84)+IF(B84&gt;$G$5,NETWORKDAYS($G$5+1,B84),0)</f>
        <v>22</v>
      </c>
      <c r="E84" s="3" t="n">
        <f aca="false">SUMIFS('Futures Data'!$E$5:$E$3471,'Futures Data'!$A$5:$A$3471,A84,'Futures Data'!$B$5:$B$3471,C84)</f>
        <v>21105</v>
      </c>
      <c r="F84" s="11" t="n">
        <f aca="false">_xlfn.MINIFS('Futures Data'!$B$5:$B$3471,'Futures Data'!$A$5:$A$3471,A84,'Futures Data'!$B$5:$B$3471,"&gt;"&amp;C84)</f>
        <v>45310</v>
      </c>
      <c r="G84" s="3" t="n">
        <f aca="false">SUMIFS('Futures Data'!$E$5:$E$3471,'Futures Data'!$A$5:$A$3471,A84,'Futures Data'!$B$5:$B$3471,F84)</f>
        <v>995</v>
      </c>
      <c r="H84" s="9" t="b">
        <f aca="false">G84&gt;E84</f>
        <v>0</v>
      </c>
      <c r="I84" s="9" t="b">
        <f aca="false">C84&lt;&gt;B84</f>
        <v>0</v>
      </c>
      <c r="J84" s="3" t="n">
        <f aca="false">SUMIFS('Futures Data'!$C$5:$C$3471,'Futures Data'!$A$5:$A$3471,A84,'Futures Data'!$B$5:$B$3471,B84)</f>
        <v>5918</v>
      </c>
      <c r="K84" s="3" t="n">
        <f aca="false">SUMIFS('Futures Data'!$C$5:$C$3471,'Futures Data'!$A$5:$A$3471,A84,'Futures Data'!$B$5:$B$3471,C84)</f>
        <v>5918</v>
      </c>
      <c r="L84" s="3" t="n">
        <f aca="false">K84-J84</f>
        <v>0</v>
      </c>
      <c r="M84" s="3" t="n">
        <f aca="false">M85+L84</f>
        <v>1711</v>
      </c>
      <c r="N84" s="3" t="n">
        <f aca="false">J84+M84</f>
        <v>7629</v>
      </c>
      <c r="O84" s="13" t="n">
        <f aca="false">LN(J84/K83)</f>
        <v>-0.00303695188706137</v>
      </c>
      <c r="P84" s="13" t="n">
        <f aca="false">LN(N84/N83)</f>
        <v>-0.00235663895399583</v>
      </c>
      <c r="Q84" s="3" t="n">
        <f aca="false">SUMIFS('Futures Data'!$D$5:$D$3471,'Futures Data'!$A$5:$A$3471,A84,'Futures Data'!$B$5:$B$3471,B84)</f>
        <v>3415</v>
      </c>
      <c r="R84" s="7" t="n">
        <v>45280</v>
      </c>
      <c r="S84" s="9" t="b">
        <f aca="false">C84=R84</f>
        <v>1</v>
      </c>
      <c r="T84" s="9" t="b">
        <f aca="false">ABS(O84-LN(J84/SUMIFS('Futures Data'!$C$5:$C$3471,'Futures Data'!$A$5:$A$3471,A83,'Futures Data'!$B$5:$B$3471,B84)))&lt;0.000000001</f>
        <v>1</v>
      </c>
    </row>
    <row r="85" customFormat="false" ht="15" hidden="false" customHeight="false" outlineLevel="0" collapsed="false">
      <c r="A85" s="7" t="n">
        <v>45250</v>
      </c>
      <c r="B85" s="11" t="n">
        <f aca="false">C84</f>
        <v>45280</v>
      </c>
      <c r="C85" s="11" t="n">
        <f aca="false">IF(OR(H84,D85&lt;=$G$4),_xlfn.MINIFS('Futures Data'!$B$5:$B$3471,'Futures Data'!$A$5:$A$3471,A85,'Futures Data'!$B$5:$B$3471,"&gt;"&amp;B85),B85)</f>
        <v>45280</v>
      </c>
      <c r="D85" s="3" t="n">
        <f aca="false">COUNTIFS($A$47:$A$790,"&gt;"&amp;A85,$A$47:$A$790,"&lt;="&amp;B85)+IF(B85&gt;$G$5,NETWORKDAYS($G$5+1,B85),0)</f>
        <v>21</v>
      </c>
      <c r="E85" s="3" t="n">
        <f aca="false">SUMIFS('Futures Data'!$E$5:$E$3471,'Futures Data'!$A$5:$A$3471,A85,'Futures Data'!$B$5:$B$3471,C85)</f>
        <v>20705</v>
      </c>
      <c r="F85" s="11" t="n">
        <f aca="false">_xlfn.MINIFS('Futures Data'!$B$5:$B$3471,'Futures Data'!$A$5:$A$3471,A85,'Futures Data'!$B$5:$B$3471,"&gt;"&amp;C85)</f>
        <v>45310</v>
      </c>
      <c r="G85" s="3" t="n">
        <f aca="false">SUMIFS('Futures Data'!$E$5:$E$3471,'Futures Data'!$A$5:$A$3471,A85,'Futures Data'!$B$5:$B$3471,F85)</f>
        <v>2260</v>
      </c>
      <c r="H85" s="9" t="b">
        <f aca="false">G85&gt;E85</f>
        <v>0</v>
      </c>
      <c r="I85" s="9" t="b">
        <f aca="false">C85&lt;&gt;B85</f>
        <v>0</v>
      </c>
      <c r="J85" s="3" t="n">
        <f aca="false">SUMIFS('Futures Data'!$C$5:$C$3471,'Futures Data'!$A$5:$A$3471,A85,'Futures Data'!$B$5:$B$3471,B85)</f>
        <v>5914</v>
      </c>
      <c r="K85" s="3" t="n">
        <f aca="false">SUMIFS('Futures Data'!$C$5:$C$3471,'Futures Data'!$A$5:$A$3471,A85,'Futures Data'!$B$5:$B$3471,C85)</f>
        <v>5914</v>
      </c>
      <c r="L85" s="3" t="n">
        <f aca="false">K85-J85</f>
        <v>0</v>
      </c>
      <c r="M85" s="3" t="n">
        <f aca="false">M86+L85</f>
        <v>1711</v>
      </c>
      <c r="N85" s="3" t="n">
        <f aca="false">J85+M85</f>
        <v>7625</v>
      </c>
      <c r="O85" s="13" t="n">
        <f aca="false">LN(J85/K84)</f>
        <v>-0.000676132547732486</v>
      </c>
      <c r="P85" s="13" t="n">
        <f aca="false">LN(N85/N84)</f>
        <v>-0.000524452614616945</v>
      </c>
      <c r="Q85" s="3" t="n">
        <f aca="false">SUMIFS('Futures Data'!$D$5:$D$3471,'Futures Data'!$A$5:$A$3471,A85,'Futures Data'!$B$5:$B$3471,B85)</f>
        <v>9260</v>
      </c>
      <c r="R85" s="7" t="n">
        <v>45280</v>
      </c>
      <c r="S85" s="9" t="b">
        <f aca="false">C85=R85</f>
        <v>1</v>
      </c>
      <c r="T85" s="9" t="b">
        <f aca="false">ABS(O85-LN(J85/SUMIFS('Futures Data'!$C$5:$C$3471,'Futures Data'!$A$5:$A$3471,A84,'Futures Data'!$B$5:$B$3471,B85)))&lt;0.000000001</f>
        <v>1</v>
      </c>
    </row>
    <row r="86" customFormat="false" ht="15" hidden="false" customHeight="false" outlineLevel="0" collapsed="false">
      <c r="A86" s="7" t="n">
        <v>45251</v>
      </c>
      <c r="B86" s="11" t="n">
        <f aca="false">C85</f>
        <v>45280</v>
      </c>
      <c r="C86" s="11" t="n">
        <f aca="false">IF(OR(H85,D86&lt;=$G$4),_xlfn.MINIFS('Futures Data'!$B$5:$B$3471,'Futures Data'!$A$5:$A$3471,A86,'Futures Data'!$B$5:$B$3471,"&gt;"&amp;B86),B86)</f>
        <v>45280</v>
      </c>
      <c r="D86" s="3" t="n">
        <f aca="false">COUNTIFS($A$47:$A$790,"&gt;"&amp;A86,$A$47:$A$790,"&lt;="&amp;B86)+IF(B86&gt;$G$5,NETWORKDAYS($G$5+1,B86),0)</f>
        <v>20</v>
      </c>
      <c r="E86" s="3" t="n">
        <f aca="false">SUMIFS('Futures Data'!$E$5:$E$3471,'Futures Data'!$A$5:$A$3471,A86,'Futures Data'!$B$5:$B$3471,C86)</f>
        <v>20310</v>
      </c>
      <c r="F86" s="11" t="n">
        <f aca="false">_xlfn.MINIFS('Futures Data'!$B$5:$B$3471,'Futures Data'!$A$5:$A$3471,A86,'Futures Data'!$B$5:$B$3471,"&gt;"&amp;C86)</f>
        <v>45310</v>
      </c>
      <c r="G86" s="3" t="n">
        <f aca="false">SUMIFS('Futures Data'!$E$5:$E$3471,'Futures Data'!$A$5:$A$3471,A86,'Futures Data'!$B$5:$B$3471,F86)</f>
        <v>2745</v>
      </c>
      <c r="H86" s="9" t="b">
        <f aca="false">G86&gt;E86</f>
        <v>0</v>
      </c>
      <c r="I86" s="9" t="b">
        <f aca="false">C86&lt;&gt;B86</f>
        <v>0</v>
      </c>
      <c r="J86" s="3" t="n">
        <f aca="false">SUMIFS('Futures Data'!$C$5:$C$3471,'Futures Data'!$A$5:$A$3471,A86,'Futures Data'!$B$5:$B$3471,B86)</f>
        <v>5942</v>
      </c>
      <c r="K86" s="3" t="n">
        <f aca="false">SUMIFS('Futures Data'!$C$5:$C$3471,'Futures Data'!$A$5:$A$3471,A86,'Futures Data'!$B$5:$B$3471,C86)</f>
        <v>5942</v>
      </c>
      <c r="L86" s="3" t="n">
        <f aca="false">K86-J86</f>
        <v>0</v>
      </c>
      <c r="M86" s="3" t="n">
        <f aca="false">M87+L86</f>
        <v>1711</v>
      </c>
      <c r="N86" s="3" t="n">
        <f aca="false">J86+M86</f>
        <v>7653</v>
      </c>
      <c r="O86" s="13" t="n">
        <f aca="false">LN(J86/K85)</f>
        <v>0.00472335561013036</v>
      </c>
      <c r="P86" s="13" t="n">
        <f aca="false">LN(N86/N85)</f>
        <v>0.00366540533430868</v>
      </c>
      <c r="Q86" s="3" t="n">
        <f aca="false">SUMIFS('Futures Data'!$D$5:$D$3471,'Futures Data'!$A$5:$A$3471,A86,'Futures Data'!$B$5:$B$3471,B86)</f>
        <v>3960</v>
      </c>
      <c r="R86" s="7" t="n">
        <v>45280</v>
      </c>
      <c r="S86" s="9" t="b">
        <f aca="false">C86=R86</f>
        <v>1</v>
      </c>
      <c r="T86" s="9" t="b">
        <f aca="false">ABS(O86-LN(J86/SUMIFS('Futures Data'!$C$5:$C$3471,'Futures Data'!$A$5:$A$3471,A85,'Futures Data'!$B$5:$B$3471,B86)))&lt;0.000000001</f>
        <v>1</v>
      </c>
    </row>
    <row r="87" customFormat="false" ht="15" hidden="false" customHeight="false" outlineLevel="0" collapsed="false">
      <c r="A87" s="7" t="n">
        <v>45252</v>
      </c>
      <c r="B87" s="11" t="n">
        <f aca="false">C86</f>
        <v>45280</v>
      </c>
      <c r="C87" s="11" t="n">
        <f aca="false">IF(OR(H86,D87&lt;=$G$4),_xlfn.MINIFS('Futures Data'!$B$5:$B$3471,'Futures Data'!$A$5:$A$3471,A87,'Futures Data'!$B$5:$B$3471,"&gt;"&amp;B87),B87)</f>
        <v>45280</v>
      </c>
      <c r="D87" s="3" t="n">
        <f aca="false">COUNTIFS($A$47:$A$790,"&gt;"&amp;A87,$A$47:$A$790,"&lt;="&amp;B87)+IF(B87&gt;$G$5,NETWORKDAYS($G$5+1,B87),0)</f>
        <v>19</v>
      </c>
      <c r="E87" s="3" t="n">
        <f aca="false">SUMIFS('Futures Data'!$E$5:$E$3471,'Futures Data'!$A$5:$A$3471,A87,'Futures Data'!$B$5:$B$3471,C87)</f>
        <v>18205</v>
      </c>
      <c r="F87" s="11" t="n">
        <f aca="false">_xlfn.MINIFS('Futures Data'!$B$5:$B$3471,'Futures Data'!$A$5:$A$3471,A87,'Futures Data'!$B$5:$B$3471,"&gt;"&amp;C87)</f>
        <v>45310</v>
      </c>
      <c r="G87" s="3" t="n">
        <f aca="false">SUMIFS('Futures Data'!$E$5:$E$3471,'Futures Data'!$A$5:$A$3471,A87,'Futures Data'!$B$5:$B$3471,F87)</f>
        <v>4015</v>
      </c>
      <c r="H87" s="9" t="b">
        <f aca="false">G87&gt;E87</f>
        <v>0</v>
      </c>
      <c r="I87" s="9" t="b">
        <f aca="false">C87&lt;&gt;B87</f>
        <v>0</v>
      </c>
      <c r="J87" s="3" t="n">
        <f aca="false">SUMIFS('Futures Data'!$C$5:$C$3471,'Futures Data'!$A$5:$A$3471,A87,'Futures Data'!$B$5:$B$3471,B87)</f>
        <v>6021</v>
      </c>
      <c r="K87" s="3" t="n">
        <f aca="false">SUMIFS('Futures Data'!$C$5:$C$3471,'Futures Data'!$A$5:$A$3471,A87,'Futures Data'!$B$5:$B$3471,C87)</f>
        <v>6021</v>
      </c>
      <c r="L87" s="3" t="n">
        <f aca="false">K87-J87</f>
        <v>0</v>
      </c>
      <c r="M87" s="3" t="n">
        <f aca="false">M88+L87</f>
        <v>1711</v>
      </c>
      <c r="N87" s="3" t="n">
        <f aca="false">J87+M87</f>
        <v>7732</v>
      </c>
      <c r="O87" s="13" t="n">
        <f aca="false">LN(J87/K86)</f>
        <v>0.0132075814418949</v>
      </c>
      <c r="P87" s="13" t="n">
        <f aca="false">LN(N87/N86)</f>
        <v>0.0102698335183004</v>
      </c>
      <c r="Q87" s="3" t="n">
        <f aca="false">SUMIFS('Futures Data'!$D$5:$D$3471,'Futures Data'!$A$5:$A$3471,A87,'Futures Data'!$B$5:$B$3471,B87)</f>
        <v>6980</v>
      </c>
      <c r="R87" s="7" t="n">
        <v>45280</v>
      </c>
      <c r="S87" s="9" t="b">
        <f aca="false">C87=R87</f>
        <v>1</v>
      </c>
      <c r="T87" s="9" t="b">
        <f aca="false">ABS(O87-LN(J87/SUMIFS('Futures Data'!$C$5:$C$3471,'Futures Data'!$A$5:$A$3471,A86,'Futures Data'!$B$5:$B$3471,B87)))&lt;0.000000001</f>
        <v>1</v>
      </c>
    </row>
    <row r="88" customFormat="false" ht="15" hidden="false" customHeight="false" outlineLevel="0" collapsed="false">
      <c r="A88" s="7" t="n">
        <v>45253</v>
      </c>
      <c r="B88" s="11" t="n">
        <f aca="false">C87</f>
        <v>45280</v>
      </c>
      <c r="C88" s="11" t="n">
        <f aca="false">IF(OR(H87,D88&lt;=$G$4),_xlfn.MINIFS('Futures Data'!$B$5:$B$3471,'Futures Data'!$A$5:$A$3471,A88,'Futures Data'!$B$5:$B$3471,"&gt;"&amp;B88),B88)</f>
        <v>45280</v>
      </c>
      <c r="D88" s="3" t="n">
        <f aca="false">COUNTIFS($A$47:$A$790,"&gt;"&amp;A88,$A$47:$A$790,"&lt;="&amp;B88)+IF(B88&gt;$G$5,NETWORKDAYS($G$5+1,B88),0)</f>
        <v>18</v>
      </c>
      <c r="E88" s="3" t="n">
        <f aca="false">SUMIFS('Futures Data'!$E$5:$E$3471,'Futures Data'!$A$5:$A$3471,A88,'Futures Data'!$B$5:$B$3471,C88)</f>
        <v>16635</v>
      </c>
      <c r="F88" s="11" t="n">
        <f aca="false">_xlfn.MINIFS('Futures Data'!$B$5:$B$3471,'Futures Data'!$A$5:$A$3471,A88,'Futures Data'!$B$5:$B$3471,"&gt;"&amp;C88)</f>
        <v>45310</v>
      </c>
      <c r="G88" s="3" t="n">
        <f aca="false">SUMIFS('Futures Data'!$E$5:$E$3471,'Futures Data'!$A$5:$A$3471,A88,'Futures Data'!$B$5:$B$3471,F88)</f>
        <v>5375</v>
      </c>
      <c r="H88" s="9" t="b">
        <f aca="false">G88&gt;E88</f>
        <v>0</v>
      </c>
      <c r="I88" s="9" t="b">
        <f aca="false">C88&lt;&gt;B88</f>
        <v>0</v>
      </c>
      <c r="J88" s="3" t="n">
        <f aca="false">SUMIFS('Futures Data'!$C$5:$C$3471,'Futures Data'!$A$5:$A$3471,A88,'Futures Data'!$B$5:$B$3471,B88)</f>
        <v>6204</v>
      </c>
      <c r="K88" s="3" t="n">
        <f aca="false">SUMIFS('Futures Data'!$C$5:$C$3471,'Futures Data'!$A$5:$A$3471,A88,'Futures Data'!$B$5:$B$3471,C88)</f>
        <v>6204</v>
      </c>
      <c r="L88" s="3" t="n">
        <f aca="false">K88-J88</f>
        <v>0</v>
      </c>
      <c r="M88" s="3" t="n">
        <f aca="false">M89+L88</f>
        <v>1711</v>
      </c>
      <c r="N88" s="3" t="n">
        <f aca="false">J88+M88</f>
        <v>7915</v>
      </c>
      <c r="O88" s="13" t="n">
        <f aca="false">LN(J88/K87)</f>
        <v>0.0299408868319816</v>
      </c>
      <c r="P88" s="13" t="n">
        <f aca="false">LN(N88/N87)</f>
        <v>0.023392131986891</v>
      </c>
      <c r="Q88" s="3" t="n">
        <f aca="false">SUMIFS('Futures Data'!$D$5:$D$3471,'Futures Data'!$A$5:$A$3471,A88,'Futures Data'!$B$5:$B$3471,B88)</f>
        <v>12050</v>
      </c>
      <c r="R88" s="7" t="n">
        <v>45280</v>
      </c>
      <c r="S88" s="9" t="b">
        <f aca="false">C88=R88</f>
        <v>1</v>
      </c>
      <c r="T88" s="9" t="b">
        <f aca="false">ABS(O88-LN(J88/SUMIFS('Futures Data'!$C$5:$C$3471,'Futures Data'!$A$5:$A$3471,A87,'Futures Data'!$B$5:$B$3471,B88)))&lt;0.000000001</f>
        <v>1</v>
      </c>
    </row>
    <row r="89" customFormat="false" ht="15" hidden="false" customHeight="false" outlineLevel="0" collapsed="false">
      <c r="A89" s="7" t="n">
        <v>45254</v>
      </c>
      <c r="B89" s="11" t="n">
        <f aca="false">C88</f>
        <v>45280</v>
      </c>
      <c r="C89" s="11" t="n">
        <f aca="false">IF(OR(H88,D89&lt;=$G$4),_xlfn.MINIFS('Futures Data'!$B$5:$B$3471,'Futures Data'!$A$5:$A$3471,A89,'Futures Data'!$B$5:$B$3471,"&gt;"&amp;B89),B89)</f>
        <v>45280</v>
      </c>
      <c r="D89" s="3" t="n">
        <f aca="false">COUNTIFS($A$47:$A$790,"&gt;"&amp;A89,$A$47:$A$790,"&lt;="&amp;B89)+IF(B89&gt;$G$5,NETWORKDAYS($G$5+1,B89),0)</f>
        <v>17</v>
      </c>
      <c r="E89" s="3" t="n">
        <f aca="false">SUMIFS('Futures Data'!$E$5:$E$3471,'Futures Data'!$A$5:$A$3471,A89,'Futures Data'!$B$5:$B$3471,C89)</f>
        <v>15100</v>
      </c>
      <c r="F89" s="11" t="n">
        <f aca="false">_xlfn.MINIFS('Futures Data'!$B$5:$B$3471,'Futures Data'!$A$5:$A$3471,A89,'Futures Data'!$B$5:$B$3471,"&gt;"&amp;C89)</f>
        <v>45310</v>
      </c>
      <c r="G89" s="3" t="n">
        <f aca="false">SUMIFS('Futures Data'!$E$5:$E$3471,'Futures Data'!$A$5:$A$3471,A89,'Futures Data'!$B$5:$B$3471,F89)</f>
        <v>5645</v>
      </c>
      <c r="H89" s="9" t="b">
        <f aca="false">G89&gt;E89</f>
        <v>0</v>
      </c>
      <c r="I89" s="9" t="b">
        <f aca="false">C89&lt;&gt;B89</f>
        <v>0</v>
      </c>
      <c r="J89" s="3" t="n">
        <f aca="false">SUMIFS('Futures Data'!$C$5:$C$3471,'Futures Data'!$A$5:$A$3471,A89,'Futures Data'!$B$5:$B$3471,B89)</f>
        <v>6120</v>
      </c>
      <c r="K89" s="3" t="n">
        <f aca="false">SUMIFS('Futures Data'!$C$5:$C$3471,'Futures Data'!$A$5:$A$3471,A89,'Futures Data'!$B$5:$B$3471,C89)</f>
        <v>6120</v>
      </c>
      <c r="L89" s="3" t="n">
        <f aca="false">K89-J89</f>
        <v>0</v>
      </c>
      <c r="M89" s="3" t="n">
        <f aca="false">M90+L89</f>
        <v>1711</v>
      </c>
      <c r="N89" s="3" t="n">
        <f aca="false">J89+M89</f>
        <v>7831</v>
      </c>
      <c r="O89" s="13" t="n">
        <f aca="false">LN(J89/K88)</f>
        <v>-0.0136321487900576</v>
      </c>
      <c r="P89" s="13" t="n">
        <f aca="false">LN(N89/N88)</f>
        <v>-0.0106694775641749</v>
      </c>
      <c r="Q89" s="3" t="n">
        <f aca="false">SUMIFS('Futures Data'!$D$5:$D$3471,'Futures Data'!$A$5:$A$3471,A89,'Futures Data'!$B$5:$B$3471,B89)</f>
        <v>9820</v>
      </c>
      <c r="R89" s="7" t="n">
        <v>45280</v>
      </c>
      <c r="S89" s="9" t="b">
        <f aca="false">C89=R89</f>
        <v>1</v>
      </c>
      <c r="T89" s="9" t="b">
        <f aca="false">ABS(O89-LN(J89/SUMIFS('Futures Data'!$C$5:$C$3471,'Futures Data'!$A$5:$A$3471,A88,'Futures Data'!$B$5:$B$3471,B89)))&lt;0.000000001</f>
        <v>1</v>
      </c>
    </row>
    <row r="90" customFormat="false" ht="15" hidden="false" customHeight="false" outlineLevel="0" collapsed="false">
      <c r="A90" s="7" t="n">
        <v>45258</v>
      </c>
      <c r="B90" s="11" t="n">
        <f aca="false">C89</f>
        <v>45280</v>
      </c>
      <c r="C90" s="11" t="n">
        <f aca="false">IF(OR(H89,D90&lt;=$G$4),_xlfn.MINIFS('Futures Data'!$B$5:$B$3471,'Futures Data'!$A$5:$A$3471,A90,'Futures Data'!$B$5:$B$3471,"&gt;"&amp;B90),B90)</f>
        <v>45280</v>
      </c>
      <c r="D90" s="3" t="n">
        <f aca="false">COUNTIFS($A$47:$A$790,"&gt;"&amp;A90,$A$47:$A$790,"&lt;="&amp;B90)+IF(B90&gt;$G$5,NETWORKDAYS($G$5+1,B90),0)</f>
        <v>16</v>
      </c>
      <c r="E90" s="3" t="n">
        <f aca="false">SUMIFS('Futures Data'!$E$5:$E$3471,'Futures Data'!$A$5:$A$3471,A90,'Futures Data'!$B$5:$B$3471,C90)</f>
        <v>14955</v>
      </c>
      <c r="F90" s="11" t="n">
        <f aca="false">_xlfn.MINIFS('Futures Data'!$B$5:$B$3471,'Futures Data'!$A$5:$A$3471,A90,'Futures Data'!$B$5:$B$3471,"&gt;"&amp;C90)</f>
        <v>45310</v>
      </c>
      <c r="G90" s="3" t="n">
        <f aca="false">SUMIFS('Futures Data'!$E$5:$E$3471,'Futures Data'!$A$5:$A$3471,A90,'Futures Data'!$B$5:$B$3471,F90)</f>
        <v>6485</v>
      </c>
      <c r="H90" s="9" t="b">
        <f aca="false">G90&gt;E90</f>
        <v>0</v>
      </c>
      <c r="I90" s="9" t="b">
        <f aca="false">C90&lt;&gt;B90</f>
        <v>0</v>
      </c>
      <c r="J90" s="3" t="n">
        <f aca="false">SUMIFS('Futures Data'!$C$5:$C$3471,'Futures Data'!$A$5:$A$3471,A90,'Futures Data'!$B$5:$B$3471,B90)</f>
        <v>6177</v>
      </c>
      <c r="K90" s="3" t="n">
        <f aca="false">SUMIFS('Futures Data'!$C$5:$C$3471,'Futures Data'!$A$5:$A$3471,A90,'Futures Data'!$B$5:$B$3471,C90)</f>
        <v>6177</v>
      </c>
      <c r="L90" s="3" t="n">
        <f aca="false">K90-J90</f>
        <v>0</v>
      </c>
      <c r="M90" s="3" t="n">
        <f aca="false">M91+L90</f>
        <v>1711</v>
      </c>
      <c r="N90" s="3" t="n">
        <f aca="false">J90+M90</f>
        <v>7888</v>
      </c>
      <c r="O90" s="13" t="n">
        <f aca="false">LN(J90/K89)</f>
        <v>0.00927062018952734</v>
      </c>
      <c r="P90" s="13" t="n">
        <f aca="false">LN(N90/N89)</f>
        <v>0.00725240153153359</v>
      </c>
      <c r="Q90" s="3" t="n">
        <f aca="false">SUMIFS('Futures Data'!$D$5:$D$3471,'Futures Data'!$A$5:$A$3471,A90,'Futures Data'!$B$5:$B$3471,B90)</f>
        <v>5195</v>
      </c>
      <c r="R90" s="7" t="n">
        <v>45280</v>
      </c>
      <c r="S90" s="9" t="b">
        <f aca="false">C90=R90</f>
        <v>1</v>
      </c>
      <c r="T90" s="9" t="b">
        <f aca="false">ABS(O90-LN(J90/SUMIFS('Futures Data'!$C$5:$C$3471,'Futures Data'!$A$5:$A$3471,A89,'Futures Data'!$B$5:$B$3471,B90)))&lt;0.000000001</f>
        <v>1</v>
      </c>
    </row>
    <row r="91" customFormat="false" ht="15" hidden="false" customHeight="false" outlineLevel="0" collapsed="false">
      <c r="A91" s="7" t="n">
        <v>45259</v>
      </c>
      <c r="B91" s="11" t="n">
        <f aca="false">C90</f>
        <v>45280</v>
      </c>
      <c r="C91" s="11" t="n">
        <f aca="false">IF(OR(H90,D91&lt;=$G$4),_xlfn.MINIFS('Futures Data'!$B$5:$B$3471,'Futures Data'!$A$5:$A$3471,A91,'Futures Data'!$B$5:$B$3471,"&gt;"&amp;B91),B91)</f>
        <v>45280</v>
      </c>
      <c r="D91" s="3" t="n">
        <f aca="false">COUNTIFS($A$47:$A$790,"&gt;"&amp;A91,$A$47:$A$790,"&lt;="&amp;B91)+IF(B91&gt;$G$5,NETWORKDAYS($G$5+1,B91),0)</f>
        <v>15</v>
      </c>
      <c r="E91" s="3" t="n">
        <f aca="false">SUMIFS('Futures Data'!$E$5:$E$3471,'Futures Data'!$A$5:$A$3471,A91,'Futures Data'!$B$5:$B$3471,C91)</f>
        <v>14995</v>
      </c>
      <c r="F91" s="11" t="n">
        <f aca="false">_xlfn.MINIFS('Futures Data'!$B$5:$B$3471,'Futures Data'!$A$5:$A$3471,A91,'Futures Data'!$B$5:$B$3471,"&gt;"&amp;C91)</f>
        <v>45310</v>
      </c>
      <c r="G91" s="3" t="n">
        <f aca="false">SUMIFS('Futures Data'!$E$5:$E$3471,'Futures Data'!$A$5:$A$3471,A91,'Futures Data'!$B$5:$B$3471,F91)</f>
        <v>6970</v>
      </c>
      <c r="H91" s="9" t="b">
        <f aca="false">G91&gt;E91</f>
        <v>0</v>
      </c>
      <c r="I91" s="9" t="b">
        <f aca="false">C91&lt;&gt;B91</f>
        <v>0</v>
      </c>
      <c r="J91" s="3" t="n">
        <f aca="false">SUMIFS('Futures Data'!$C$5:$C$3471,'Futures Data'!$A$5:$A$3471,A91,'Futures Data'!$B$5:$B$3471,B91)</f>
        <v>6121</v>
      </c>
      <c r="K91" s="3" t="n">
        <f aca="false">SUMIFS('Futures Data'!$C$5:$C$3471,'Futures Data'!$A$5:$A$3471,A91,'Futures Data'!$B$5:$B$3471,C91)</f>
        <v>6121</v>
      </c>
      <c r="L91" s="3" t="n">
        <f aca="false">K91-J91</f>
        <v>0</v>
      </c>
      <c r="M91" s="3" t="n">
        <f aca="false">M92+L91</f>
        <v>1711</v>
      </c>
      <c r="N91" s="3" t="n">
        <f aca="false">J91+M91</f>
        <v>7832</v>
      </c>
      <c r="O91" s="13" t="n">
        <f aca="false">LN(J91/K90)</f>
        <v>-0.00910723484482934</v>
      </c>
      <c r="P91" s="13" t="n">
        <f aca="false">LN(N91/N90)</f>
        <v>-0.00712471207212506</v>
      </c>
      <c r="Q91" s="3" t="n">
        <f aca="false">SUMIFS('Futures Data'!$D$5:$D$3471,'Futures Data'!$A$5:$A$3471,A91,'Futures Data'!$B$5:$B$3471,B91)</f>
        <v>4505</v>
      </c>
      <c r="R91" s="7" t="n">
        <v>45280</v>
      </c>
      <c r="S91" s="9" t="b">
        <f aca="false">C91=R91</f>
        <v>1</v>
      </c>
      <c r="T91" s="9" t="b">
        <f aca="false">ABS(O91-LN(J91/SUMIFS('Futures Data'!$C$5:$C$3471,'Futures Data'!$A$5:$A$3471,A90,'Futures Data'!$B$5:$B$3471,B91)))&lt;0.000000001</f>
        <v>1</v>
      </c>
    </row>
    <row r="92" customFormat="false" ht="15" hidden="false" customHeight="false" outlineLevel="0" collapsed="false">
      <c r="A92" s="7" t="n">
        <v>45260</v>
      </c>
      <c r="B92" s="11" t="n">
        <f aca="false">C91</f>
        <v>45280</v>
      </c>
      <c r="C92" s="11" t="n">
        <f aca="false">IF(OR(H91,D92&lt;=$G$4),_xlfn.MINIFS('Futures Data'!$B$5:$B$3471,'Futures Data'!$A$5:$A$3471,A92,'Futures Data'!$B$5:$B$3471,"&gt;"&amp;B92),B92)</f>
        <v>45280</v>
      </c>
      <c r="D92" s="3" t="n">
        <f aca="false">COUNTIFS($A$47:$A$790,"&gt;"&amp;A92,$A$47:$A$790,"&lt;="&amp;B92)+IF(B92&gt;$G$5,NETWORKDAYS($G$5+1,B92),0)</f>
        <v>14</v>
      </c>
      <c r="E92" s="3" t="n">
        <f aca="false">SUMIFS('Futures Data'!$E$5:$E$3471,'Futures Data'!$A$5:$A$3471,A92,'Futures Data'!$B$5:$B$3471,C92)</f>
        <v>13675</v>
      </c>
      <c r="F92" s="11" t="n">
        <f aca="false">_xlfn.MINIFS('Futures Data'!$B$5:$B$3471,'Futures Data'!$A$5:$A$3471,A92,'Futures Data'!$B$5:$B$3471,"&gt;"&amp;C92)</f>
        <v>45310</v>
      </c>
      <c r="G92" s="3" t="n">
        <f aca="false">SUMIFS('Futures Data'!$E$5:$E$3471,'Futures Data'!$A$5:$A$3471,A92,'Futures Data'!$B$5:$B$3471,F92)</f>
        <v>9415</v>
      </c>
      <c r="H92" s="9" t="b">
        <f aca="false">G92&gt;E92</f>
        <v>0</v>
      </c>
      <c r="I92" s="9" t="b">
        <f aca="false">C92&lt;&gt;B92</f>
        <v>0</v>
      </c>
      <c r="J92" s="3" t="n">
        <f aca="false">SUMIFS('Futures Data'!$C$5:$C$3471,'Futures Data'!$A$5:$A$3471,A92,'Futures Data'!$B$5:$B$3471,B92)</f>
        <v>6066</v>
      </c>
      <c r="K92" s="3" t="n">
        <f aca="false">SUMIFS('Futures Data'!$C$5:$C$3471,'Futures Data'!$A$5:$A$3471,A92,'Futures Data'!$B$5:$B$3471,C92)</f>
        <v>6066</v>
      </c>
      <c r="L92" s="3" t="n">
        <f aca="false">K92-J92</f>
        <v>0</v>
      </c>
      <c r="M92" s="3" t="n">
        <f aca="false">M93+L92</f>
        <v>1711</v>
      </c>
      <c r="N92" s="3" t="n">
        <f aca="false">J92+M92</f>
        <v>7777</v>
      </c>
      <c r="O92" s="13" t="n">
        <f aca="false">LN(J92/K91)</f>
        <v>-0.00902607260254342</v>
      </c>
      <c r="P92" s="13" t="n">
        <f aca="false">LN(N92/N91)</f>
        <v>-0.00704724551540306</v>
      </c>
      <c r="Q92" s="3" t="n">
        <f aca="false">SUMIFS('Futures Data'!$D$5:$D$3471,'Futures Data'!$A$5:$A$3471,A92,'Futures Data'!$B$5:$B$3471,B92)</f>
        <v>6095</v>
      </c>
      <c r="R92" s="7" t="n">
        <v>45280</v>
      </c>
      <c r="S92" s="9" t="b">
        <f aca="false">C92=R92</f>
        <v>1</v>
      </c>
      <c r="T92" s="9" t="b">
        <f aca="false">ABS(O92-LN(J92/SUMIFS('Futures Data'!$C$5:$C$3471,'Futures Data'!$A$5:$A$3471,A91,'Futures Data'!$B$5:$B$3471,B92)))&lt;0.000000001</f>
        <v>1</v>
      </c>
    </row>
    <row r="93" customFormat="false" ht="15" hidden="false" customHeight="false" outlineLevel="0" collapsed="false">
      <c r="A93" s="7" t="n">
        <v>45261</v>
      </c>
      <c r="B93" s="11" t="n">
        <f aca="false">C92</f>
        <v>45280</v>
      </c>
      <c r="C93" s="11" t="n">
        <f aca="false">IF(OR(H92,D93&lt;=$G$4),_xlfn.MINIFS('Futures Data'!$B$5:$B$3471,'Futures Data'!$A$5:$A$3471,A93,'Futures Data'!$B$5:$B$3471,"&gt;"&amp;B93),B93)</f>
        <v>45280</v>
      </c>
      <c r="D93" s="3" t="n">
        <f aca="false">COUNTIFS($A$47:$A$790,"&gt;"&amp;A93,$A$47:$A$790,"&lt;="&amp;B93)+IF(B93&gt;$G$5,NETWORKDAYS($G$5+1,B93),0)</f>
        <v>13</v>
      </c>
      <c r="E93" s="3" t="n">
        <f aca="false">SUMIFS('Futures Data'!$E$5:$E$3471,'Futures Data'!$A$5:$A$3471,A93,'Futures Data'!$B$5:$B$3471,C93)</f>
        <v>11650</v>
      </c>
      <c r="F93" s="11" t="n">
        <f aca="false">_xlfn.MINIFS('Futures Data'!$B$5:$B$3471,'Futures Data'!$A$5:$A$3471,A93,'Futures Data'!$B$5:$B$3471,"&gt;"&amp;C93)</f>
        <v>45310</v>
      </c>
      <c r="G93" s="3" t="n">
        <f aca="false">SUMIFS('Futures Data'!$E$5:$E$3471,'Futures Data'!$A$5:$A$3471,A93,'Futures Data'!$B$5:$B$3471,F93)</f>
        <v>11300</v>
      </c>
      <c r="H93" s="9" t="b">
        <f aca="false">G93&gt;E93</f>
        <v>0</v>
      </c>
      <c r="I93" s="9" t="b">
        <f aca="false">C93&lt;&gt;B93</f>
        <v>0</v>
      </c>
      <c r="J93" s="3" t="n">
        <f aca="false">SUMIFS('Futures Data'!$C$5:$C$3471,'Futures Data'!$A$5:$A$3471,A93,'Futures Data'!$B$5:$B$3471,B93)</f>
        <v>5995</v>
      </c>
      <c r="K93" s="3" t="n">
        <f aca="false">SUMIFS('Futures Data'!$C$5:$C$3471,'Futures Data'!$A$5:$A$3471,A93,'Futures Data'!$B$5:$B$3471,C93)</f>
        <v>5995</v>
      </c>
      <c r="L93" s="3" t="n">
        <f aca="false">K93-J93</f>
        <v>0</v>
      </c>
      <c r="M93" s="3" t="n">
        <f aca="false">M94+L93</f>
        <v>1711</v>
      </c>
      <c r="N93" s="3" t="n">
        <f aca="false">J93+M93</f>
        <v>7706</v>
      </c>
      <c r="O93" s="13" t="n">
        <f aca="false">LN(J93/K92)</f>
        <v>-0.0117736207869118</v>
      </c>
      <c r="P93" s="13" t="n">
        <f aca="false">LN(N93/N92)</f>
        <v>-0.00917141350884039</v>
      </c>
      <c r="Q93" s="3" t="n">
        <f aca="false">SUMIFS('Futures Data'!$D$5:$D$3471,'Futures Data'!$A$5:$A$3471,A93,'Futures Data'!$B$5:$B$3471,B93)</f>
        <v>7490</v>
      </c>
      <c r="R93" s="7" t="n">
        <v>45280</v>
      </c>
      <c r="S93" s="9" t="b">
        <f aca="false">C93=R93</f>
        <v>1</v>
      </c>
      <c r="T93" s="9" t="b">
        <f aca="false">ABS(O93-LN(J93/SUMIFS('Futures Data'!$C$5:$C$3471,'Futures Data'!$A$5:$A$3471,A92,'Futures Data'!$B$5:$B$3471,B93)))&lt;0.000000001</f>
        <v>1</v>
      </c>
    </row>
    <row r="94" customFormat="false" ht="15" hidden="false" customHeight="false" outlineLevel="0" collapsed="false">
      <c r="A94" s="7" t="n">
        <v>45264</v>
      </c>
      <c r="B94" s="11" t="n">
        <f aca="false">C93</f>
        <v>45280</v>
      </c>
      <c r="C94" s="11" t="n">
        <f aca="false">IF(OR(H93,D94&lt;=$G$4),_xlfn.MINIFS('Futures Data'!$B$5:$B$3471,'Futures Data'!$A$5:$A$3471,A94,'Futures Data'!$B$5:$B$3471,"&gt;"&amp;B94),B94)</f>
        <v>45280</v>
      </c>
      <c r="D94" s="3" t="n">
        <f aca="false">COUNTIFS($A$47:$A$790,"&gt;"&amp;A94,$A$47:$A$790,"&lt;="&amp;B94)+IF(B94&gt;$G$5,NETWORKDAYS($G$5+1,B94),0)</f>
        <v>12</v>
      </c>
      <c r="E94" s="3" t="n">
        <f aca="false">SUMIFS('Futures Data'!$E$5:$E$3471,'Futures Data'!$A$5:$A$3471,A94,'Futures Data'!$B$5:$B$3471,C94)</f>
        <v>10310</v>
      </c>
      <c r="F94" s="11" t="n">
        <f aca="false">_xlfn.MINIFS('Futures Data'!$B$5:$B$3471,'Futures Data'!$A$5:$A$3471,A94,'Futures Data'!$B$5:$B$3471,"&gt;"&amp;C94)</f>
        <v>45310</v>
      </c>
      <c r="G94" s="3" t="n">
        <f aca="false">SUMIFS('Futures Data'!$E$5:$E$3471,'Futures Data'!$A$5:$A$3471,A94,'Futures Data'!$B$5:$B$3471,F94)</f>
        <v>12010</v>
      </c>
      <c r="H94" s="9" t="b">
        <f aca="false">G94&gt;E94</f>
        <v>1</v>
      </c>
      <c r="I94" s="9" t="b">
        <f aca="false">C94&lt;&gt;B94</f>
        <v>0</v>
      </c>
      <c r="J94" s="3" t="n">
        <f aca="false">SUMIFS('Futures Data'!$C$5:$C$3471,'Futures Data'!$A$5:$A$3471,A94,'Futures Data'!$B$5:$B$3471,B94)</f>
        <v>5843</v>
      </c>
      <c r="K94" s="3" t="n">
        <f aca="false">SUMIFS('Futures Data'!$C$5:$C$3471,'Futures Data'!$A$5:$A$3471,A94,'Futures Data'!$B$5:$B$3471,C94)</f>
        <v>5843</v>
      </c>
      <c r="L94" s="3" t="n">
        <f aca="false">K94-J94</f>
        <v>0</v>
      </c>
      <c r="M94" s="3" t="n">
        <f aca="false">M95+L94</f>
        <v>1711</v>
      </c>
      <c r="N94" s="3" t="n">
        <f aca="false">J94+M94</f>
        <v>7554</v>
      </c>
      <c r="O94" s="13" t="n">
        <f aca="false">LN(J94/K93)</f>
        <v>-0.0256814249071776</v>
      </c>
      <c r="P94" s="13" t="n">
        <f aca="false">LN(N94/N93)</f>
        <v>-0.0199220219137008</v>
      </c>
      <c r="Q94" s="3" t="n">
        <f aca="false">SUMIFS('Futures Data'!$D$5:$D$3471,'Futures Data'!$A$5:$A$3471,A94,'Futures Data'!$B$5:$B$3471,B94)</f>
        <v>8310</v>
      </c>
      <c r="R94" s="7" t="n">
        <v>45280</v>
      </c>
      <c r="S94" s="9" t="b">
        <f aca="false">C94=R94</f>
        <v>1</v>
      </c>
      <c r="T94" s="9" t="b">
        <f aca="false">ABS(O94-LN(J94/SUMIFS('Futures Data'!$C$5:$C$3471,'Futures Data'!$A$5:$A$3471,A93,'Futures Data'!$B$5:$B$3471,B94)))&lt;0.000000001</f>
        <v>1</v>
      </c>
    </row>
    <row r="95" customFormat="false" ht="15" hidden="false" customHeight="false" outlineLevel="0" collapsed="false">
      <c r="A95" s="7" t="n">
        <v>45265</v>
      </c>
      <c r="B95" s="11" t="n">
        <f aca="false">C94</f>
        <v>45280</v>
      </c>
      <c r="C95" s="11" t="n">
        <f aca="false">IF(OR(H94,D95&lt;=$G$4),_xlfn.MINIFS('Futures Data'!$B$5:$B$3471,'Futures Data'!$A$5:$A$3471,A95,'Futures Data'!$B$5:$B$3471,"&gt;"&amp;B95),B95)</f>
        <v>45310</v>
      </c>
      <c r="D95" s="3" t="n">
        <f aca="false">COUNTIFS($A$47:$A$790,"&gt;"&amp;A95,$A$47:$A$790,"&lt;="&amp;B95)+IF(B95&gt;$G$5,NETWORKDAYS($G$5+1,B95),0)</f>
        <v>11</v>
      </c>
      <c r="E95" s="3" t="n">
        <f aca="false">SUMIFS('Futures Data'!$E$5:$E$3471,'Futures Data'!$A$5:$A$3471,A95,'Futures Data'!$B$5:$B$3471,C95)</f>
        <v>13830</v>
      </c>
      <c r="F95" s="11" t="n">
        <f aca="false">_xlfn.MINIFS('Futures Data'!$B$5:$B$3471,'Futures Data'!$A$5:$A$3471,A95,'Futures Data'!$B$5:$B$3471,"&gt;"&amp;C95)</f>
        <v>45342</v>
      </c>
      <c r="G95" s="3" t="n">
        <f aca="false">SUMIFS('Futures Data'!$E$5:$E$3471,'Futures Data'!$A$5:$A$3471,A95,'Futures Data'!$B$5:$B$3471,F95)</f>
        <v>4110</v>
      </c>
      <c r="H95" s="9" t="b">
        <f aca="false">G95&gt;E95</f>
        <v>0</v>
      </c>
      <c r="I95" s="9" t="b">
        <f aca="false">C95&lt;&gt;B95</f>
        <v>1</v>
      </c>
      <c r="J95" s="3" t="n">
        <f aca="false">SUMIFS('Futures Data'!$C$5:$C$3471,'Futures Data'!$A$5:$A$3471,A95,'Futures Data'!$B$5:$B$3471,B95)</f>
        <v>5880</v>
      </c>
      <c r="K95" s="3" t="n">
        <f aca="false">SUMIFS('Futures Data'!$C$5:$C$3471,'Futures Data'!$A$5:$A$3471,A95,'Futures Data'!$B$5:$B$3471,C95)</f>
        <v>5925</v>
      </c>
      <c r="L95" s="3" t="n">
        <f aca="false">K95-J95</f>
        <v>45</v>
      </c>
      <c r="M95" s="3" t="n">
        <f aca="false">M96+L95</f>
        <v>1711</v>
      </c>
      <c r="N95" s="3" t="n">
        <f aca="false">J95+M95</f>
        <v>7591</v>
      </c>
      <c r="O95" s="13" t="n">
        <f aca="false">LN(J95/K94)</f>
        <v>0.00631239833823559</v>
      </c>
      <c r="P95" s="13" t="n">
        <f aca="false">LN(N95/N94)</f>
        <v>0.00488611074436595</v>
      </c>
      <c r="Q95" s="3" t="n">
        <f aca="false">SUMIFS('Futures Data'!$D$5:$D$3471,'Futures Data'!$A$5:$A$3471,A95,'Futures Data'!$B$5:$B$3471,B95)</f>
        <v>5410</v>
      </c>
      <c r="R95" s="7" t="n">
        <v>45310</v>
      </c>
      <c r="S95" s="9" t="b">
        <f aca="false">C95=R95</f>
        <v>1</v>
      </c>
      <c r="T95" s="9" t="b">
        <f aca="false">ABS(O95-LN(J95/SUMIFS('Futures Data'!$C$5:$C$3471,'Futures Data'!$A$5:$A$3471,A94,'Futures Data'!$B$5:$B$3471,B95)))&lt;0.000000001</f>
        <v>1</v>
      </c>
    </row>
    <row r="96" customFormat="false" ht="15" hidden="false" customHeight="false" outlineLevel="0" collapsed="false">
      <c r="A96" s="7" t="n">
        <v>45266</v>
      </c>
      <c r="B96" s="11" t="n">
        <f aca="false">C95</f>
        <v>45310</v>
      </c>
      <c r="C96" s="11" t="n">
        <f aca="false">IF(OR(H95,D96&lt;=$G$4),_xlfn.MINIFS('Futures Data'!$B$5:$B$3471,'Futures Data'!$A$5:$A$3471,A96,'Futures Data'!$B$5:$B$3471,"&gt;"&amp;B96),B96)</f>
        <v>45310</v>
      </c>
      <c r="D96" s="3" t="n">
        <f aca="false">COUNTIFS($A$47:$A$790,"&gt;"&amp;A96,$A$47:$A$790,"&lt;="&amp;B96)+IF(B96&gt;$G$5,NETWORKDAYS($G$5+1,B96),0)</f>
        <v>31</v>
      </c>
      <c r="E96" s="3" t="n">
        <f aca="false">SUMIFS('Futures Data'!$E$5:$E$3471,'Futures Data'!$A$5:$A$3471,A96,'Futures Data'!$B$5:$B$3471,C96)</f>
        <v>13395</v>
      </c>
      <c r="F96" s="11" t="n">
        <f aca="false">_xlfn.MINIFS('Futures Data'!$B$5:$B$3471,'Futures Data'!$A$5:$A$3471,A96,'Futures Data'!$B$5:$B$3471,"&gt;"&amp;C96)</f>
        <v>45342</v>
      </c>
      <c r="G96" s="3" t="n">
        <f aca="false">SUMIFS('Futures Data'!$E$5:$E$3471,'Futures Data'!$A$5:$A$3471,A96,'Futures Data'!$B$5:$B$3471,F96)</f>
        <v>4420</v>
      </c>
      <c r="H96" s="9" t="b">
        <f aca="false">G96&gt;E96</f>
        <v>0</v>
      </c>
      <c r="I96" s="9" t="b">
        <f aca="false">C96&lt;&gt;B96</f>
        <v>0</v>
      </c>
      <c r="J96" s="3" t="n">
        <f aca="false">SUMIFS('Futures Data'!$C$5:$C$3471,'Futures Data'!$A$5:$A$3471,A96,'Futures Data'!$B$5:$B$3471,B96)</f>
        <v>5988</v>
      </c>
      <c r="K96" s="3" t="n">
        <f aca="false">SUMIFS('Futures Data'!$C$5:$C$3471,'Futures Data'!$A$5:$A$3471,A96,'Futures Data'!$B$5:$B$3471,C96)</f>
        <v>5988</v>
      </c>
      <c r="L96" s="3" t="n">
        <f aca="false">K96-J96</f>
        <v>0</v>
      </c>
      <c r="M96" s="3" t="n">
        <f aca="false">M97+L96</f>
        <v>1666</v>
      </c>
      <c r="N96" s="3" t="n">
        <f aca="false">J96+M96</f>
        <v>7654</v>
      </c>
      <c r="O96" s="13" t="n">
        <f aca="false">LN(J96/K95)</f>
        <v>0.0105767795361871</v>
      </c>
      <c r="P96" s="13" t="n">
        <f aca="false">LN(N96/N95)</f>
        <v>0.00826505196887935</v>
      </c>
      <c r="Q96" s="3" t="n">
        <f aca="false">SUMIFS('Futures Data'!$D$5:$D$3471,'Futures Data'!$A$5:$A$3471,A96,'Futures Data'!$B$5:$B$3471,B96)</f>
        <v>4400</v>
      </c>
      <c r="R96" s="7" t="n">
        <v>45310</v>
      </c>
      <c r="S96" s="9" t="b">
        <f aca="false">C96=R96</f>
        <v>1</v>
      </c>
      <c r="T96" s="9" t="b">
        <f aca="false">ABS(O96-LN(J96/SUMIFS('Futures Data'!$C$5:$C$3471,'Futures Data'!$A$5:$A$3471,A95,'Futures Data'!$B$5:$B$3471,B96)))&lt;0.000000001</f>
        <v>1</v>
      </c>
    </row>
    <row r="97" customFormat="false" ht="15" hidden="false" customHeight="false" outlineLevel="0" collapsed="false">
      <c r="A97" s="7" t="n">
        <v>45267</v>
      </c>
      <c r="B97" s="11" t="n">
        <f aca="false">C96</f>
        <v>45310</v>
      </c>
      <c r="C97" s="11" t="n">
        <f aca="false">IF(OR(H96,D97&lt;=$G$4),_xlfn.MINIFS('Futures Data'!$B$5:$B$3471,'Futures Data'!$A$5:$A$3471,A97,'Futures Data'!$B$5:$B$3471,"&gt;"&amp;B97),B97)</f>
        <v>45310</v>
      </c>
      <c r="D97" s="3" t="n">
        <f aca="false">COUNTIFS($A$47:$A$790,"&gt;"&amp;A97,$A$47:$A$790,"&lt;="&amp;B97)+IF(B97&gt;$G$5,NETWORKDAYS($G$5+1,B97),0)</f>
        <v>30</v>
      </c>
      <c r="E97" s="3" t="n">
        <f aca="false">SUMIFS('Futures Data'!$E$5:$E$3471,'Futures Data'!$A$5:$A$3471,A97,'Futures Data'!$B$5:$B$3471,C97)</f>
        <v>14935</v>
      </c>
      <c r="F97" s="11" t="n">
        <f aca="false">_xlfn.MINIFS('Futures Data'!$B$5:$B$3471,'Futures Data'!$A$5:$A$3471,A97,'Futures Data'!$B$5:$B$3471,"&gt;"&amp;C97)</f>
        <v>45342</v>
      </c>
      <c r="G97" s="3" t="n">
        <f aca="false">SUMIFS('Futures Data'!$E$5:$E$3471,'Futures Data'!$A$5:$A$3471,A97,'Futures Data'!$B$5:$B$3471,F97)</f>
        <v>4680</v>
      </c>
      <c r="H97" s="9" t="b">
        <f aca="false">G97&gt;E97</f>
        <v>0</v>
      </c>
      <c r="I97" s="9" t="b">
        <f aca="false">C97&lt;&gt;B97</f>
        <v>0</v>
      </c>
      <c r="J97" s="3" t="n">
        <f aca="false">SUMIFS('Futures Data'!$C$5:$C$3471,'Futures Data'!$A$5:$A$3471,A97,'Futures Data'!$B$5:$B$3471,B97)</f>
        <v>5935</v>
      </c>
      <c r="K97" s="3" t="n">
        <f aca="false">SUMIFS('Futures Data'!$C$5:$C$3471,'Futures Data'!$A$5:$A$3471,A97,'Futures Data'!$B$5:$B$3471,C97)</f>
        <v>5935</v>
      </c>
      <c r="L97" s="3" t="n">
        <f aca="false">K97-J97</f>
        <v>0</v>
      </c>
      <c r="M97" s="3" t="n">
        <f aca="false">M98+L97</f>
        <v>1666</v>
      </c>
      <c r="N97" s="3" t="n">
        <f aca="false">J97+M97</f>
        <v>7601</v>
      </c>
      <c r="O97" s="13" t="n">
        <f aca="false">LN(J97/K96)</f>
        <v>-0.00889043849575062</v>
      </c>
      <c r="P97" s="13" t="n">
        <f aca="false">LN(N97/N96)</f>
        <v>-0.00694856941960712</v>
      </c>
      <c r="Q97" s="3" t="n">
        <f aca="false">SUMIFS('Futures Data'!$D$5:$D$3471,'Futures Data'!$A$5:$A$3471,A97,'Futures Data'!$B$5:$B$3471,B97)</f>
        <v>4765</v>
      </c>
      <c r="R97" s="7" t="n">
        <v>45310</v>
      </c>
      <c r="S97" s="9" t="b">
        <f aca="false">C97=R97</f>
        <v>1</v>
      </c>
      <c r="T97" s="9" t="b">
        <f aca="false">ABS(O97-LN(J97/SUMIFS('Futures Data'!$C$5:$C$3471,'Futures Data'!$A$5:$A$3471,A96,'Futures Data'!$B$5:$B$3471,B97)))&lt;0.000000001</f>
        <v>1</v>
      </c>
    </row>
    <row r="98" customFormat="false" ht="15" hidden="false" customHeight="false" outlineLevel="0" collapsed="false">
      <c r="A98" s="7" t="n">
        <v>45268</v>
      </c>
      <c r="B98" s="11" t="n">
        <f aca="false">C97</f>
        <v>45310</v>
      </c>
      <c r="C98" s="11" t="n">
        <f aca="false">IF(OR(H97,D98&lt;=$G$4),_xlfn.MINIFS('Futures Data'!$B$5:$B$3471,'Futures Data'!$A$5:$A$3471,A98,'Futures Data'!$B$5:$B$3471,"&gt;"&amp;B98),B98)</f>
        <v>45310</v>
      </c>
      <c r="D98" s="3" t="n">
        <f aca="false">COUNTIFS($A$47:$A$790,"&gt;"&amp;A98,$A$47:$A$790,"&lt;="&amp;B98)+IF(B98&gt;$G$5,NETWORKDAYS($G$5+1,B98),0)</f>
        <v>29</v>
      </c>
      <c r="E98" s="3" t="n">
        <f aca="false">SUMIFS('Futures Data'!$E$5:$E$3471,'Futures Data'!$A$5:$A$3471,A98,'Futures Data'!$B$5:$B$3471,C98)</f>
        <v>15565</v>
      </c>
      <c r="F98" s="11" t="n">
        <f aca="false">_xlfn.MINIFS('Futures Data'!$B$5:$B$3471,'Futures Data'!$A$5:$A$3471,A98,'Futures Data'!$B$5:$B$3471,"&gt;"&amp;C98)</f>
        <v>45342</v>
      </c>
      <c r="G98" s="3" t="n">
        <f aca="false">SUMIFS('Futures Data'!$E$5:$E$3471,'Futures Data'!$A$5:$A$3471,A98,'Futures Data'!$B$5:$B$3471,F98)</f>
        <v>4915</v>
      </c>
      <c r="H98" s="9" t="b">
        <f aca="false">G98&gt;E98</f>
        <v>0</v>
      </c>
      <c r="I98" s="9" t="b">
        <f aca="false">C98&lt;&gt;B98</f>
        <v>0</v>
      </c>
      <c r="J98" s="3" t="n">
        <f aca="false">SUMIFS('Futures Data'!$C$5:$C$3471,'Futures Data'!$A$5:$A$3471,A98,'Futures Data'!$B$5:$B$3471,B98)</f>
        <v>5942</v>
      </c>
      <c r="K98" s="3" t="n">
        <f aca="false">SUMIFS('Futures Data'!$C$5:$C$3471,'Futures Data'!$A$5:$A$3471,A98,'Futures Data'!$B$5:$B$3471,C98)</f>
        <v>5942</v>
      </c>
      <c r="L98" s="3" t="n">
        <f aca="false">K98-J98</f>
        <v>0</v>
      </c>
      <c r="M98" s="3" t="n">
        <f aca="false">M99+L98</f>
        <v>1666</v>
      </c>
      <c r="N98" s="3" t="n">
        <f aca="false">J98+M98</f>
        <v>7608</v>
      </c>
      <c r="O98" s="13" t="n">
        <f aca="false">LN(J98/K97)</f>
        <v>0.00117874897878443</v>
      </c>
      <c r="P98" s="13" t="n">
        <f aca="false">LN(N98/N97)</f>
        <v>0.000920507659185862</v>
      </c>
      <c r="Q98" s="3" t="n">
        <f aca="false">SUMIFS('Futures Data'!$D$5:$D$3471,'Futures Data'!$A$5:$A$3471,A98,'Futures Data'!$B$5:$B$3471,B98)</f>
        <v>2945</v>
      </c>
      <c r="R98" s="7" t="n">
        <v>45310</v>
      </c>
      <c r="S98" s="9" t="b">
        <f aca="false">C98=R98</f>
        <v>1</v>
      </c>
      <c r="T98" s="9" t="b">
        <f aca="false">ABS(O98-LN(J98/SUMIFS('Futures Data'!$C$5:$C$3471,'Futures Data'!$A$5:$A$3471,A97,'Futures Data'!$B$5:$B$3471,B98)))&lt;0.000000001</f>
        <v>1</v>
      </c>
    </row>
    <row r="99" customFormat="false" ht="15" hidden="false" customHeight="false" outlineLevel="0" collapsed="false">
      <c r="A99" s="7" t="n">
        <v>45271</v>
      </c>
      <c r="B99" s="11" t="n">
        <f aca="false">C98</f>
        <v>45310</v>
      </c>
      <c r="C99" s="11" t="n">
        <f aca="false">IF(OR(H98,D99&lt;=$G$4),_xlfn.MINIFS('Futures Data'!$B$5:$B$3471,'Futures Data'!$A$5:$A$3471,A99,'Futures Data'!$B$5:$B$3471,"&gt;"&amp;B99),B99)</f>
        <v>45310</v>
      </c>
      <c r="D99" s="3" t="n">
        <f aca="false">COUNTIFS($A$47:$A$790,"&gt;"&amp;A99,$A$47:$A$790,"&lt;="&amp;B99)+IF(B99&gt;$G$5,NETWORKDAYS($G$5+1,B99),0)</f>
        <v>28</v>
      </c>
      <c r="E99" s="3" t="n">
        <f aca="false">SUMIFS('Futures Data'!$E$5:$E$3471,'Futures Data'!$A$5:$A$3471,A99,'Futures Data'!$B$5:$B$3471,C99)</f>
        <v>16835</v>
      </c>
      <c r="F99" s="11" t="n">
        <f aca="false">_xlfn.MINIFS('Futures Data'!$B$5:$B$3471,'Futures Data'!$A$5:$A$3471,A99,'Futures Data'!$B$5:$B$3471,"&gt;"&amp;C99)</f>
        <v>45342</v>
      </c>
      <c r="G99" s="3" t="n">
        <f aca="false">SUMIFS('Futures Data'!$E$5:$E$3471,'Futures Data'!$A$5:$A$3471,A99,'Futures Data'!$B$5:$B$3471,F99)</f>
        <v>5080</v>
      </c>
      <c r="H99" s="9" t="b">
        <f aca="false">G99&gt;E99</f>
        <v>0</v>
      </c>
      <c r="I99" s="9" t="b">
        <f aca="false">C99&lt;&gt;B99</f>
        <v>0</v>
      </c>
      <c r="J99" s="3" t="n">
        <f aca="false">SUMIFS('Futures Data'!$C$5:$C$3471,'Futures Data'!$A$5:$A$3471,A99,'Futures Data'!$B$5:$B$3471,B99)</f>
        <v>5913</v>
      </c>
      <c r="K99" s="3" t="n">
        <f aca="false">SUMIFS('Futures Data'!$C$5:$C$3471,'Futures Data'!$A$5:$A$3471,A99,'Futures Data'!$B$5:$B$3471,C99)</f>
        <v>5913</v>
      </c>
      <c r="L99" s="3" t="n">
        <f aca="false">K99-J99</f>
        <v>0</v>
      </c>
      <c r="M99" s="3" t="n">
        <f aca="false">M100+L99</f>
        <v>1666</v>
      </c>
      <c r="N99" s="3" t="n">
        <f aca="false">J99+M99</f>
        <v>7579</v>
      </c>
      <c r="O99" s="13" t="n">
        <f aca="false">LN(J99/K98)</f>
        <v>-0.00489246020172307</v>
      </c>
      <c r="P99" s="13" t="n">
        <f aca="false">LN(N99/N98)</f>
        <v>-0.0038190604131971</v>
      </c>
      <c r="Q99" s="3" t="n">
        <f aca="false">SUMIFS('Futures Data'!$D$5:$D$3471,'Futures Data'!$A$5:$A$3471,A99,'Futures Data'!$B$5:$B$3471,B99)</f>
        <v>3880</v>
      </c>
      <c r="R99" s="7" t="n">
        <v>45310</v>
      </c>
      <c r="S99" s="9" t="b">
        <f aca="false">C99=R99</f>
        <v>1</v>
      </c>
      <c r="T99" s="9" t="b">
        <f aca="false">ABS(O99-LN(J99/SUMIFS('Futures Data'!$C$5:$C$3471,'Futures Data'!$A$5:$A$3471,A98,'Futures Data'!$B$5:$B$3471,B99)))&lt;0.000000001</f>
        <v>1</v>
      </c>
    </row>
    <row r="100" customFormat="false" ht="15" hidden="false" customHeight="false" outlineLevel="0" collapsed="false">
      <c r="A100" s="7" t="n">
        <v>45272</v>
      </c>
      <c r="B100" s="11" t="n">
        <f aca="false">C99</f>
        <v>45310</v>
      </c>
      <c r="C100" s="11" t="n">
        <f aca="false">IF(OR(H99,D100&lt;=$G$4),_xlfn.MINIFS('Futures Data'!$B$5:$B$3471,'Futures Data'!$A$5:$A$3471,A100,'Futures Data'!$B$5:$B$3471,"&gt;"&amp;B100),B100)</f>
        <v>45310</v>
      </c>
      <c r="D100" s="3" t="n">
        <f aca="false">COUNTIFS($A$47:$A$790,"&gt;"&amp;A100,$A$47:$A$790,"&lt;="&amp;B100)+IF(B100&gt;$G$5,NETWORKDAYS($G$5+1,B100),0)</f>
        <v>27</v>
      </c>
      <c r="E100" s="3" t="n">
        <f aca="false">SUMIFS('Futures Data'!$E$5:$E$3471,'Futures Data'!$A$5:$A$3471,A100,'Futures Data'!$B$5:$B$3471,C100)</f>
        <v>14965</v>
      </c>
      <c r="F100" s="11" t="n">
        <f aca="false">_xlfn.MINIFS('Futures Data'!$B$5:$B$3471,'Futures Data'!$A$5:$A$3471,A100,'Futures Data'!$B$5:$B$3471,"&gt;"&amp;C100)</f>
        <v>45342</v>
      </c>
      <c r="G100" s="3" t="n">
        <f aca="false">SUMIFS('Futures Data'!$E$5:$E$3471,'Futures Data'!$A$5:$A$3471,A100,'Futures Data'!$B$5:$B$3471,F100)</f>
        <v>5965</v>
      </c>
      <c r="H100" s="9" t="b">
        <f aca="false">G100&gt;E100</f>
        <v>0</v>
      </c>
      <c r="I100" s="9" t="b">
        <f aca="false">C100&lt;&gt;B100</f>
        <v>0</v>
      </c>
      <c r="J100" s="3" t="n">
        <f aca="false">SUMIFS('Futures Data'!$C$5:$C$3471,'Futures Data'!$A$5:$A$3471,A100,'Futures Data'!$B$5:$B$3471,B100)</f>
        <v>5870</v>
      </c>
      <c r="K100" s="3" t="n">
        <f aca="false">SUMIFS('Futures Data'!$C$5:$C$3471,'Futures Data'!$A$5:$A$3471,A100,'Futures Data'!$B$5:$B$3471,C100)</f>
        <v>5870</v>
      </c>
      <c r="L100" s="3" t="n">
        <f aca="false">K100-J100</f>
        <v>0</v>
      </c>
      <c r="M100" s="3" t="n">
        <f aca="false">M101+L100</f>
        <v>1666</v>
      </c>
      <c r="N100" s="3" t="n">
        <f aca="false">J100+M100</f>
        <v>7536</v>
      </c>
      <c r="O100" s="13" t="n">
        <f aca="false">LN(J100/K99)</f>
        <v>-0.00729868299868782</v>
      </c>
      <c r="P100" s="13" t="n">
        <f aca="false">LN(N100/N99)</f>
        <v>-0.00568972755583012</v>
      </c>
      <c r="Q100" s="3" t="n">
        <f aca="false">SUMIFS('Futures Data'!$D$5:$D$3471,'Futures Data'!$A$5:$A$3471,A100,'Futures Data'!$B$5:$B$3471,B100)</f>
        <v>9830</v>
      </c>
      <c r="R100" s="7" t="n">
        <v>45310</v>
      </c>
      <c r="S100" s="9" t="b">
        <f aca="false">C100=R100</f>
        <v>1</v>
      </c>
      <c r="T100" s="9" t="b">
        <f aca="false">ABS(O100-LN(J100/SUMIFS('Futures Data'!$C$5:$C$3471,'Futures Data'!$A$5:$A$3471,A99,'Futures Data'!$B$5:$B$3471,B100)))&lt;0.000000001</f>
        <v>1</v>
      </c>
    </row>
    <row r="101" customFormat="false" ht="15" hidden="false" customHeight="false" outlineLevel="0" collapsed="false">
      <c r="A101" s="7" t="n">
        <v>45273</v>
      </c>
      <c r="B101" s="11" t="n">
        <f aca="false">C100</f>
        <v>45310</v>
      </c>
      <c r="C101" s="11" t="n">
        <f aca="false">IF(OR(H100,D101&lt;=$G$4),_xlfn.MINIFS('Futures Data'!$B$5:$B$3471,'Futures Data'!$A$5:$A$3471,A101,'Futures Data'!$B$5:$B$3471,"&gt;"&amp;B101),B101)</f>
        <v>45310</v>
      </c>
      <c r="D101" s="3" t="n">
        <f aca="false">COUNTIFS($A$47:$A$790,"&gt;"&amp;A101,$A$47:$A$790,"&lt;="&amp;B101)+IF(B101&gt;$G$5,NETWORKDAYS($G$5+1,B101),0)</f>
        <v>26</v>
      </c>
      <c r="E101" s="3" t="n">
        <f aca="false">SUMIFS('Futures Data'!$E$5:$E$3471,'Futures Data'!$A$5:$A$3471,A101,'Futures Data'!$B$5:$B$3471,C101)</f>
        <v>15565</v>
      </c>
      <c r="F101" s="11" t="n">
        <f aca="false">_xlfn.MINIFS('Futures Data'!$B$5:$B$3471,'Futures Data'!$A$5:$A$3471,A101,'Futures Data'!$B$5:$B$3471,"&gt;"&amp;C101)</f>
        <v>45342</v>
      </c>
      <c r="G101" s="3" t="n">
        <f aca="false">SUMIFS('Futures Data'!$E$5:$E$3471,'Futures Data'!$A$5:$A$3471,A101,'Futures Data'!$B$5:$B$3471,F101)</f>
        <v>6350</v>
      </c>
      <c r="H101" s="9" t="b">
        <f aca="false">G101&gt;E101</f>
        <v>0</v>
      </c>
      <c r="I101" s="9" t="b">
        <f aca="false">C101&lt;&gt;B101</f>
        <v>0</v>
      </c>
      <c r="J101" s="3" t="n">
        <f aca="false">SUMIFS('Futures Data'!$C$5:$C$3471,'Futures Data'!$A$5:$A$3471,A101,'Futures Data'!$B$5:$B$3471,B101)</f>
        <v>5881</v>
      </c>
      <c r="K101" s="3" t="n">
        <f aca="false">SUMIFS('Futures Data'!$C$5:$C$3471,'Futures Data'!$A$5:$A$3471,A101,'Futures Data'!$B$5:$B$3471,C101)</f>
        <v>5881</v>
      </c>
      <c r="L101" s="3" t="n">
        <f aca="false">K101-J101</f>
        <v>0</v>
      </c>
      <c r="M101" s="3" t="n">
        <f aca="false">M102+L101</f>
        <v>1666</v>
      </c>
      <c r="N101" s="3" t="n">
        <f aca="false">J101+M101</f>
        <v>7547</v>
      </c>
      <c r="O101" s="13" t="n">
        <f aca="false">LN(J101/K100)</f>
        <v>0.00187218163781377</v>
      </c>
      <c r="P101" s="13" t="n">
        <f aca="false">LN(N101/N100)</f>
        <v>0.00145859602866938</v>
      </c>
      <c r="Q101" s="3" t="n">
        <f aca="false">SUMIFS('Futures Data'!$D$5:$D$3471,'Futures Data'!$A$5:$A$3471,A101,'Futures Data'!$B$5:$B$3471,B101)</f>
        <v>4645</v>
      </c>
      <c r="R101" s="7" t="n">
        <v>45310</v>
      </c>
      <c r="S101" s="9" t="b">
        <f aca="false">C101=R101</f>
        <v>1</v>
      </c>
      <c r="T101" s="9" t="b">
        <f aca="false">ABS(O101-LN(J101/SUMIFS('Futures Data'!$C$5:$C$3471,'Futures Data'!$A$5:$A$3471,A100,'Futures Data'!$B$5:$B$3471,B101)))&lt;0.000000001</f>
        <v>1</v>
      </c>
    </row>
    <row r="102" customFormat="false" ht="15" hidden="false" customHeight="false" outlineLevel="0" collapsed="false">
      <c r="A102" s="7" t="n">
        <v>45274</v>
      </c>
      <c r="B102" s="11" t="n">
        <f aca="false">C101</f>
        <v>45310</v>
      </c>
      <c r="C102" s="11" t="n">
        <f aca="false">IF(OR(H101,D102&lt;=$G$4),_xlfn.MINIFS('Futures Data'!$B$5:$B$3471,'Futures Data'!$A$5:$A$3471,A102,'Futures Data'!$B$5:$B$3471,"&gt;"&amp;B102),B102)</f>
        <v>45310</v>
      </c>
      <c r="D102" s="3" t="n">
        <f aca="false">COUNTIFS($A$47:$A$790,"&gt;"&amp;A102,$A$47:$A$790,"&lt;="&amp;B102)+IF(B102&gt;$G$5,NETWORKDAYS($G$5+1,B102),0)</f>
        <v>25</v>
      </c>
      <c r="E102" s="3" t="n">
        <f aca="false">SUMIFS('Futures Data'!$E$5:$E$3471,'Futures Data'!$A$5:$A$3471,A102,'Futures Data'!$B$5:$B$3471,C102)</f>
        <v>20025</v>
      </c>
      <c r="F102" s="11" t="n">
        <f aca="false">_xlfn.MINIFS('Futures Data'!$B$5:$B$3471,'Futures Data'!$A$5:$A$3471,A102,'Futures Data'!$B$5:$B$3471,"&gt;"&amp;C102)</f>
        <v>45342</v>
      </c>
      <c r="G102" s="3" t="n">
        <f aca="false">SUMIFS('Futures Data'!$E$5:$E$3471,'Futures Data'!$A$5:$A$3471,A102,'Futures Data'!$B$5:$B$3471,F102)</f>
        <v>6470</v>
      </c>
      <c r="H102" s="9" t="b">
        <f aca="false">G102&gt;E102</f>
        <v>0</v>
      </c>
      <c r="I102" s="9" t="b">
        <f aca="false">C102&lt;&gt;B102</f>
        <v>0</v>
      </c>
      <c r="J102" s="3" t="n">
        <f aca="false">SUMIFS('Futures Data'!$C$5:$C$3471,'Futures Data'!$A$5:$A$3471,A102,'Futures Data'!$B$5:$B$3471,B102)</f>
        <v>5880</v>
      </c>
      <c r="K102" s="3" t="n">
        <f aca="false">SUMIFS('Futures Data'!$C$5:$C$3471,'Futures Data'!$A$5:$A$3471,A102,'Futures Data'!$B$5:$B$3471,C102)</f>
        <v>5880</v>
      </c>
      <c r="L102" s="3" t="n">
        <f aca="false">K102-J102</f>
        <v>0</v>
      </c>
      <c r="M102" s="3" t="n">
        <f aca="false">M103+L102</f>
        <v>1666</v>
      </c>
      <c r="N102" s="3" t="n">
        <f aca="false">J102+M102</f>
        <v>7546</v>
      </c>
      <c r="O102" s="13" t="n">
        <f aca="false">LN(J102/K101)</f>
        <v>-0.000170053567283346</v>
      </c>
      <c r="P102" s="13" t="n">
        <f aca="false">LN(N102/N101)</f>
        <v>-0.000132511760612621</v>
      </c>
      <c r="Q102" s="3" t="n">
        <f aca="false">SUMIFS('Futures Data'!$D$5:$D$3471,'Futures Data'!$A$5:$A$3471,A102,'Futures Data'!$B$5:$B$3471,B102)</f>
        <v>7570</v>
      </c>
      <c r="R102" s="7" t="n">
        <v>45310</v>
      </c>
      <c r="S102" s="9" t="b">
        <f aca="false">C102=R102</f>
        <v>1</v>
      </c>
      <c r="T102" s="9" t="b">
        <f aca="false">ABS(O102-LN(J102/SUMIFS('Futures Data'!$C$5:$C$3471,'Futures Data'!$A$5:$A$3471,A101,'Futures Data'!$B$5:$B$3471,B102)))&lt;0.000000001</f>
        <v>1</v>
      </c>
    </row>
    <row r="103" customFormat="false" ht="15" hidden="false" customHeight="false" outlineLevel="0" collapsed="false">
      <c r="A103" s="7" t="n">
        <v>45275</v>
      </c>
      <c r="B103" s="11" t="n">
        <f aca="false">C102</f>
        <v>45310</v>
      </c>
      <c r="C103" s="11" t="n">
        <f aca="false">IF(OR(H102,D103&lt;=$G$4),_xlfn.MINIFS('Futures Data'!$B$5:$B$3471,'Futures Data'!$A$5:$A$3471,A103,'Futures Data'!$B$5:$B$3471,"&gt;"&amp;B103),B103)</f>
        <v>45310</v>
      </c>
      <c r="D103" s="3" t="n">
        <f aca="false">COUNTIFS($A$47:$A$790,"&gt;"&amp;A103,$A$47:$A$790,"&lt;="&amp;B103)+IF(B103&gt;$G$5,NETWORKDAYS($G$5+1,B103),0)</f>
        <v>24</v>
      </c>
      <c r="E103" s="3" t="n">
        <f aca="false">SUMIFS('Futures Data'!$E$5:$E$3471,'Futures Data'!$A$5:$A$3471,A103,'Futures Data'!$B$5:$B$3471,C103)</f>
        <v>21030</v>
      </c>
      <c r="F103" s="11" t="n">
        <f aca="false">_xlfn.MINIFS('Futures Data'!$B$5:$B$3471,'Futures Data'!$A$5:$A$3471,A103,'Futures Data'!$B$5:$B$3471,"&gt;"&amp;C103)</f>
        <v>45342</v>
      </c>
      <c r="G103" s="3" t="n">
        <f aca="false">SUMIFS('Futures Data'!$E$5:$E$3471,'Futures Data'!$A$5:$A$3471,A103,'Futures Data'!$B$5:$B$3471,F103)</f>
        <v>6700</v>
      </c>
      <c r="H103" s="9" t="b">
        <f aca="false">G103&gt;E103</f>
        <v>0</v>
      </c>
      <c r="I103" s="9" t="b">
        <f aca="false">C103&lt;&gt;B103</f>
        <v>0</v>
      </c>
      <c r="J103" s="3" t="n">
        <f aca="false">SUMIFS('Futures Data'!$C$5:$C$3471,'Futures Data'!$A$5:$A$3471,A103,'Futures Data'!$B$5:$B$3471,B103)</f>
        <v>5785</v>
      </c>
      <c r="K103" s="3" t="n">
        <f aca="false">SUMIFS('Futures Data'!$C$5:$C$3471,'Futures Data'!$A$5:$A$3471,A103,'Futures Data'!$B$5:$B$3471,C103)</f>
        <v>5785</v>
      </c>
      <c r="L103" s="3" t="n">
        <f aca="false">K103-J103</f>
        <v>0</v>
      </c>
      <c r="M103" s="3" t="n">
        <f aca="false">M104+L103</f>
        <v>1666</v>
      </c>
      <c r="N103" s="3" t="n">
        <f aca="false">J103+M103</f>
        <v>7451</v>
      </c>
      <c r="O103" s="13" t="n">
        <f aca="false">LN(J103/K102)</f>
        <v>-0.0162884012648956</v>
      </c>
      <c r="P103" s="13" t="n">
        <f aca="false">LN(N103/N102)</f>
        <v>-0.0126693699705283</v>
      </c>
      <c r="Q103" s="3" t="n">
        <f aca="false">SUMIFS('Futures Data'!$D$5:$D$3471,'Futures Data'!$A$5:$A$3471,A103,'Futures Data'!$B$5:$B$3471,B103)</f>
        <v>8925</v>
      </c>
      <c r="R103" s="7" t="n">
        <v>45310</v>
      </c>
      <c r="S103" s="9" t="b">
        <f aca="false">C103=R103</f>
        <v>1</v>
      </c>
      <c r="T103" s="9" t="b">
        <f aca="false">ABS(O103-LN(J103/SUMIFS('Futures Data'!$C$5:$C$3471,'Futures Data'!$A$5:$A$3471,A102,'Futures Data'!$B$5:$B$3471,B103)))&lt;0.000000001</f>
        <v>1</v>
      </c>
    </row>
    <row r="104" customFormat="false" ht="15" hidden="false" customHeight="false" outlineLevel="0" collapsed="false">
      <c r="A104" s="7" t="n">
        <v>45278</v>
      </c>
      <c r="B104" s="11" t="n">
        <f aca="false">C103</f>
        <v>45310</v>
      </c>
      <c r="C104" s="11" t="n">
        <f aca="false">IF(OR(H103,D104&lt;=$G$4),_xlfn.MINIFS('Futures Data'!$B$5:$B$3471,'Futures Data'!$A$5:$A$3471,A104,'Futures Data'!$B$5:$B$3471,"&gt;"&amp;B104),B104)</f>
        <v>45310</v>
      </c>
      <c r="D104" s="3" t="n">
        <f aca="false">COUNTIFS($A$47:$A$790,"&gt;"&amp;A104,$A$47:$A$790,"&lt;="&amp;B104)+IF(B104&gt;$G$5,NETWORKDAYS($G$5+1,B104),0)</f>
        <v>23</v>
      </c>
      <c r="E104" s="3" t="n">
        <f aca="false">SUMIFS('Futures Data'!$E$5:$E$3471,'Futures Data'!$A$5:$A$3471,A104,'Futures Data'!$B$5:$B$3471,C104)</f>
        <v>20850</v>
      </c>
      <c r="F104" s="11" t="n">
        <f aca="false">_xlfn.MINIFS('Futures Data'!$B$5:$B$3471,'Futures Data'!$A$5:$A$3471,A104,'Futures Data'!$B$5:$B$3471,"&gt;"&amp;C104)</f>
        <v>45342</v>
      </c>
      <c r="G104" s="3" t="n">
        <f aca="false">SUMIFS('Futures Data'!$E$5:$E$3471,'Futures Data'!$A$5:$A$3471,A104,'Futures Data'!$B$5:$B$3471,F104)</f>
        <v>7345</v>
      </c>
      <c r="H104" s="9" t="b">
        <f aca="false">G104&gt;E104</f>
        <v>0</v>
      </c>
      <c r="I104" s="9" t="b">
        <f aca="false">C104&lt;&gt;B104</f>
        <v>0</v>
      </c>
      <c r="J104" s="3" t="n">
        <f aca="false">SUMIFS('Futures Data'!$C$5:$C$3471,'Futures Data'!$A$5:$A$3471,A104,'Futures Data'!$B$5:$B$3471,B104)</f>
        <v>5764</v>
      </c>
      <c r="K104" s="3" t="n">
        <f aca="false">SUMIFS('Futures Data'!$C$5:$C$3471,'Futures Data'!$A$5:$A$3471,A104,'Futures Data'!$B$5:$B$3471,C104)</f>
        <v>5764</v>
      </c>
      <c r="L104" s="3" t="n">
        <f aca="false">K104-J104</f>
        <v>0</v>
      </c>
      <c r="M104" s="3" t="n">
        <f aca="false">M105+L104</f>
        <v>1666</v>
      </c>
      <c r="N104" s="3" t="n">
        <f aca="false">J104+M104</f>
        <v>7430</v>
      </c>
      <c r="O104" s="13" t="n">
        <f aca="false">LN(J104/K103)</f>
        <v>-0.0036366825083642</v>
      </c>
      <c r="P104" s="13" t="n">
        <f aca="false">LN(N104/N103)</f>
        <v>-0.0028223928419227</v>
      </c>
      <c r="Q104" s="3" t="n">
        <f aca="false">SUMIFS('Futures Data'!$D$5:$D$3471,'Futures Data'!$A$5:$A$3471,A104,'Futures Data'!$B$5:$B$3471,B104)</f>
        <v>5275</v>
      </c>
      <c r="R104" s="7" t="n">
        <v>45310</v>
      </c>
      <c r="S104" s="9" t="b">
        <f aca="false">C104=R104</f>
        <v>1</v>
      </c>
      <c r="T104" s="9" t="b">
        <f aca="false">ABS(O104-LN(J104/SUMIFS('Futures Data'!$C$5:$C$3471,'Futures Data'!$A$5:$A$3471,A103,'Futures Data'!$B$5:$B$3471,B104)))&lt;0.000000001</f>
        <v>1</v>
      </c>
    </row>
    <row r="105" customFormat="false" ht="15" hidden="false" customHeight="false" outlineLevel="0" collapsed="false">
      <c r="A105" s="7" t="n">
        <v>45279</v>
      </c>
      <c r="B105" s="11" t="n">
        <f aca="false">C104</f>
        <v>45310</v>
      </c>
      <c r="C105" s="11" t="n">
        <f aca="false">IF(OR(H104,D105&lt;=$G$4),_xlfn.MINIFS('Futures Data'!$B$5:$B$3471,'Futures Data'!$A$5:$A$3471,A105,'Futures Data'!$B$5:$B$3471,"&gt;"&amp;B105),B105)</f>
        <v>45310</v>
      </c>
      <c r="D105" s="3" t="n">
        <f aca="false">COUNTIFS($A$47:$A$790,"&gt;"&amp;A105,$A$47:$A$790,"&lt;="&amp;B105)+IF(B105&gt;$G$5,NETWORKDAYS($G$5+1,B105),0)</f>
        <v>22</v>
      </c>
      <c r="E105" s="3" t="n">
        <f aca="false">SUMIFS('Futures Data'!$E$5:$E$3471,'Futures Data'!$A$5:$A$3471,A105,'Futures Data'!$B$5:$B$3471,C105)</f>
        <v>20785</v>
      </c>
      <c r="F105" s="11" t="n">
        <f aca="false">_xlfn.MINIFS('Futures Data'!$B$5:$B$3471,'Futures Data'!$A$5:$A$3471,A105,'Futures Data'!$B$5:$B$3471,"&gt;"&amp;C105)</f>
        <v>45342</v>
      </c>
      <c r="G105" s="3" t="n">
        <f aca="false">SUMIFS('Futures Data'!$E$5:$E$3471,'Futures Data'!$A$5:$A$3471,A105,'Futures Data'!$B$5:$B$3471,F105)</f>
        <v>7640</v>
      </c>
      <c r="H105" s="9" t="b">
        <f aca="false">G105&gt;E105</f>
        <v>0</v>
      </c>
      <c r="I105" s="9" t="b">
        <f aca="false">C105&lt;&gt;B105</f>
        <v>0</v>
      </c>
      <c r="J105" s="3" t="n">
        <f aca="false">SUMIFS('Futures Data'!$C$5:$C$3471,'Futures Data'!$A$5:$A$3471,A105,'Futures Data'!$B$5:$B$3471,B105)</f>
        <v>5808</v>
      </c>
      <c r="K105" s="3" t="n">
        <f aca="false">SUMIFS('Futures Data'!$C$5:$C$3471,'Futures Data'!$A$5:$A$3471,A105,'Futures Data'!$B$5:$B$3471,C105)</f>
        <v>5808</v>
      </c>
      <c r="L105" s="3" t="n">
        <f aca="false">K105-J105</f>
        <v>0</v>
      </c>
      <c r="M105" s="3" t="n">
        <f aca="false">M106+L105</f>
        <v>1666</v>
      </c>
      <c r="N105" s="3" t="n">
        <f aca="false">J105+M105</f>
        <v>7474</v>
      </c>
      <c r="O105" s="13" t="n">
        <f aca="false">LN(J105/K104)</f>
        <v>0.00760459938521921</v>
      </c>
      <c r="P105" s="13" t="n">
        <f aca="false">LN(N105/N104)</f>
        <v>0.00590447233362441</v>
      </c>
      <c r="Q105" s="3" t="n">
        <f aca="false">SUMIFS('Futures Data'!$D$5:$D$3471,'Futures Data'!$A$5:$A$3471,A105,'Futures Data'!$B$5:$B$3471,B105)</f>
        <v>2730</v>
      </c>
      <c r="R105" s="7" t="n">
        <v>45310</v>
      </c>
      <c r="S105" s="9" t="b">
        <f aca="false">C105=R105</f>
        <v>1</v>
      </c>
      <c r="T105" s="9" t="b">
        <f aca="false">ABS(O105-LN(J105/SUMIFS('Futures Data'!$C$5:$C$3471,'Futures Data'!$A$5:$A$3471,A104,'Futures Data'!$B$5:$B$3471,B105)))&lt;0.000000001</f>
        <v>1</v>
      </c>
    </row>
    <row r="106" customFormat="false" ht="15" hidden="false" customHeight="false" outlineLevel="0" collapsed="false">
      <c r="A106" s="7" t="n">
        <v>45280</v>
      </c>
      <c r="B106" s="11" t="n">
        <f aca="false">C105</f>
        <v>45310</v>
      </c>
      <c r="C106" s="11" t="n">
        <f aca="false">IF(OR(H105,D106&lt;=$G$4),_xlfn.MINIFS('Futures Data'!$B$5:$B$3471,'Futures Data'!$A$5:$A$3471,A106,'Futures Data'!$B$5:$B$3471,"&gt;"&amp;B106),B106)</f>
        <v>45310</v>
      </c>
      <c r="D106" s="3" t="n">
        <f aca="false">COUNTIFS($A$47:$A$790,"&gt;"&amp;A106,$A$47:$A$790,"&lt;="&amp;B106)+IF(B106&gt;$G$5,NETWORKDAYS($G$5+1,B106),0)</f>
        <v>21</v>
      </c>
      <c r="E106" s="3" t="n">
        <f aca="false">SUMIFS('Futures Data'!$E$5:$E$3471,'Futures Data'!$A$5:$A$3471,A106,'Futures Data'!$B$5:$B$3471,C106)</f>
        <v>20105</v>
      </c>
      <c r="F106" s="11" t="n">
        <f aca="false">_xlfn.MINIFS('Futures Data'!$B$5:$B$3471,'Futures Data'!$A$5:$A$3471,A106,'Futures Data'!$B$5:$B$3471,"&gt;"&amp;C106)</f>
        <v>45342</v>
      </c>
      <c r="G106" s="3" t="n">
        <f aca="false">SUMIFS('Futures Data'!$E$5:$E$3471,'Futures Data'!$A$5:$A$3471,A106,'Futures Data'!$B$5:$B$3471,F106)</f>
        <v>9645</v>
      </c>
      <c r="H106" s="9" t="b">
        <f aca="false">G106&gt;E106</f>
        <v>0</v>
      </c>
      <c r="I106" s="9" t="b">
        <f aca="false">C106&lt;&gt;B106</f>
        <v>0</v>
      </c>
      <c r="J106" s="3" t="n">
        <f aca="false">SUMIFS('Futures Data'!$C$5:$C$3471,'Futures Data'!$A$5:$A$3471,A106,'Futures Data'!$B$5:$B$3471,B106)</f>
        <v>5728</v>
      </c>
      <c r="K106" s="3" t="n">
        <f aca="false">SUMIFS('Futures Data'!$C$5:$C$3471,'Futures Data'!$A$5:$A$3471,A106,'Futures Data'!$B$5:$B$3471,C106)</f>
        <v>5728</v>
      </c>
      <c r="L106" s="3" t="n">
        <f aca="false">K106-J106</f>
        <v>0</v>
      </c>
      <c r="M106" s="3" t="n">
        <f aca="false">M107+L106</f>
        <v>1666</v>
      </c>
      <c r="N106" s="3" t="n">
        <f aca="false">J106+M106</f>
        <v>7394</v>
      </c>
      <c r="O106" s="13" t="n">
        <f aca="false">LN(J106/K105)</f>
        <v>-0.0138698478641505</v>
      </c>
      <c r="P106" s="13" t="n">
        <f aca="false">LN(N106/N105)</f>
        <v>-0.010761470548852</v>
      </c>
      <c r="Q106" s="3" t="n">
        <f aca="false">SUMIFS('Futures Data'!$D$5:$D$3471,'Futures Data'!$A$5:$A$3471,A106,'Futures Data'!$B$5:$B$3471,B106)</f>
        <v>7200</v>
      </c>
      <c r="R106" s="7" t="n">
        <v>45310</v>
      </c>
      <c r="S106" s="9" t="b">
        <f aca="false">C106=R106</f>
        <v>1</v>
      </c>
      <c r="T106" s="9" t="b">
        <f aca="false">ABS(O106-LN(J106/SUMIFS('Futures Data'!$C$5:$C$3471,'Futures Data'!$A$5:$A$3471,A105,'Futures Data'!$B$5:$B$3471,B106)))&lt;0.000000001</f>
        <v>1</v>
      </c>
    </row>
    <row r="107" customFormat="false" ht="15" hidden="false" customHeight="false" outlineLevel="0" collapsed="false">
      <c r="A107" s="7" t="n">
        <v>45281</v>
      </c>
      <c r="B107" s="11" t="n">
        <f aca="false">C106</f>
        <v>45310</v>
      </c>
      <c r="C107" s="11" t="n">
        <f aca="false">IF(OR(H106,D107&lt;=$G$4),_xlfn.MINIFS('Futures Data'!$B$5:$B$3471,'Futures Data'!$A$5:$A$3471,A107,'Futures Data'!$B$5:$B$3471,"&gt;"&amp;B107),B107)</f>
        <v>45310</v>
      </c>
      <c r="D107" s="3" t="n">
        <f aca="false">COUNTIFS($A$47:$A$790,"&gt;"&amp;A107,$A$47:$A$790,"&lt;="&amp;B107)+IF(B107&gt;$G$5,NETWORKDAYS($G$5+1,B107),0)</f>
        <v>20</v>
      </c>
      <c r="E107" s="3" t="n">
        <f aca="false">SUMIFS('Futures Data'!$E$5:$E$3471,'Futures Data'!$A$5:$A$3471,A107,'Futures Data'!$B$5:$B$3471,C107)</f>
        <v>19115</v>
      </c>
      <c r="F107" s="11" t="n">
        <f aca="false">_xlfn.MINIFS('Futures Data'!$B$5:$B$3471,'Futures Data'!$A$5:$A$3471,A107,'Futures Data'!$B$5:$B$3471,"&gt;"&amp;C107)</f>
        <v>45342</v>
      </c>
      <c r="G107" s="3" t="n">
        <f aca="false">SUMIFS('Futures Data'!$E$5:$E$3471,'Futures Data'!$A$5:$A$3471,A107,'Futures Data'!$B$5:$B$3471,F107)</f>
        <v>11615</v>
      </c>
      <c r="H107" s="9" t="b">
        <f aca="false">G107&gt;E107</f>
        <v>0</v>
      </c>
      <c r="I107" s="9" t="b">
        <f aca="false">C107&lt;&gt;B107</f>
        <v>0</v>
      </c>
      <c r="J107" s="3" t="n">
        <f aca="false">SUMIFS('Futures Data'!$C$5:$C$3471,'Futures Data'!$A$5:$A$3471,A107,'Futures Data'!$B$5:$B$3471,B107)</f>
        <v>5728</v>
      </c>
      <c r="K107" s="3" t="n">
        <f aca="false">SUMIFS('Futures Data'!$C$5:$C$3471,'Futures Data'!$A$5:$A$3471,A107,'Futures Data'!$B$5:$B$3471,C107)</f>
        <v>5728</v>
      </c>
      <c r="L107" s="3" t="n">
        <f aca="false">K107-J107</f>
        <v>0</v>
      </c>
      <c r="M107" s="3" t="n">
        <f aca="false">M108+L107</f>
        <v>1666</v>
      </c>
      <c r="N107" s="3" t="n">
        <f aca="false">J107+M107</f>
        <v>7394</v>
      </c>
      <c r="O107" s="13" t="n">
        <f aca="false">LN(J107/K106)</f>
        <v>0</v>
      </c>
      <c r="P107" s="13" t="n">
        <f aca="false">LN(N107/N106)</f>
        <v>0</v>
      </c>
      <c r="Q107" s="3" t="n">
        <f aca="false">SUMIFS('Futures Data'!$D$5:$D$3471,'Futures Data'!$A$5:$A$3471,A107,'Futures Data'!$B$5:$B$3471,B107)</f>
        <v>8990</v>
      </c>
      <c r="R107" s="7" t="n">
        <v>45310</v>
      </c>
      <c r="S107" s="9" t="b">
        <f aca="false">C107=R107</f>
        <v>1</v>
      </c>
      <c r="T107" s="9" t="b">
        <f aca="false">ABS(O107-LN(J107/SUMIFS('Futures Data'!$C$5:$C$3471,'Futures Data'!$A$5:$A$3471,A106,'Futures Data'!$B$5:$B$3471,B107)))&lt;0.000000001</f>
        <v>1</v>
      </c>
    </row>
    <row r="108" customFormat="false" ht="15" hidden="false" customHeight="false" outlineLevel="0" collapsed="false">
      <c r="A108" s="7" t="n">
        <v>45282</v>
      </c>
      <c r="B108" s="11" t="n">
        <f aca="false">C107</f>
        <v>45310</v>
      </c>
      <c r="C108" s="11" t="n">
        <f aca="false">IF(OR(H107,D108&lt;=$G$4),_xlfn.MINIFS('Futures Data'!$B$5:$B$3471,'Futures Data'!$A$5:$A$3471,A108,'Futures Data'!$B$5:$B$3471,"&gt;"&amp;B108),B108)</f>
        <v>45310</v>
      </c>
      <c r="D108" s="3" t="n">
        <f aca="false">COUNTIFS($A$47:$A$790,"&gt;"&amp;A108,$A$47:$A$790,"&lt;="&amp;B108)+IF(B108&gt;$G$5,NETWORKDAYS($G$5+1,B108),0)</f>
        <v>19</v>
      </c>
      <c r="E108" s="3" t="n">
        <f aca="false">SUMIFS('Futures Data'!$E$5:$E$3471,'Futures Data'!$A$5:$A$3471,A108,'Futures Data'!$B$5:$B$3471,C108)</f>
        <v>19090</v>
      </c>
      <c r="F108" s="11" t="n">
        <f aca="false">_xlfn.MINIFS('Futures Data'!$B$5:$B$3471,'Futures Data'!$A$5:$A$3471,A108,'Futures Data'!$B$5:$B$3471,"&gt;"&amp;C108)</f>
        <v>45342</v>
      </c>
      <c r="G108" s="3" t="n">
        <f aca="false">SUMIFS('Futures Data'!$E$5:$E$3471,'Futures Data'!$A$5:$A$3471,A108,'Futures Data'!$B$5:$B$3471,F108)</f>
        <v>11835</v>
      </c>
      <c r="H108" s="9" t="b">
        <f aca="false">G108&gt;E108</f>
        <v>0</v>
      </c>
      <c r="I108" s="9" t="b">
        <f aca="false">C108&lt;&gt;B108</f>
        <v>0</v>
      </c>
      <c r="J108" s="3" t="n">
        <f aca="false">SUMIFS('Futures Data'!$C$5:$C$3471,'Futures Data'!$A$5:$A$3471,A108,'Futures Data'!$B$5:$B$3471,B108)</f>
        <v>5767</v>
      </c>
      <c r="K108" s="3" t="n">
        <f aca="false">SUMIFS('Futures Data'!$C$5:$C$3471,'Futures Data'!$A$5:$A$3471,A108,'Futures Data'!$B$5:$B$3471,C108)</f>
        <v>5767</v>
      </c>
      <c r="L108" s="3" t="n">
        <f aca="false">K108-J108</f>
        <v>0</v>
      </c>
      <c r="M108" s="3" t="n">
        <f aca="false">M109+L108</f>
        <v>1666</v>
      </c>
      <c r="N108" s="3" t="n">
        <f aca="false">J108+M108</f>
        <v>7433</v>
      </c>
      <c r="O108" s="13" t="n">
        <f aca="false">LN(J108/K107)</f>
        <v>0.00678558497493108</v>
      </c>
      <c r="P108" s="13" t="n">
        <f aca="false">LN(N108/N107)</f>
        <v>0.00526068522871618</v>
      </c>
      <c r="Q108" s="3" t="n">
        <f aca="false">SUMIFS('Futures Data'!$D$5:$D$3471,'Futures Data'!$A$5:$A$3471,A108,'Futures Data'!$B$5:$B$3471,B108)</f>
        <v>3190</v>
      </c>
      <c r="R108" s="7" t="n">
        <v>45310</v>
      </c>
      <c r="S108" s="9" t="b">
        <f aca="false">C108=R108</f>
        <v>1</v>
      </c>
      <c r="T108" s="9" t="b">
        <f aca="false">ABS(O108-LN(J108/SUMIFS('Futures Data'!$C$5:$C$3471,'Futures Data'!$A$5:$A$3471,A107,'Futures Data'!$B$5:$B$3471,B108)))&lt;0.000000001</f>
        <v>1</v>
      </c>
    </row>
    <row r="109" customFormat="false" ht="15" hidden="false" customHeight="false" outlineLevel="0" collapsed="false">
      <c r="A109" s="7" t="n">
        <v>45286</v>
      </c>
      <c r="B109" s="11" t="n">
        <f aca="false">C108</f>
        <v>45310</v>
      </c>
      <c r="C109" s="11" t="n">
        <f aca="false">IF(OR(H108,D109&lt;=$G$4),_xlfn.MINIFS('Futures Data'!$B$5:$B$3471,'Futures Data'!$A$5:$A$3471,A109,'Futures Data'!$B$5:$B$3471,"&gt;"&amp;B109),B109)</f>
        <v>45310</v>
      </c>
      <c r="D109" s="3" t="n">
        <f aca="false">COUNTIFS($A$47:$A$790,"&gt;"&amp;A109,$A$47:$A$790,"&lt;="&amp;B109)+IF(B109&gt;$G$5,NETWORKDAYS($G$5+1,B109),0)</f>
        <v>18</v>
      </c>
      <c r="E109" s="3" t="n">
        <f aca="false">SUMIFS('Futures Data'!$E$5:$E$3471,'Futures Data'!$A$5:$A$3471,A109,'Futures Data'!$B$5:$B$3471,C109)</f>
        <v>18695</v>
      </c>
      <c r="F109" s="11" t="n">
        <f aca="false">_xlfn.MINIFS('Futures Data'!$B$5:$B$3471,'Futures Data'!$A$5:$A$3471,A109,'Futures Data'!$B$5:$B$3471,"&gt;"&amp;C109)</f>
        <v>45342</v>
      </c>
      <c r="G109" s="3" t="n">
        <f aca="false">SUMIFS('Futures Data'!$E$5:$E$3471,'Futures Data'!$A$5:$A$3471,A109,'Futures Data'!$B$5:$B$3471,F109)</f>
        <v>12225</v>
      </c>
      <c r="H109" s="9" t="b">
        <f aca="false">G109&gt;E109</f>
        <v>0</v>
      </c>
      <c r="I109" s="9" t="b">
        <f aca="false">C109&lt;&gt;B109</f>
        <v>0</v>
      </c>
      <c r="J109" s="3" t="n">
        <f aca="false">SUMIFS('Futures Data'!$C$5:$C$3471,'Futures Data'!$A$5:$A$3471,A109,'Futures Data'!$B$5:$B$3471,B109)</f>
        <v>5736</v>
      </c>
      <c r="K109" s="3" t="n">
        <f aca="false">SUMIFS('Futures Data'!$C$5:$C$3471,'Futures Data'!$A$5:$A$3471,A109,'Futures Data'!$B$5:$B$3471,C109)</f>
        <v>5736</v>
      </c>
      <c r="L109" s="3" t="n">
        <f aca="false">K109-J109</f>
        <v>0</v>
      </c>
      <c r="M109" s="3" t="n">
        <f aca="false">M110+L109</f>
        <v>1666</v>
      </c>
      <c r="N109" s="3" t="n">
        <f aca="false">J109+M109</f>
        <v>7402</v>
      </c>
      <c r="O109" s="13" t="n">
        <f aca="false">LN(J109/K108)</f>
        <v>-0.00538991133595638</v>
      </c>
      <c r="P109" s="13" t="n">
        <f aca="false">LN(N109/N108)</f>
        <v>-0.00417931177919219</v>
      </c>
      <c r="Q109" s="3" t="n">
        <f aca="false">SUMIFS('Futures Data'!$D$5:$D$3471,'Futures Data'!$A$5:$A$3471,A109,'Futures Data'!$B$5:$B$3471,B109)</f>
        <v>1870</v>
      </c>
      <c r="R109" s="7" t="n">
        <v>45310</v>
      </c>
      <c r="S109" s="9" t="b">
        <f aca="false">C109=R109</f>
        <v>1</v>
      </c>
      <c r="T109" s="9" t="b">
        <f aca="false">ABS(O109-LN(J109/SUMIFS('Futures Data'!$C$5:$C$3471,'Futures Data'!$A$5:$A$3471,A108,'Futures Data'!$B$5:$B$3471,B109)))&lt;0.000000001</f>
        <v>1</v>
      </c>
    </row>
    <row r="110" customFormat="false" ht="15" hidden="false" customHeight="false" outlineLevel="0" collapsed="false">
      <c r="A110" s="7" t="n">
        <v>45287</v>
      </c>
      <c r="B110" s="11" t="n">
        <f aca="false">C109</f>
        <v>45310</v>
      </c>
      <c r="C110" s="11" t="n">
        <f aca="false">IF(OR(H109,D110&lt;=$G$4),_xlfn.MINIFS('Futures Data'!$B$5:$B$3471,'Futures Data'!$A$5:$A$3471,A110,'Futures Data'!$B$5:$B$3471,"&gt;"&amp;B110),B110)</f>
        <v>45310</v>
      </c>
      <c r="D110" s="3" t="n">
        <f aca="false">COUNTIFS($A$47:$A$790,"&gt;"&amp;A110,$A$47:$A$790,"&lt;="&amp;B110)+IF(B110&gt;$G$5,NETWORKDAYS($G$5+1,B110),0)</f>
        <v>17</v>
      </c>
      <c r="E110" s="3" t="n">
        <f aca="false">SUMIFS('Futures Data'!$E$5:$E$3471,'Futures Data'!$A$5:$A$3471,A110,'Futures Data'!$B$5:$B$3471,C110)</f>
        <v>17730</v>
      </c>
      <c r="F110" s="11" t="n">
        <f aca="false">_xlfn.MINIFS('Futures Data'!$B$5:$B$3471,'Futures Data'!$A$5:$A$3471,A110,'Futures Data'!$B$5:$B$3471,"&gt;"&amp;C110)</f>
        <v>45342</v>
      </c>
      <c r="G110" s="3" t="n">
        <f aca="false">SUMIFS('Futures Data'!$E$5:$E$3471,'Futures Data'!$A$5:$A$3471,A110,'Futures Data'!$B$5:$B$3471,F110)</f>
        <v>13005</v>
      </c>
      <c r="H110" s="9" t="b">
        <f aca="false">G110&gt;E110</f>
        <v>0</v>
      </c>
      <c r="I110" s="9" t="b">
        <f aca="false">C110&lt;&gt;B110</f>
        <v>0</v>
      </c>
      <c r="J110" s="3" t="n">
        <f aca="false">SUMIFS('Futures Data'!$C$5:$C$3471,'Futures Data'!$A$5:$A$3471,A110,'Futures Data'!$B$5:$B$3471,B110)</f>
        <v>5739</v>
      </c>
      <c r="K110" s="3" t="n">
        <f aca="false">SUMIFS('Futures Data'!$C$5:$C$3471,'Futures Data'!$A$5:$A$3471,A110,'Futures Data'!$B$5:$B$3471,C110)</f>
        <v>5739</v>
      </c>
      <c r="L110" s="3" t="n">
        <f aca="false">K110-J110</f>
        <v>0</v>
      </c>
      <c r="M110" s="3" t="n">
        <f aca="false">M111+L110</f>
        <v>1666</v>
      </c>
      <c r="N110" s="3" t="n">
        <f aca="false">J110+M110</f>
        <v>7405</v>
      </c>
      <c r="O110" s="13" t="n">
        <f aca="false">LN(J110/K109)</f>
        <v>0.000522875828906275</v>
      </c>
      <c r="P110" s="13" t="n">
        <f aca="false">LN(N110/N109)</f>
        <v>0.000405213755797852</v>
      </c>
      <c r="Q110" s="3" t="n">
        <f aca="false">SUMIFS('Futures Data'!$D$5:$D$3471,'Futures Data'!$A$5:$A$3471,A110,'Futures Data'!$B$5:$B$3471,B110)</f>
        <v>3265</v>
      </c>
      <c r="R110" s="7" t="n">
        <v>45310</v>
      </c>
      <c r="S110" s="9" t="b">
        <f aca="false">C110=R110</f>
        <v>1</v>
      </c>
      <c r="T110" s="9" t="b">
        <f aca="false">ABS(O110-LN(J110/SUMIFS('Futures Data'!$C$5:$C$3471,'Futures Data'!$A$5:$A$3471,A109,'Futures Data'!$B$5:$B$3471,B110)))&lt;0.000000001</f>
        <v>1</v>
      </c>
    </row>
    <row r="111" customFormat="false" ht="15" hidden="false" customHeight="false" outlineLevel="0" collapsed="false">
      <c r="A111" s="7" t="n">
        <v>45288</v>
      </c>
      <c r="B111" s="11" t="n">
        <f aca="false">C110</f>
        <v>45310</v>
      </c>
      <c r="C111" s="11" t="n">
        <f aca="false">IF(OR(H110,D111&lt;=$G$4),_xlfn.MINIFS('Futures Data'!$B$5:$B$3471,'Futures Data'!$A$5:$A$3471,A111,'Futures Data'!$B$5:$B$3471,"&gt;"&amp;B111),B111)</f>
        <v>45310</v>
      </c>
      <c r="D111" s="3" t="n">
        <f aca="false">COUNTIFS($A$47:$A$790,"&gt;"&amp;A111,$A$47:$A$790,"&lt;="&amp;B111)+IF(B111&gt;$G$5,NETWORKDAYS($G$5+1,B111),0)</f>
        <v>16</v>
      </c>
      <c r="E111" s="3" t="n">
        <f aca="false">SUMIFS('Futures Data'!$E$5:$E$3471,'Futures Data'!$A$5:$A$3471,A111,'Futures Data'!$B$5:$B$3471,C111)</f>
        <v>16460</v>
      </c>
      <c r="F111" s="11" t="n">
        <f aca="false">_xlfn.MINIFS('Futures Data'!$B$5:$B$3471,'Futures Data'!$A$5:$A$3471,A111,'Futures Data'!$B$5:$B$3471,"&gt;"&amp;C111)</f>
        <v>45342</v>
      </c>
      <c r="G111" s="3" t="n">
        <f aca="false">SUMIFS('Futures Data'!$E$5:$E$3471,'Futures Data'!$A$5:$A$3471,A111,'Futures Data'!$B$5:$B$3471,F111)</f>
        <v>14785</v>
      </c>
      <c r="H111" s="9" t="b">
        <f aca="false">G111&gt;E111</f>
        <v>0</v>
      </c>
      <c r="I111" s="9" t="b">
        <f aca="false">C111&lt;&gt;B111</f>
        <v>0</v>
      </c>
      <c r="J111" s="3" t="n">
        <f aca="false">SUMIFS('Futures Data'!$C$5:$C$3471,'Futures Data'!$A$5:$A$3471,A111,'Futures Data'!$B$5:$B$3471,B111)</f>
        <v>5740</v>
      </c>
      <c r="K111" s="3" t="n">
        <f aca="false">SUMIFS('Futures Data'!$C$5:$C$3471,'Futures Data'!$A$5:$A$3471,A111,'Futures Data'!$B$5:$B$3471,C111)</f>
        <v>5740</v>
      </c>
      <c r="L111" s="3" t="n">
        <f aca="false">K111-J111</f>
        <v>0</v>
      </c>
      <c r="M111" s="3" t="n">
        <f aca="false">M112+L111</f>
        <v>1666</v>
      </c>
      <c r="N111" s="3" t="n">
        <f aca="false">J111+M111</f>
        <v>7406</v>
      </c>
      <c r="O111" s="13" t="n">
        <f aca="false">LN(J111/K110)</f>
        <v>0.000174231205249467</v>
      </c>
      <c r="P111" s="13" t="n">
        <f aca="false">LN(N111/N110)</f>
        <v>0.000135034771658825</v>
      </c>
      <c r="Q111" s="3" t="n">
        <f aca="false">SUMIFS('Futures Data'!$D$5:$D$3471,'Futures Data'!$A$5:$A$3471,A111,'Futures Data'!$B$5:$B$3471,B111)</f>
        <v>3345</v>
      </c>
      <c r="R111" s="7" t="n">
        <v>45310</v>
      </c>
      <c r="S111" s="9" t="b">
        <f aca="false">C111=R111</f>
        <v>1</v>
      </c>
      <c r="T111" s="9" t="b">
        <f aca="false">ABS(O111-LN(J111/SUMIFS('Futures Data'!$C$5:$C$3471,'Futures Data'!$A$5:$A$3471,A110,'Futures Data'!$B$5:$B$3471,B111)))&lt;0.000000001</f>
        <v>1</v>
      </c>
    </row>
    <row r="112" customFormat="false" ht="15" hidden="false" customHeight="false" outlineLevel="0" collapsed="false">
      <c r="A112" s="7" t="n">
        <v>45289</v>
      </c>
      <c r="B112" s="11" t="n">
        <f aca="false">C111</f>
        <v>45310</v>
      </c>
      <c r="C112" s="11" t="n">
        <f aca="false">IF(OR(H111,D112&lt;=$G$4),_xlfn.MINIFS('Futures Data'!$B$5:$B$3471,'Futures Data'!$A$5:$A$3471,A112,'Futures Data'!$B$5:$B$3471,"&gt;"&amp;B112),B112)</f>
        <v>45310</v>
      </c>
      <c r="D112" s="3" t="n">
        <f aca="false">COUNTIFS($A$47:$A$790,"&gt;"&amp;A112,$A$47:$A$790,"&lt;="&amp;B112)+IF(B112&gt;$G$5,NETWORKDAYS($G$5+1,B112),0)</f>
        <v>15</v>
      </c>
      <c r="E112" s="3" t="n">
        <f aca="false">SUMIFS('Futures Data'!$E$5:$E$3471,'Futures Data'!$A$5:$A$3471,A112,'Futures Data'!$B$5:$B$3471,C112)</f>
        <v>15925</v>
      </c>
      <c r="F112" s="11" t="n">
        <f aca="false">_xlfn.MINIFS('Futures Data'!$B$5:$B$3471,'Futures Data'!$A$5:$A$3471,A112,'Futures Data'!$B$5:$B$3471,"&gt;"&amp;C112)</f>
        <v>45342</v>
      </c>
      <c r="G112" s="3" t="n">
        <f aca="false">SUMIFS('Futures Data'!$E$5:$E$3471,'Futures Data'!$A$5:$A$3471,A112,'Futures Data'!$B$5:$B$3471,F112)</f>
        <v>15350</v>
      </c>
      <c r="H112" s="9" t="b">
        <f aca="false">G112&gt;E112</f>
        <v>0</v>
      </c>
      <c r="I112" s="9" t="b">
        <f aca="false">C112&lt;&gt;B112</f>
        <v>0</v>
      </c>
      <c r="J112" s="3" t="n">
        <f aca="false">SUMIFS('Futures Data'!$C$5:$C$3471,'Futures Data'!$A$5:$A$3471,A112,'Futures Data'!$B$5:$B$3471,B112)</f>
        <v>5724</v>
      </c>
      <c r="K112" s="3" t="n">
        <f aca="false">SUMIFS('Futures Data'!$C$5:$C$3471,'Futures Data'!$A$5:$A$3471,A112,'Futures Data'!$B$5:$B$3471,C112)</f>
        <v>5724</v>
      </c>
      <c r="L112" s="3" t="n">
        <f aca="false">K112-J112</f>
        <v>0</v>
      </c>
      <c r="M112" s="3" t="n">
        <f aca="false">M113+L112</f>
        <v>1666</v>
      </c>
      <c r="N112" s="3" t="n">
        <f aca="false">J112+M112</f>
        <v>7390</v>
      </c>
      <c r="O112" s="13" t="n">
        <f aca="false">LN(J112/K111)</f>
        <v>-0.00279134863727053</v>
      </c>
      <c r="P112" s="13" t="n">
        <f aca="false">LN(N112/N111)</f>
        <v>-0.00216274753131059</v>
      </c>
      <c r="Q112" s="3" t="n">
        <f aca="false">SUMIFS('Futures Data'!$D$5:$D$3471,'Futures Data'!$A$5:$A$3471,A112,'Futures Data'!$B$5:$B$3471,B112)</f>
        <v>3235</v>
      </c>
      <c r="R112" s="7" t="n">
        <v>45310</v>
      </c>
      <c r="S112" s="9" t="b">
        <f aca="false">C112=R112</f>
        <v>1</v>
      </c>
      <c r="T112" s="9" t="b">
        <f aca="false">ABS(O112-LN(J112/SUMIFS('Futures Data'!$C$5:$C$3471,'Futures Data'!$A$5:$A$3471,A111,'Futures Data'!$B$5:$B$3471,B112)))&lt;0.000000001</f>
        <v>1</v>
      </c>
    </row>
    <row r="113" customFormat="false" ht="15" hidden="false" customHeight="false" outlineLevel="0" collapsed="false">
      <c r="A113" s="7" t="n">
        <v>45292</v>
      </c>
      <c r="B113" s="11" t="n">
        <f aca="false">C112</f>
        <v>45310</v>
      </c>
      <c r="C113" s="11" t="n">
        <f aca="false">IF(OR(H112,D113&lt;=$G$4),_xlfn.MINIFS('Futures Data'!$B$5:$B$3471,'Futures Data'!$A$5:$A$3471,A113,'Futures Data'!$B$5:$B$3471,"&gt;"&amp;B113),B113)</f>
        <v>45310</v>
      </c>
      <c r="D113" s="3" t="n">
        <f aca="false">COUNTIFS($A$47:$A$790,"&gt;"&amp;A113,$A$47:$A$790,"&lt;="&amp;B113)+IF(B113&gt;$G$5,NETWORKDAYS($G$5+1,B113),0)</f>
        <v>14</v>
      </c>
      <c r="E113" s="3" t="n">
        <f aca="false">SUMIFS('Futures Data'!$E$5:$E$3471,'Futures Data'!$A$5:$A$3471,A113,'Futures Data'!$B$5:$B$3471,C113)</f>
        <v>14005</v>
      </c>
      <c r="F113" s="11" t="n">
        <f aca="false">_xlfn.MINIFS('Futures Data'!$B$5:$B$3471,'Futures Data'!$A$5:$A$3471,A113,'Futures Data'!$B$5:$B$3471,"&gt;"&amp;C113)</f>
        <v>45342</v>
      </c>
      <c r="G113" s="3" t="n">
        <f aca="false">SUMIFS('Futures Data'!$E$5:$E$3471,'Futures Data'!$A$5:$A$3471,A113,'Futures Data'!$B$5:$B$3471,F113)</f>
        <v>16060</v>
      </c>
      <c r="H113" s="9" t="b">
        <f aca="false">G113&gt;E113</f>
        <v>1</v>
      </c>
      <c r="I113" s="9" t="b">
        <f aca="false">C113&lt;&gt;B113</f>
        <v>0</v>
      </c>
      <c r="J113" s="3" t="n">
        <f aca="false">SUMIFS('Futures Data'!$C$5:$C$3471,'Futures Data'!$A$5:$A$3471,A113,'Futures Data'!$B$5:$B$3471,B113)</f>
        <v>5667</v>
      </c>
      <c r="K113" s="3" t="n">
        <f aca="false">SUMIFS('Futures Data'!$C$5:$C$3471,'Futures Data'!$A$5:$A$3471,A113,'Futures Data'!$B$5:$B$3471,C113)</f>
        <v>5667</v>
      </c>
      <c r="L113" s="3" t="n">
        <f aca="false">K113-J113</f>
        <v>0</v>
      </c>
      <c r="M113" s="3" t="n">
        <f aca="false">M114+L113</f>
        <v>1666</v>
      </c>
      <c r="N113" s="3" t="n">
        <f aca="false">J113+M113</f>
        <v>7333</v>
      </c>
      <c r="O113" s="13" t="n">
        <f aca="false">LN(J113/K112)</f>
        <v>-0.0100079845067223</v>
      </c>
      <c r="P113" s="13" t="n">
        <f aca="false">LN(N113/N112)</f>
        <v>-0.00774302584844793</v>
      </c>
      <c r="Q113" s="3" t="n">
        <f aca="false">SUMIFS('Futures Data'!$D$5:$D$3471,'Futures Data'!$A$5:$A$3471,A113,'Futures Data'!$B$5:$B$3471,B113)</f>
        <v>6945</v>
      </c>
      <c r="R113" s="7" t="n">
        <v>45310</v>
      </c>
      <c r="S113" s="9" t="b">
        <f aca="false">C113=R113</f>
        <v>1</v>
      </c>
      <c r="T113" s="9" t="b">
        <f aca="false">ABS(O113-LN(J113/SUMIFS('Futures Data'!$C$5:$C$3471,'Futures Data'!$A$5:$A$3471,A112,'Futures Data'!$B$5:$B$3471,B113)))&lt;0.000000001</f>
        <v>1</v>
      </c>
    </row>
    <row r="114" customFormat="false" ht="15" hidden="false" customHeight="false" outlineLevel="0" collapsed="false">
      <c r="A114" s="7" t="n">
        <v>45293</v>
      </c>
      <c r="B114" s="11" t="n">
        <f aca="false">C113</f>
        <v>45310</v>
      </c>
      <c r="C114" s="11" t="n">
        <f aca="false">IF(OR(H113,D114&lt;=$G$4),_xlfn.MINIFS('Futures Data'!$B$5:$B$3471,'Futures Data'!$A$5:$A$3471,A114,'Futures Data'!$B$5:$B$3471,"&gt;"&amp;B114),B114)</f>
        <v>45342</v>
      </c>
      <c r="D114" s="3" t="n">
        <f aca="false">COUNTIFS($A$47:$A$790,"&gt;"&amp;A114,$A$47:$A$790,"&lt;="&amp;B114)+IF(B114&gt;$G$5,NETWORKDAYS($G$5+1,B114),0)</f>
        <v>13</v>
      </c>
      <c r="E114" s="3" t="n">
        <f aca="false">SUMIFS('Futures Data'!$E$5:$E$3471,'Futures Data'!$A$5:$A$3471,A114,'Futures Data'!$B$5:$B$3471,C114)</f>
        <v>16765</v>
      </c>
      <c r="F114" s="11" t="n">
        <f aca="false">_xlfn.MINIFS('Futures Data'!$B$5:$B$3471,'Futures Data'!$A$5:$A$3471,A114,'Futures Data'!$B$5:$B$3471,"&gt;"&amp;C114)</f>
        <v>45371</v>
      </c>
      <c r="G114" s="3" t="n">
        <f aca="false">SUMIFS('Futures Data'!$E$5:$E$3471,'Futures Data'!$A$5:$A$3471,A114,'Futures Data'!$B$5:$B$3471,F114)</f>
        <v>5005</v>
      </c>
      <c r="H114" s="9" t="b">
        <f aca="false">G114&gt;E114</f>
        <v>0</v>
      </c>
      <c r="I114" s="9" t="b">
        <f aca="false">C114&lt;&gt;B114</f>
        <v>1</v>
      </c>
      <c r="J114" s="3" t="n">
        <f aca="false">SUMIFS('Futures Data'!$C$5:$C$3471,'Futures Data'!$A$5:$A$3471,A114,'Futures Data'!$B$5:$B$3471,B114)</f>
        <v>5670</v>
      </c>
      <c r="K114" s="3" t="n">
        <f aca="false">SUMIFS('Futures Data'!$C$5:$C$3471,'Futures Data'!$A$5:$A$3471,A114,'Futures Data'!$B$5:$B$3471,C114)</f>
        <v>5708</v>
      </c>
      <c r="L114" s="3" t="n">
        <f aca="false">K114-J114</f>
        <v>38</v>
      </c>
      <c r="M114" s="3" t="n">
        <f aca="false">M115+L114</f>
        <v>1666</v>
      </c>
      <c r="N114" s="3" t="n">
        <f aca="false">J114+M114</f>
        <v>7336</v>
      </c>
      <c r="O114" s="13" t="n">
        <f aca="false">LN(J114/K113)</f>
        <v>0.000529240552178492</v>
      </c>
      <c r="P114" s="13" t="n">
        <f aca="false">LN(N114/N113)</f>
        <v>0.000409025842501179</v>
      </c>
      <c r="Q114" s="3" t="n">
        <f aca="false">SUMIFS('Futures Data'!$D$5:$D$3471,'Futures Data'!$A$5:$A$3471,A114,'Futures Data'!$B$5:$B$3471,B114)</f>
        <v>3650</v>
      </c>
      <c r="R114" s="7" t="n">
        <v>45342</v>
      </c>
      <c r="S114" s="9" t="b">
        <f aca="false">C114=R114</f>
        <v>1</v>
      </c>
      <c r="T114" s="9" t="b">
        <f aca="false">ABS(O114-LN(J114/SUMIFS('Futures Data'!$C$5:$C$3471,'Futures Data'!$A$5:$A$3471,A113,'Futures Data'!$B$5:$B$3471,B114)))&lt;0.000000001</f>
        <v>1</v>
      </c>
    </row>
    <row r="115" customFormat="false" ht="15" hidden="false" customHeight="false" outlineLevel="0" collapsed="false">
      <c r="A115" s="7" t="n">
        <v>45294</v>
      </c>
      <c r="B115" s="11" t="n">
        <f aca="false">C114</f>
        <v>45342</v>
      </c>
      <c r="C115" s="11" t="n">
        <f aca="false">IF(OR(H114,D115&lt;=$G$4),_xlfn.MINIFS('Futures Data'!$B$5:$B$3471,'Futures Data'!$A$5:$A$3471,A115,'Futures Data'!$B$5:$B$3471,"&gt;"&amp;B115),B115)</f>
        <v>45342</v>
      </c>
      <c r="D115" s="3" t="n">
        <f aca="false">COUNTIFS($A$47:$A$790,"&gt;"&amp;A115,$A$47:$A$790,"&lt;="&amp;B115)+IF(B115&gt;$G$5,NETWORKDAYS($G$5+1,B115),0)</f>
        <v>32</v>
      </c>
      <c r="E115" s="3" t="n">
        <f aca="false">SUMIFS('Futures Data'!$E$5:$E$3471,'Futures Data'!$A$5:$A$3471,A115,'Futures Data'!$B$5:$B$3471,C115)</f>
        <v>16645</v>
      </c>
      <c r="F115" s="11" t="n">
        <f aca="false">_xlfn.MINIFS('Futures Data'!$B$5:$B$3471,'Futures Data'!$A$5:$A$3471,A115,'Futures Data'!$B$5:$B$3471,"&gt;"&amp;C115)</f>
        <v>45371</v>
      </c>
      <c r="G115" s="3" t="n">
        <f aca="false">SUMIFS('Futures Data'!$E$5:$E$3471,'Futures Data'!$A$5:$A$3471,A115,'Futures Data'!$B$5:$B$3471,F115)</f>
        <v>5035</v>
      </c>
      <c r="H115" s="9" t="b">
        <f aca="false">G115&gt;E115</f>
        <v>0</v>
      </c>
      <c r="I115" s="9" t="b">
        <f aca="false">C115&lt;&gt;B115</f>
        <v>0</v>
      </c>
      <c r="J115" s="3" t="n">
        <f aca="false">SUMIFS('Futures Data'!$C$5:$C$3471,'Futures Data'!$A$5:$A$3471,A115,'Futures Data'!$B$5:$B$3471,B115)</f>
        <v>5720</v>
      </c>
      <c r="K115" s="3" t="n">
        <f aca="false">SUMIFS('Futures Data'!$C$5:$C$3471,'Futures Data'!$A$5:$A$3471,A115,'Futures Data'!$B$5:$B$3471,C115)</f>
        <v>5720</v>
      </c>
      <c r="L115" s="3" t="n">
        <f aca="false">K115-J115</f>
        <v>0</v>
      </c>
      <c r="M115" s="3" t="n">
        <f aca="false">M116+L115</f>
        <v>1628</v>
      </c>
      <c r="N115" s="3" t="n">
        <f aca="false">J115+M115</f>
        <v>7348</v>
      </c>
      <c r="O115" s="13" t="n">
        <f aca="false">LN(J115/K114)</f>
        <v>0.00210010577711659</v>
      </c>
      <c r="P115" s="13" t="n">
        <f aca="false">LN(N115/N114)</f>
        <v>0.00163443239871547</v>
      </c>
      <c r="Q115" s="3" t="n">
        <f aca="false">SUMIFS('Futures Data'!$D$5:$D$3471,'Futures Data'!$A$5:$A$3471,A115,'Futures Data'!$B$5:$B$3471,B115)</f>
        <v>3860</v>
      </c>
      <c r="R115" s="7" t="n">
        <v>45342</v>
      </c>
      <c r="S115" s="9" t="b">
        <f aca="false">C115=R115</f>
        <v>1</v>
      </c>
      <c r="T115" s="9" t="b">
        <f aca="false">ABS(O115-LN(J115/SUMIFS('Futures Data'!$C$5:$C$3471,'Futures Data'!$A$5:$A$3471,A114,'Futures Data'!$B$5:$B$3471,B115)))&lt;0.000000001</f>
        <v>1</v>
      </c>
    </row>
    <row r="116" customFormat="false" ht="15" hidden="false" customHeight="false" outlineLevel="0" collapsed="false">
      <c r="A116" s="7" t="n">
        <v>45295</v>
      </c>
      <c r="B116" s="11" t="n">
        <f aca="false">C115</f>
        <v>45342</v>
      </c>
      <c r="C116" s="11" t="n">
        <f aca="false">IF(OR(H115,D116&lt;=$G$4),_xlfn.MINIFS('Futures Data'!$B$5:$B$3471,'Futures Data'!$A$5:$A$3471,A116,'Futures Data'!$B$5:$B$3471,"&gt;"&amp;B116),B116)</f>
        <v>45342</v>
      </c>
      <c r="D116" s="3" t="n">
        <f aca="false">COUNTIFS($A$47:$A$790,"&gt;"&amp;A116,$A$47:$A$790,"&lt;="&amp;B116)+IF(B116&gt;$G$5,NETWORKDAYS($G$5+1,B116),0)</f>
        <v>31</v>
      </c>
      <c r="E116" s="3" t="n">
        <f aca="false">SUMIFS('Futures Data'!$E$5:$E$3471,'Futures Data'!$A$5:$A$3471,A116,'Futures Data'!$B$5:$B$3471,C116)</f>
        <v>16930</v>
      </c>
      <c r="F116" s="11" t="n">
        <f aca="false">_xlfn.MINIFS('Futures Data'!$B$5:$B$3471,'Futures Data'!$A$5:$A$3471,A116,'Futures Data'!$B$5:$B$3471,"&gt;"&amp;C116)</f>
        <v>45371</v>
      </c>
      <c r="G116" s="3" t="n">
        <f aca="false">SUMIFS('Futures Data'!$E$5:$E$3471,'Futures Data'!$A$5:$A$3471,A116,'Futures Data'!$B$5:$B$3471,F116)</f>
        <v>5070</v>
      </c>
      <c r="H116" s="9" t="b">
        <f aca="false">G116&gt;E116</f>
        <v>0</v>
      </c>
      <c r="I116" s="9" t="b">
        <f aca="false">C116&lt;&gt;B116</f>
        <v>0</v>
      </c>
      <c r="J116" s="3" t="n">
        <f aca="false">SUMIFS('Futures Data'!$C$5:$C$3471,'Futures Data'!$A$5:$A$3471,A116,'Futures Data'!$B$5:$B$3471,B116)</f>
        <v>5762</v>
      </c>
      <c r="K116" s="3" t="n">
        <f aca="false">SUMIFS('Futures Data'!$C$5:$C$3471,'Futures Data'!$A$5:$A$3471,A116,'Futures Data'!$B$5:$B$3471,C116)</f>
        <v>5762</v>
      </c>
      <c r="L116" s="3" t="n">
        <f aca="false">K116-J116</f>
        <v>0</v>
      </c>
      <c r="M116" s="3" t="n">
        <f aca="false">M117+L116</f>
        <v>1628</v>
      </c>
      <c r="N116" s="3" t="n">
        <f aca="false">J116+M116</f>
        <v>7390</v>
      </c>
      <c r="O116" s="13" t="n">
        <f aca="false">LN(J116/K115)</f>
        <v>0.00731583127063024</v>
      </c>
      <c r="P116" s="13" t="n">
        <f aca="false">LN(N116/N115)</f>
        <v>0.00569956760723113</v>
      </c>
      <c r="Q116" s="3" t="n">
        <f aca="false">SUMIFS('Futures Data'!$D$5:$D$3471,'Futures Data'!$A$5:$A$3471,A116,'Futures Data'!$B$5:$B$3471,B116)</f>
        <v>2535</v>
      </c>
      <c r="R116" s="7" t="n">
        <v>45342</v>
      </c>
      <c r="S116" s="9" t="b">
        <f aca="false">C116=R116</f>
        <v>1</v>
      </c>
      <c r="T116" s="9" t="b">
        <f aca="false">ABS(O116-LN(J116/SUMIFS('Futures Data'!$C$5:$C$3471,'Futures Data'!$A$5:$A$3471,A115,'Futures Data'!$B$5:$B$3471,B116)))&lt;0.000000001</f>
        <v>1</v>
      </c>
    </row>
    <row r="117" customFormat="false" ht="15" hidden="false" customHeight="false" outlineLevel="0" collapsed="false">
      <c r="A117" s="7" t="n">
        <v>45296</v>
      </c>
      <c r="B117" s="11" t="n">
        <f aca="false">C116</f>
        <v>45342</v>
      </c>
      <c r="C117" s="11" t="n">
        <f aca="false">IF(OR(H116,D117&lt;=$G$4),_xlfn.MINIFS('Futures Data'!$B$5:$B$3471,'Futures Data'!$A$5:$A$3471,A117,'Futures Data'!$B$5:$B$3471,"&gt;"&amp;B117),B117)</f>
        <v>45342</v>
      </c>
      <c r="D117" s="3" t="n">
        <f aca="false">COUNTIFS($A$47:$A$790,"&gt;"&amp;A117,$A$47:$A$790,"&lt;="&amp;B117)+IF(B117&gt;$G$5,NETWORKDAYS($G$5+1,B117),0)</f>
        <v>30</v>
      </c>
      <c r="E117" s="3" t="n">
        <f aca="false">SUMIFS('Futures Data'!$E$5:$E$3471,'Futures Data'!$A$5:$A$3471,A117,'Futures Data'!$B$5:$B$3471,C117)</f>
        <v>17850</v>
      </c>
      <c r="F117" s="11" t="n">
        <f aca="false">_xlfn.MINIFS('Futures Data'!$B$5:$B$3471,'Futures Data'!$A$5:$A$3471,A117,'Futures Data'!$B$5:$B$3471,"&gt;"&amp;C117)</f>
        <v>45371</v>
      </c>
      <c r="G117" s="3" t="n">
        <f aca="false">SUMIFS('Futures Data'!$E$5:$E$3471,'Futures Data'!$A$5:$A$3471,A117,'Futures Data'!$B$5:$B$3471,F117)</f>
        <v>5400</v>
      </c>
      <c r="H117" s="9" t="b">
        <f aca="false">G117&gt;E117</f>
        <v>0</v>
      </c>
      <c r="I117" s="9" t="b">
        <f aca="false">C117&lt;&gt;B117</f>
        <v>0</v>
      </c>
      <c r="J117" s="3" t="n">
        <f aca="false">SUMIFS('Futures Data'!$C$5:$C$3471,'Futures Data'!$A$5:$A$3471,A117,'Futures Data'!$B$5:$B$3471,B117)</f>
        <v>5739</v>
      </c>
      <c r="K117" s="3" t="n">
        <f aca="false">SUMIFS('Futures Data'!$C$5:$C$3471,'Futures Data'!$A$5:$A$3471,A117,'Futures Data'!$B$5:$B$3471,C117)</f>
        <v>5739</v>
      </c>
      <c r="L117" s="3" t="n">
        <f aca="false">K117-J117</f>
        <v>0</v>
      </c>
      <c r="M117" s="3" t="n">
        <f aca="false">M118+L117</f>
        <v>1628</v>
      </c>
      <c r="N117" s="3" t="n">
        <f aca="false">J117+M117</f>
        <v>7367</v>
      </c>
      <c r="O117" s="13" t="n">
        <f aca="false">LN(J117/K116)</f>
        <v>-0.00399965753611123</v>
      </c>
      <c r="P117" s="13" t="n">
        <f aca="false">LN(N117/N116)</f>
        <v>-0.00311716725943383</v>
      </c>
      <c r="Q117" s="3" t="n">
        <f aca="false">SUMIFS('Futures Data'!$D$5:$D$3471,'Futures Data'!$A$5:$A$3471,A117,'Futures Data'!$B$5:$B$3471,B117)</f>
        <v>4450</v>
      </c>
      <c r="R117" s="7" t="n">
        <v>45342</v>
      </c>
      <c r="S117" s="9" t="b">
        <f aca="false">C117=R117</f>
        <v>1</v>
      </c>
      <c r="T117" s="9" t="b">
        <f aca="false">ABS(O117-LN(J117/SUMIFS('Futures Data'!$C$5:$C$3471,'Futures Data'!$A$5:$A$3471,A116,'Futures Data'!$B$5:$B$3471,B117)))&lt;0.000000001</f>
        <v>1</v>
      </c>
    </row>
    <row r="118" customFormat="false" ht="15" hidden="false" customHeight="false" outlineLevel="0" collapsed="false">
      <c r="A118" s="7" t="n">
        <v>45299</v>
      </c>
      <c r="B118" s="11" t="n">
        <f aca="false">C117</f>
        <v>45342</v>
      </c>
      <c r="C118" s="11" t="n">
        <f aca="false">IF(OR(H117,D118&lt;=$G$4),_xlfn.MINIFS('Futures Data'!$B$5:$B$3471,'Futures Data'!$A$5:$A$3471,A118,'Futures Data'!$B$5:$B$3471,"&gt;"&amp;B118),B118)</f>
        <v>45342</v>
      </c>
      <c r="D118" s="3" t="n">
        <f aca="false">COUNTIFS($A$47:$A$790,"&gt;"&amp;A118,$A$47:$A$790,"&lt;="&amp;B118)+IF(B118&gt;$G$5,NETWORKDAYS($G$5+1,B118),0)</f>
        <v>29</v>
      </c>
      <c r="E118" s="3" t="n">
        <f aca="false">SUMIFS('Futures Data'!$E$5:$E$3471,'Futures Data'!$A$5:$A$3471,A118,'Futures Data'!$B$5:$B$3471,C118)</f>
        <v>18640</v>
      </c>
      <c r="F118" s="11" t="n">
        <f aca="false">_xlfn.MINIFS('Futures Data'!$B$5:$B$3471,'Futures Data'!$A$5:$A$3471,A118,'Futures Data'!$B$5:$B$3471,"&gt;"&amp;C118)</f>
        <v>45371</v>
      </c>
      <c r="G118" s="3" t="n">
        <f aca="false">SUMIFS('Futures Data'!$E$5:$E$3471,'Futures Data'!$A$5:$A$3471,A118,'Futures Data'!$B$5:$B$3471,F118)</f>
        <v>5675</v>
      </c>
      <c r="H118" s="9" t="b">
        <f aca="false">G118&gt;E118</f>
        <v>0</v>
      </c>
      <c r="I118" s="9" t="b">
        <f aca="false">C118&lt;&gt;B118</f>
        <v>0</v>
      </c>
      <c r="J118" s="3" t="n">
        <f aca="false">SUMIFS('Futures Data'!$C$5:$C$3471,'Futures Data'!$A$5:$A$3471,A118,'Futures Data'!$B$5:$B$3471,B118)</f>
        <v>5672</v>
      </c>
      <c r="K118" s="3" t="n">
        <f aca="false">SUMIFS('Futures Data'!$C$5:$C$3471,'Futures Data'!$A$5:$A$3471,A118,'Futures Data'!$B$5:$B$3471,C118)</f>
        <v>5672</v>
      </c>
      <c r="L118" s="3" t="n">
        <f aca="false">K118-J118</f>
        <v>0</v>
      </c>
      <c r="M118" s="3" t="n">
        <f aca="false">M119+L118</f>
        <v>1628</v>
      </c>
      <c r="N118" s="3" t="n">
        <f aca="false">J118+M118</f>
        <v>7300</v>
      </c>
      <c r="O118" s="13" t="n">
        <f aca="false">LN(J118/K117)</f>
        <v>-0.0117431898963991</v>
      </c>
      <c r="P118" s="13" t="n">
        <f aca="false">LN(N118/N117)</f>
        <v>-0.00913621954633114</v>
      </c>
      <c r="Q118" s="3" t="n">
        <f aca="false">SUMIFS('Futures Data'!$D$5:$D$3471,'Futures Data'!$A$5:$A$3471,A118,'Futures Data'!$B$5:$B$3471,B118)</f>
        <v>4530</v>
      </c>
      <c r="R118" s="7" t="n">
        <v>45342</v>
      </c>
      <c r="S118" s="9" t="b">
        <f aca="false">C118=R118</f>
        <v>1</v>
      </c>
      <c r="T118" s="9" t="b">
        <f aca="false">ABS(O118-LN(J118/SUMIFS('Futures Data'!$C$5:$C$3471,'Futures Data'!$A$5:$A$3471,A117,'Futures Data'!$B$5:$B$3471,B118)))&lt;0.000000001</f>
        <v>1</v>
      </c>
    </row>
    <row r="119" customFormat="false" ht="15" hidden="false" customHeight="false" outlineLevel="0" collapsed="false">
      <c r="A119" s="7" t="n">
        <v>45300</v>
      </c>
      <c r="B119" s="11" t="n">
        <f aca="false">C118</f>
        <v>45342</v>
      </c>
      <c r="C119" s="11" t="n">
        <f aca="false">IF(OR(H118,D119&lt;=$G$4),_xlfn.MINIFS('Futures Data'!$B$5:$B$3471,'Futures Data'!$A$5:$A$3471,A119,'Futures Data'!$B$5:$B$3471,"&gt;"&amp;B119),B119)</f>
        <v>45342</v>
      </c>
      <c r="D119" s="3" t="n">
        <f aca="false">COUNTIFS($A$47:$A$790,"&gt;"&amp;A119,$A$47:$A$790,"&lt;="&amp;B119)+IF(B119&gt;$G$5,NETWORKDAYS($G$5+1,B119),0)</f>
        <v>28</v>
      </c>
      <c r="E119" s="3" t="n">
        <f aca="false">SUMIFS('Futures Data'!$E$5:$E$3471,'Futures Data'!$A$5:$A$3471,A119,'Futures Data'!$B$5:$B$3471,C119)</f>
        <v>19415</v>
      </c>
      <c r="F119" s="11" t="n">
        <f aca="false">_xlfn.MINIFS('Futures Data'!$B$5:$B$3471,'Futures Data'!$A$5:$A$3471,A119,'Futures Data'!$B$5:$B$3471,"&gt;"&amp;C119)</f>
        <v>45371</v>
      </c>
      <c r="G119" s="3" t="n">
        <f aca="false">SUMIFS('Futures Data'!$E$5:$E$3471,'Futures Data'!$A$5:$A$3471,A119,'Futures Data'!$B$5:$B$3471,F119)</f>
        <v>6100</v>
      </c>
      <c r="H119" s="9" t="b">
        <f aca="false">G119&gt;E119</f>
        <v>0</v>
      </c>
      <c r="I119" s="9" t="b">
        <f aca="false">C119&lt;&gt;B119</f>
        <v>0</v>
      </c>
      <c r="J119" s="3" t="n">
        <f aca="false">SUMIFS('Futures Data'!$C$5:$C$3471,'Futures Data'!$A$5:$A$3471,A119,'Futures Data'!$B$5:$B$3471,B119)</f>
        <v>5671</v>
      </c>
      <c r="K119" s="3" t="n">
        <f aca="false">SUMIFS('Futures Data'!$C$5:$C$3471,'Futures Data'!$A$5:$A$3471,A119,'Futures Data'!$B$5:$B$3471,C119)</f>
        <v>5671</v>
      </c>
      <c r="L119" s="3" t="n">
        <f aca="false">K119-J119</f>
        <v>0</v>
      </c>
      <c r="M119" s="3" t="n">
        <f aca="false">M120+L119</f>
        <v>1628</v>
      </c>
      <c r="N119" s="3" t="n">
        <f aca="false">J119+M119</f>
        <v>7299</v>
      </c>
      <c r="O119" s="13" t="n">
        <f aca="false">LN(J119/K118)</f>
        <v>-0.000176320197935392</v>
      </c>
      <c r="P119" s="13" t="n">
        <f aca="false">LN(N119/N118)</f>
        <v>-0.000136995684850154</v>
      </c>
      <c r="Q119" s="3" t="n">
        <f aca="false">SUMIFS('Futures Data'!$D$5:$D$3471,'Futures Data'!$A$5:$A$3471,A119,'Futures Data'!$B$5:$B$3471,B119)</f>
        <v>3190</v>
      </c>
      <c r="R119" s="7" t="n">
        <v>45342</v>
      </c>
      <c r="S119" s="9" t="b">
        <f aca="false">C119=R119</f>
        <v>1</v>
      </c>
      <c r="T119" s="9" t="b">
        <f aca="false">ABS(O119-LN(J119/SUMIFS('Futures Data'!$C$5:$C$3471,'Futures Data'!$A$5:$A$3471,A118,'Futures Data'!$B$5:$B$3471,B119)))&lt;0.000000001</f>
        <v>1</v>
      </c>
    </row>
    <row r="120" customFormat="false" ht="15" hidden="false" customHeight="false" outlineLevel="0" collapsed="false">
      <c r="A120" s="7" t="n">
        <v>45301</v>
      </c>
      <c r="B120" s="11" t="n">
        <f aca="false">C119</f>
        <v>45342</v>
      </c>
      <c r="C120" s="11" t="n">
        <f aca="false">IF(OR(H119,D120&lt;=$G$4),_xlfn.MINIFS('Futures Data'!$B$5:$B$3471,'Futures Data'!$A$5:$A$3471,A120,'Futures Data'!$B$5:$B$3471,"&gt;"&amp;B120),B120)</f>
        <v>45342</v>
      </c>
      <c r="D120" s="3" t="n">
        <f aca="false">COUNTIFS($A$47:$A$790,"&gt;"&amp;A120,$A$47:$A$790,"&lt;="&amp;B120)+IF(B120&gt;$G$5,NETWORKDAYS($G$5+1,B120),0)</f>
        <v>27</v>
      </c>
      <c r="E120" s="3" t="n">
        <f aca="false">SUMIFS('Futures Data'!$E$5:$E$3471,'Futures Data'!$A$5:$A$3471,A120,'Futures Data'!$B$5:$B$3471,C120)</f>
        <v>20040</v>
      </c>
      <c r="F120" s="11" t="n">
        <f aca="false">_xlfn.MINIFS('Futures Data'!$B$5:$B$3471,'Futures Data'!$A$5:$A$3471,A120,'Futures Data'!$B$5:$B$3471,"&gt;"&amp;C120)</f>
        <v>45371</v>
      </c>
      <c r="G120" s="3" t="n">
        <f aca="false">SUMIFS('Futures Data'!$E$5:$E$3471,'Futures Data'!$A$5:$A$3471,A120,'Futures Data'!$B$5:$B$3471,F120)</f>
        <v>6655</v>
      </c>
      <c r="H120" s="9" t="b">
        <f aca="false">G120&gt;E120</f>
        <v>0</v>
      </c>
      <c r="I120" s="9" t="b">
        <f aca="false">C120&lt;&gt;B120</f>
        <v>0</v>
      </c>
      <c r="J120" s="3" t="n">
        <f aca="false">SUMIFS('Futures Data'!$C$5:$C$3471,'Futures Data'!$A$5:$A$3471,A120,'Futures Data'!$B$5:$B$3471,B120)</f>
        <v>5614</v>
      </c>
      <c r="K120" s="3" t="n">
        <f aca="false">SUMIFS('Futures Data'!$C$5:$C$3471,'Futures Data'!$A$5:$A$3471,A120,'Futures Data'!$B$5:$B$3471,C120)</f>
        <v>5614</v>
      </c>
      <c r="L120" s="3" t="n">
        <f aca="false">K120-J120</f>
        <v>0</v>
      </c>
      <c r="M120" s="3" t="n">
        <f aca="false">M121+L120</f>
        <v>1628</v>
      </c>
      <c r="N120" s="3" t="n">
        <f aca="false">J120+M120</f>
        <v>7242</v>
      </c>
      <c r="O120" s="13" t="n">
        <f aca="false">LN(J120/K119)</f>
        <v>-0.0101019910922002</v>
      </c>
      <c r="P120" s="13" t="n">
        <f aca="false">LN(N120/N119)</f>
        <v>-0.00783994112604581</v>
      </c>
      <c r="Q120" s="3" t="n">
        <f aca="false">SUMIFS('Futures Data'!$D$5:$D$3471,'Futures Data'!$A$5:$A$3471,A120,'Futures Data'!$B$5:$B$3471,B120)</f>
        <v>4225</v>
      </c>
      <c r="R120" s="7" t="n">
        <v>45342</v>
      </c>
      <c r="S120" s="9" t="b">
        <f aca="false">C120=R120</f>
        <v>1</v>
      </c>
      <c r="T120" s="9" t="b">
        <f aca="false">ABS(O120-LN(J120/SUMIFS('Futures Data'!$C$5:$C$3471,'Futures Data'!$A$5:$A$3471,A119,'Futures Data'!$B$5:$B$3471,B120)))&lt;0.000000001</f>
        <v>1</v>
      </c>
    </row>
    <row r="121" customFormat="false" ht="15" hidden="false" customHeight="false" outlineLevel="0" collapsed="false">
      <c r="A121" s="7" t="n">
        <v>45302</v>
      </c>
      <c r="B121" s="11" t="n">
        <f aca="false">C120</f>
        <v>45342</v>
      </c>
      <c r="C121" s="11" t="n">
        <f aca="false">IF(OR(H120,D121&lt;=$G$4),_xlfn.MINIFS('Futures Data'!$B$5:$B$3471,'Futures Data'!$A$5:$A$3471,A121,'Futures Data'!$B$5:$B$3471,"&gt;"&amp;B121),B121)</f>
        <v>45342</v>
      </c>
      <c r="D121" s="3" t="n">
        <f aca="false">COUNTIFS($A$47:$A$790,"&gt;"&amp;A121,$A$47:$A$790,"&lt;="&amp;B121)+IF(B121&gt;$G$5,NETWORKDAYS($G$5+1,B121),0)</f>
        <v>26</v>
      </c>
      <c r="E121" s="3" t="n">
        <f aca="false">SUMIFS('Futures Data'!$E$5:$E$3471,'Futures Data'!$A$5:$A$3471,A121,'Futures Data'!$B$5:$B$3471,C121)</f>
        <v>19040</v>
      </c>
      <c r="F121" s="11" t="n">
        <f aca="false">_xlfn.MINIFS('Futures Data'!$B$5:$B$3471,'Futures Data'!$A$5:$A$3471,A121,'Futures Data'!$B$5:$B$3471,"&gt;"&amp;C121)</f>
        <v>45371</v>
      </c>
      <c r="G121" s="3" t="n">
        <f aca="false">SUMIFS('Futures Data'!$E$5:$E$3471,'Futures Data'!$A$5:$A$3471,A121,'Futures Data'!$B$5:$B$3471,F121)</f>
        <v>8905</v>
      </c>
      <c r="H121" s="9" t="b">
        <f aca="false">G121&gt;E121</f>
        <v>0</v>
      </c>
      <c r="I121" s="9" t="b">
        <f aca="false">C121&lt;&gt;B121</f>
        <v>0</v>
      </c>
      <c r="J121" s="3" t="n">
        <f aca="false">SUMIFS('Futures Data'!$C$5:$C$3471,'Futures Data'!$A$5:$A$3471,A121,'Futures Data'!$B$5:$B$3471,B121)</f>
        <v>5624</v>
      </c>
      <c r="K121" s="3" t="n">
        <f aca="false">SUMIFS('Futures Data'!$C$5:$C$3471,'Futures Data'!$A$5:$A$3471,A121,'Futures Data'!$B$5:$B$3471,C121)</f>
        <v>5624</v>
      </c>
      <c r="L121" s="3" t="n">
        <f aca="false">K121-J121</f>
        <v>0</v>
      </c>
      <c r="M121" s="3" t="n">
        <f aca="false">M122+L121</f>
        <v>1628</v>
      </c>
      <c r="N121" s="3" t="n">
        <f aca="false">J121+M121</f>
        <v>7252</v>
      </c>
      <c r="O121" s="13" t="n">
        <f aca="false">LN(J121/K120)</f>
        <v>0.00177967656867297</v>
      </c>
      <c r="P121" s="13" t="n">
        <f aca="false">LN(N121/N120)</f>
        <v>0.00137988154915527</v>
      </c>
      <c r="Q121" s="3" t="n">
        <f aca="false">SUMIFS('Futures Data'!$D$5:$D$3471,'Futures Data'!$A$5:$A$3471,A121,'Futures Data'!$B$5:$B$3471,B121)</f>
        <v>7510</v>
      </c>
      <c r="R121" s="7" t="n">
        <v>45342</v>
      </c>
      <c r="S121" s="9" t="b">
        <f aca="false">C121=R121</f>
        <v>1</v>
      </c>
      <c r="T121" s="9" t="b">
        <f aca="false">ABS(O121-LN(J121/SUMIFS('Futures Data'!$C$5:$C$3471,'Futures Data'!$A$5:$A$3471,A120,'Futures Data'!$B$5:$B$3471,B121)))&lt;0.000000001</f>
        <v>1</v>
      </c>
    </row>
    <row r="122" customFormat="false" ht="15" hidden="false" customHeight="false" outlineLevel="0" collapsed="false">
      <c r="A122" s="7" t="n">
        <v>45303</v>
      </c>
      <c r="B122" s="11" t="n">
        <f aca="false">C121</f>
        <v>45342</v>
      </c>
      <c r="C122" s="11" t="n">
        <f aca="false">IF(OR(H121,D122&lt;=$G$4),_xlfn.MINIFS('Futures Data'!$B$5:$B$3471,'Futures Data'!$A$5:$A$3471,A122,'Futures Data'!$B$5:$B$3471,"&gt;"&amp;B122),B122)</f>
        <v>45342</v>
      </c>
      <c r="D122" s="3" t="n">
        <f aca="false">COUNTIFS($A$47:$A$790,"&gt;"&amp;A122,$A$47:$A$790,"&lt;="&amp;B122)+IF(B122&gt;$G$5,NETWORKDAYS($G$5+1,B122),0)</f>
        <v>25</v>
      </c>
      <c r="E122" s="3" t="n">
        <f aca="false">SUMIFS('Futures Data'!$E$5:$E$3471,'Futures Data'!$A$5:$A$3471,A122,'Futures Data'!$B$5:$B$3471,C122)</f>
        <v>19495</v>
      </c>
      <c r="F122" s="11" t="n">
        <f aca="false">_xlfn.MINIFS('Futures Data'!$B$5:$B$3471,'Futures Data'!$A$5:$A$3471,A122,'Futures Data'!$B$5:$B$3471,"&gt;"&amp;C122)</f>
        <v>45371</v>
      </c>
      <c r="G122" s="3" t="n">
        <f aca="false">SUMIFS('Futures Data'!$E$5:$E$3471,'Futures Data'!$A$5:$A$3471,A122,'Futures Data'!$B$5:$B$3471,F122)</f>
        <v>9575</v>
      </c>
      <c r="H122" s="9" t="b">
        <f aca="false">G122&gt;E122</f>
        <v>0</v>
      </c>
      <c r="I122" s="9" t="b">
        <f aca="false">C122&lt;&gt;B122</f>
        <v>0</v>
      </c>
      <c r="J122" s="3" t="n">
        <f aca="false">SUMIFS('Futures Data'!$C$5:$C$3471,'Futures Data'!$A$5:$A$3471,A122,'Futures Data'!$B$5:$B$3471,B122)</f>
        <v>5653</v>
      </c>
      <c r="K122" s="3" t="n">
        <f aca="false">SUMIFS('Futures Data'!$C$5:$C$3471,'Futures Data'!$A$5:$A$3471,A122,'Futures Data'!$B$5:$B$3471,C122)</f>
        <v>5653</v>
      </c>
      <c r="L122" s="3" t="n">
        <f aca="false">K122-J122</f>
        <v>0</v>
      </c>
      <c r="M122" s="3" t="n">
        <f aca="false">M123+L122</f>
        <v>1628</v>
      </c>
      <c r="N122" s="3" t="n">
        <f aca="false">J122+M122</f>
        <v>7281</v>
      </c>
      <c r="O122" s="13" t="n">
        <f aca="false">LN(J122/K121)</f>
        <v>0.00514322318478998</v>
      </c>
      <c r="P122" s="13" t="n">
        <f aca="false">LN(N122/N121)</f>
        <v>0.00399092251996951</v>
      </c>
      <c r="Q122" s="3" t="n">
        <f aca="false">SUMIFS('Futures Data'!$D$5:$D$3471,'Futures Data'!$A$5:$A$3471,A122,'Futures Data'!$B$5:$B$3471,B122)</f>
        <v>5215</v>
      </c>
      <c r="R122" s="7" t="n">
        <v>45342</v>
      </c>
      <c r="S122" s="9" t="b">
        <f aca="false">C122=R122</f>
        <v>1</v>
      </c>
      <c r="T122" s="9" t="b">
        <f aca="false">ABS(O122-LN(J122/SUMIFS('Futures Data'!$C$5:$C$3471,'Futures Data'!$A$5:$A$3471,A121,'Futures Data'!$B$5:$B$3471,B122)))&lt;0.000000001</f>
        <v>1</v>
      </c>
    </row>
    <row r="123" customFormat="false" ht="15" hidden="false" customHeight="false" outlineLevel="0" collapsed="false">
      <c r="A123" s="7" t="n">
        <v>45306</v>
      </c>
      <c r="B123" s="11" t="n">
        <f aca="false">C122</f>
        <v>45342</v>
      </c>
      <c r="C123" s="11" t="n">
        <f aca="false">IF(OR(H122,D123&lt;=$G$4),_xlfn.MINIFS('Futures Data'!$B$5:$B$3471,'Futures Data'!$A$5:$A$3471,A123,'Futures Data'!$B$5:$B$3471,"&gt;"&amp;B123),B123)</f>
        <v>45342</v>
      </c>
      <c r="D123" s="3" t="n">
        <f aca="false">COUNTIFS($A$47:$A$790,"&gt;"&amp;A123,$A$47:$A$790,"&lt;="&amp;B123)+IF(B123&gt;$G$5,NETWORKDAYS($G$5+1,B123),0)</f>
        <v>24</v>
      </c>
      <c r="E123" s="3" t="n">
        <f aca="false">SUMIFS('Futures Data'!$E$5:$E$3471,'Futures Data'!$A$5:$A$3471,A123,'Futures Data'!$B$5:$B$3471,C123)</f>
        <v>20470</v>
      </c>
      <c r="F123" s="11" t="n">
        <f aca="false">_xlfn.MINIFS('Futures Data'!$B$5:$B$3471,'Futures Data'!$A$5:$A$3471,A123,'Futures Data'!$B$5:$B$3471,"&gt;"&amp;C123)</f>
        <v>45371</v>
      </c>
      <c r="G123" s="3" t="n">
        <f aca="false">SUMIFS('Futures Data'!$E$5:$E$3471,'Futures Data'!$A$5:$A$3471,A123,'Futures Data'!$B$5:$B$3471,F123)</f>
        <v>9880</v>
      </c>
      <c r="H123" s="9" t="b">
        <f aca="false">G123&gt;E123</f>
        <v>0</v>
      </c>
      <c r="I123" s="9" t="b">
        <f aca="false">C123&lt;&gt;B123</f>
        <v>0</v>
      </c>
      <c r="J123" s="3" t="n">
        <f aca="false">SUMIFS('Futures Data'!$C$5:$C$3471,'Futures Data'!$A$5:$A$3471,A123,'Futures Data'!$B$5:$B$3471,B123)</f>
        <v>5639</v>
      </c>
      <c r="K123" s="3" t="n">
        <f aca="false">SUMIFS('Futures Data'!$C$5:$C$3471,'Futures Data'!$A$5:$A$3471,A123,'Futures Data'!$B$5:$B$3471,C123)</f>
        <v>5639</v>
      </c>
      <c r="L123" s="3" t="n">
        <f aca="false">K123-J123</f>
        <v>0</v>
      </c>
      <c r="M123" s="3" t="n">
        <f aca="false">M124+L123</f>
        <v>1628</v>
      </c>
      <c r="N123" s="3" t="n">
        <f aca="false">J123+M123</f>
        <v>7267</v>
      </c>
      <c r="O123" s="13" t="n">
        <f aca="false">LN(J123/K122)</f>
        <v>-0.00247963286810867</v>
      </c>
      <c r="P123" s="13" t="n">
        <f aca="false">LN(N123/N122)</f>
        <v>-0.00192466377807517</v>
      </c>
      <c r="Q123" s="3" t="n">
        <f aca="false">SUMIFS('Futures Data'!$D$5:$D$3471,'Futures Data'!$A$5:$A$3471,A123,'Futures Data'!$B$5:$B$3471,B123)</f>
        <v>3295</v>
      </c>
      <c r="R123" s="7" t="n">
        <v>45342</v>
      </c>
      <c r="S123" s="9" t="b">
        <f aca="false">C123=R123</f>
        <v>1</v>
      </c>
      <c r="T123" s="9" t="b">
        <f aca="false">ABS(O123-LN(J123/SUMIFS('Futures Data'!$C$5:$C$3471,'Futures Data'!$A$5:$A$3471,A122,'Futures Data'!$B$5:$B$3471,B123)))&lt;0.000000001</f>
        <v>1</v>
      </c>
    </row>
    <row r="124" customFormat="false" ht="15" hidden="false" customHeight="false" outlineLevel="0" collapsed="false">
      <c r="A124" s="7" t="n">
        <v>45307</v>
      </c>
      <c r="B124" s="11" t="n">
        <f aca="false">C123</f>
        <v>45342</v>
      </c>
      <c r="C124" s="11" t="n">
        <f aca="false">IF(OR(H123,D124&lt;=$G$4),_xlfn.MINIFS('Futures Data'!$B$5:$B$3471,'Futures Data'!$A$5:$A$3471,A124,'Futures Data'!$B$5:$B$3471,"&gt;"&amp;B124),B124)</f>
        <v>45342</v>
      </c>
      <c r="D124" s="3" t="n">
        <f aca="false">COUNTIFS($A$47:$A$790,"&gt;"&amp;A124,$A$47:$A$790,"&lt;="&amp;B124)+IF(B124&gt;$G$5,NETWORKDAYS($G$5+1,B124),0)</f>
        <v>23</v>
      </c>
      <c r="E124" s="3" t="n">
        <f aca="false">SUMIFS('Futures Data'!$E$5:$E$3471,'Futures Data'!$A$5:$A$3471,A124,'Futures Data'!$B$5:$B$3471,C124)</f>
        <v>20525</v>
      </c>
      <c r="F124" s="11" t="n">
        <f aca="false">_xlfn.MINIFS('Futures Data'!$B$5:$B$3471,'Futures Data'!$A$5:$A$3471,A124,'Futures Data'!$B$5:$B$3471,"&gt;"&amp;C124)</f>
        <v>45371</v>
      </c>
      <c r="G124" s="3" t="n">
        <f aca="false">SUMIFS('Futures Data'!$E$5:$E$3471,'Futures Data'!$A$5:$A$3471,A124,'Futures Data'!$B$5:$B$3471,F124)</f>
        <v>11290</v>
      </c>
      <c r="H124" s="9" t="b">
        <f aca="false">G124&gt;E124</f>
        <v>0</v>
      </c>
      <c r="I124" s="9" t="b">
        <f aca="false">C124&lt;&gt;B124</f>
        <v>0</v>
      </c>
      <c r="J124" s="3" t="n">
        <f aca="false">SUMIFS('Futures Data'!$C$5:$C$3471,'Futures Data'!$A$5:$A$3471,A124,'Futures Data'!$B$5:$B$3471,B124)</f>
        <v>5649</v>
      </c>
      <c r="K124" s="3" t="n">
        <f aca="false">SUMIFS('Futures Data'!$C$5:$C$3471,'Futures Data'!$A$5:$A$3471,A124,'Futures Data'!$B$5:$B$3471,C124)</f>
        <v>5649</v>
      </c>
      <c r="L124" s="3" t="n">
        <f aca="false">K124-J124</f>
        <v>0</v>
      </c>
      <c r="M124" s="3" t="n">
        <f aca="false">M125+L124</f>
        <v>1628</v>
      </c>
      <c r="N124" s="3" t="n">
        <f aca="false">J124+M124</f>
        <v>7277</v>
      </c>
      <c r="O124" s="13" t="n">
        <f aca="false">LN(J124/K123)</f>
        <v>0.00177179351808004</v>
      </c>
      <c r="P124" s="13" t="n">
        <f aca="false">LN(N124/N123)</f>
        <v>0.0013751377304506</v>
      </c>
      <c r="Q124" s="3" t="n">
        <f aca="false">SUMIFS('Futures Data'!$D$5:$D$3471,'Futures Data'!$A$5:$A$3471,A124,'Futures Data'!$B$5:$B$3471,B124)</f>
        <v>4940</v>
      </c>
      <c r="R124" s="7" t="n">
        <v>45342</v>
      </c>
      <c r="S124" s="9" t="b">
        <f aca="false">C124=R124</f>
        <v>1</v>
      </c>
      <c r="T124" s="9" t="b">
        <f aca="false">ABS(O124-LN(J124/SUMIFS('Futures Data'!$C$5:$C$3471,'Futures Data'!$A$5:$A$3471,A123,'Futures Data'!$B$5:$B$3471,B124)))&lt;0.000000001</f>
        <v>1</v>
      </c>
    </row>
    <row r="125" customFormat="false" ht="15" hidden="false" customHeight="false" outlineLevel="0" collapsed="false">
      <c r="A125" s="7" t="n">
        <v>45308</v>
      </c>
      <c r="B125" s="11" t="n">
        <f aca="false">C124</f>
        <v>45342</v>
      </c>
      <c r="C125" s="11" t="n">
        <f aca="false">IF(OR(H124,D125&lt;=$G$4),_xlfn.MINIFS('Futures Data'!$B$5:$B$3471,'Futures Data'!$A$5:$A$3471,A125,'Futures Data'!$B$5:$B$3471,"&gt;"&amp;B125),B125)</f>
        <v>45342</v>
      </c>
      <c r="D125" s="3" t="n">
        <f aca="false">COUNTIFS($A$47:$A$790,"&gt;"&amp;A125,$A$47:$A$790,"&lt;="&amp;B125)+IF(B125&gt;$G$5,NETWORKDAYS($G$5+1,B125),0)</f>
        <v>22</v>
      </c>
      <c r="E125" s="3" t="n">
        <f aca="false">SUMIFS('Futures Data'!$E$5:$E$3471,'Futures Data'!$A$5:$A$3471,A125,'Futures Data'!$B$5:$B$3471,C125)</f>
        <v>19545</v>
      </c>
      <c r="F125" s="11" t="n">
        <f aca="false">_xlfn.MINIFS('Futures Data'!$B$5:$B$3471,'Futures Data'!$A$5:$A$3471,A125,'Futures Data'!$B$5:$B$3471,"&gt;"&amp;C125)</f>
        <v>45371</v>
      </c>
      <c r="G125" s="3" t="n">
        <f aca="false">SUMIFS('Futures Data'!$E$5:$E$3471,'Futures Data'!$A$5:$A$3471,A125,'Futures Data'!$B$5:$B$3471,F125)</f>
        <v>12150</v>
      </c>
      <c r="H125" s="9" t="b">
        <f aca="false">G125&gt;E125</f>
        <v>0</v>
      </c>
      <c r="I125" s="9" t="b">
        <f aca="false">C125&lt;&gt;B125</f>
        <v>0</v>
      </c>
      <c r="J125" s="3" t="n">
        <f aca="false">SUMIFS('Futures Data'!$C$5:$C$3471,'Futures Data'!$A$5:$A$3471,A125,'Futures Data'!$B$5:$B$3471,B125)</f>
        <v>5647</v>
      </c>
      <c r="K125" s="3" t="n">
        <f aca="false">SUMIFS('Futures Data'!$C$5:$C$3471,'Futures Data'!$A$5:$A$3471,A125,'Futures Data'!$B$5:$B$3471,C125)</f>
        <v>5647</v>
      </c>
      <c r="L125" s="3" t="n">
        <f aca="false">K125-J125</f>
        <v>0</v>
      </c>
      <c r="M125" s="3" t="n">
        <f aca="false">M126+L125</f>
        <v>1628</v>
      </c>
      <c r="N125" s="3" t="n">
        <f aca="false">J125+M125</f>
        <v>7275</v>
      </c>
      <c r="O125" s="13" t="n">
        <f aca="false">LN(J125/K124)</f>
        <v>-0.000354107652425404</v>
      </c>
      <c r="P125" s="13" t="n">
        <f aca="false">LN(N125/N124)</f>
        <v>-0.000274876307393159</v>
      </c>
      <c r="Q125" s="3" t="n">
        <f aca="false">SUMIFS('Futures Data'!$D$5:$D$3471,'Futures Data'!$A$5:$A$3471,A125,'Futures Data'!$B$5:$B$3471,B125)</f>
        <v>4775</v>
      </c>
      <c r="R125" s="7" t="n">
        <v>45342</v>
      </c>
      <c r="S125" s="9" t="b">
        <f aca="false">C125=R125</f>
        <v>1</v>
      </c>
      <c r="T125" s="9" t="b">
        <f aca="false">ABS(O125-LN(J125/SUMIFS('Futures Data'!$C$5:$C$3471,'Futures Data'!$A$5:$A$3471,A124,'Futures Data'!$B$5:$B$3471,B125)))&lt;0.000000001</f>
        <v>1</v>
      </c>
    </row>
    <row r="126" customFormat="false" ht="15" hidden="false" customHeight="false" outlineLevel="0" collapsed="false">
      <c r="A126" s="7" t="n">
        <v>45309</v>
      </c>
      <c r="B126" s="11" t="n">
        <f aca="false">C125</f>
        <v>45342</v>
      </c>
      <c r="C126" s="11" t="n">
        <f aca="false">IF(OR(H125,D126&lt;=$G$4),_xlfn.MINIFS('Futures Data'!$B$5:$B$3471,'Futures Data'!$A$5:$A$3471,A126,'Futures Data'!$B$5:$B$3471,"&gt;"&amp;B126),B126)</f>
        <v>45342</v>
      </c>
      <c r="D126" s="3" t="n">
        <f aca="false">COUNTIFS($A$47:$A$790,"&gt;"&amp;A126,$A$47:$A$790,"&lt;="&amp;B126)+IF(B126&gt;$G$5,NETWORKDAYS($G$5+1,B126),0)</f>
        <v>21</v>
      </c>
      <c r="E126" s="3" t="n">
        <f aca="false">SUMIFS('Futures Data'!$E$5:$E$3471,'Futures Data'!$A$5:$A$3471,A126,'Futures Data'!$B$5:$B$3471,C126)</f>
        <v>19050</v>
      </c>
      <c r="F126" s="11" t="n">
        <f aca="false">_xlfn.MINIFS('Futures Data'!$B$5:$B$3471,'Futures Data'!$A$5:$A$3471,A126,'Futures Data'!$B$5:$B$3471,"&gt;"&amp;C126)</f>
        <v>45371</v>
      </c>
      <c r="G126" s="3" t="n">
        <f aca="false">SUMIFS('Futures Data'!$E$5:$E$3471,'Futures Data'!$A$5:$A$3471,A126,'Futures Data'!$B$5:$B$3471,F126)</f>
        <v>12815</v>
      </c>
      <c r="H126" s="9" t="b">
        <f aca="false">G126&gt;E126</f>
        <v>0</v>
      </c>
      <c r="I126" s="9" t="b">
        <f aca="false">C126&lt;&gt;B126</f>
        <v>0</v>
      </c>
      <c r="J126" s="3" t="n">
        <f aca="false">SUMIFS('Futures Data'!$C$5:$C$3471,'Futures Data'!$A$5:$A$3471,A126,'Futures Data'!$B$5:$B$3471,B126)</f>
        <v>5683</v>
      </c>
      <c r="K126" s="3" t="n">
        <f aca="false">SUMIFS('Futures Data'!$C$5:$C$3471,'Futures Data'!$A$5:$A$3471,A126,'Futures Data'!$B$5:$B$3471,C126)</f>
        <v>5683</v>
      </c>
      <c r="L126" s="3" t="n">
        <f aca="false">K126-J126</f>
        <v>0</v>
      </c>
      <c r="M126" s="3" t="n">
        <f aca="false">M127+L126</f>
        <v>1628</v>
      </c>
      <c r="N126" s="3" t="n">
        <f aca="false">J126+M126</f>
        <v>7311</v>
      </c>
      <c r="O126" s="13" t="n">
        <f aca="false">LN(J126/K125)</f>
        <v>0.0063548316242848</v>
      </c>
      <c r="P126" s="13" t="n">
        <f aca="false">LN(N126/N125)</f>
        <v>0.00493625025362259</v>
      </c>
      <c r="Q126" s="3" t="n">
        <f aca="false">SUMIFS('Futures Data'!$D$5:$D$3471,'Futures Data'!$A$5:$A$3471,A126,'Futures Data'!$B$5:$B$3471,B126)</f>
        <v>3735</v>
      </c>
      <c r="R126" s="7" t="n">
        <v>45342</v>
      </c>
      <c r="S126" s="9" t="b">
        <f aca="false">C126=R126</f>
        <v>1</v>
      </c>
      <c r="T126" s="9" t="b">
        <f aca="false">ABS(O126-LN(J126/SUMIFS('Futures Data'!$C$5:$C$3471,'Futures Data'!$A$5:$A$3471,A125,'Futures Data'!$B$5:$B$3471,B126)))&lt;0.000000001</f>
        <v>1</v>
      </c>
    </row>
    <row r="127" customFormat="false" ht="15" hidden="false" customHeight="false" outlineLevel="0" collapsed="false">
      <c r="A127" s="7" t="n">
        <v>45310</v>
      </c>
      <c r="B127" s="11" t="n">
        <f aca="false">C126</f>
        <v>45342</v>
      </c>
      <c r="C127" s="11" t="n">
        <f aca="false">IF(OR(H126,D127&lt;=$G$4),_xlfn.MINIFS('Futures Data'!$B$5:$B$3471,'Futures Data'!$A$5:$A$3471,A127,'Futures Data'!$B$5:$B$3471,"&gt;"&amp;B127),B127)</f>
        <v>45342</v>
      </c>
      <c r="D127" s="3" t="n">
        <f aca="false">COUNTIFS($A$47:$A$790,"&gt;"&amp;A127,$A$47:$A$790,"&lt;="&amp;B127)+IF(B127&gt;$G$5,NETWORKDAYS($G$5+1,B127),0)</f>
        <v>20</v>
      </c>
      <c r="E127" s="3" t="n">
        <f aca="false">SUMIFS('Futures Data'!$E$5:$E$3471,'Futures Data'!$A$5:$A$3471,A127,'Futures Data'!$B$5:$B$3471,C127)</f>
        <v>18500</v>
      </c>
      <c r="F127" s="11" t="n">
        <f aca="false">_xlfn.MINIFS('Futures Data'!$B$5:$B$3471,'Futures Data'!$A$5:$A$3471,A127,'Futures Data'!$B$5:$B$3471,"&gt;"&amp;C127)</f>
        <v>45371</v>
      </c>
      <c r="G127" s="3" t="n">
        <f aca="false">SUMIFS('Futures Data'!$E$5:$E$3471,'Futures Data'!$A$5:$A$3471,A127,'Futures Data'!$B$5:$B$3471,F127)</f>
        <v>13235</v>
      </c>
      <c r="H127" s="9" t="b">
        <f aca="false">G127&gt;E127</f>
        <v>0</v>
      </c>
      <c r="I127" s="9" t="b">
        <f aca="false">C127&lt;&gt;B127</f>
        <v>0</v>
      </c>
      <c r="J127" s="3" t="n">
        <f aca="false">SUMIFS('Futures Data'!$C$5:$C$3471,'Futures Data'!$A$5:$A$3471,A127,'Futures Data'!$B$5:$B$3471,B127)</f>
        <v>5687</v>
      </c>
      <c r="K127" s="3" t="n">
        <f aca="false">SUMIFS('Futures Data'!$C$5:$C$3471,'Futures Data'!$A$5:$A$3471,A127,'Futures Data'!$B$5:$B$3471,C127)</f>
        <v>5687</v>
      </c>
      <c r="L127" s="3" t="n">
        <f aca="false">K127-J127</f>
        <v>0</v>
      </c>
      <c r="M127" s="3" t="n">
        <f aca="false">M128+L127</f>
        <v>1628</v>
      </c>
      <c r="N127" s="3" t="n">
        <f aca="false">J127+M127</f>
        <v>7315</v>
      </c>
      <c r="O127" s="13" t="n">
        <f aca="false">LN(J127/K126)</f>
        <v>0.000703606009678259</v>
      </c>
      <c r="P127" s="13" t="n">
        <f aca="false">LN(N127/N126)</f>
        <v>0.0005469711609087</v>
      </c>
      <c r="Q127" s="3" t="n">
        <f aca="false">SUMIFS('Futures Data'!$D$5:$D$3471,'Futures Data'!$A$5:$A$3471,A127,'Futures Data'!$B$5:$B$3471,B127)</f>
        <v>4330</v>
      </c>
      <c r="R127" s="7" t="n">
        <v>45342</v>
      </c>
      <c r="S127" s="9" t="b">
        <f aca="false">C127=R127</f>
        <v>1</v>
      </c>
      <c r="T127" s="9" t="b">
        <f aca="false">ABS(O127-LN(J127/SUMIFS('Futures Data'!$C$5:$C$3471,'Futures Data'!$A$5:$A$3471,A126,'Futures Data'!$B$5:$B$3471,B127)))&lt;0.000000001</f>
        <v>1</v>
      </c>
    </row>
    <row r="128" customFormat="false" ht="15" hidden="false" customHeight="false" outlineLevel="0" collapsed="false">
      <c r="A128" s="7" t="n">
        <v>45314</v>
      </c>
      <c r="B128" s="11" t="n">
        <f aca="false">C127</f>
        <v>45342</v>
      </c>
      <c r="C128" s="11" t="n">
        <f aca="false">IF(OR(H127,D128&lt;=$G$4),_xlfn.MINIFS('Futures Data'!$B$5:$B$3471,'Futures Data'!$A$5:$A$3471,A128,'Futures Data'!$B$5:$B$3471,"&gt;"&amp;B128),B128)</f>
        <v>45342</v>
      </c>
      <c r="D128" s="3" t="n">
        <f aca="false">COUNTIFS($A$47:$A$790,"&gt;"&amp;A128,$A$47:$A$790,"&lt;="&amp;B128)+IF(B128&gt;$G$5,NETWORKDAYS($G$5+1,B128),0)</f>
        <v>19</v>
      </c>
      <c r="E128" s="3" t="n">
        <f aca="false">SUMIFS('Futures Data'!$E$5:$E$3471,'Futures Data'!$A$5:$A$3471,A128,'Futures Data'!$B$5:$B$3471,C128)</f>
        <v>17555</v>
      </c>
      <c r="F128" s="11" t="n">
        <f aca="false">_xlfn.MINIFS('Futures Data'!$B$5:$B$3471,'Futures Data'!$A$5:$A$3471,A128,'Futures Data'!$B$5:$B$3471,"&gt;"&amp;C128)</f>
        <v>45371</v>
      </c>
      <c r="G128" s="3" t="n">
        <f aca="false">SUMIFS('Futures Data'!$E$5:$E$3471,'Futures Data'!$A$5:$A$3471,A128,'Futures Data'!$B$5:$B$3471,F128)</f>
        <v>13500</v>
      </c>
      <c r="H128" s="9" t="b">
        <f aca="false">G128&gt;E128</f>
        <v>0</v>
      </c>
      <c r="I128" s="9" t="b">
        <f aca="false">C128&lt;&gt;B128</f>
        <v>0</v>
      </c>
      <c r="J128" s="3" t="n">
        <f aca="false">SUMIFS('Futures Data'!$C$5:$C$3471,'Futures Data'!$A$5:$A$3471,A128,'Futures Data'!$B$5:$B$3471,B128)</f>
        <v>5793</v>
      </c>
      <c r="K128" s="3" t="n">
        <f aca="false">SUMIFS('Futures Data'!$C$5:$C$3471,'Futures Data'!$A$5:$A$3471,A128,'Futures Data'!$B$5:$B$3471,C128)</f>
        <v>5793</v>
      </c>
      <c r="L128" s="3" t="n">
        <f aca="false">K128-J128</f>
        <v>0</v>
      </c>
      <c r="M128" s="3" t="n">
        <f aca="false">M129+L128</f>
        <v>1628</v>
      </c>
      <c r="N128" s="3" t="n">
        <f aca="false">J128+M128</f>
        <v>7421</v>
      </c>
      <c r="O128" s="13" t="n">
        <f aca="false">LN(J128/K127)</f>
        <v>0.0184674237898245</v>
      </c>
      <c r="P128" s="13" t="n">
        <f aca="false">LN(N128/N127)</f>
        <v>0.0143867845159089</v>
      </c>
      <c r="Q128" s="3" t="n">
        <f aca="false">SUMIFS('Futures Data'!$D$5:$D$3471,'Futures Data'!$A$5:$A$3471,A128,'Futures Data'!$B$5:$B$3471,B128)</f>
        <v>6265</v>
      </c>
      <c r="R128" s="7" t="n">
        <v>45342</v>
      </c>
      <c r="S128" s="9" t="b">
        <f aca="false">C128=R128</f>
        <v>1</v>
      </c>
      <c r="T128" s="9" t="b">
        <f aca="false">ABS(O128-LN(J128/SUMIFS('Futures Data'!$C$5:$C$3471,'Futures Data'!$A$5:$A$3471,A127,'Futures Data'!$B$5:$B$3471,B128)))&lt;0.000000001</f>
        <v>1</v>
      </c>
    </row>
    <row r="129" customFormat="false" ht="15" hidden="false" customHeight="false" outlineLevel="0" collapsed="false">
      <c r="A129" s="7" t="n">
        <v>45315</v>
      </c>
      <c r="B129" s="11" t="n">
        <f aca="false">C128</f>
        <v>45342</v>
      </c>
      <c r="C129" s="11" t="n">
        <f aca="false">IF(OR(H128,D129&lt;=$G$4),_xlfn.MINIFS('Futures Data'!$B$5:$B$3471,'Futures Data'!$A$5:$A$3471,A129,'Futures Data'!$B$5:$B$3471,"&gt;"&amp;B129),B129)</f>
        <v>45342</v>
      </c>
      <c r="D129" s="3" t="n">
        <f aca="false">COUNTIFS($A$47:$A$790,"&gt;"&amp;A129,$A$47:$A$790,"&lt;="&amp;B129)+IF(B129&gt;$G$5,NETWORKDAYS($G$5+1,B129),0)</f>
        <v>18</v>
      </c>
      <c r="E129" s="3" t="n">
        <f aca="false">SUMIFS('Futures Data'!$E$5:$E$3471,'Futures Data'!$A$5:$A$3471,A129,'Futures Data'!$B$5:$B$3471,C129)</f>
        <v>18370</v>
      </c>
      <c r="F129" s="11" t="n">
        <f aca="false">_xlfn.MINIFS('Futures Data'!$B$5:$B$3471,'Futures Data'!$A$5:$A$3471,A129,'Futures Data'!$B$5:$B$3471,"&gt;"&amp;C129)</f>
        <v>45371</v>
      </c>
      <c r="G129" s="3" t="n">
        <f aca="false">SUMIFS('Futures Data'!$E$5:$E$3471,'Futures Data'!$A$5:$A$3471,A129,'Futures Data'!$B$5:$B$3471,F129)</f>
        <v>13555</v>
      </c>
      <c r="H129" s="9" t="b">
        <f aca="false">G129&gt;E129</f>
        <v>0</v>
      </c>
      <c r="I129" s="9" t="b">
        <f aca="false">C129&lt;&gt;B129</f>
        <v>0</v>
      </c>
      <c r="J129" s="3" t="n">
        <f aca="false">SUMIFS('Futures Data'!$C$5:$C$3471,'Futures Data'!$A$5:$A$3471,A129,'Futures Data'!$B$5:$B$3471,B129)</f>
        <v>5784</v>
      </c>
      <c r="K129" s="3" t="n">
        <f aca="false">SUMIFS('Futures Data'!$C$5:$C$3471,'Futures Data'!$A$5:$A$3471,A129,'Futures Data'!$B$5:$B$3471,C129)</f>
        <v>5784</v>
      </c>
      <c r="L129" s="3" t="n">
        <f aca="false">K129-J129</f>
        <v>0</v>
      </c>
      <c r="M129" s="3" t="n">
        <f aca="false">M130+L129</f>
        <v>1628</v>
      </c>
      <c r="N129" s="3" t="n">
        <f aca="false">J129+M129</f>
        <v>7412</v>
      </c>
      <c r="O129" s="13" t="n">
        <f aca="false">LN(J129/K128)</f>
        <v>-0.00155480725802348</v>
      </c>
      <c r="P129" s="13" t="n">
        <f aca="false">LN(N129/N128)</f>
        <v>-0.00121351056488319</v>
      </c>
      <c r="Q129" s="3" t="n">
        <f aca="false">SUMIFS('Futures Data'!$D$5:$D$3471,'Futures Data'!$A$5:$A$3471,A129,'Futures Data'!$B$5:$B$3471,B129)</f>
        <v>6945</v>
      </c>
      <c r="R129" s="7" t="n">
        <v>45342</v>
      </c>
      <c r="S129" s="9" t="b">
        <f aca="false">C129=R129</f>
        <v>1</v>
      </c>
      <c r="T129" s="9" t="b">
        <f aca="false">ABS(O129-LN(J129/SUMIFS('Futures Data'!$C$5:$C$3471,'Futures Data'!$A$5:$A$3471,A128,'Futures Data'!$B$5:$B$3471,B129)))&lt;0.000000001</f>
        <v>1</v>
      </c>
    </row>
    <row r="130" customFormat="false" ht="15" hidden="false" customHeight="false" outlineLevel="0" collapsed="false">
      <c r="A130" s="7" t="n">
        <v>45316</v>
      </c>
      <c r="B130" s="11" t="n">
        <f aca="false">C129</f>
        <v>45342</v>
      </c>
      <c r="C130" s="11" t="n">
        <f aca="false">IF(OR(H129,D130&lt;=$G$4),_xlfn.MINIFS('Futures Data'!$B$5:$B$3471,'Futures Data'!$A$5:$A$3471,A130,'Futures Data'!$B$5:$B$3471,"&gt;"&amp;B130),B130)</f>
        <v>45342</v>
      </c>
      <c r="D130" s="3" t="n">
        <f aca="false">COUNTIFS($A$47:$A$790,"&gt;"&amp;A130,$A$47:$A$790,"&lt;="&amp;B130)+IF(B130&gt;$G$5,NETWORKDAYS($G$5+1,B130),0)</f>
        <v>17</v>
      </c>
      <c r="E130" s="3" t="n">
        <f aca="false">SUMIFS('Futures Data'!$E$5:$E$3471,'Futures Data'!$A$5:$A$3471,A130,'Futures Data'!$B$5:$B$3471,C130)</f>
        <v>18190</v>
      </c>
      <c r="F130" s="11" t="n">
        <f aca="false">_xlfn.MINIFS('Futures Data'!$B$5:$B$3471,'Futures Data'!$A$5:$A$3471,A130,'Futures Data'!$B$5:$B$3471,"&gt;"&amp;C130)</f>
        <v>45371</v>
      </c>
      <c r="G130" s="3" t="n">
        <f aca="false">SUMIFS('Futures Data'!$E$5:$E$3471,'Futures Data'!$A$5:$A$3471,A130,'Futures Data'!$B$5:$B$3471,F130)</f>
        <v>14120</v>
      </c>
      <c r="H130" s="9" t="b">
        <f aca="false">G130&gt;E130</f>
        <v>0</v>
      </c>
      <c r="I130" s="9" t="b">
        <f aca="false">C130&lt;&gt;B130</f>
        <v>0</v>
      </c>
      <c r="J130" s="3" t="n">
        <f aca="false">SUMIFS('Futures Data'!$C$5:$C$3471,'Futures Data'!$A$5:$A$3471,A130,'Futures Data'!$B$5:$B$3471,B130)</f>
        <v>5818</v>
      </c>
      <c r="K130" s="3" t="n">
        <f aca="false">SUMIFS('Futures Data'!$C$5:$C$3471,'Futures Data'!$A$5:$A$3471,A130,'Futures Data'!$B$5:$B$3471,C130)</f>
        <v>5818</v>
      </c>
      <c r="L130" s="3" t="n">
        <f aca="false">K130-J130</f>
        <v>0</v>
      </c>
      <c r="M130" s="3" t="n">
        <f aca="false">M131+L130</f>
        <v>1628</v>
      </c>
      <c r="N130" s="3" t="n">
        <f aca="false">J130+M130</f>
        <v>7446</v>
      </c>
      <c r="O130" s="13" t="n">
        <f aca="false">LN(J130/K129)</f>
        <v>0.00586107521654631</v>
      </c>
      <c r="P130" s="13" t="n">
        <f aca="false">LN(N130/N129)</f>
        <v>0.00457666702741189</v>
      </c>
      <c r="Q130" s="3" t="n">
        <f aca="false">SUMIFS('Futures Data'!$D$5:$D$3471,'Futures Data'!$A$5:$A$3471,A130,'Futures Data'!$B$5:$B$3471,B130)</f>
        <v>2720</v>
      </c>
      <c r="R130" s="7" t="n">
        <v>45342</v>
      </c>
      <c r="S130" s="9" t="b">
        <f aca="false">C130=R130</f>
        <v>1</v>
      </c>
      <c r="T130" s="9" t="b">
        <f aca="false">ABS(O130-LN(J130/SUMIFS('Futures Data'!$C$5:$C$3471,'Futures Data'!$A$5:$A$3471,A129,'Futures Data'!$B$5:$B$3471,B130)))&lt;0.000000001</f>
        <v>1</v>
      </c>
    </row>
    <row r="131" customFormat="false" ht="15" hidden="false" customHeight="false" outlineLevel="0" collapsed="false">
      <c r="A131" s="7" t="n">
        <v>45320</v>
      </c>
      <c r="B131" s="11" t="n">
        <f aca="false">C130</f>
        <v>45342</v>
      </c>
      <c r="C131" s="11" t="n">
        <f aca="false">IF(OR(H130,D131&lt;=$G$4),_xlfn.MINIFS('Futures Data'!$B$5:$B$3471,'Futures Data'!$A$5:$A$3471,A131,'Futures Data'!$B$5:$B$3471,"&gt;"&amp;B131),B131)</f>
        <v>45342</v>
      </c>
      <c r="D131" s="3" t="n">
        <f aca="false">COUNTIFS($A$47:$A$790,"&gt;"&amp;A131,$A$47:$A$790,"&lt;="&amp;B131)+IF(B131&gt;$G$5,NETWORKDAYS($G$5+1,B131),0)</f>
        <v>16</v>
      </c>
      <c r="E131" s="3" t="n">
        <f aca="false">SUMIFS('Futures Data'!$E$5:$E$3471,'Futures Data'!$A$5:$A$3471,A131,'Futures Data'!$B$5:$B$3471,C131)</f>
        <v>18055</v>
      </c>
      <c r="F131" s="11" t="n">
        <f aca="false">_xlfn.MINIFS('Futures Data'!$B$5:$B$3471,'Futures Data'!$A$5:$A$3471,A131,'Futures Data'!$B$5:$B$3471,"&gt;"&amp;C131)</f>
        <v>45371</v>
      </c>
      <c r="G131" s="3" t="n">
        <f aca="false">SUMIFS('Futures Data'!$E$5:$E$3471,'Futures Data'!$A$5:$A$3471,A131,'Futures Data'!$B$5:$B$3471,F131)</f>
        <v>14185</v>
      </c>
      <c r="H131" s="9" t="b">
        <f aca="false">G131&gt;E131</f>
        <v>0</v>
      </c>
      <c r="I131" s="9" t="b">
        <f aca="false">C131&lt;&gt;B131</f>
        <v>0</v>
      </c>
      <c r="J131" s="3" t="n">
        <f aca="false">SUMIFS('Futures Data'!$C$5:$C$3471,'Futures Data'!$A$5:$A$3471,A131,'Futures Data'!$B$5:$B$3471,B131)</f>
        <v>5713</v>
      </c>
      <c r="K131" s="3" t="n">
        <f aca="false">SUMIFS('Futures Data'!$C$5:$C$3471,'Futures Data'!$A$5:$A$3471,A131,'Futures Data'!$B$5:$B$3471,C131)</f>
        <v>5713</v>
      </c>
      <c r="L131" s="3" t="n">
        <f aca="false">K131-J131</f>
        <v>0</v>
      </c>
      <c r="M131" s="3" t="n">
        <f aca="false">M132+L131</f>
        <v>1628</v>
      </c>
      <c r="N131" s="3" t="n">
        <f aca="false">J131+M131</f>
        <v>7341</v>
      </c>
      <c r="O131" s="13" t="n">
        <f aca="false">LN(J131/K130)</f>
        <v>-0.0182122803306844</v>
      </c>
      <c r="P131" s="13" t="n">
        <f aca="false">LN(N131/N130)</f>
        <v>-0.0142019023218808</v>
      </c>
      <c r="Q131" s="3" t="n">
        <f aca="false">SUMIFS('Futures Data'!$D$5:$D$3471,'Futures Data'!$A$5:$A$3471,A131,'Futures Data'!$B$5:$B$3471,B131)</f>
        <v>5095</v>
      </c>
      <c r="R131" s="7" t="n">
        <v>45342</v>
      </c>
      <c r="S131" s="9" t="b">
        <f aca="false">C131=R131</f>
        <v>1</v>
      </c>
      <c r="T131" s="9" t="b">
        <f aca="false">ABS(O131-LN(J131/SUMIFS('Futures Data'!$C$5:$C$3471,'Futures Data'!$A$5:$A$3471,A130,'Futures Data'!$B$5:$B$3471,B131)))&lt;0.000000001</f>
        <v>1</v>
      </c>
    </row>
    <row r="132" customFormat="false" ht="15" hidden="false" customHeight="false" outlineLevel="0" collapsed="false">
      <c r="A132" s="7" t="n">
        <v>45321</v>
      </c>
      <c r="B132" s="11" t="n">
        <f aca="false">C131</f>
        <v>45342</v>
      </c>
      <c r="C132" s="11" t="n">
        <f aca="false">IF(OR(H131,D132&lt;=$G$4),_xlfn.MINIFS('Futures Data'!$B$5:$B$3471,'Futures Data'!$A$5:$A$3471,A132,'Futures Data'!$B$5:$B$3471,"&gt;"&amp;B132),B132)</f>
        <v>45342</v>
      </c>
      <c r="D132" s="3" t="n">
        <f aca="false">COUNTIFS($A$47:$A$790,"&gt;"&amp;A132,$A$47:$A$790,"&lt;="&amp;B132)+IF(B132&gt;$G$5,NETWORKDAYS($G$5+1,B132),0)</f>
        <v>15</v>
      </c>
      <c r="E132" s="3" t="n">
        <f aca="false">SUMIFS('Futures Data'!$E$5:$E$3471,'Futures Data'!$A$5:$A$3471,A132,'Futures Data'!$B$5:$B$3471,C132)</f>
        <v>18350</v>
      </c>
      <c r="F132" s="11" t="n">
        <f aca="false">_xlfn.MINIFS('Futures Data'!$B$5:$B$3471,'Futures Data'!$A$5:$A$3471,A132,'Futures Data'!$B$5:$B$3471,"&gt;"&amp;C132)</f>
        <v>45371</v>
      </c>
      <c r="G132" s="3" t="n">
        <f aca="false">SUMIFS('Futures Data'!$E$5:$E$3471,'Futures Data'!$A$5:$A$3471,A132,'Futures Data'!$B$5:$B$3471,F132)</f>
        <v>15065</v>
      </c>
      <c r="H132" s="9" t="b">
        <f aca="false">G132&gt;E132</f>
        <v>0</v>
      </c>
      <c r="I132" s="9" t="b">
        <f aca="false">C132&lt;&gt;B132</f>
        <v>0</v>
      </c>
      <c r="J132" s="3" t="n">
        <f aca="false">SUMIFS('Futures Data'!$C$5:$C$3471,'Futures Data'!$A$5:$A$3471,A132,'Futures Data'!$B$5:$B$3471,B132)</f>
        <v>5763</v>
      </c>
      <c r="K132" s="3" t="n">
        <f aca="false">SUMIFS('Futures Data'!$C$5:$C$3471,'Futures Data'!$A$5:$A$3471,A132,'Futures Data'!$B$5:$B$3471,C132)</f>
        <v>5763</v>
      </c>
      <c r="L132" s="3" t="n">
        <f aca="false">K132-J132</f>
        <v>0</v>
      </c>
      <c r="M132" s="3" t="n">
        <f aca="false">M133+L132</f>
        <v>1628</v>
      </c>
      <c r="N132" s="3" t="n">
        <f aca="false">J132+M132</f>
        <v>7391</v>
      </c>
      <c r="O132" s="13" t="n">
        <f aca="false">LN(J132/K131)</f>
        <v>0.00871389271220379</v>
      </c>
      <c r="P132" s="13" t="n">
        <f aca="false">LN(N132/N131)</f>
        <v>0.00678797067410534</v>
      </c>
      <c r="Q132" s="3" t="n">
        <f aca="false">SUMIFS('Futures Data'!$D$5:$D$3471,'Futures Data'!$A$5:$A$3471,A132,'Futures Data'!$B$5:$B$3471,B132)</f>
        <v>4430</v>
      </c>
      <c r="R132" s="7" t="n">
        <v>45342</v>
      </c>
      <c r="S132" s="9" t="b">
        <f aca="false">C132=R132</f>
        <v>1</v>
      </c>
      <c r="T132" s="9" t="b">
        <f aca="false">ABS(O132-LN(J132/SUMIFS('Futures Data'!$C$5:$C$3471,'Futures Data'!$A$5:$A$3471,A131,'Futures Data'!$B$5:$B$3471,B132)))&lt;0.000000001</f>
        <v>1</v>
      </c>
    </row>
    <row r="133" customFormat="false" ht="15" hidden="false" customHeight="false" outlineLevel="0" collapsed="false">
      <c r="A133" s="7" t="n">
        <v>45322</v>
      </c>
      <c r="B133" s="11" t="n">
        <f aca="false">C132</f>
        <v>45342</v>
      </c>
      <c r="C133" s="11" t="n">
        <f aca="false">IF(OR(H132,D133&lt;=$G$4),_xlfn.MINIFS('Futures Data'!$B$5:$B$3471,'Futures Data'!$A$5:$A$3471,A133,'Futures Data'!$B$5:$B$3471,"&gt;"&amp;B133),B133)</f>
        <v>45342</v>
      </c>
      <c r="D133" s="3" t="n">
        <f aca="false">COUNTIFS($A$47:$A$790,"&gt;"&amp;A133,$A$47:$A$790,"&lt;="&amp;B133)+IF(B133&gt;$G$5,NETWORKDAYS($G$5+1,B133),0)</f>
        <v>14</v>
      </c>
      <c r="E133" s="3" t="n">
        <f aca="false">SUMIFS('Futures Data'!$E$5:$E$3471,'Futures Data'!$A$5:$A$3471,A133,'Futures Data'!$B$5:$B$3471,C133)</f>
        <v>17555</v>
      </c>
      <c r="F133" s="11" t="n">
        <f aca="false">_xlfn.MINIFS('Futures Data'!$B$5:$B$3471,'Futures Data'!$A$5:$A$3471,A133,'Futures Data'!$B$5:$B$3471,"&gt;"&amp;C133)</f>
        <v>45371</v>
      </c>
      <c r="G133" s="3" t="n">
        <f aca="false">SUMIFS('Futures Data'!$E$5:$E$3471,'Futures Data'!$A$5:$A$3471,A133,'Futures Data'!$B$5:$B$3471,F133)</f>
        <v>15490</v>
      </c>
      <c r="H133" s="9" t="b">
        <f aca="false">G133&gt;E133</f>
        <v>0</v>
      </c>
      <c r="I133" s="9" t="b">
        <f aca="false">C133&lt;&gt;B133</f>
        <v>0</v>
      </c>
      <c r="J133" s="3" t="n">
        <f aca="false">SUMIFS('Futures Data'!$C$5:$C$3471,'Futures Data'!$A$5:$A$3471,A133,'Futures Data'!$B$5:$B$3471,B133)</f>
        <v>5739</v>
      </c>
      <c r="K133" s="3" t="n">
        <f aca="false">SUMIFS('Futures Data'!$C$5:$C$3471,'Futures Data'!$A$5:$A$3471,A133,'Futures Data'!$B$5:$B$3471,C133)</f>
        <v>5739</v>
      </c>
      <c r="L133" s="3" t="n">
        <f aca="false">K133-J133</f>
        <v>0</v>
      </c>
      <c r="M133" s="3" t="n">
        <f aca="false">M134+L133</f>
        <v>1628</v>
      </c>
      <c r="N133" s="3" t="n">
        <f aca="false">J133+M133</f>
        <v>7367</v>
      </c>
      <c r="O133" s="13" t="n">
        <f aca="false">LN(J133/K132)</f>
        <v>-0.00417319332830377</v>
      </c>
      <c r="P133" s="13" t="n">
        <f aca="false">LN(N133/N132)</f>
        <v>-0.00325247610207321</v>
      </c>
      <c r="Q133" s="3" t="n">
        <f aca="false">SUMIFS('Futures Data'!$D$5:$D$3471,'Futures Data'!$A$5:$A$3471,A133,'Futures Data'!$B$5:$B$3471,B133)</f>
        <v>5345</v>
      </c>
      <c r="R133" s="7" t="n">
        <v>45342</v>
      </c>
      <c r="S133" s="9" t="b">
        <f aca="false">C133=R133</f>
        <v>1</v>
      </c>
      <c r="T133" s="9" t="b">
        <f aca="false">ABS(O133-LN(J133/SUMIFS('Futures Data'!$C$5:$C$3471,'Futures Data'!$A$5:$A$3471,A132,'Futures Data'!$B$5:$B$3471,B133)))&lt;0.000000001</f>
        <v>1</v>
      </c>
    </row>
    <row r="134" customFormat="false" ht="15" hidden="false" customHeight="false" outlineLevel="0" collapsed="false">
      <c r="A134" s="7" t="n">
        <v>45323</v>
      </c>
      <c r="B134" s="11" t="n">
        <f aca="false">C133</f>
        <v>45342</v>
      </c>
      <c r="C134" s="11" t="n">
        <f aca="false">IF(OR(H133,D134&lt;=$G$4),_xlfn.MINIFS('Futures Data'!$B$5:$B$3471,'Futures Data'!$A$5:$A$3471,A134,'Futures Data'!$B$5:$B$3471,"&gt;"&amp;B134),B134)</f>
        <v>45342</v>
      </c>
      <c r="D134" s="3" t="n">
        <f aca="false">COUNTIFS($A$47:$A$790,"&gt;"&amp;A134,$A$47:$A$790,"&lt;="&amp;B134)+IF(B134&gt;$G$5,NETWORKDAYS($G$5+1,B134),0)</f>
        <v>13</v>
      </c>
      <c r="E134" s="3" t="n">
        <f aca="false">SUMIFS('Futures Data'!$E$5:$E$3471,'Futures Data'!$A$5:$A$3471,A134,'Futures Data'!$B$5:$B$3471,C134)</f>
        <v>17195</v>
      </c>
      <c r="F134" s="11" t="n">
        <f aca="false">_xlfn.MINIFS('Futures Data'!$B$5:$B$3471,'Futures Data'!$A$5:$A$3471,A134,'Futures Data'!$B$5:$B$3471,"&gt;"&amp;C134)</f>
        <v>45371</v>
      </c>
      <c r="G134" s="3" t="n">
        <f aca="false">SUMIFS('Futures Data'!$E$5:$E$3471,'Futures Data'!$A$5:$A$3471,A134,'Futures Data'!$B$5:$B$3471,F134)</f>
        <v>15955</v>
      </c>
      <c r="H134" s="9" t="b">
        <f aca="false">G134&gt;E134</f>
        <v>0</v>
      </c>
      <c r="I134" s="9" t="b">
        <f aca="false">C134&lt;&gt;B134</f>
        <v>0</v>
      </c>
      <c r="J134" s="3" t="n">
        <f aca="false">SUMIFS('Futures Data'!$C$5:$C$3471,'Futures Data'!$A$5:$A$3471,A134,'Futures Data'!$B$5:$B$3471,B134)</f>
        <v>5740</v>
      </c>
      <c r="K134" s="3" t="n">
        <f aca="false">SUMIFS('Futures Data'!$C$5:$C$3471,'Futures Data'!$A$5:$A$3471,A134,'Futures Data'!$B$5:$B$3471,C134)</f>
        <v>5740</v>
      </c>
      <c r="L134" s="3" t="n">
        <f aca="false">K134-J134</f>
        <v>0</v>
      </c>
      <c r="M134" s="3" t="n">
        <f aca="false">M135+L134</f>
        <v>1628</v>
      </c>
      <c r="N134" s="3" t="n">
        <f aca="false">J134+M134</f>
        <v>7368</v>
      </c>
      <c r="O134" s="13" t="n">
        <f aca="false">LN(J134/K133)</f>
        <v>0.000174231205249467</v>
      </c>
      <c r="P134" s="13" t="n">
        <f aca="false">LN(N134/N133)</f>
        <v>0.000135731252329164</v>
      </c>
      <c r="Q134" s="3" t="n">
        <f aca="false">SUMIFS('Futures Data'!$D$5:$D$3471,'Futures Data'!$A$5:$A$3471,A134,'Futures Data'!$B$5:$B$3471,B134)</f>
        <v>2905</v>
      </c>
      <c r="R134" s="7" t="n">
        <v>45342</v>
      </c>
      <c r="S134" s="9" t="b">
        <f aca="false">C134=R134</f>
        <v>1</v>
      </c>
      <c r="T134" s="9" t="b">
        <f aca="false">ABS(O134-LN(J134/SUMIFS('Futures Data'!$C$5:$C$3471,'Futures Data'!$A$5:$A$3471,A133,'Futures Data'!$B$5:$B$3471,B134)))&lt;0.000000001</f>
        <v>1</v>
      </c>
    </row>
    <row r="135" customFormat="false" ht="15" hidden="false" customHeight="false" outlineLevel="0" collapsed="false">
      <c r="A135" s="7" t="n">
        <v>45324</v>
      </c>
      <c r="B135" s="11" t="n">
        <f aca="false">C134</f>
        <v>45342</v>
      </c>
      <c r="C135" s="11" t="n">
        <f aca="false">IF(OR(H134,D135&lt;=$G$4),_xlfn.MINIFS('Futures Data'!$B$5:$B$3471,'Futures Data'!$A$5:$A$3471,A135,'Futures Data'!$B$5:$B$3471,"&gt;"&amp;B135),B135)</f>
        <v>45342</v>
      </c>
      <c r="D135" s="3" t="n">
        <f aca="false">COUNTIFS($A$47:$A$790,"&gt;"&amp;A135,$A$47:$A$790,"&lt;="&amp;B135)+IF(B135&gt;$G$5,NETWORKDAYS($G$5+1,B135),0)</f>
        <v>12</v>
      </c>
      <c r="E135" s="3" t="n">
        <f aca="false">SUMIFS('Futures Data'!$E$5:$E$3471,'Futures Data'!$A$5:$A$3471,A135,'Futures Data'!$B$5:$B$3471,C135)</f>
        <v>17410</v>
      </c>
      <c r="F135" s="11" t="n">
        <f aca="false">_xlfn.MINIFS('Futures Data'!$B$5:$B$3471,'Futures Data'!$A$5:$A$3471,A135,'Futures Data'!$B$5:$B$3471,"&gt;"&amp;C135)</f>
        <v>45371</v>
      </c>
      <c r="G135" s="3" t="n">
        <f aca="false">SUMIFS('Futures Data'!$E$5:$E$3471,'Futures Data'!$A$5:$A$3471,A135,'Futures Data'!$B$5:$B$3471,F135)</f>
        <v>15470</v>
      </c>
      <c r="H135" s="9" t="b">
        <f aca="false">G135&gt;E135</f>
        <v>0</v>
      </c>
      <c r="I135" s="9" t="b">
        <f aca="false">C135&lt;&gt;B135</f>
        <v>0</v>
      </c>
      <c r="J135" s="3" t="n">
        <f aca="false">SUMIFS('Futures Data'!$C$5:$C$3471,'Futures Data'!$A$5:$A$3471,A135,'Futures Data'!$B$5:$B$3471,B135)</f>
        <v>5739</v>
      </c>
      <c r="K135" s="3" t="n">
        <f aca="false">SUMIFS('Futures Data'!$C$5:$C$3471,'Futures Data'!$A$5:$A$3471,A135,'Futures Data'!$B$5:$B$3471,C135)</f>
        <v>5739</v>
      </c>
      <c r="L135" s="3" t="n">
        <f aca="false">K135-J135</f>
        <v>0</v>
      </c>
      <c r="M135" s="3" t="n">
        <f aca="false">M136+L135</f>
        <v>1628</v>
      </c>
      <c r="N135" s="3" t="n">
        <f aca="false">J135+M135</f>
        <v>7367</v>
      </c>
      <c r="O135" s="13" t="n">
        <f aca="false">LN(J135/K134)</f>
        <v>-0.000174231205249567</v>
      </c>
      <c r="P135" s="13" t="n">
        <f aca="false">LN(N135/N134)</f>
        <v>-0.000135731252329126</v>
      </c>
      <c r="Q135" s="3" t="n">
        <f aca="false">SUMIFS('Futures Data'!$D$5:$D$3471,'Futures Data'!$A$5:$A$3471,A135,'Futures Data'!$B$5:$B$3471,B135)</f>
        <v>3005</v>
      </c>
      <c r="R135" s="7" t="n">
        <v>45342</v>
      </c>
      <c r="S135" s="9" t="b">
        <f aca="false">C135=R135</f>
        <v>1</v>
      </c>
      <c r="T135" s="9" t="b">
        <f aca="false">ABS(O135-LN(J135/SUMIFS('Futures Data'!$C$5:$C$3471,'Futures Data'!$A$5:$A$3471,A134,'Futures Data'!$B$5:$B$3471,B135)))&lt;0.000000001</f>
        <v>1</v>
      </c>
    </row>
    <row r="136" customFormat="false" ht="15" hidden="false" customHeight="false" outlineLevel="0" collapsed="false">
      <c r="A136" s="7" t="n">
        <v>45327</v>
      </c>
      <c r="B136" s="11" t="n">
        <f aca="false">C135</f>
        <v>45342</v>
      </c>
      <c r="C136" s="11" t="n">
        <f aca="false">IF(OR(H135,D136&lt;=$G$4),_xlfn.MINIFS('Futures Data'!$B$5:$B$3471,'Futures Data'!$A$5:$A$3471,A136,'Futures Data'!$B$5:$B$3471,"&gt;"&amp;B136),B136)</f>
        <v>45342</v>
      </c>
      <c r="D136" s="3" t="n">
        <f aca="false">COUNTIFS($A$47:$A$790,"&gt;"&amp;A136,$A$47:$A$790,"&lt;="&amp;B136)+IF(B136&gt;$G$5,NETWORKDAYS($G$5+1,B136),0)</f>
        <v>11</v>
      </c>
      <c r="E136" s="3" t="n">
        <f aca="false">SUMIFS('Futures Data'!$E$5:$E$3471,'Futures Data'!$A$5:$A$3471,A136,'Futures Data'!$B$5:$B$3471,C136)</f>
        <v>16925</v>
      </c>
      <c r="F136" s="11" t="n">
        <f aca="false">_xlfn.MINIFS('Futures Data'!$B$5:$B$3471,'Futures Data'!$A$5:$A$3471,A136,'Futures Data'!$B$5:$B$3471,"&gt;"&amp;C136)</f>
        <v>45371</v>
      </c>
      <c r="G136" s="3" t="n">
        <f aca="false">SUMIFS('Futures Data'!$E$5:$E$3471,'Futures Data'!$A$5:$A$3471,A136,'Futures Data'!$B$5:$B$3471,F136)</f>
        <v>14910</v>
      </c>
      <c r="H136" s="9" t="b">
        <f aca="false">G136&gt;E136</f>
        <v>0</v>
      </c>
      <c r="I136" s="9" t="b">
        <f aca="false">C136&lt;&gt;B136</f>
        <v>0</v>
      </c>
      <c r="J136" s="3" t="n">
        <f aca="false">SUMIFS('Futures Data'!$C$5:$C$3471,'Futures Data'!$A$5:$A$3471,A136,'Futures Data'!$B$5:$B$3471,B136)</f>
        <v>5675</v>
      </c>
      <c r="K136" s="3" t="n">
        <f aca="false">SUMIFS('Futures Data'!$C$5:$C$3471,'Futures Data'!$A$5:$A$3471,A136,'Futures Data'!$B$5:$B$3471,C136)</f>
        <v>5675</v>
      </c>
      <c r="L136" s="3" t="n">
        <f aca="false">K136-J136</f>
        <v>0</v>
      </c>
      <c r="M136" s="3" t="n">
        <f aca="false">M137+L136</f>
        <v>1628</v>
      </c>
      <c r="N136" s="3" t="n">
        <f aca="false">J136+M136</f>
        <v>7303</v>
      </c>
      <c r="O136" s="13" t="n">
        <f aca="false">LN(J136/K135)</f>
        <v>-0.0112144157587592</v>
      </c>
      <c r="P136" s="13" t="n">
        <f aca="false">LN(N136/N135)</f>
        <v>-0.00872534506270382</v>
      </c>
      <c r="Q136" s="3" t="n">
        <f aca="false">SUMIFS('Futures Data'!$D$5:$D$3471,'Futures Data'!$A$5:$A$3471,A136,'Futures Data'!$B$5:$B$3471,B136)</f>
        <v>2845</v>
      </c>
      <c r="R136" s="7" t="n">
        <v>45342</v>
      </c>
      <c r="S136" s="9" t="b">
        <f aca="false">C136=R136</f>
        <v>1</v>
      </c>
      <c r="T136" s="9" t="b">
        <f aca="false">ABS(O136-LN(J136/SUMIFS('Futures Data'!$C$5:$C$3471,'Futures Data'!$A$5:$A$3471,A135,'Futures Data'!$B$5:$B$3471,B136)))&lt;0.000000001</f>
        <v>1</v>
      </c>
    </row>
    <row r="137" customFormat="false" ht="15" hidden="false" customHeight="false" outlineLevel="0" collapsed="false">
      <c r="A137" s="7" t="n">
        <v>45328</v>
      </c>
      <c r="B137" s="11" t="n">
        <f aca="false">C136</f>
        <v>45342</v>
      </c>
      <c r="C137" s="11" t="n">
        <f aca="false">IF(OR(H136,D137&lt;=$G$4),_xlfn.MINIFS('Futures Data'!$B$5:$B$3471,'Futures Data'!$A$5:$A$3471,A137,'Futures Data'!$B$5:$B$3471,"&gt;"&amp;B137),B137)</f>
        <v>45342</v>
      </c>
      <c r="D137" s="3" t="n">
        <f aca="false">COUNTIFS($A$47:$A$790,"&gt;"&amp;A137,$A$47:$A$790,"&lt;="&amp;B137)+IF(B137&gt;$G$5,NETWORKDAYS($G$5+1,B137),0)</f>
        <v>10</v>
      </c>
      <c r="E137" s="3" t="n">
        <f aca="false">SUMIFS('Futures Data'!$E$5:$E$3471,'Futures Data'!$A$5:$A$3471,A137,'Futures Data'!$B$5:$B$3471,C137)</f>
        <v>16645</v>
      </c>
      <c r="F137" s="11" t="n">
        <f aca="false">_xlfn.MINIFS('Futures Data'!$B$5:$B$3471,'Futures Data'!$A$5:$A$3471,A137,'Futures Data'!$B$5:$B$3471,"&gt;"&amp;C137)</f>
        <v>45371</v>
      </c>
      <c r="G137" s="3" t="n">
        <f aca="false">SUMIFS('Futures Data'!$E$5:$E$3471,'Futures Data'!$A$5:$A$3471,A137,'Futures Data'!$B$5:$B$3471,F137)</f>
        <v>14910</v>
      </c>
      <c r="H137" s="9" t="b">
        <f aca="false">G137&gt;E137</f>
        <v>0</v>
      </c>
      <c r="I137" s="9" t="b">
        <f aca="false">C137&lt;&gt;B137</f>
        <v>0</v>
      </c>
      <c r="J137" s="3" t="n">
        <f aca="false">SUMIFS('Futures Data'!$C$5:$C$3471,'Futures Data'!$A$5:$A$3471,A137,'Futures Data'!$B$5:$B$3471,B137)</f>
        <v>5697</v>
      </c>
      <c r="K137" s="3" t="n">
        <f aca="false">SUMIFS('Futures Data'!$C$5:$C$3471,'Futures Data'!$A$5:$A$3471,A137,'Futures Data'!$B$5:$B$3471,C137)</f>
        <v>5697</v>
      </c>
      <c r="L137" s="3" t="n">
        <f aca="false">K137-J137</f>
        <v>0</v>
      </c>
      <c r="M137" s="3" t="n">
        <f aca="false">M138+L137</f>
        <v>1628</v>
      </c>
      <c r="N137" s="3" t="n">
        <f aca="false">J137+M137</f>
        <v>7325</v>
      </c>
      <c r="O137" s="13" t="n">
        <f aca="false">LN(J137/K136)</f>
        <v>0.00386915713079226</v>
      </c>
      <c r="P137" s="13" t="n">
        <f aca="false">LN(N137/N136)</f>
        <v>0.00300793226515829</v>
      </c>
      <c r="Q137" s="3" t="n">
        <f aca="false">SUMIFS('Futures Data'!$D$5:$D$3471,'Futures Data'!$A$5:$A$3471,A137,'Futures Data'!$B$5:$B$3471,B137)</f>
        <v>2105</v>
      </c>
      <c r="R137" s="7" t="n">
        <v>45342</v>
      </c>
      <c r="S137" s="9" t="b">
        <f aca="false">C137=R137</f>
        <v>1</v>
      </c>
      <c r="T137" s="9" t="b">
        <f aca="false">ABS(O137-LN(J137/SUMIFS('Futures Data'!$C$5:$C$3471,'Futures Data'!$A$5:$A$3471,A136,'Futures Data'!$B$5:$B$3471,B137)))&lt;0.000000001</f>
        <v>1</v>
      </c>
    </row>
    <row r="138" customFormat="false" ht="15" hidden="false" customHeight="false" outlineLevel="0" collapsed="false">
      <c r="A138" s="7" t="n">
        <v>45329</v>
      </c>
      <c r="B138" s="11" t="n">
        <f aca="false">C137</f>
        <v>45342</v>
      </c>
      <c r="C138" s="11" t="n">
        <f aca="false">IF(OR(H137,D138&lt;=$G$4),_xlfn.MINIFS('Futures Data'!$B$5:$B$3471,'Futures Data'!$A$5:$A$3471,A138,'Futures Data'!$B$5:$B$3471,"&gt;"&amp;B138),B138)</f>
        <v>45342</v>
      </c>
      <c r="D138" s="3" t="n">
        <f aca="false">COUNTIFS($A$47:$A$790,"&gt;"&amp;A138,$A$47:$A$790,"&lt;="&amp;B138)+IF(B138&gt;$G$5,NETWORKDAYS($G$5+1,B138),0)</f>
        <v>9</v>
      </c>
      <c r="E138" s="3" t="n">
        <f aca="false">SUMIFS('Futures Data'!$E$5:$E$3471,'Futures Data'!$A$5:$A$3471,A138,'Futures Data'!$B$5:$B$3471,C138)</f>
        <v>16445</v>
      </c>
      <c r="F138" s="11" t="n">
        <f aca="false">_xlfn.MINIFS('Futures Data'!$B$5:$B$3471,'Futures Data'!$A$5:$A$3471,A138,'Futures Data'!$B$5:$B$3471,"&gt;"&amp;C138)</f>
        <v>45371</v>
      </c>
      <c r="G138" s="3" t="n">
        <f aca="false">SUMIFS('Futures Data'!$E$5:$E$3471,'Futures Data'!$A$5:$A$3471,A138,'Futures Data'!$B$5:$B$3471,F138)</f>
        <v>15335</v>
      </c>
      <c r="H138" s="9" t="b">
        <f aca="false">G138&gt;E138</f>
        <v>0</v>
      </c>
      <c r="I138" s="9" t="b">
        <f aca="false">C138&lt;&gt;B138</f>
        <v>0</v>
      </c>
      <c r="J138" s="3" t="n">
        <f aca="false">SUMIFS('Futures Data'!$C$5:$C$3471,'Futures Data'!$A$5:$A$3471,A138,'Futures Data'!$B$5:$B$3471,B138)</f>
        <v>5758</v>
      </c>
      <c r="K138" s="3" t="n">
        <f aca="false">SUMIFS('Futures Data'!$C$5:$C$3471,'Futures Data'!$A$5:$A$3471,A138,'Futures Data'!$B$5:$B$3471,C138)</f>
        <v>5758</v>
      </c>
      <c r="L138" s="3" t="n">
        <f aca="false">K138-J138</f>
        <v>0</v>
      </c>
      <c r="M138" s="3" t="n">
        <f aca="false">M139+L138</f>
        <v>1628</v>
      </c>
      <c r="N138" s="3" t="n">
        <f aca="false">J138+M138</f>
        <v>7386</v>
      </c>
      <c r="O138" s="13" t="n">
        <f aca="false">LN(J138/K137)</f>
        <v>0.0106504716917256</v>
      </c>
      <c r="P138" s="13" t="n">
        <f aca="false">LN(N138/N137)</f>
        <v>0.00829316152724035</v>
      </c>
      <c r="Q138" s="3" t="n">
        <f aca="false">SUMIFS('Futures Data'!$D$5:$D$3471,'Futures Data'!$A$5:$A$3471,A138,'Futures Data'!$B$5:$B$3471,B138)</f>
        <v>4685</v>
      </c>
      <c r="R138" s="7" t="n">
        <v>45342</v>
      </c>
      <c r="S138" s="9" t="b">
        <f aca="false">C138=R138</f>
        <v>1</v>
      </c>
      <c r="T138" s="9" t="b">
        <f aca="false">ABS(O138-LN(J138/SUMIFS('Futures Data'!$C$5:$C$3471,'Futures Data'!$A$5:$A$3471,A137,'Futures Data'!$B$5:$B$3471,B138)))&lt;0.000000001</f>
        <v>1</v>
      </c>
    </row>
    <row r="139" customFormat="false" ht="15" hidden="false" customHeight="false" outlineLevel="0" collapsed="false">
      <c r="A139" s="7" t="n">
        <v>45330</v>
      </c>
      <c r="B139" s="11" t="n">
        <f aca="false">C138</f>
        <v>45342</v>
      </c>
      <c r="C139" s="11" t="n">
        <f aca="false">IF(OR(H138,D139&lt;=$G$4),_xlfn.MINIFS('Futures Data'!$B$5:$B$3471,'Futures Data'!$A$5:$A$3471,A139,'Futures Data'!$B$5:$B$3471,"&gt;"&amp;B139),B139)</f>
        <v>45342</v>
      </c>
      <c r="D139" s="3" t="n">
        <f aca="false">COUNTIFS($A$47:$A$790,"&gt;"&amp;A139,$A$47:$A$790,"&lt;="&amp;B139)+IF(B139&gt;$G$5,NETWORKDAYS($G$5+1,B139),0)</f>
        <v>8</v>
      </c>
      <c r="E139" s="3" t="n">
        <f aca="false">SUMIFS('Futures Data'!$E$5:$E$3471,'Futures Data'!$A$5:$A$3471,A139,'Futures Data'!$B$5:$B$3471,C139)</f>
        <v>14835</v>
      </c>
      <c r="F139" s="11" t="n">
        <f aca="false">_xlfn.MINIFS('Futures Data'!$B$5:$B$3471,'Futures Data'!$A$5:$A$3471,A139,'Futures Data'!$B$5:$B$3471,"&gt;"&amp;C139)</f>
        <v>45371</v>
      </c>
      <c r="G139" s="3" t="n">
        <f aca="false">SUMIFS('Futures Data'!$E$5:$E$3471,'Futures Data'!$A$5:$A$3471,A139,'Futures Data'!$B$5:$B$3471,F139)</f>
        <v>15515</v>
      </c>
      <c r="H139" s="9" t="b">
        <f aca="false">G139&gt;E139</f>
        <v>1</v>
      </c>
      <c r="I139" s="9" t="b">
        <f aca="false">C139&lt;&gt;B139</f>
        <v>0</v>
      </c>
      <c r="J139" s="3" t="n">
        <f aca="false">SUMIFS('Futures Data'!$C$5:$C$3471,'Futures Data'!$A$5:$A$3471,A139,'Futures Data'!$B$5:$B$3471,B139)</f>
        <v>5756</v>
      </c>
      <c r="K139" s="3" t="n">
        <f aca="false">SUMIFS('Futures Data'!$C$5:$C$3471,'Futures Data'!$A$5:$A$3471,A139,'Futures Data'!$B$5:$B$3471,C139)</f>
        <v>5756</v>
      </c>
      <c r="L139" s="3" t="n">
        <f aca="false">K139-J139</f>
        <v>0</v>
      </c>
      <c r="M139" s="3" t="n">
        <f aca="false">M140+L139</f>
        <v>1628</v>
      </c>
      <c r="N139" s="3" t="n">
        <f aca="false">J139+M139</f>
        <v>7384</v>
      </c>
      <c r="O139" s="13" t="n">
        <f aca="false">LN(J139/K138)</f>
        <v>-0.00034740316486272</v>
      </c>
      <c r="P139" s="13" t="n">
        <f aca="false">LN(N139/N138)</f>
        <v>-0.00027081922982046</v>
      </c>
      <c r="Q139" s="3" t="n">
        <f aca="false">SUMIFS('Futures Data'!$D$5:$D$3471,'Futures Data'!$A$5:$A$3471,A139,'Futures Data'!$B$5:$B$3471,B139)</f>
        <v>3430</v>
      </c>
      <c r="R139" s="7" t="n">
        <v>45342</v>
      </c>
      <c r="S139" s="9" t="b">
        <f aca="false">C139=R139</f>
        <v>1</v>
      </c>
      <c r="T139" s="9" t="b">
        <f aca="false">ABS(O139-LN(J139/SUMIFS('Futures Data'!$C$5:$C$3471,'Futures Data'!$A$5:$A$3471,A138,'Futures Data'!$B$5:$B$3471,B139)))&lt;0.000000001</f>
        <v>1</v>
      </c>
    </row>
    <row r="140" customFormat="false" ht="15" hidden="false" customHeight="false" outlineLevel="0" collapsed="false">
      <c r="A140" s="7" t="n">
        <v>45331</v>
      </c>
      <c r="B140" s="11" t="n">
        <f aca="false">C139</f>
        <v>45342</v>
      </c>
      <c r="C140" s="11" t="n">
        <f aca="false">IF(OR(H139,D140&lt;=$G$4),_xlfn.MINIFS('Futures Data'!$B$5:$B$3471,'Futures Data'!$A$5:$A$3471,A140,'Futures Data'!$B$5:$B$3471,"&gt;"&amp;B140),B140)</f>
        <v>45371</v>
      </c>
      <c r="D140" s="3" t="n">
        <f aca="false">COUNTIFS($A$47:$A$790,"&gt;"&amp;A140,$A$47:$A$790,"&lt;="&amp;B140)+IF(B140&gt;$G$5,NETWORKDAYS($G$5+1,B140),0)</f>
        <v>7</v>
      </c>
      <c r="E140" s="3" t="n">
        <f aca="false">SUMIFS('Futures Data'!$E$5:$E$3471,'Futures Data'!$A$5:$A$3471,A140,'Futures Data'!$B$5:$B$3471,C140)</f>
        <v>16565</v>
      </c>
      <c r="F140" s="11" t="n">
        <f aca="false">_xlfn.MINIFS('Futures Data'!$B$5:$B$3471,'Futures Data'!$A$5:$A$3471,A140,'Futures Data'!$B$5:$B$3471,"&gt;"&amp;C140)</f>
        <v>45401</v>
      </c>
      <c r="G140" s="3" t="n">
        <f aca="false">SUMIFS('Futures Data'!$E$5:$E$3471,'Futures Data'!$A$5:$A$3471,A140,'Futures Data'!$B$5:$B$3471,F140)</f>
        <v>6405</v>
      </c>
      <c r="H140" s="9" t="b">
        <f aca="false">G140&gt;E140</f>
        <v>0</v>
      </c>
      <c r="I140" s="9" t="b">
        <f aca="false">C140&lt;&gt;B140</f>
        <v>1</v>
      </c>
      <c r="J140" s="3" t="n">
        <f aca="false">SUMIFS('Futures Data'!$C$5:$C$3471,'Futures Data'!$A$5:$A$3471,A140,'Futures Data'!$B$5:$B$3471,B140)</f>
        <v>5773</v>
      </c>
      <c r="K140" s="3" t="n">
        <f aca="false">SUMIFS('Futures Data'!$C$5:$C$3471,'Futures Data'!$A$5:$A$3471,A140,'Futures Data'!$B$5:$B$3471,C140)</f>
        <v>5610</v>
      </c>
      <c r="L140" s="3" t="n">
        <f aca="false">K140-J140</f>
        <v>-163</v>
      </c>
      <c r="M140" s="3" t="n">
        <f aca="false">M141+L140</f>
        <v>1628</v>
      </c>
      <c r="N140" s="3" t="n">
        <f aca="false">J140+M140</f>
        <v>7401</v>
      </c>
      <c r="O140" s="13" t="n">
        <f aca="false">LN(J140/K139)</f>
        <v>0.00294908705367505</v>
      </c>
      <c r="P140" s="13" t="n">
        <f aca="false">LN(N140/N139)</f>
        <v>0.00229962901477831</v>
      </c>
      <c r="Q140" s="3" t="n">
        <f aca="false">SUMIFS('Futures Data'!$D$5:$D$3471,'Futures Data'!$A$5:$A$3471,A140,'Futures Data'!$B$5:$B$3471,B140)</f>
        <v>3565</v>
      </c>
      <c r="R140" s="7" t="n">
        <v>45371</v>
      </c>
      <c r="S140" s="9" t="b">
        <f aca="false">C140=R140</f>
        <v>1</v>
      </c>
      <c r="T140" s="9" t="b">
        <f aca="false">ABS(O140-LN(J140/SUMIFS('Futures Data'!$C$5:$C$3471,'Futures Data'!$A$5:$A$3471,A139,'Futures Data'!$B$5:$B$3471,B140)))&lt;0.000000001</f>
        <v>1</v>
      </c>
    </row>
    <row r="141" customFormat="false" ht="15" hidden="false" customHeight="false" outlineLevel="0" collapsed="false">
      <c r="A141" s="7" t="n">
        <v>45334</v>
      </c>
      <c r="B141" s="11" t="n">
        <f aca="false">C140</f>
        <v>45371</v>
      </c>
      <c r="C141" s="11" t="n">
        <f aca="false">IF(OR(H140,D141&lt;=$G$4),_xlfn.MINIFS('Futures Data'!$B$5:$B$3471,'Futures Data'!$A$5:$A$3471,A141,'Futures Data'!$B$5:$B$3471,"&gt;"&amp;B141),B141)</f>
        <v>45371</v>
      </c>
      <c r="D141" s="3" t="n">
        <f aca="false">COUNTIFS($A$47:$A$790,"&gt;"&amp;A141,$A$47:$A$790,"&lt;="&amp;B141)+IF(B141&gt;$G$5,NETWORKDAYS($G$5+1,B141),0)</f>
        <v>26</v>
      </c>
      <c r="E141" s="3" t="n">
        <f aca="false">SUMIFS('Futures Data'!$E$5:$E$3471,'Futures Data'!$A$5:$A$3471,A141,'Futures Data'!$B$5:$B$3471,C141)</f>
        <v>15490</v>
      </c>
      <c r="F141" s="11" t="n">
        <f aca="false">_xlfn.MINIFS('Futures Data'!$B$5:$B$3471,'Futures Data'!$A$5:$A$3471,A141,'Futures Data'!$B$5:$B$3471,"&gt;"&amp;C141)</f>
        <v>45401</v>
      </c>
      <c r="G141" s="3" t="n">
        <f aca="false">SUMIFS('Futures Data'!$E$5:$E$3471,'Futures Data'!$A$5:$A$3471,A141,'Futures Data'!$B$5:$B$3471,F141)</f>
        <v>8965</v>
      </c>
      <c r="H141" s="9" t="b">
        <f aca="false">G141&gt;E141</f>
        <v>0</v>
      </c>
      <c r="I141" s="9" t="b">
        <f aca="false">C141&lt;&gt;B141</f>
        <v>0</v>
      </c>
      <c r="J141" s="3" t="n">
        <f aca="false">SUMIFS('Futures Data'!$C$5:$C$3471,'Futures Data'!$A$5:$A$3471,A141,'Futures Data'!$B$5:$B$3471,B141)</f>
        <v>5605</v>
      </c>
      <c r="K141" s="3" t="n">
        <f aca="false">SUMIFS('Futures Data'!$C$5:$C$3471,'Futures Data'!$A$5:$A$3471,A141,'Futures Data'!$B$5:$B$3471,C141)</f>
        <v>5605</v>
      </c>
      <c r="L141" s="3" t="n">
        <f aca="false">K141-J141</f>
        <v>0</v>
      </c>
      <c r="M141" s="3" t="n">
        <f aca="false">M142+L141</f>
        <v>1791</v>
      </c>
      <c r="N141" s="3" t="n">
        <f aca="false">J141+M141</f>
        <v>7396</v>
      </c>
      <c r="O141" s="13" t="n">
        <f aca="false">LN(J141/K140)</f>
        <v>-0.000891663010481681</v>
      </c>
      <c r="P141" s="13" t="n">
        <f aca="false">LN(N141/N140)</f>
        <v>-0.000675812690450893</v>
      </c>
      <c r="Q141" s="3" t="n">
        <f aca="false">SUMIFS('Futures Data'!$D$5:$D$3471,'Futures Data'!$A$5:$A$3471,A141,'Futures Data'!$B$5:$B$3471,B141)</f>
        <v>5045</v>
      </c>
      <c r="R141" s="7" t="n">
        <v>45371</v>
      </c>
      <c r="S141" s="9" t="b">
        <f aca="false">C141=R141</f>
        <v>1</v>
      </c>
      <c r="T141" s="9" t="b">
        <f aca="false">ABS(O141-LN(J141/SUMIFS('Futures Data'!$C$5:$C$3471,'Futures Data'!$A$5:$A$3471,A140,'Futures Data'!$B$5:$B$3471,B141)))&lt;0.000000001</f>
        <v>1</v>
      </c>
    </row>
    <row r="142" customFormat="false" ht="15" hidden="false" customHeight="false" outlineLevel="0" collapsed="false">
      <c r="A142" s="7" t="n">
        <v>45335</v>
      </c>
      <c r="B142" s="11" t="n">
        <f aca="false">C141</f>
        <v>45371</v>
      </c>
      <c r="C142" s="11" t="n">
        <f aca="false">IF(OR(H141,D142&lt;=$G$4),_xlfn.MINIFS('Futures Data'!$B$5:$B$3471,'Futures Data'!$A$5:$A$3471,A142,'Futures Data'!$B$5:$B$3471,"&gt;"&amp;B142),B142)</f>
        <v>45371</v>
      </c>
      <c r="D142" s="3" t="n">
        <f aca="false">COUNTIFS($A$47:$A$790,"&gt;"&amp;A142,$A$47:$A$790,"&lt;="&amp;B142)+IF(B142&gt;$G$5,NETWORKDAYS($G$5+1,B142),0)</f>
        <v>25</v>
      </c>
      <c r="E142" s="3" t="n">
        <f aca="false">SUMIFS('Futures Data'!$E$5:$E$3471,'Futures Data'!$A$5:$A$3471,A142,'Futures Data'!$B$5:$B$3471,C142)</f>
        <v>14895</v>
      </c>
      <c r="F142" s="11" t="n">
        <f aca="false">_xlfn.MINIFS('Futures Data'!$B$5:$B$3471,'Futures Data'!$A$5:$A$3471,A142,'Futures Data'!$B$5:$B$3471,"&gt;"&amp;C142)</f>
        <v>45401</v>
      </c>
      <c r="G142" s="3" t="n">
        <f aca="false">SUMIFS('Futures Data'!$E$5:$E$3471,'Futures Data'!$A$5:$A$3471,A142,'Futures Data'!$B$5:$B$3471,F142)</f>
        <v>9860</v>
      </c>
      <c r="H142" s="9" t="b">
        <f aca="false">G142&gt;E142</f>
        <v>0</v>
      </c>
      <c r="I142" s="9" t="b">
        <f aca="false">C142&lt;&gt;B142</f>
        <v>0</v>
      </c>
      <c r="J142" s="3" t="n">
        <f aca="false">SUMIFS('Futures Data'!$C$5:$C$3471,'Futures Data'!$A$5:$A$3471,A142,'Futures Data'!$B$5:$B$3471,B142)</f>
        <v>5620</v>
      </c>
      <c r="K142" s="3" t="n">
        <f aca="false">SUMIFS('Futures Data'!$C$5:$C$3471,'Futures Data'!$A$5:$A$3471,A142,'Futures Data'!$B$5:$B$3471,C142)</f>
        <v>5620</v>
      </c>
      <c r="L142" s="3" t="n">
        <f aca="false">K142-J142</f>
        <v>0</v>
      </c>
      <c r="M142" s="3" t="n">
        <f aca="false">M143+L142</f>
        <v>1791</v>
      </c>
      <c r="N142" s="3" t="n">
        <f aca="false">J142+M142</f>
        <v>7411</v>
      </c>
      <c r="O142" s="13" t="n">
        <f aca="false">LN(J142/K141)</f>
        <v>0.00267260738147648</v>
      </c>
      <c r="P142" s="13" t="n">
        <f aca="false">LN(N142/N141)</f>
        <v>0.00202606944434349</v>
      </c>
      <c r="Q142" s="3" t="n">
        <f aca="false">SUMIFS('Futures Data'!$D$5:$D$3471,'Futures Data'!$A$5:$A$3471,A142,'Futures Data'!$B$5:$B$3471,B142)</f>
        <v>4260</v>
      </c>
      <c r="R142" s="7" t="n">
        <v>45371</v>
      </c>
      <c r="S142" s="9" t="b">
        <f aca="false">C142=R142</f>
        <v>1</v>
      </c>
      <c r="T142" s="9" t="b">
        <f aca="false">ABS(O142-LN(J142/SUMIFS('Futures Data'!$C$5:$C$3471,'Futures Data'!$A$5:$A$3471,A141,'Futures Data'!$B$5:$B$3471,B142)))&lt;0.000000001</f>
        <v>1</v>
      </c>
    </row>
    <row r="143" customFormat="false" ht="15" hidden="false" customHeight="false" outlineLevel="0" collapsed="false">
      <c r="A143" s="7" t="n">
        <v>45336</v>
      </c>
      <c r="B143" s="11" t="n">
        <f aca="false">C142</f>
        <v>45371</v>
      </c>
      <c r="C143" s="11" t="n">
        <f aca="false">IF(OR(H142,D143&lt;=$G$4),_xlfn.MINIFS('Futures Data'!$B$5:$B$3471,'Futures Data'!$A$5:$A$3471,A143,'Futures Data'!$B$5:$B$3471,"&gt;"&amp;B143),B143)</f>
        <v>45371</v>
      </c>
      <c r="D143" s="3" t="n">
        <f aca="false">COUNTIFS($A$47:$A$790,"&gt;"&amp;A143,$A$47:$A$790,"&lt;="&amp;B143)+IF(B143&gt;$G$5,NETWORKDAYS($G$5+1,B143),0)</f>
        <v>24</v>
      </c>
      <c r="E143" s="3" t="n">
        <f aca="false">SUMIFS('Futures Data'!$E$5:$E$3471,'Futures Data'!$A$5:$A$3471,A143,'Futures Data'!$B$5:$B$3471,C143)</f>
        <v>15705</v>
      </c>
      <c r="F143" s="11" t="n">
        <f aca="false">_xlfn.MINIFS('Futures Data'!$B$5:$B$3471,'Futures Data'!$A$5:$A$3471,A143,'Futures Data'!$B$5:$B$3471,"&gt;"&amp;C143)</f>
        <v>45401</v>
      </c>
      <c r="G143" s="3" t="n">
        <f aca="false">SUMIFS('Futures Data'!$E$5:$E$3471,'Futures Data'!$A$5:$A$3471,A143,'Futures Data'!$B$5:$B$3471,F143)</f>
        <v>11955</v>
      </c>
      <c r="H143" s="9" t="b">
        <f aca="false">G143&gt;E143</f>
        <v>0</v>
      </c>
      <c r="I143" s="9" t="b">
        <f aca="false">C143&lt;&gt;B143</f>
        <v>0</v>
      </c>
      <c r="J143" s="3" t="n">
        <f aca="false">SUMIFS('Futures Data'!$C$5:$C$3471,'Futures Data'!$A$5:$A$3471,A143,'Futures Data'!$B$5:$B$3471,B143)</f>
        <v>5638</v>
      </c>
      <c r="K143" s="3" t="n">
        <f aca="false">SUMIFS('Futures Data'!$C$5:$C$3471,'Futures Data'!$A$5:$A$3471,A143,'Futures Data'!$B$5:$B$3471,C143)</f>
        <v>5638</v>
      </c>
      <c r="L143" s="3" t="n">
        <f aca="false">K143-J143</f>
        <v>0</v>
      </c>
      <c r="M143" s="3" t="n">
        <f aca="false">M144+L143</f>
        <v>1791</v>
      </c>
      <c r="N143" s="3" t="n">
        <f aca="false">J143+M143</f>
        <v>7429</v>
      </c>
      <c r="O143" s="13" t="n">
        <f aca="false">LN(J143/K142)</f>
        <v>0.00319772878632101</v>
      </c>
      <c r="P143" s="13" t="n">
        <f aca="false">LN(N143/N142)</f>
        <v>0.00242587720044726</v>
      </c>
      <c r="Q143" s="3" t="n">
        <f aca="false">SUMIFS('Futures Data'!$D$5:$D$3471,'Futures Data'!$A$5:$A$3471,A143,'Futures Data'!$B$5:$B$3471,B143)</f>
        <v>10910</v>
      </c>
      <c r="R143" s="7" t="n">
        <v>45371</v>
      </c>
      <c r="S143" s="9" t="b">
        <f aca="false">C143=R143</f>
        <v>1</v>
      </c>
      <c r="T143" s="9" t="b">
        <f aca="false">ABS(O143-LN(J143/SUMIFS('Futures Data'!$C$5:$C$3471,'Futures Data'!$A$5:$A$3471,A142,'Futures Data'!$B$5:$B$3471,B143)))&lt;0.000000001</f>
        <v>1</v>
      </c>
    </row>
    <row r="144" customFormat="false" ht="15" hidden="false" customHeight="false" outlineLevel="0" collapsed="false">
      <c r="A144" s="7" t="n">
        <v>45337</v>
      </c>
      <c r="B144" s="11" t="n">
        <f aca="false">C143</f>
        <v>45371</v>
      </c>
      <c r="C144" s="11" t="n">
        <f aca="false">IF(OR(H143,D144&lt;=$G$4),_xlfn.MINIFS('Futures Data'!$B$5:$B$3471,'Futures Data'!$A$5:$A$3471,A144,'Futures Data'!$B$5:$B$3471,"&gt;"&amp;B144),B144)</f>
        <v>45371</v>
      </c>
      <c r="D144" s="3" t="n">
        <f aca="false">COUNTIFS($A$47:$A$790,"&gt;"&amp;A144,$A$47:$A$790,"&lt;="&amp;B144)+IF(B144&gt;$G$5,NETWORKDAYS($G$5+1,B144),0)</f>
        <v>23</v>
      </c>
      <c r="E144" s="3" t="n">
        <f aca="false">SUMIFS('Futures Data'!$E$5:$E$3471,'Futures Data'!$A$5:$A$3471,A144,'Futures Data'!$B$5:$B$3471,C144)</f>
        <v>15980</v>
      </c>
      <c r="F144" s="11" t="n">
        <f aca="false">_xlfn.MINIFS('Futures Data'!$B$5:$B$3471,'Futures Data'!$A$5:$A$3471,A144,'Futures Data'!$B$5:$B$3471,"&gt;"&amp;C144)</f>
        <v>45401</v>
      </c>
      <c r="G144" s="3" t="n">
        <f aca="false">SUMIFS('Futures Data'!$E$5:$E$3471,'Futures Data'!$A$5:$A$3471,A144,'Futures Data'!$B$5:$B$3471,F144)</f>
        <v>13630</v>
      </c>
      <c r="H144" s="9" t="b">
        <f aca="false">G144&gt;E144</f>
        <v>0</v>
      </c>
      <c r="I144" s="9" t="b">
        <f aca="false">C144&lt;&gt;B144</f>
        <v>0</v>
      </c>
      <c r="J144" s="3" t="n">
        <f aca="false">SUMIFS('Futures Data'!$C$5:$C$3471,'Futures Data'!$A$5:$A$3471,A144,'Futures Data'!$B$5:$B$3471,B144)</f>
        <v>5639</v>
      </c>
      <c r="K144" s="3" t="n">
        <f aca="false">SUMIFS('Futures Data'!$C$5:$C$3471,'Futures Data'!$A$5:$A$3471,A144,'Futures Data'!$B$5:$B$3471,C144)</f>
        <v>5639</v>
      </c>
      <c r="L144" s="3" t="n">
        <f aca="false">K144-J144</f>
        <v>0</v>
      </c>
      <c r="M144" s="3" t="n">
        <f aca="false">M145+L144</f>
        <v>1791</v>
      </c>
      <c r="N144" s="3" t="n">
        <f aca="false">J144+M144</f>
        <v>7430</v>
      </c>
      <c r="O144" s="13" t="n">
        <f aca="false">LN(J144/K143)</f>
        <v>0.000177352133124242</v>
      </c>
      <c r="P144" s="13" t="n">
        <f aca="false">LN(N144/N143)</f>
        <v>0.000134598559998532</v>
      </c>
      <c r="Q144" s="3" t="n">
        <f aca="false">SUMIFS('Futures Data'!$D$5:$D$3471,'Futures Data'!$A$5:$A$3471,A144,'Futures Data'!$B$5:$B$3471,B144)</f>
        <v>3965</v>
      </c>
      <c r="R144" s="7" t="n">
        <v>45371</v>
      </c>
      <c r="S144" s="9" t="b">
        <f aca="false">C144=R144</f>
        <v>1</v>
      </c>
      <c r="T144" s="9" t="b">
        <f aca="false">ABS(O144-LN(J144/SUMIFS('Futures Data'!$C$5:$C$3471,'Futures Data'!$A$5:$A$3471,A143,'Futures Data'!$B$5:$B$3471,B144)))&lt;0.000000001</f>
        <v>1</v>
      </c>
    </row>
    <row r="145" customFormat="false" ht="15" hidden="false" customHeight="false" outlineLevel="0" collapsed="false">
      <c r="A145" s="7" t="n">
        <v>45338</v>
      </c>
      <c r="B145" s="11" t="n">
        <f aca="false">C144</f>
        <v>45371</v>
      </c>
      <c r="C145" s="11" t="n">
        <f aca="false">IF(OR(H144,D145&lt;=$G$4),_xlfn.MINIFS('Futures Data'!$B$5:$B$3471,'Futures Data'!$A$5:$A$3471,A145,'Futures Data'!$B$5:$B$3471,"&gt;"&amp;B145),B145)</f>
        <v>45371</v>
      </c>
      <c r="D145" s="3" t="n">
        <f aca="false">COUNTIFS($A$47:$A$790,"&gt;"&amp;A145,$A$47:$A$790,"&lt;="&amp;B145)+IF(B145&gt;$G$5,NETWORKDAYS($G$5+1,B145),0)</f>
        <v>22</v>
      </c>
      <c r="E145" s="3" t="n">
        <f aca="false">SUMIFS('Futures Data'!$E$5:$E$3471,'Futures Data'!$A$5:$A$3471,A145,'Futures Data'!$B$5:$B$3471,C145)</f>
        <v>15835</v>
      </c>
      <c r="F145" s="11" t="n">
        <f aca="false">_xlfn.MINIFS('Futures Data'!$B$5:$B$3471,'Futures Data'!$A$5:$A$3471,A145,'Futures Data'!$B$5:$B$3471,"&gt;"&amp;C145)</f>
        <v>45401</v>
      </c>
      <c r="G145" s="3" t="n">
        <f aca="false">SUMIFS('Futures Data'!$E$5:$E$3471,'Futures Data'!$A$5:$A$3471,A145,'Futures Data'!$B$5:$B$3471,F145)</f>
        <v>14325</v>
      </c>
      <c r="H145" s="9" t="b">
        <f aca="false">G145&gt;E145</f>
        <v>0</v>
      </c>
      <c r="I145" s="9" t="b">
        <f aca="false">C145&lt;&gt;B145</f>
        <v>0</v>
      </c>
      <c r="J145" s="3" t="n">
        <f aca="false">SUMIFS('Futures Data'!$C$5:$C$3471,'Futures Data'!$A$5:$A$3471,A145,'Futures Data'!$B$5:$B$3471,B145)</f>
        <v>5638</v>
      </c>
      <c r="K145" s="3" t="n">
        <f aca="false">SUMIFS('Futures Data'!$C$5:$C$3471,'Futures Data'!$A$5:$A$3471,A145,'Futures Data'!$B$5:$B$3471,C145)</f>
        <v>5638</v>
      </c>
      <c r="L145" s="3" t="n">
        <f aca="false">K145-J145</f>
        <v>0</v>
      </c>
      <c r="M145" s="3" t="n">
        <f aca="false">M146+L145</f>
        <v>1791</v>
      </c>
      <c r="N145" s="3" t="n">
        <f aca="false">J145+M145</f>
        <v>7429</v>
      </c>
      <c r="O145" s="13" t="n">
        <f aca="false">LN(J145/K144)</f>
        <v>-0.000177352133124312</v>
      </c>
      <c r="P145" s="13" t="n">
        <f aca="false">LN(N145/N144)</f>
        <v>-0.000134598559998609</v>
      </c>
      <c r="Q145" s="3" t="n">
        <f aca="false">SUMIFS('Futures Data'!$D$5:$D$3471,'Futures Data'!$A$5:$A$3471,A145,'Futures Data'!$B$5:$B$3471,B145)</f>
        <v>2280</v>
      </c>
      <c r="R145" s="7" t="n">
        <v>45371</v>
      </c>
      <c r="S145" s="9" t="b">
        <f aca="false">C145=R145</f>
        <v>1</v>
      </c>
      <c r="T145" s="9" t="b">
        <f aca="false">ABS(O145-LN(J145/SUMIFS('Futures Data'!$C$5:$C$3471,'Futures Data'!$A$5:$A$3471,A144,'Futures Data'!$B$5:$B$3471,B145)))&lt;0.000000001</f>
        <v>1</v>
      </c>
    </row>
    <row r="146" customFormat="false" ht="15" hidden="false" customHeight="false" outlineLevel="0" collapsed="false">
      <c r="A146" s="7" t="n">
        <v>45341</v>
      </c>
      <c r="B146" s="11" t="n">
        <f aca="false">C145</f>
        <v>45371</v>
      </c>
      <c r="C146" s="11" t="n">
        <f aca="false">IF(OR(H145,D146&lt;=$G$4),_xlfn.MINIFS('Futures Data'!$B$5:$B$3471,'Futures Data'!$A$5:$A$3471,A146,'Futures Data'!$B$5:$B$3471,"&gt;"&amp;B146),B146)</f>
        <v>45371</v>
      </c>
      <c r="D146" s="3" t="n">
        <f aca="false">COUNTIFS($A$47:$A$790,"&gt;"&amp;A146,$A$47:$A$790,"&lt;="&amp;B146)+IF(B146&gt;$G$5,NETWORKDAYS($G$5+1,B146),0)</f>
        <v>21</v>
      </c>
      <c r="E146" s="3" t="n">
        <f aca="false">SUMIFS('Futures Data'!$E$5:$E$3471,'Futures Data'!$A$5:$A$3471,A146,'Futures Data'!$B$5:$B$3471,C146)</f>
        <v>17505</v>
      </c>
      <c r="F146" s="11" t="n">
        <f aca="false">_xlfn.MINIFS('Futures Data'!$B$5:$B$3471,'Futures Data'!$A$5:$A$3471,A146,'Futures Data'!$B$5:$B$3471,"&gt;"&amp;C146)</f>
        <v>45401</v>
      </c>
      <c r="G146" s="3" t="n">
        <f aca="false">SUMIFS('Futures Data'!$E$5:$E$3471,'Futures Data'!$A$5:$A$3471,A146,'Futures Data'!$B$5:$B$3471,F146)</f>
        <v>17435</v>
      </c>
      <c r="H146" s="9" t="b">
        <f aca="false">G146&gt;E146</f>
        <v>0</v>
      </c>
      <c r="I146" s="9" t="b">
        <f aca="false">C146&lt;&gt;B146</f>
        <v>0</v>
      </c>
      <c r="J146" s="3" t="n">
        <f aca="false">SUMIFS('Futures Data'!$C$5:$C$3471,'Futures Data'!$A$5:$A$3471,A146,'Futures Data'!$B$5:$B$3471,B146)</f>
        <v>5698</v>
      </c>
      <c r="K146" s="3" t="n">
        <f aca="false">SUMIFS('Futures Data'!$C$5:$C$3471,'Futures Data'!$A$5:$A$3471,A146,'Futures Data'!$B$5:$B$3471,C146)</f>
        <v>5698</v>
      </c>
      <c r="L146" s="3" t="n">
        <f aca="false">K146-J146</f>
        <v>0</v>
      </c>
      <c r="M146" s="3" t="n">
        <f aca="false">M147+L146</f>
        <v>1791</v>
      </c>
      <c r="N146" s="3" t="n">
        <f aca="false">J146+M146</f>
        <v>7489</v>
      </c>
      <c r="O146" s="13" t="n">
        <f aca="false">LN(J146/K145)</f>
        <v>0.0105858433837957</v>
      </c>
      <c r="P146" s="13" t="n">
        <f aca="false">LN(N146/N145)</f>
        <v>0.00804401709756084</v>
      </c>
      <c r="Q146" s="3" t="n">
        <f aca="false">SUMIFS('Futures Data'!$D$5:$D$3471,'Futures Data'!$A$5:$A$3471,A146,'Futures Data'!$B$5:$B$3471,B146)</f>
        <v>6850</v>
      </c>
      <c r="R146" s="7" t="n">
        <v>45371</v>
      </c>
      <c r="S146" s="9" t="b">
        <f aca="false">C146=R146</f>
        <v>1</v>
      </c>
      <c r="T146" s="9" t="b">
        <f aca="false">ABS(O146-LN(J146/SUMIFS('Futures Data'!$C$5:$C$3471,'Futures Data'!$A$5:$A$3471,A145,'Futures Data'!$B$5:$B$3471,B146)))&lt;0.000000001</f>
        <v>1</v>
      </c>
    </row>
    <row r="147" customFormat="false" ht="15" hidden="false" customHeight="false" outlineLevel="0" collapsed="false">
      <c r="A147" s="7" t="n">
        <v>45342</v>
      </c>
      <c r="B147" s="11" t="n">
        <f aca="false">C146</f>
        <v>45371</v>
      </c>
      <c r="C147" s="11" t="n">
        <f aca="false">IF(OR(H146,D147&lt;=$G$4),_xlfn.MINIFS('Futures Data'!$B$5:$B$3471,'Futures Data'!$A$5:$A$3471,A147,'Futures Data'!$B$5:$B$3471,"&gt;"&amp;B147),B147)</f>
        <v>45371</v>
      </c>
      <c r="D147" s="3" t="n">
        <f aca="false">COUNTIFS($A$47:$A$790,"&gt;"&amp;A147,$A$47:$A$790,"&lt;="&amp;B147)+IF(B147&gt;$G$5,NETWORKDAYS($G$5+1,B147),0)</f>
        <v>20</v>
      </c>
      <c r="E147" s="3" t="n">
        <f aca="false">SUMIFS('Futures Data'!$E$5:$E$3471,'Futures Data'!$A$5:$A$3471,A147,'Futures Data'!$B$5:$B$3471,C147)</f>
        <v>18545</v>
      </c>
      <c r="F147" s="11" t="n">
        <f aca="false">_xlfn.MINIFS('Futures Data'!$B$5:$B$3471,'Futures Data'!$A$5:$A$3471,A147,'Futures Data'!$B$5:$B$3471,"&gt;"&amp;C147)</f>
        <v>45401</v>
      </c>
      <c r="G147" s="3" t="n">
        <f aca="false">SUMIFS('Futures Data'!$E$5:$E$3471,'Futures Data'!$A$5:$A$3471,A147,'Futures Data'!$B$5:$B$3471,F147)</f>
        <v>21670</v>
      </c>
      <c r="H147" s="9" t="b">
        <f aca="false">G147&gt;E147</f>
        <v>1</v>
      </c>
      <c r="I147" s="9" t="b">
        <f aca="false">C147&lt;&gt;B147</f>
        <v>0</v>
      </c>
      <c r="J147" s="3" t="n">
        <f aca="false">SUMIFS('Futures Data'!$C$5:$C$3471,'Futures Data'!$A$5:$A$3471,A147,'Futures Data'!$B$5:$B$3471,B147)</f>
        <v>5708</v>
      </c>
      <c r="K147" s="3" t="n">
        <f aca="false">SUMIFS('Futures Data'!$C$5:$C$3471,'Futures Data'!$A$5:$A$3471,A147,'Futures Data'!$B$5:$B$3471,C147)</f>
        <v>5708</v>
      </c>
      <c r="L147" s="3" t="n">
        <f aca="false">K147-J147</f>
        <v>0</v>
      </c>
      <c r="M147" s="3" t="n">
        <f aca="false">M148+L147</f>
        <v>1791</v>
      </c>
      <c r="N147" s="3" t="n">
        <f aca="false">J147+M147</f>
        <v>7499</v>
      </c>
      <c r="O147" s="13" t="n">
        <f aca="false">LN(J147/K146)</f>
        <v>0.00175346353887333</v>
      </c>
      <c r="P147" s="13" t="n">
        <f aca="false">LN(N147/N146)</f>
        <v>0.00133440105202238</v>
      </c>
      <c r="Q147" s="3" t="n">
        <f aca="false">SUMIFS('Futures Data'!$D$5:$D$3471,'Futures Data'!$A$5:$A$3471,A147,'Futures Data'!$B$5:$B$3471,B147)</f>
        <v>8355</v>
      </c>
      <c r="R147" s="7" t="n">
        <v>45371</v>
      </c>
      <c r="S147" s="9" t="b">
        <f aca="false">C147=R147</f>
        <v>1</v>
      </c>
      <c r="T147" s="9" t="b">
        <f aca="false">ABS(O147-LN(J147/SUMIFS('Futures Data'!$C$5:$C$3471,'Futures Data'!$A$5:$A$3471,A146,'Futures Data'!$B$5:$B$3471,B147)))&lt;0.000000001</f>
        <v>1</v>
      </c>
    </row>
    <row r="148" customFormat="false" ht="15" hidden="false" customHeight="false" outlineLevel="0" collapsed="false">
      <c r="A148" s="7" t="n">
        <v>45343</v>
      </c>
      <c r="B148" s="11" t="n">
        <f aca="false">C147</f>
        <v>45371</v>
      </c>
      <c r="C148" s="11" t="n">
        <f aca="false">IF(OR(H147,D148&lt;=$G$4),_xlfn.MINIFS('Futures Data'!$B$5:$B$3471,'Futures Data'!$A$5:$A$3471,A148,'Futures Data'!$B$5:$B$3471,"&gt;"&amp;B148),B148)</f>
        <v>45401</v>
      </c>
      <c r="D148" s="3" t="n">
        <f aca="false">COUNTIFS($A$47:$A$790,"&gt;"&amp;A148,$A$47:$A$790,"&lt;="&amp;B148)+IF(B148&gt;$G$5,NETWORKDAYS($G$5+1,B148),0)</f>
        <v>19</v>
      </c>
      <c r="E148" s="3" t="n">
        <f aca="false">SUMIFS('Futures Data'!$E$5:$E$3471,'Futures Data'!$A$5:$A$3471,A148,'Futures Data'!$B$5:$B$3471,C148)</f>
        <v>22995</v>
      </c>
      <c r="F148" s="11" t="n">
        <f aca="false">_xlfn.MINIFS('Futures Data'!$B$5:$B$3471,'Futures Data'!$A$5:$A$3471,A148,'Futures Data'!$B$5:$B$3471,"&gt;"&amp;C148)</f>
        <v>45432</v>
      </c>
      <c r="G148" s="3" t="n">
        <f aca="false">SUMIFS('Futures Data'!$E$5:$E$3471,'Futures Data'!$A$5:$A$3471,A148,'Futures Data'!$B$5:$B$3471,F148)</f>
        <v>0</v>
      </c>
      <c r="H148" s="9" t="b">
        <f aca="false">G148&gt;E148</f>
        <v>0</v>
      </c>
      <c r="I148" s="9" t="b">
        <f aca="false">C148&lt;&gt;B148</f>
        <v>1</v>
      </c>
      <c r="J148" s="3" t="n">
        <f aca="false">SUMIFS('Futures Data'!$C$5:$C$3471,'Futures Data'!$A$5:$A$3471,A148,'Futures Data'!$B$5:$B$3471,B148)</f>
        <v>5759</v>
      </c>
      <c r="K148" s="3" t="n">
        <f aca="false">SUMIFS('Futures Data'!$C$5:$C$3471,'Futures Data'!$A$5:$A$3471,A148,'Futures Data'!$B$5:$B$3471,C148)</f>
        <v>5840</v>
      </c>
      <c r="L148" s="3" t="n">
        <f aca="false">K148-J148</f>
        <v>81</v>
      </c>
      <c r="M148" s="3" t="n">
        <f aca="false">M149+L148</f>
        <v>1791</v>
      </c>
      <c r="N148" s="3" t="n">
        <f aca="false">J148+M148</f>
        <v>7550</v>
      </c>
      <c r="O148" s="13" t="n">
        <f aca="false">LN(J148/K147)</f>
        <v>0.00889514890994542</v>
      </c>
      <c r="P148" s="13" t="n">
        <f aca="false">LN(N148/N147)</f>
        <v>0.00677788494168094</v>
      </c>
      <c r="Q148" s="3" t="n">
        <f aca="false">SUMIFS('Futures Data'!$D$5:$D$3471,'Futures Data'!$A$5:$A$3471,A148,'Futures Data'!$B$5:$B$3471,B148)</f>
        <v>12695</v>
      </c>
      <c r="R148" s="7" t="n">
        <v>45401</v>
      </c>
      <c r="S148" s="9" t="b">
        <f aca="false">C148=R148</f>
        <v>1</v>
      </c>
      <c r="T148" s="9" t="b">
        <f aca="false">ABS(O148-LN(J148/SUMIFS('Futures Data'!$C$5:$C$3471,'Futures Data'!$A$5:$A$3471,A147,'Futures Data'!$B$5:$B$3471,B148)))&lt;0.000000001</f>
        <v>1</v>
      </c>
    </row>
    <row r="149" customFormat="false" ht="15" hidden="false" customHeight="false" outlineLevel="0" collapsed="false">
      <c r="A149" s="7" t="n">
        <v>45344</v>
      </c>
      <c r="B149" s="11" t="n">
        <f aca="false">C148</f>
        <v>45401</v>
      </c>
      <c r="C149" s="11" t="n">
        <f aca="false">IF(OR(H148,D149&lt;=$G$4),_xlfn.MINIFS('Futures Data'!$B$5:$B$3471,'Futures Data'!$A$5:$A$3471,A149,'Futures Data'!$B$5:$B$3471,"&gt;"&amp;B149),B149)</f>
        <v>45401</v>
      </c>
      <c r="D149" s="3" t="n">
        <f aca="false">COUNTIFS($A$47:$A$790,"&gt;"&amp;A149,$A$47:$A$790,"&lt;="&amp;B149)+IF(B149&gt;$G$5,NETWORKDAYS($G$5+1,B149),0)</f>
        <v>36</v>
      </c>
      <c r="E149" s="3" t="n">
        <f aca="false">SUMIFS('Futures Data'!$E$5:$E$3471,'Futures Data'!$A$5:$A$3471,A149,'Futures Data'!$B$5:$B$3471,C149)</f>
        <v>25585</v>
      </c>
      <c r="F149" s="11" t="n">
        <f aca="false">_xlfn.MINIFS('Futures Data'!$B$5:$B$3471,'Futures Data'!$A$5:$A$3471,A149,'Futures Data'!$B$5:$B$3471,"&gt;"&amp;C149)</f>
        <v>45432</v>
      </c>
      <c r="G149" s="3" t="n">
        <f aca="false">SUMIFS('Futures Data'!$E$5:$E$3471,'Futures Data'!$A$5:$A$3471,A149,'Futures Data'!$B$5:$B$3471,F149)</f>
        <v>10</v>
      </c>
      <c r="H149" s="9" t="b">
        <f aca="false">G149&gt;E149</f>
        <v>0</v>
      </c>
      <c r="I149" s="9" t="b">
        <f aca="false">C149&lt;&gt;B149</f>
        <v>0</v>
      </c>
      <c r="J149" s="3" t="n">
        <f aca="false">SUMIFS('Futures Data'!$C$5:$C$3471,'Futures Data'!$A$5:$A$3471,A149,'Futures Data'!$B$5:$B$3471,B149)</f>
        <v>5875</v>
      </c>
      <c r="K149" s="3" t="n">
        <f aca="false">SUMIFS('Futures Data'!$C$5:$C$3471,'Futures Data'!$A$5:$A$3471,A149,'Futures Data'!$B$5:$B$3471,C149)</f>
        <v>5875</v>
      </c>
      <c r="L149" s="3" t="n">
        <f aca="false">K149-J149</f>
        <v>0</v>
      </c>
      <c r="M149" s="3" t="n">
        <f aca="false">M150+L149</f>
        <v>1710</v>
      </c>
      <c r="N149" s="3" t="n">
        <f aca="false">J149+M149</f>
        <v>7585</v>
      </c>
      <c r="O149" s="13" t="n">
        <f aca="false">LN(J149/K148)</f>
        <v>0.00597526319008702</v>
      </c>
      <c r="P149" s="13" t="n">
        <f aca="false">LN(N149/N148)</f>
        <v>0.00462504953956219</v>
      </c>
      <c r="Q149" s="3" t="n">
        <f aca="false">SUMIFS('Futures Data'!$D$5:$D$3471,'Futures Data'!$A$5:$A$3471,A149,'Futures Data'!$B$5:$B$3471,B149)</f>
        <v>10200</v>
      </c>
      <c r="R149" s="7" t="n">
        <v>45401</v>
      </c>
      <c r="S149" s="9" t="b">
        <f aca="false">C149=R149</f>
        <v>1</v>
      </c>
      <c r="T149" s="9" t="b">
        <f aca="false">ABS(O149-LN(J149/SUMIFS('Futures Data'!$C$5:$C$3471,'Futures Data'!$A$5:$A$3471,A148,'Futures Data'!$B$5:$B$3471,B149)))&lt;0.000000001</f>
        <v>1</v>
      </c>
    </row>
    <row r="150" customFormat="false" ht="15" hidden="false" customHeight="false" outlineLevel="0" collapsed="false">
      <c r="A150" s="7" t="n">
        <v>45345</v>
      </c>
      <c r="B150" s="11" t="n">
        <f aca="false">C149</f>
        <v>45401</v>
      </c>
      <c r="C150" s="11" t="n">
        <f aca="false">IF(OR(H149,D150&lt;=$G$4),_xlfn.MINIFS('Futures Data'!$B$5:$B$3471,'Futures Data'!$A$5:$A$3471,A150,'Futures Data'!$B$5:$B$3471,"&gt;"&amp;B150),B150)</f>
        <v>45401</v>
      </c>
      <c r="D150" s="3" t="n">
        <f aca="false">COUNTIFS($A$47:$A$790,"&gt;"&amp;A150,$A$47:$A$790,"&lt;="&amp;B150)+IF(B150&gt;$G$5,NETWORKDAYS($G$5+1,B150),0)</f>
        <v>35</v>
      </c>
      <c r="E150" s="3" t="n">
        <f aca="false">SUMIFS('Futures Data'!$E$5:$E$3471,'Futures Data'!$A$5:$A$3471,A150,'Futures Data'!$B$5:$B$3471,C150)</f>
        <v>28720</v>
      </c>
      <c r="F150" s="11" t="n">
        <f aca="false">_xlfn.MINIFS('Futures Data'!$B$5:$B$3471,'Futures Data'!$A$5:$A$3471,A150,'Futures Data'!$B$5:$B$3471,"&gt;"&amp;C150)</f>
        <v>45432</v>
      </c>
      <c r="G150" s="3" t="n">
        <f aca="false">SUMIFS('Futures Data'!$E$5:$E$3471,'Futures Data'!$A$5:$A$3471,A150,'Futures Data'!$B$5:$B$3471,F150)</f>
        <v>665</v>
      </c>
      <c r="H150" s="9" t="b">
        <f aca="false">G150&gt;E150</f>
        <v>0</v>
      </c>
      <c r="I150" s="9" t="b">
        <f aca="false">C150&lt;&gt;B150</f>
        <v>0</v>
      </c>
      <c r="J150" s="3" t="n">
        <f aca="false">SUMIFS('Futures Data'!$C$5:$C$3471,'Futures Data'!$A$5:$A$3471,A150,'Futures Data'!$B$5:$B$3471,B150)</f>
        <v>5921</v>
      </c>
      <c r="K150" s="3" t="n">
        <f aca="false">SUMIFS('Futures Data'!$C$5:$C$3471,'Futures Data'!$A$5:$A$3471,A150,'Futures Data'!$B$5:$B$3471,C150)</f>
        <v>5921</v>
      </c>
      <c r="L150" s="3" t="n">
        <f aca="false">K150-J150</f>
        <v>0</v>
      </c>
      <c r="M150" s="3" t="n">
        <f aca="false">M151+L150</f>
        <v>1710</v>
      </c>
      <c r="N150" s="3" t="n">
        <f aca="false">J150+M150</f>
        <v>7631</v>
      </c>
      <c r="O150" s="13" t="n">
        <f aca="false">LN(J150/K149)</f>
        <v>0.00779929351941634</v>
      </c>
      <c r="P150" s="13" t="n">
        <f aca="false">LN(N150/N149)</f>
        <v>0.00604628550700054</v>
      </c>
      <c r="Q150" s="3" t="n">
        <f aca="false">SUMIFS('Futures Data'!$D$5:$D$3471,'Futures Data'!$A$5:$A$3471,A150,'Futures Data'!$B$5:$B$3471,B150)</f>
        <v>9045</v>
      </c>
      <c r="R150" s="7" t="n">
        <v>45401</v>
      </c>
      <c r="S150" s="9" t="b">
        <f aca="false">C150=R150</f>
        <v>1</v>
      </c>
      <c r="T150" s="9" t="b">
        <f aca="false">ABS(O150-LN(J150/SUMIFS('Futures Data'!$C$5:$C$3471,'Futures Data'!$A$5:$A$3471,A149,'Futures Data'!$B$5:$B$3471,B150)))&lt;0.000000001</f>
        <v>1</v>
      </c>
    </row>
    <row r="151" customFormat="false" ht="15" hidden="false" customHeight="false" outlineLevel="0" collapsed="false">
      <c r="A151" s="7" t="n">
        <v>45348</v>
      </c>
      <c r="B151" s="11" t="n">
        <f aca="false">C150</f>
        <v>45401</v>
      </c>
      <c r="C151" s="11" t="n">
        <f aca="false">IF(OR(H150,D151&lt;=$G$4),_xlfn.MINIFS('Futures Data'!$B$5:$B$3471,'Futures Data'!$A$5:$A$3471,A151,'Futures Data'!$B$5:$B$3471,"&gt;"&amp;B151),B151)</f>
        <v>45401</v>
      </c>
      <c r="D151" s="3" t="n">
        <f aca="false">COUNTIFS($A$47:$A$790,"&gt;"&amp;A151,$A$47:$A$790,"&lt;="&amp;B151)+IF(B151&gt;$G$5,NETWORKDAYS($G$5+1,B151),0)</f>
        <v>34</v>
      </c>
      <c r="E151" s="3" t="n">
        <f aca="false">SUMIFS('Futures Data'!$E$5:$E$3471,'Futures Data'!$A$5:$A$3471,A151,'Futures Data'!$B$5:$B$3471,C151)</f>
        <v>30235</v>
      </c>
      <c r="F151" s="11" t="n">
        <f aca="false">_xlfn.MINIFS('Futures Data'!$B$5:$B$3471,'Futures Data'!$A$5:$A$3471,A151,'Futures Data'!$B$5:$B$3471,"&gt;"&amp;C151)</f>
        <v>45432</v>
      </c>
      <c r="G151" s="3" t="n">
        <f aca="false">SUMIFS('Futures Data'!$E$5:$E$3471,'Futures Data'!$A$5:$A$3471,A151,'Futures Data'!$B$5:$B$3471,F151)</f>
        <v>785</v>
      </c>
      <c r="H151" s="9" t="b">
        <f aca="false">G151&gt;E151</f>
        <v>0</v>
      </c>
      <c r="I151" s="9" t="b">
        <f aca="false">C151&lt;&gt;B151</f>
        <v>0</v>
      </c>
      <c r="J151" s="3" t="n">
        <f aca="false">SUMIFS('Futures Data'!$C$5:$C$3471,'Futures Data'!$A$5:$A$3471,A151,'Futures Data'!$B$5:$B$3471,B151)</f>
        <v>5932</v>
      </c>
      <c r="K151" s="3" t="n">
        <f aca="false">SUMIFS('Futures Data'!$C$5:$C$3471,'Futures Data'!$A$5:$A$3471,A151,'Futures Data'!$B$5:$B$3471,C151)</f>
        <v>5932</v>
      </c>
      <c r="L151" s="3" t="n">
        <f aca="false">K151-J151</f>
        <v>0</v>
      </c>
      <c r="M151" s="3" t="n">
        <f aca="false">M152+L151</f>
        <v>1710</v>
      </c>
      <c r="N151" s="3" t="n">
        <f aca="false">J151+M151</f>
        <v>7642</v>
      </c>
      <c r="O151" s="13" t="n">
        <f aca="false">LN(J151/K150)</f>
        <v>0.00185607072604657</v>
      </c>
      <c r="P151" s="13" t="n">
        <f aca="false">LN(N151/N150)</f>
        <v>0.00144045071721197</v>
      </c>
      <c r="Q151" s="3" t="n">
        <f aca="false">SUMIFS('Futures Data'!$D$5:$D$3471,'Futures Data'!$A$5:$A$3471,A151,'Futures Data'!$B$5:$B$3471,B151)</f>
        <v>6440</v>
      </c>
      <c r="R151" s="7" t="n">
        <v>45401</v>
      </c>
      <c r="S151" s="9" t="b">
        <f aca="false">C151=R151</f>
        <v>1</v>
      </c>
      <c r="T151" s="9" t="b">
        <f aca="false">ABS(O151-LN(J151/SUMIFS('Futures Data'!$C$5:$C$3471,'Futures Data'!$A$5:$A$3471,A150,'Futures Data'!$B$5:$B$3471,B151)))&lt;0.000000001</f>
        <v>1</v>
      </c>
    </row>
    <row r="152" customFormat="false" ht="15" hidden="false" customHeight="false" outlineLevel="0" collapsed="false">
      <c r="A152" s="7" t="n">
        <v>45349</v>
      </c>
      <c r="B152" s="11" t="n">
        <f aca="false">C151</f>
        <v>45401</v>
      </c>
      <c r="C152" s="11" t="n">
        <f aca="false">IF(OR(H151,D152&lt;=$G$4),_xlfn.MINIFS('Futures Data'!$B$5:$B$3471,'Futures Data'!$A$5:$A$3471,A152,'Futures Data'!$B$5:$B$3471,"&gt;"&amp;B152),B152)</f>
        <v>45401</v>
      </c>
      <c r="D152" s="3" t="n">
        <f aca="false">COUNTIFS($A$47:$A$790,"&gt;"&amp;A152,$A$47:$A$790,"&lt;="&amp;B152)+IF(B152&gt;$G$5,NETWORKDAYS($G$5+1,B152),0)</f>
        <v>33</v>
      </c>
      <c r="E152" s="3" t="n">
        <f aca="false">SUMIFS('Futures Data'!$E$5:$E$3471,'Futures Data'!$A$5:$A$3471,A152,'Futures Data'!$B$5:$B$3471,C152)</f>
        <v>30335</v>
      </c>
      <c r="F152" s="11" t="n">
        <f aca="false">_xlfn.MINIFS('Futures Data'!$B$5:$B$3471,'Futures Data'!$A$5:$A$3471,A152,'Futures Data'!$B$5:$B$3471,"&gt;"&amp;C152)</f>
        <v>45432</v>
      </c>
      <c r="G152" s="3" t="n">
        <f aca="false">SUMIFS('Futures Data'!$E$5:$E$3471,'Futures Data'!$A$5:$A$3471,A152,'Futures Data'!$B$5:$B$3471,F152)</f>
        <v>1235</v>
      </c>
      <c r="H152" s="9" t="b">
        <f aca="false">G152&gt;E152</f>
        <v>0</v>
      </c>
      <c r="I152" s="9" t="b">
        <f aca="false">C152&lt;&gt;B152</f>
        <v>0</v>
      </c>
      <c r="J152" s="3" t="n">
        <f aca="false">SUMIFS('Futures Data'!$C$5:$C$3471,'Futures Data'!$A$5:$A$3471,A152,'Futures Data'!$B$5:$B$3471,B152)</f>
        <v>5894</v>
      </c>
      <c r="K152" s="3" t="n">
        <f aca="false">SUMIFS('Futures Data'!$C$5:$C$3471,'Futures Data'!$A$5:$A$3471,A152,'Futures Data'!$B$5:$B$3471,C152)</f>
        <v>5894</v>
      </c>
      <c r="L152" s="3" t="n">
        <f aca="false">K152-J152</f>
        <v>0</v>
      </c>
      <c r="M152" s="3" t="n">
        <f aca="false">M153+L152</f>
        <v>1710</v>
      </c>
      <c r="N152" s="3" t="n">
        <f aca="false">J152+M152</f>
        <v>7604</v>
      </c>
      <c r="O152" s="13" t="n">
        <f aca="false">LN(J152/K151)</f>
        <v>-0.00642653996018272</v>
      </c>
      <c r="P152" s="13" t="n">
        <f aca="false">LN(N152/N151)</f>
        <v>-0.00498492439852545</v>
      </c>
      <c r="Q152" s="3" t="n">
        <f aca="false">SUMIFS('Futures Data'!$D$5:$D$3471,'Futures Data'!$A$5:$A$3471,A152,'Futures Data'!$B$5:$B$3471,B152)</f>
        <v>2300</v>
      </c>
      <c r="R152" s="7" t="n">
        <v>45401</v>
      </c>
      <c r="S152" s="9" t="b">
        <f aca="false">C152=R152</f>
        <v>1</v>
      </c>
      <c r="T152" s="9" t="b">
        <f aca="false">ABS(O152-LN(J152/SUMIFS('Futures Data'!$C$5:$C$3471,'Futures Data'!$A$5:$A$3471,A151,'Futures Data'!$B$5:$B$3471,B152)))&lt;0.000000001</f>
        <v>1</v>
      </c>
    </row>
    <row r="153" customFormat="false" ht="15" hidden="false" customHeight="false" outlineLevel="0" collapsed="false">
      <c r="A153" s="7" t="n">
        <v>45350</v>
      </c>
      <c r="B153" s="11" t="n">
        <f aca="false">C152</f>
        <v>45401</v>
      </c>
      <c r="C153" s="11" t="n">
        <f aca="false">IF(OR(H152,D153&lt;=$G$4),_xlfn.MINIFS('Futures Data'!$B$5:$B$3471,'Futures Data'!$A$5:$A$3471,A153,'Futures Data'!$B$5:$B$3471,"&gt;"&amp;B153),B153)</f>
        <v>45401</v>
      </c>
      <c r="D153" s="3" t="n">
        <f aca="false">COUNTIFS($A$47:$A$790,"&gt;"&amp;A153,$A$47:$A$790,"&lt;="&amp;B153)+IF(B153&gt;$G$5,NETWORKDAYS($G$5+1,B153),0)</f>
        <v>32</v>
      </c>
      <c r="E153" s="3" t="n">
        <f aca="false">SUMIFS('Futures Data'!$E$5:$E$3471,'Futures Data'!$A$5:$A$3471,A153,'Futures Data'!$B$5:$B$3471,C153)</f>
        <v>30480</v>
      </c>
      <c r="F153" s="11" t="n">
        <f aca="false">_xlfn.MINIFS('Futures Data'!$B$5:$B$3471,'Futures Data'!$A$5:$A$3471,A153,'Futures Data'!$B$5:$B$3471,"&gt;"&amp;C153)</f>
        <v>45432</v>
      </c>
      <c r="G153" s="3" t="n">
        <f aca="false">SUMIFS('Futures Data'!$E$5:$E$3471,'Futures Data'!$A$5:$A$3471,A153,'Futures Data'!$B$5:$B$3471,F153)</f>
        <v>1320</v>
      </c>
      <c r="H153" s="9" t="b">
        <f aca="false">G153&gt;E153</f>
        <v>0</v>
      </c>
      <c r="I153" s="9" t="b">
        <f aca="false">C153&lt;&gt;B153</f>
        <v>0</v>
      </c>
      <c r="J153" s="3" t="n">
        <f aca="false">SUMIFS('Futures Data'!$C$5:$C$3471,'Futures Data'!$A$5:$A$3471,A153,'Futures Data'!$B$5:$B$3471,B153)</f>
        <v>5878</v>
      </c>
      <c r="K153" s="3" t="n">
        <f aca="false">SUMIFS('Futures Data'!$C$5:$C$3471,'Futures Data'!$A$5:$A$3471,A153,'Futures Data'!$B$5:$B$3471,C153)</f>
        <v>5878</v>
      </c>
      <c r="L153" s="3" t="n">
        <f aca="false">K153-J153</f>
        <v>0</v>
      </c>
      <c r="M153" s="3" t="n">
        <f aca="false">M154+L153</f>
        <v>1710</v>
      </c>
      <c r="N153" s="3" t="n">
        <f aca="false">J153+M153</f>
        <v>7588</v>
      </c>
      <c r="O153" s="13" t="n">
        <f aca="false">LN(J153/K152)</f>
        <v>-0.0027183163187774</v>
      </c>
      <c r="P153" s="13" t="n">
        <f aca="false">LN(N153/N152)</f>
        <v>-0.00210637255341491</v>
      </c>
      <c r="Q153" s="3" t="n">
        <f aca="false">SUMIFS('Futures Data'!$D$5:$D$3471,'Futures Data'!$A$5:$A$3471,A153,'Futures Data'!$B$5:$B$3471,B153)</f>
        <v>1710</v>
      </c>
      <c r="R153" s="7" t="n">
        <v>45401</v>
      </c>
      <c r="S153" s="9" t="b">
        <f aca="false">C153=R153</f>
        <v>1</v>
      </c>
      <c r="T153" s="9" t="b">
        <f aca="false">ABS(O153-LN(J153/SUMIFS('Futures Data'!$C$5:$C$3471,'Futures Data'!$A$5:$A$3471,A152,'Futures Data'!$B$5:$B$3471,B153)))&lt;0.000000001</f>
        <v>1</v>
      </c>
    </row>
    <row r="154" customFormat="false" ht="15" hidden="false" customHeight="false" outlineLevel="0" collapsed="false">
      <c r="A154" s="7" t="n">
        <v>45351</v>
      </c>
      <c r="B154" s="11" t="n">
        <f aca="false">C153</f>
        <v>45401</v>
      </c>
      <c r="C154" s="11" t="n">
        <f aca="false">IF(OR(H153,D154&lt;=$G$4),_xlfn.MINIFS('Futures Data'!$B$5:$B$3471,'Futures Data'!$A$5:$A$3471,A154,'Futures Data'!$B$5:$B$3471,"&gt;"&amp;B154),B154)</f>
        <v>45401</v>
      </c>
      <c r="D154" s="3" t="n">
        <f aca="false">COUNTIFS($A$47:$A$790,"&gt;"&amp;A154,$A$47:$A$790,"&lt;="&amp;B154)+IF(B154&gt;$G$5,NETWORKDAYS($G$5+1,B154),0)</f>
        <v>31</v>
      </c>
      <c r="E154" s="3" t="n">
        <f aca="false">SUMIFS('Futures Data'!$E$5:$E$3471,'Futures Data'!$A$5:$A$3471,A154,'Futures Data'!$B$5:$B$3471,C154)</f>
        <v>30940</v>
      </c>
      <c r="F154" s="11" t="n">
        <f aca="false">_xlfn.MINIFS('Futures Data'!$B$5:$B$3471,'Futures Data'!$A$5:$A$3471,A154,'Futures Data'!$B$5:$B$3471,"&gt;"&amp;C154)</f>
        <v>45432</v>
      </c>
      <c r="G154" s="3" t="n">
        <f aca="false">SUMIFS('Futures Data'!$E$5:$E$3471,'Futures Data'!$A$5:$A$3471,A154,'Futures Data'!$B$5:$B$3471,F154)</f>
        <v>1620</v>
      </c>
      <c r="H154" s="9" t="b">
        <f aca="false">G154&gt;E154</f>
        <v>0</v>
      </c>
      <c r="I154" s="9" t="b">
        <f aca="false">C154&lt;&gt;B154</f>
        <v>0</v>
      </c>
      <c r="J154" s="3" t="n">
        <f aca="false">SUMIFS('Futures Data'!$C$5:$C$3471,'Futures Data'!$A$5:$A$3471,A154,'Futures Data'!$B$5:$B$3471,B154)</f>
        <v>5827</v>
      </c>
      <c r="K154" s="3" t="n">
        <f aca="false">SUMIFS('Futures Data'!$C$5:$C$3471,'Futures Data'!$A$5:$A$3471,A154,'Futures Data'!$B$5:$B$3471,C154)</f>
        <v>5827</v>
      </c>
      <c r="L154" s="3" t="n">
        <f aca="false">K154-J154</f>
        <v>0</v>
      </c>
      <c r="M154" s="3" t="n">
        <f aca="false">M155+L154</f>
        <v>1710</v>
      </c>
      <c r="N154" s="3" t="n">
        <f aca="false">J154+M154</f>
        <v>7537</v>
      </c>
      <c r="O154" s="13" t="n">
        <f aca="false">LN(J154/K153)</f>
        <v>-0.00871427983578845</v>
      </c>
      <c r="P154" s="13" t="n">
        <f aca="false">LN(N154/N153)</f>
        <v>-0.00674382721143493</v>
      </c>
      <c r="Q154" s="3" t="n">
        <f aca="false">SUMIFS('Futures Data'!$D$5:$D$3471,'Futures Data'!$A$5:$A$3471,A154,'Futures Data'!$B$5:$B$3471,B154)</f>
        <v>4215</v>
      </c>
      <c r="R154" s="7" t="n">
        <v>45401</v>
      </c>
      <c r="S154" s="9" t="b">
        <f aca="false">C154=R154</f>
        <v>1</v>
      </c>
      <c r="T154" s="9" t="b">
        <f aca="false">ABS(O154-LN(J154/SUMIFS('Futures Data'!$C$5:$C$3471,'Futures Data'!$A$5:$A$3471,A153,'Futures Data'!$B$5:$B$3471,B154)))&lt;0.000000001</f>
        <v>1</v>
      </c>
    </row>
    <row r="155" customFormat="false" ht="15" hidden="false" customHeight="false" outlineLevel="0" collapsed="false">
      <c r="A155" s="7" t="n">
        <v>45352</v>
      </c>
      <c r="B155" s="11" t="n">
        <f aca="false">C154</f>
        <v>45401</v>
      </c>
      <c r="C155" s="11" t="n">
        <f aca="false">IF(OR(H154,D155&lt;=$G$4),_xlfn.MINIFS('Futures Data'!$B$5:$B$3471,'Futures Data'!$A$5:$A$3471,A155,'Futures Data'!$B$5:$B$3471,"&gt;"&amp;B155),B155)</f>
        <v>45401</v>
      </c>
      <c r="D155" s="3" t="n">
        <f aca="false">COUNTIFS($A$47:$A$790,"&gt;"&amp;A155,$A$47:$A$790,"&lt;="&amp;B155)+IF(B155&gt;$G$5,NETWORKDAYS($G$5+1,B155),0)</f>
        <v>30</v>
      </c>
      <c r="E155" s="3" t="n">
        <f aca="false">SUMIFS('Futures Data'!$E$5:$E$3471,'Futures Data'!$A$5:$A$3471,A155,'Futures Data'!$B$5:$B$3471,C155)</f>
        <v>30825</v>
      </c>
      <c r="F155" s="11" t="n">
        <f aca="false">_xlfn.MINIFS('Futures Data'!$B$5:$B$3471,'Futures Data'!$A$5:$A$3471,A155,'Futures Data'!$B$5:$B$3471,"&gt;"&amp;C155)</f>
        <v>45432</v>
      </c>
      <c r="G155" s="3" t="n">
        <f aca="false">SUMIFS('Futures Data'!$E$5:$E$3471,'Futures Data'!$A$5:$A$3471,A155,'Futures Data'!$B$5:$B$3471,F155)</f>
        <v>2190</v>
      </c>
      <c r="H155" s="9" t="b">
        <f aca="false">G155&gt;E155</f>
        <v>0</v>
      </c>
      <c r="I155" s="9" t="b">
        <f aca="false">C155&lt;&gt;B155</f>
        <v>0</v>
      </c>
      <c r="J155" s="3" t="n">
        <f aca="false">SUMIFS('Futures Data'!$C$5:$C$3471,'Futures Data'!$A$5:$A$3471,A155,'Futures Data'!$B$5:$B$3471,B155)</f>
        <v>5820</v>
      </c>
      <c r="K155" s="3" t="n">
        <f aca="false">SUMIFS('Futures Data'!$C$5:$C$3471,'Futures Data'!$A$5:$A$3471,A155,'Futures Data'!$B$5:$B$3471,C155)</f>
        <v>5820</v>
      </c>
      <c r="L155" s="3" t="n">
        <f aca="false">K155-J155</f>
        <v>0</v>
      </c>
      <c r="M155" s="3" t="n">
        <f aca="false">M156+L155</f>
        <v>1710</v>
      </c>
      <c r="N155" s="3" t="n">
        <f aca="false">J155+M155</f>
        <v>7530</v>
      </c>
      <c r="O155" s="13" t="n">
        <f aca="false">LN(J155/K154)</f>
        <v>-0.00120202641759074</v>
      </c>
      <c r="P155" s="13" t="n">
        <f aca="false">LN(N155/N154)</f>
        <v>-0.000929183049530683</v>
      </c>
      <c r="Q155" s="3" t="n">
        <f aca="false">SUMIFS('Futures Data'!$D$5:$D$3471,'Futures Data'!$A$5:$A$3471,A155,'Futures Data'!$B$5:$B$3471,B155)</f>
        <v>2570</v>
      </c>
      <c r="R155" s="7" t="n">
        <v>45401</v>
      </c>
      <c r="S155" s="9" t="b">
        <f aca="false">C155=R155</f>
        <v>1</v>
      </c>
      <c r="T155" s="9" t="b">
        <f aca="false">ABS(O155-LN(J155/SUMIFS('Futures Data'!$C$5:$C$3471,'Futures Data'!$A$5:$A$3471,A154,'Futures Data'!$B$5:$B$3471,B155)))&lt;0.000000001</f>
        <v>1</v>
      </c>
    </row>
    <row r="156" customFormat="false" ht="15" hidden="false" customHeight="false" outlineLevel="0" collapsed="false">
      <c r="A156" s="7" t="n">
        <v>45355</v>
      </c>
      <c r="B156" s="11" t="n">
        <f aca="false">C155</f>
        <v>45401</v>
      </c>
      <c r="C156" s="11" t="n">
        <f aca="false">IF(OR(H155,D156&lt;=$G$4),_xlfn.MINIFS('Futures Data'!$B$5:$B$3471,'Futures Data'!$A$5:$A$3471,A156,'Futures Data'!$B$5:$B$3471,"&gt;"&amp;B156),B156)</f>
        <v>45401</v>
      </c>
      <c r="D156" s="3" t="n">
        <f aca="false">COUNTIFS($A$47:$A$790,"&gt;"&amp;A156,$A$47:$A$790,"&lt;="&amp;B156)+IF(B156&gt;$G$5,NETWORKDAYS($G$5+1,B156),0)</f>
        <v>29</v>
      </c>
      <c r="E156" s="3" t="n">
        <f aca="false">SUMIFS('Futures Data'!$E$5:$E$3471,'Futures Data'!$A$5:$A$3471,A156,'Futures Data'!$B$5:$B$3471,C156)</f>
        <v>30745</v>
      </c>
      <c r="F156" s="11" t="n">
        <f aca="false">_xlfn.MINIFS('Futures Data'!$B$5:$B$3471,'Futures Data'!$A$5:$A$3471,A156,'Futures Data'!$B$5:$B$3471,"&gt;"&amp;C156)</f>
        <v>45432</v>
      </c>
      <c r="G156" s="3" t="n">
        <f aca="false">SUMIFS('Futures Data'!$E$5:$E$3471,'Futures Data'!$A$5:$A$3471,A156,'Futures Data'!$B$5:$B$3471,F156)</f>
        <v>2455</v>
      </c>
      <c r="H156" s="9" t="b">
        <f aca="false">G156&gt;E156</f>
        <v>0</v>
      </c>
      <c r="I156" s="9" t="b">
        <f aca="false">C156&lt;&gt;B156</f>
        <v>0</v>
      </c>
      <c r="J156" s="3" t="n">
        <f aca="false">SUMIFS('Futures Data'!$C$5:$C$3471,'Futures Data'!$A$5:$A$3471,A156,'Futures Data'!$B$5:$B$3471,B156)</f>
        <v>5820</v>
      </c>
      <c r="K156" s="3" t="n">
        <f aca="false">SUMIFS('Futures Data'!$C$5:$C$3471,'Futures Data'!$A$5:$A$3471,A156,'Futures Data'!$B$5:$B$3471,C156)</f>
        <v>5820</v>
      </c>
      <c r="L156" s="3" t="n">
        <f aca="false">K156-J156</f>
        <v>0</v>
      </c>
      <c r="M156" s="3" t="n">
        <f aca="false">M157+L156</f>
        <v>1710</v>
      </c>
      <c r="N156" s="3" t="n">
        <f aca="false">J156+M156</f>
        <v>7530</v>
      </c>
      <c r="O156" s="13" t="n">
        <f aca="false">LN(J156/K155)</f>
        <v>0</v>
      </c>
      <c r="P156" s="13" t="n">
        <f aca="false">LN(N156/N155)</f>
        <v>0</v>
      </c>
      <c r="Q156" s="3" t="n">
        <f aca="false">SUMIFS('Futures Data'!$D$5:$D$3471,'Futures Data'!$A$5:$A$3471,A156,'Futures Data'!$B$5:$B$3471,B156)</f>
        <v>3530</v>
      </c>
      <c r="R156" s="7" t="n">
        <v>45401</v>
      </c>
      <c r="S156" s="9" t="b">
        <f aca="false">C156=R156</f>
        <v>1</v>
      </c>
      <c r="T156" s="9" t="b">
        <f aca="false">ABS(O156-LN(J156/SUMIFS('Futures Data'!$C$5:$C$3471,'Futures Data'!$A$5:$A$3471,A155,'Futures Data'!$B$5:$B$3471,B156)))&lt;0.000000001</f>
        <v>1</v>
      </c>
    </row>
    <row r="157" customFormat="false" ht="15" hidden="false" customHeight="false" outlineLevel="0" collapsed="false">
      <c r="A157" s="7" t="n">
        <v>45356</v>
      </c>
      <c r="B157" s="11" t="n">
        <f aca="false">C156</f>
        <v>45401</v>
      </c>
      <c r="C157" s="11" t="n">
        <f aca="false">IF(OR(H156,D157&lt;=$G$4),_xlfn.MINIFS('Futures Data'!$B$5:$B$3471,'Futures Data'!$A$5:$A$3471,A157,'Futures Data'!$B$5:$B$3471,"&gt;"&amp;B157),B157)</f>
        <v>45401</v>
      </c>
      <c r="D157" s="3" t="n">
        <f aca="false">COUNTIFS($A$47:$A$790,"&gt;"&amp;A157,$A$47:$A$790,"&lt;="&amp;B157)+IF(B157&gt;$G$5,NETWORKDAYS($G$5+1,B157),0)</f>
        <v>28</v>
      </c>
      <c r="E157" s="3" t="n">
        <f aca="false">SUMIFS('Futures Data'!$E$5:$E$3471,'Futures Data'!$A$5:$A$3471,A157,'Futures Data'!$B$5:$B$3471,C157)</f>
        <v>30375</v>
      </c>
      <c r="F157" s="11" t="n">
        <f aca="false">_xlfn.MINIFS('Futures Data'!$B$5:$B$3471,'Futures Data'!$A$5:$A$3471,A157,'Futures Data'!$B$5:$B$3471,"&gt;"&amp;C157)</f>
        <v>45432</v>
      </c>
      <c r="G157" s="3" t="n">
        <f aca="false">SUMIFS('Futures Data'!$E$5:$E$3471,'Futures Data'!$A$5:$A$3471,A157,'Futures Data'!$B$5:$B$3471,F157)</f>
        <v>2585</v>
      </c>
      <c r="H157" s="9" t="b">
        <f aca="false">G157&gt;E157</f>
        <v>0</v>
      </c>
      <c r="I157" s="9" t="b">
        <f aca="false">C157&lt;&gt;B157</f>
        <v>0</v>
      </c>
      <c r="J157" s="3" t="n">
        <f aca="false">SUMIFS('Futures Data'!$C$5:$C$3471,'Futures Data'!$A$5:$A$3471,A157,'Futures Data'!$B$5:$B$3471,B157)</f>
        <v>5845</v>
      </c>
      <c r="K157" s="3" t="n">
        <f aca="false">SUMIFS('Futures Data'!$C$5:$C$3471,'Futures Data'!$A$5:$A$3471,A157,'Futures Data'!$B$5:$B$3471,C157)</f>
        <v>5845</v>
      </c>
      <c r="L157" s="3" t="n">
        <f aca="false">K157-J157</f>
        <v>0</v>
      </c>
      <c r="M157" s="3" t="n">
        <f aca="false">M158+L157</f>
        <v>1710</v>
      </c>
      <c r="N157" s="3" t="n">
        <f aca="false">J157+M157</f>
        <v>7555</v>
      </c>
      <c r="O157" s="13" t="n">
        <f aca="false">LN(J157/K156)</f>
        <v>0.00428633318068527</v>
      </c>
      <c r="P157" s="13" t="n">
        <f aca="false">LN(N157/N156)</f>
        <v>0.00331455391290068</v>
      </c>
      <c r="Q157" s="3" t="n">
        <f aca="false">SUMIFS('Futures Data'!$D$5:$D$3471,'Futures Data'!$A$5:$A$3471,A157,'Futures Data'!$B$5:$B$3471,B157)</f>
        <v>2750</v>
      </c>
      <c r="R157" s="7" t="n">
        <v>45401</v>
      </c>
      <c r="S157" s="9" t="b">
        <f aca="false">C157=R157</f>
        <v>1</v>
      </c>
      <c r="T157" s="9" t="b">
        <f aca="false">ABS(O157-LN(J157/SUMIFS('Futures Data'!$C$5:$C$3471,'Futures Data'!$A$5:$A$3471,A156,'Futures Data'!$B$5:$B$3471,B157)))&lt;0.000000001</f>
        <v>1</v>
      </c>
    </row>
    <row r="158" customFormat="false" ht="15" hidden="false" customHeight="false" outlineLevel="0" collapsed="false">
      <c r="A158" s="7" t="n">
        <v>45357</v>
      </c>
      <c r="B158" s="11" t="n">
        <f aca="false">C157</f>
        <v>45401</v>
      </c>
      <c r="C158" s="11" t="n">
        <f aca="false">IF(OR(H157,D158&lt;=$G$4),_xlfn.MINIFS('Futures Data'!$B$5:$B$3471,'Futures Data'!$A$5:$A$3471,A158,'Futures Data'!$B$5:$B$3471,"&gt;"&amp;B158),B158)</f>
        <v>45401</v>
      </c>
      <c r="D158" s="3" t="n">
        <f aca="false">COUNTIFS($A$47:$A$790,"&gt;"&amp;A158,$A$47:$A$790,"&lt;="&amp;B158)+IF(B158&gt;$G$5,NETWORKDAYS($G$5+1,B158),0)</f>
        <v>27</v>
      </c>
      <c r="E158" s="3" t="n">
        <f aca="false">SUMIFS('Futures Data'!$E$5:$E$3471,'Futures Data'!$A$5:$A$3471,A158,'Futures Data'!$B$5:$B$3471,C158)</f>
        <v>28655</v>
      </c>
      <c r="F158" s="11" t="n">
        <f aca="false">_xlfn.MINIFS('Futures Data'!$B$5:$B$3471,'Futures Data'!$A$5:$A$3471,A158,'Futures Data'!$B$5:$B$3471,"&gt;"&amp;C158)</f>
        <v>45432</v>
      </c>
      <c r="G158" s="3" t="n">
        <f aca="false">SUMIFS('Futures Data'!$E$5:$E$3471,'Futures Data'!$A$5:$A$3471,A158,'Futures Data'!$B$5:$B$3471,F158)</f>
        <v>3905</v>
      </c>
      <c r="H158" s="9" t="b">
        <f aca="false">G158&gt;E158</f>
        <v>0</v>
      </c>
      <c r="I158" s="9" t="b">
        <f aca="false">C158&lt;&gt;B158</f>
        <v>0</v>
      </c>
      <c r="J158" s="3" t="n">
        <f aca="false">SUMIFS('Futures Data'!$C$5:$C$3471,'Futures Data'!$A$5:$A$3471,A158,'Futures Data'!$B$5:$B$3471,B158)</f>
        <v>5896</v>
      </c>
      <c r="K158" s="3" t="n">
        <f aca="false">SUMIFS('Futures Data'!$C$5:$C$3471,'Futures Data'!$A$5:$A$3471,A158,'Futures Data'!$B$5:$B$3471,C158)</f>
        <v>5896</v>
      </c>
      <c r="L158" s="3" t="n">
        <f aca="false">K158-J158</f>
        <v>0</v>
      </c>
      <c r="M158" s="3" t="n">
        <f aca="false">M159+L158</f>
        <v>1710</v>
      </c>
      <c r="N158" s="3" t="n">
        <f aca="false">J158+M158</f>
        <v>7606</v>
      </c>
      <c r="O158" s="13" t="n">
        <f aca="false">LN(J158/K157)</f>
        <v>0.00868755996300369</v>
      </c>
      <c r="P158" s="13" t="n">
        <f aca="false">LN(N158/N157)</f>
        <v>0.006727813781365</v>
      </c>
      <c r="Q158" s="3" t="n">
        <f aca="false">SUMIFS('Futures Data'!$D$5:$D$3471,'Futures Data'!$A$5:$A$3471,A158,'Futures Data'!$B$5:$B$3471,B158)</f>
        <v>6050</v>
      </c>
      <c r="R158" s="7" t="n">
        <v>45401</v>
      </c>
      <c r="S158" s="9" t="b">
        <f aca="false">C158=R158</f>
        <v>1</v>
      </c>
      <c r="T158" s="9" t="b">
        <f aca="false">ABS(O158-LN(J158/SUMIFS('Futures Data'!$C$5:$C$3471,'Futures Data'!$A$5:$A$3471,A157,'Futures Data'!$B$5:$B$3471,B158)))&lt;0.000000001</f>
        <v>1</v>
      </c>
    </row>
    <row r="159" customFormat="false" ht="15" hidden="false" customHeight="false" outlineLevel="0" collapsed="false">
      <c r="A159" s="7" t="n">
        <v>45358</v>
      </c>
      <c r="B159" s="11" t="n">
        <f aca="false">C158</f>
        <v>45401</v>
      </c>
      <c r="C159" s="11" t="n">
        <f aca="false">IF(OR(H158,D159&lt;=$G$4),_xlfn.MINIFS('Futures Data'!$B$5:$B$3471,'Futures Data'!$A$5:$A$3471,A159,'Futures Data'!$B$5:$B$3471,"&gt;"&amp;B159),B159)</f>
        <v>45401</v>
      </c>
      <c r="D159" s="3" t="n">
        <f aca="false">COUNTIFS($A$47:$A$790,"&gt;"&amp;A159,$A$47:$A$790,"&lt;="&amp;B159)+IF(B159&gt;$G$5,NETWORKDAYS($G$5+1,B159),0)</f>
        <v>26</v>
      </c>
      <c r="E159" s="3" t="n">
        <f aca="false">SUMIFS('Futures Data'!$E$5:$E$3471,'Futures Data'!$A$5:$A$3471,A159,'Futures Data'!$B$5:$B$3471,C159)</f>
        <v>28760</v>
      </c>
      <c r="F159" s="11" t="n">
        <f aca="false">_xlfn.MINIFS('Futures Data'!$B$5:$B$3471,'Futures Data'!$A$5:$A$3471,A159,'Futures Data'!$B$5:$B$3471,"&gt;"&amp;C159)</f>
        <v>45432</v>
      </c>
      <c r="G159" s="3" t="n">
        <f aca="false">SUMIFS('Futures Data'!$E$5:$E$3471,'Futures Data'!$A$5:$A$3471,A159,'Futures Data'!$B$5:$B$3471,F159)</f>
        <v>4250</v>
      </c>
      <c r="H159" s="9" t="b">
        <f aca="false">G159&gt;E159</f>
        <v>0</v>
      </c>
      <c r="I159" s="9" t="b">
        <f aca="false">C159&lt;&gt;B159</f>
        <v>0</v>
      </c>
      <c r="J159" s="3" t="n">
        <f aca="false">SUMIFS('Futures Data'!$C$5:$C$3471,'Futures Data'!$A$5:$A$3471,A159,'Futures Data'!$B$5:$B$3471,B159)</f>
        <v>5847</v>
      </c>
      <c r="K159" s="3" t="n">
        <f aca="false">SUMIFS('Futures Data'!$C$5:$C$3471,'Futures Data'!$A$5:$A$3471,A159,'Futures Data'!$B$5:$B$3471,C159)</f>
        <v>5847</v>
      </c>
      <c r="L159" s="3" t="n">
        <f aca="false">K159-J159</f>
        <v>0</v>
      </c>
      <c r="M159" s="3" t="n">
        <f aca="false">M160+L159</f>
        <v>1710</v>
      </c>
      <c r="N159" s="3" t="n">
        <f aca="false">J159+M159</f>
        <v>7557</v>
      </c>
      <c r="O159" s="13" t="n">
        <f aca="false">LN(J159/K158)</f>
        <v>-0.00834544569350201</v>
      </c>
      <c r="P159" s="13" t="n">
        <f aca="false">LN(N159/N158)</f>
        <v>-0.00646312346748508</v>
      </c>
      <c r="Q159" s="3" t="n">
        <f aca="false">SUMIFS('Futures Data'!$D$5:$D$3471,'Futures Data'!$A$5:$A$3471,A159,'Futures Data'!$B$5:$B$3471,B159)</f>
        <v>7610</v>
      </c>
      <c r="R159" s="7" t="n">
        <v>45401</v>
      </c>
      <c r="S159" s="9" t="b">
        <f aca="false">C159=R159</f>
        <v>1</v>
      </c>
      <c r="T159" s="9" t="b">
        <f aca="false">ABS(O159-LN(J159/SUMIFS('Futures Data'!$C$5:$C$3471,'Futures Data'!$A$5:$A$3471,A158,'Futures Data'!$B$5:$B$3471,B159)))&lt;0.000000001</f>
        <v>1</v>
      </c>
    </row>
    <row r="160" customFormat="false" ht="15" hidden="false" customHeight="false" outlineLevel="0" collapsed="false">
      <c r="A160" s="7" t="n">
        <v>45362</v>
      </c>
      <c r="B160" s="11" t="n">
        <f aca="false">C159</f>
        <v>45401</v>
      </c>
      <c r="C160" s="11" t="n">
        <f aca="false">IF(OR(H159,D160&lt;=$G$4),_xlfn.MINIFS('Futures Data'!$B$5:$B$3471,'Futures Data'!$A$5:$A$3471,A160,'Futures Data'!$B$5:$B$3471,"&gt;"&amp;B160),B160)</f>
        <v>45401</v>
      </c>
      <c r="D160" s="3" t="n">
        <f aca="false">COUNTIFS($A$47:$A$790,"&gt;"&amp;A160,$A$47:$A$790,"&lt;="&amp;B160)+IF(B160&gt;$G$5,NETWORKDAYS($G$5+1,B160),0)</f>
        <v>25</v>
      </c>
      <c r="E160" s="3" t="n">
        <f aca="false">SUMIFS('Futures Data'!$E$5:$E$3471,'Futures Data'!$A$5:$A$3471,A160,'Futures Data'!$B$5:$B$3471,C160)</f>
        <v>27895</v>
      </c>
      <c r="F160" s="11" t="n">
        <f aca="false">_xlfn.MINIFS('Futures Data'!$B$5:$B$3471,'Futures Data'!$A$5:$A$3471,A160,'Futures Data'!$B$5:$B$3471,"&gt;"&amp;C160)</f>
        <v>45432</v>
      </c>
      <c r="G160" s="3" t="n">
        <f aca="false">SUMIFS('Futures Data'!$E$5:$E$3471,'Futures Data'!$A$5:$A$3471,A160,'Futures Data'!$B$5:$B$3471,F160)</f>
        <v>5075</v>
      </c>
      <c r="H160" s="9" t="b">
        <f aca="false">G160&gt;E160</f>
        <v>0</v>
      </c>
      <c r="I160" s="9" t="b">
        <f aca="false">C160&lt;&gt;B160</f>
        <v>0</v>
      </c>
      <c r="J160" s="3" t="n">
        <f aca="false">SUMIFS('Futures Data'!$C$5:$C$3471,'Futures Data'!$A$5:$A$3471,A160,'Futures Data'!$B$5:$B$3471,B160)</f>
        <v>5857</v>
      </c>
      <c r="K160" s="3" t="n">
        <f aca="false">SUMIFS('Futures Data'!$C$5:$C$3471,'Futures Data'!$A$5:$A$3471,A160,'Futures Data'!$B$5:$B$3471,C160)</f>
        <v>5857</v>
      </c>
      <c r="L160" s="3" t="n">
        <f aca="false">K160-J160</f>
        <v>0</v>
      </c>
      <c r="M160" s="3" t="n">
        <f aca="false">M161+L160</f>
        <v>1710</v>
      </c>
      <c r="N160" s="3" t="n">
        <f aca="false">J160+M160</f>
        <v>7567</v>
      </c>
      <c r="O160" s="13" t="n">
        <f aca="false">LN(J160/K159)</f>
        <v>0.00170881791411177</v>
      </c>
      <c r="P160" s="13" t="n">
        <f aca="false">LN(N160/N159)</f>
        <v>0.00132240167380163</v>
      </c>
      <c r="Q160" s="3" t="n">
        <f aca="false">SUMIFS('Futures Data'!$D$5:$D$3471,'Futures Data'!$A$5:$A$3471,A160,'Futures Data'!$B$5:$B$3471,B160)</f>
        <v>4940</v>
      </c>
      <c r="R160" s="7" t="n">
        <v>45401</v>
      </c>
      <c r="S160" s="9" t="b">
        <f aca="false">C160=R160</f>
        <v>1</v>
      </c>
      <c r="T160" s="9" t="b">
        <f aca="false">ABS(O160-LN(J160/SUMIFS('Futures Data'!$C$5:$C$3471,'Futures Data'!$A$5:$A$3471,A159,'Futures Data'!$B$5:$B$3471,B160)))&lt;0.000000001</f>
        <v>1</v>
      </c>
    </row>
    <row r="161" customFormat="false" ht="15" hidden="false" customHeight="false" outlineLevel="0" collapsed="false">
      <c r="A161" s="7" t="n">
        <v>45363</v>
      </c>
      <c r="B161" s="11" t="n">
        <f aca="false">C160</f>
        <v>45401</v>
      </c>
      <c r="C161" s="11" t="n">
        <f aca="false">IF(OR(H160,D161&lt;=$G$4),_xlfn.MINIFS('Futures Data'!$B$5:$B$3471,'Futures Data'!$A$5:$A$3471,A161,'Futures Data'!$B$5:$B$3471,"&gt;"&amp;B161),B161)</f>
        <v>45401</v>
      </c>
      <c r="D161" s="3" t="n">
        <f aca="false">COUNTIFS($A$47:$A$790,"&gt;"&amp;A161,$A$47:$A$790,"&lt;="&amp;B161)+IF(B161&gt;$G$5,NETWORKDAYS($G$5+1,B161),0)</f>
        <v>24</v>
      </c>
      <c r="E161" s="3" t="n">
        <f aca="false">SUMIFS('Futures Data'!$E$5:$E$3471,'Futures Data'!$A$5:$A$3471,A161,'Futures Data'!$B$5:$B$3471,C161)</f>
        <v>28235</v>
      </c>
      <c r="F161" s="11" t="n">
        <f aca="false">_xlfn.MINIFS('Futures Data'!$B$5:$B$3471,'Futures Data'!$A$5:$A$3471,A161,'Futures Data'!$B$5:$B$3471,"&gt;"&amp;C161)</f>
        <v>45432</v>
      </c>
      <c r="G161" s="3" t="n">
        <f aca="false">SUMIFS('Futures Data'!$E$5:$E$3471,'Futures Data'!$A$5:$A$3471,A161,'Futures Data'!$B$5:$B$3471,F161)</f>
        <v>5225</v>
      </c>
      <c r="H161" s="9" t="b">
        <f aca="false">G161&gt;E161</f>
        <v>0</v>
      </c>
      <c r="I161" s="9" t="b">
        <f aca="false">C161&lt;&gt;B161</f>
        <v>0</v>
      </c>
      <c r="J161" s="3" t="n">
        <f aca="false">SUMIFS('Futures Data'!$C$5:$C$3471,'Futures Data'!$A$5:$A$3471,A161,'Futures Data'!$B$5:$B$3471,B161)</f>
        <v>5860</v>
      </c>
      <c r="K161" s="3" t="n">
        <f aca="false">SUMIFS('Futures Data'!$C$5:$C$3471,'Futures Data'!$A$5:$A$3471,A161,'Futures Data'!$B$5:$B$3471,C161)</f>
        <v>5860</v>
      </c>
      <c r="L161" s="3" t="n">
        <f aca="false">K161-J161</f>
        <v>0</v>
      </c>
      <c r="M161" s="3" t="n">
        <f aca="false">M162+L161</f>
        <v>1710</v>
      </c>
      <c r="N161" s="3" t="n">
        <f aca="false">J161+M161</f>
        <v>7570</v>
      </c>
      <c r="O161" s="13" t="n">
        <f aca="false">LN(J161/K160)</f>
        <v>0.000512076481275998</v>
      </c>
      <c r="P161" s="13" t="n">
        <f aca="false">LN(N161/N160)</f>
        <v>0.000396379736972966</v>
      </c>
      <c r="Q161" s="3" t="n">
        <f aca="false">SUMIFS('Futures Data'!$D$5:$D$3471,'Futures Data'!$A$5:$A$3471,A161,'Futures Data'!$B$5:$B$3471,B161)</f>
        <v>5385</v>
      </c>
      <c r="R161" s="7" t="n">
        <v>45401</v>
      </c>
      <c r="S161" s="9" t="b">
        <f aca="false">C161=R161</f>
        <v>1</v>
      </c>
      <c r="T161" s="9" t="b">
        <f aca="false">ABS(O161-LN(J161/SUMIFS('Futures Data'!$C$5:$C$3471,'Futures Data'!$A$5:$A$3471,A160,'Futures Data'!$B$5:$B$3471,B161)))&lt;0.000000001</f>
        <v>1</v>
      </c>
    </row>
    <row r="162" customFormat="false" ht="15" hidden="false" customHeight="false" outlineLevel="0" collapsed="false">
      <c r="A162" s="7" t="n">
        <v>45364</v>
      </c>
      <c r="B162" s="11" t="n">
        <f aca="false">C161</f>
        <v>45401</v>
      </c>
      <c r="C162" s="11" t="n">
        <f aca="false">IF(OR(H161,D162&lt;=$G$4),_xlfn.MINIFS('Futures Data'!$B$5:$B$3471,'Futures Data'!$A$5:$A$3471,A162,'Futures Data'!$B$5:$B$3471,"&gt;"&amp;B162),B162)</f>
        <v>45401</v>
      </c>
      <c r="D162" s="3" t="n">
        <f aca="false">COUNTIFS($A$47:$A$790,"&gt;"&amp;A162,$A$47:$A$790,"&lt;="&amp;B162)+IF(B162&gt;$G$5,NETWORKDAYS($G$5+1,B162),0)</f>
        <v>23</v>
      </c>
      <c r="E162" s="3" t="n">
        <f aca="false">SUMIFS('Futures Data'!$E$5:$E$3471,'Futures Data'!$A$5:$A$3471,A162,'Futures Data'!$B$5:$B$3471,C162)</f>
        <v>28875</v>
      </c>
      <c r="F162" s="11" t="n">
        <f aca="false">_xlfn.MINIFS('Futures Data'!$B$5:$B$3471,'Futures Data'!$A$5:$A$3471,A162,'Futures Data'!$B$5:$B$3471,"&gt;"&amp;C162)</f>
        <v>45432</v>
      </c>
      <c r="G162" s="3" t="n">
        <f aca="false">SUMIFS('Futures Data'!$E$5:$E$3471,'Futures Data'!$A$5:$A$3471,A162,'Futures Data'!$B$5:$B$3471,F162)</f>
        <v>5470</v>
      </c>
      <c r="H162" s="9" t="b">
        <f aca="false">G162&gt;E162</f>
        <v>0</v>
      </c>
      <c r="I162" s="9" t="b">
        <f aca="false">C162&lt;&gt;B162</f>
        <v>0</v>
      </c>
      <c r="J162" s="3" t="n">
        <f aca="false">SUMIFS('Futures Data'!$C$5:$C$3471,'Futures Data'!$A$5:$A$3471,A162,'Futures Data'!$B$5:$B$3471,B162)</f>
        <v>5907</v>
      </c>
      <c r="K162" s="3" t="n">
        <f aca="false">SUMIFS('Futures Data'!$C$5:$C$3471,'Futures Data'!$A$5:$A$3471,A162,'Futures Data'!$B$5:$B$3471,C162)</f>
        <v>5907</v>
      </c>
      <c r="L162" s="3" t="n">
        <f aca="false">K162-J162</f>
        <v>0</v>
      </c>
      <c r="M162" s="3" t="n">
        <f aca="false">M163+L162</f>
        <v>1710</v>
      </c>
      <c r="N162" s="3" t="n">
        <f aca="false">J162+M162</f>
        <v>7617</v>
      </c>
      <c r="O162" s="13" t="n">
        <f aca="false">LN(J162/K161)</f>
        <v>0.00798848473617686</v>
      </c>
      <c r="P162" s="13" t="n">
        <f aca="false">LN(N162/N161)</f>
        <v>0.0061895239412937</v>
      </c>
      <c r="Q162" s="3" t="n">
        <f aca="false">SUMIFS('Futures Data'!$D$5:$D$3471,'Futures Data'!$A$5:$A$3471,A162,'Futures Data'!$B$5:$B$3471,B162)</f>
        <v>5235</v>
      </c>
      <c r="R162" s="7" t="n">
        <v>45401</v>
      </c>
      <c r="S162" s="9" t="b">
        <f aca="false">C162=R162</f>
        <v>1</v>
      </c>
      <c r="T162" s="9" t="b">
        <f aca="false">ABS(O162-LN(J162/SUMIFS('Futures Data'!$C$5:$C$3471,'Futures Data'!$A$5:$A$3471,A161,'Futures Data'!$B$5:$B$3471,B162)))&lt;0.000000001</f>
        <v>1</v>
      </c>
    </row>
    <row r="163" customFormat="false" ht="15" hidden="false" customHeight="false" outlineLevel="0" collapsed="false">
      <c r="A163" s="7" t="n">
        <v>45365</v>
      </c>
      <c r="B163" s="11" t="n">
        <f aca="false">C162</f>
        <v>45401</v>
      </c>
      <c r="C163" s="11" t="n">
        <f aca="false">IF(OR(H162,D163&lt;=$G$4),_xlfn.MINIFS('Futures Data'!$B$5:$B$3471,'Futures Data'!$A$5:$A$3471,A163,'Futures Data'!$B$5:$B$3471,"&gt;"&amp;B163),B163)</f>
        <v>45401</v>
      </c>
      <c r="D163" s="3" t="n">
        <f aca="false">COUNTIFS($A$47:$A$790,"&gt;"&amp;A163,$A$47:$A$790,"&lt;="&amp;B163)+IF(B163&gt;$G$5,NETWORKDAYS($G$5+1,B163),0)</f>
        <v>22</v>
      </c>
      <c r="E163" s="3" t="n">
        <f aca="false">SUMIFS('Futures Data'!$E$5:$E$3471,'Futures Data'!$A$5:$A$3471,A163,'Futures Data'!$B$5:$B$3471,C163)</f>
        <v>27790</v>
      </c>
      <c r="F163" s="11" t="n">
        <f aca="false">_xlfn.MINIFS('Futures Data'!$B$5:$B$3471,'Futures Data'!$A$5:$A$3471,A163,'Futures Data'!$B$5:$B$3471,"&gt;"&amp;C163)</f>
        <v>45432</v>
      </c>
      <c r="G163" s="3" t="n">
        <f aca="false">SUMIFS('Futures Data'!$E$5:$E$3471,'Futures Data'!$A$5:$A$3471,A163,'Futures Data'!$B$5:$B$3471,F163)</f>
        <v>5575</v>
      </c>
      <c r="H163" s="9" t="b">
        <f aca="false">G163&gt;E163</f>
        <v>0</v>
      </c>
      <c r="I163" s="9" t="b">
        <f aca="false">C163&lt;&gt;B163</f>
        <v>0</v>
      </c>
      <c r="J163" s="3" t="n">
        <f aca="false">SUMIFS('Futures Data'!$C$5:$C$3471,'Futures Data'!$A$5:$A$3471,A163,'Futures Data'!$B$5:$B$3471,B163)</f>
        <v>5926</v>
      </c>
      <c r="K163" s="3" t="n">
        <f aca="false">SUMIFS('Futures Data'!$C$5:$C$3471,'Futures Data'!$A$5:$A$3471,A163,'Futures Data'!$B$5:$B$3471,C163)</f>
        <v>5926</v>
      </c>
      <c r="L163" s="3" t="n">
        <f aca="false">K163-J163</f>
        <v>0</v>
      </c>
      <c r="M163" s="3" t="n">
        <f aca="false">M164+L163</f>
        <v>1710</v>
      </c>
      <c r="N163" s="3" t="n">
        <f aca="false">J163+M163</f>
        <v>7636</v>
      </c>
      <c r="O163" s="13" t="n">
        <f aca="false">LN(J163/K162)</f>
        <v>0.00321136082627542</v>
      </c>
      <c r="P163" s="13" t="n">
        <f aca="false">LN(N163/N162)</f>
        <v>0.00249131447285018</v>
      </c>
      <c r="Q163" s="3" t="n">
        <f aca="false">SUMIFS('Futures Data'!$D$5:$D$3471,'Futures Data'!$A$5:$A$3471,A163,'Futures Data'!$B$5:$B$3471,B163)</f>
        <v>5745</v>
      </c>
      <c r="R163" s="7" t="n">
        <v>45401</v>
      </c>
      <c r="S163" s="9" t="b">
        <f aca="false">C163=R163</f>
        <v>1</v>
      </c>
      <c r="T163" s="9" t="b">
        <f aca="false">ABS(O163-LN(J163/SUMIFS('Futures Data'!$C$5:$C$3471,'Futures Data'!$A$5:$A$3471,A162,'Futures Data'!$B$5:$B$3471,B163)))&lt;0.000000001</f>
        <v>1</v>
      </c>
    </row>
    <row r="164" customFormat="false" ht="15" hidden="false" customHeight="false" outlineLevel="0" collapsed="false">
      <c r="A164" s="7" t="n">
        <v>45366</v>
      </c>
      <c r="B164" s="11" t="n">
        <f aca="false">C163</f>
        <v>45401</v>
      </c>
      <c r="C164" s="11" t="n">
        <f aca="false">IF(OR(H163,D164&lt;=$G$4),_xlfn.MINIFS('Futures Data'!$B$5:$B$3471,'Futures Data'!$A$5:$A$3471,A164,'Futures Data'!$B$5:$B$3471,"&gt;"&amp;B164),B164)</f>
        <v>45401</v>
      </c>
      <c r="D164" s="3" t="n">
        <f aca="false">COUNTIFS($A$47:$A$790,"&gt;"&amp;A164,$A$47:$A$790,"&lt;="&amp;B164)+IF(B164&gt;$G$5,NETWORKDAYS($G$5+1,B164),0)</f>
        <v>21</v>
      </c>
      <c r="E164" s="3" t="n">
        <f aca="false">SUMIFS('Futures Data'!$E$5:$E$3471,'Futures Data'!$A$5:$A$3471,A164,'Futures Data'!$B$5:$B$3471,C164)</f>
        <v>27950</v>
      </c>
      <c r="F164" s="11" t="n">
        <f aca="false">_xlfn.MINIFS('Futures Data'!$B$5:$B$3471,'Futures Data'!$A$5:$A$3471,A164,'Futures Data'!$B$5:$B$3471,"&gt;"&amp;C164)</f>
        <v>45432</v>
      </c>
      <c r="G164" s="3" t="n">
        <f aca="false">SUMIFS('Futures Data'!$E$5:$E$3471,'Futures Data'!$A$5:$A$3471,A164,'Futures Data'!$B$5:$B$3471,F164)</f>
        <v>5780</v>
      </c>
      <c r="H164" s="9" t="b">
        <f aca="false">G164&gt;E164</f>
        <v>0</v>
      </c>
      <c r="I164" s="9" t="b">
        <f aca="false">C164&lt;&gt;B164</f>
        <v>0</v>
      </c>
      <c r="J164" s="3" t="n">
        <f aca="false">SUMIFS('Futures Data'!$C$5:$C$3471,'Futures Data'!$A$5:$A$3471,A164,'Futures Data'!$B$5:$B$3471,B164)</f>
        <v>5892</v>
      </c>
      <c r="K164" s="3" t="n">
        <f aca="false">SUMIFS('Futures Data'!$C$5:$C$3471,'Futures Data'!$A$5:$A$3471,A164,'Futures Data'!$B$5:$B$3471,C164)</f>
        <v>5892</v>
      </c>
      <c r="L164" s="3" t="n">
        <f aca="false">K164-J164</f>
        <v>0</v>
      </c>
      <c r="M164" s="3" t="n">
        <f aca="false">M165+L164</f>
        <v>1710</v>
      </c>
      <c r="N164" s="3" t="n">
        <f aca="false">J164+M164</f>
        <v>7602</v>
      </c>
      <c r="O164" s="13" t="n">
        <f aca="false">LN(J164/K163)</f>
        <v>-0.00575395055098971</v>
      </c>
      <c r="P164" s="13" t="n">
        <f aca="false">LN(N164/N163)</f>
        <v>-0.00446253529644423</v>
      </c>
      <c r="Q164" s="3" t="n">
        <f aca="false">SUMIFS('Futures Data'!$D$5:$D$3471,'Futures Data'!$A$5:$A$3471,A164,'Futures Data'!$B$5:$B$3471,B164)</f>
        <v>2540</v>
      </c>
      <c r="R164" s="7" t="n">
        <v>45401</v>
      </c>
      <c r="S164" s="9" t="b">
        <f aca="false">C164=R164</f>
        <v>1</v>
      </c>
      <c r="T164" s="9" t="b">
        <f aca="false">ABS(O164-LN(J164/SUMIFS('Futures Data'!$C$5:$C$3471,'Futures Data'!$A$5:$A$3471,A163,'Futures Data'!$B$5:$B$3471,B164)))&lt;0.000000001</f>
        <v>1</v>
      </c>
    </row>
    <row r="165" customFormat="false" ht="15" hidden="false" customHeight="false" outlineLevel="0" collapsed="false">
      <c r="A165" s="7" t="n">
        <v>45369</v>
      </c>
      <c r="B165" s="11" t="n">
        <f aca="false">C164</f>
        <v>45401</v>
      </c>
      <c r="C165" s="11" t="n">
        <f aca="false">IF(OR(H164,D165&lt;=$G$4),_xlfn.MINIFS('Futures Data'!$B$5:$B$3471,'Futures Data'!$A$5:$A$3471,A165,'Futures Data'!$B$5:$B$3471,"&gt;"&amp;B165),B165)</f>
        <v>45401</v>
      </c>
      <c r="D165" s="3" t="n">
        <f aca="false">COUNTIFS($A$47:$A$790,"&gt;"&amp;A165,$A$47:$A$790,"&lt;="&amp;B165)+IF(B165&gt;$G$5,NETWORKDAYS($G$5+1,B165),0)</f>
        <v>20</v>
      </c>
      <c r="E165" s="3" t="n">
        <f aca="false">SUMIFS('Futures Data'!$E$5:$E$3471,'Futures Data'!$A$5:$A$3471,A165,'Futures Data'!$B$5:$B$3471,C165)</f>
        <v>28310</v>
      </c>
      <c r="F165" s="11" t="n">
        <f aca="false">_xlfn.MINIFS('Futures Data'!$B$5:$B$3471,'Futures Data'!$A$5:$A$3471,A165,'Futures Data'!$B$5:$B$3471,"&gt;"&amp;C165)</f>
        <v>45432</v>
      </c>
      <c r="G165" s="3" t="n">
        <f aca="false">SUMIFS('Futures Data'!$E$5:$E$3471,'Futures Data'!$A$5:$A$3471,A165,'Futures Data'!$B$5:$B$3471,F165)</f>
        <v>5885</v>
      </c>
      <c r="H165" s="9" t="b">
        <f aca="false">G165&gt;E165</f>
        <v>0</v>
      </c>
      <c r="I165" s="9" t="b">
        <f aca="false">C165&lt;&gt;B165</f>
        <v>0</v>
      </c>
      <c r="J165" s="3" t="n">
        <f aca="false">SUMIFS('Futures Data'!$C$5:$C$3471,'Futures Data'!$A$5:$A$3471,A165,'Futures Data'!$B$5:$B$3471,B165)</f>
        <v>5897</v>
      </c>
      <c r="K165" s="3" t="n">
        <f aca="false">SUMIFS('Futures Data'!$C$5:$C$3471,'Futures Data'!$A$5:$A$3471,A165,'Futures Data'!$B$5:$B$3471,C165)</f>
        <v>5897</v>
      </c>
      <c r="L165" s="3" t="n">
        <f aca="false">K165-J165</f>
        <v>0</v>
      </c>
      <c r="M165" s="3" t="n">
        <f aca="false">M166+L165</f>
        <v>1710</v>
      </c>
      <c r="N165" s="3" t="n">
        <f aca="false">J165+M165</f>
        <v>7607</v>
      </c>
      <c r="O165" s="13" t="n">
        <f aca="false">LN(J165/K164)</f>
        <v>0.000848248417983249</v>
      </c>
      <c r="P165" s="13" t="n">
        <f aca="false">LN(N165/N164)</f>
        <v>0.000657505448107126</v>
      </c>
      <c r="Q165" s="3" t="n">
        <f aca="false">SUMIFS('Futures Data'!$D$5:$D$3471,'Futures Data'!$A$5:$A$3471,A165,'Futures Data'!$B$5:$B$3471,B165)</f>
        <v>2210</v>
      </c>
      <c r="R165" s="7" t="n">
        <v>45401</v>
      </c>
      <c r="S165" s="9" t="b">
        <f aca="false">C165=R165</f>
        <v>1</v>
      </c>
      <c r="T165" s="9" t="b">
        <f aca="false">ABS(O165-LN(J165/SUMIFS('Futures Data'!$C$5:$C$3471,'Futures Data'!$A$5:$A$3471,A164,'Futures Data'!$B$5:$B$3471,B165)))&lt;0.000000001</f>
        <v>1</v>
      </c>
    </row>
    <row r="166" customFormat="false" ht="15" hidden="false" customHeight="false" outlineLevel="0" collapsed="false">
      <c r="A166" s="7" t="n">
        <v>45370</v>
      </c>
      <c r="B166" s="11" t="n">
        <f aca="false">C165</f>
        <v>45401</v>
      </c>
      <c r="C166" s="11" t="n">
        <f aca="false">IF(OR(H165,D166&lt;=$G$4),_xlfn.MINIFS('Futures Data'!$B$5:$B$3471,'Futures Data'!$A$5:$A$3471,A166,'Futures Data'!$B$5:$B$3471,"&gt;"&amp;B166),B166)</f>
        <v>45401</v>
      </c>
      <c r="D166" s="3" t="n">
        <f aca="false">COUNTIFS($A$47:$A$790,"&gt;"&amp;A166,$A$47:$A$790,"&lt;="&amp;B166)+IF(B166&gt;$G$5,NETWORKDAYS($G$5+1,B166),0)</f>
        <v>19</v>
      </c>
      <c r="E166" s="3" t="n">
        <f aca="false">SUMIFS('Futures Data'!$E$5:$E$3471,'Futures Data'!$A$5:$A$3471,A166,'Futures Data'!$B$5:$B$3471,C166)</f>
        <v>26935</v>
      </c>
      <c r="F166" s="11" t="n">
        <f aca="false">_xlfn.MINIFS('Futures Data'!$B$5:$B$3471,'Futures Data'!$A$5:$A$3471,A166,'Futures Data'!$B$5:$B$3471,"&gt;"&amp;C166)</f>
        <v>45432</v>
      </c>
      <c r="G166" s="3" t="n">
        <f aca="false">SUMIFS('Futures Data'!$E$5:$E$3471,'Futures Data'!$A$5:$A$3471,A166,'Futures Data'!$B$5:$B$3471,F166)</f>
        <v>6460</v>
      </c>
      <c r="H166" s="9" t="b">
        <f aca="false">G166&gt;E166</f>
        <v>0</v>
      </c>
      <c r="I166" s="9" t="b">
        <f aca="false">C166&lt;&gt;B166</f>
        <v>0</v>
      </c>
      <c r="J166" s="3" t="n">
        <f aca="false">SUMIFS('Futures Data'!$C$5:$C$3471,'Futures Data'!$A$5:$A$3471,A166,'Futures Data'!$B$5:$B$3471,B166)</f>
        <v>5991</v>
      </c>
      <c r="K166" s="3" t="n">
        <f aca="false">SUMIFS('Futures Data'!$C$5:$C$3471,'Futures Data'!$A$5:$A$3471,A166,'Futures Data'!$B$5:$B$3471,C166)</f>
        <v>5991</v>
      </c>
      <c r="L166" s="3" t="n">
        <f aca="false">K166-J166</f>
        <v>0</v>
      </c>
      <c r="M166" s="3" t="n">
        <f aca="false">M167+L166</f>
        <v>1710</v>
      </c>
      <c r="N166" s="3" t="n">
        <f aca="false">J166+M166</f>
        <v>7701</v>
      </c>
      <c r="O166" s="13" t="n">
        <f aca="false">LN(J166/K165)</f>
        <v>0.0158145960834208</v>
      </c>
      <c r="P166" s="13" t="n">
        <f aca="false">LN(N166/N165)</f>
        <v>0.0122813145419489</v>
      </c>
      <c r="Q166" s="3" t="n">
        <f aca="false">SUMIFS('Futures Data'!$D$5:$D$3471,'Futures Data'!$A$5:$A$3471,A166,'Futures Data'!$B$5:$B$3471,B166)</f>
        <v>5775</v>
      </c>
      <c r="R166" s="7" t="n">
        <v>45401</v>
      </c>
      <c r="S166" s="9" t="b">
        <f aca="false">C166=R166</f>
        <v>1</v>
      </c>
      <c r="T166" s="9" t="b">
        <f aca="false">ABS(O166-LN(J166/SUMIFS('Futures Data'!$C$5:$C$3471,'Futures Data'!$A$5:$A$3471,A165,'Futures Data'!$B$5:$B$3471,B166)))&lt;0.000000001</f>
        <v>1</v>
      </c>
    </row>
    <row r="167" customFormat="false" ht="15" hidden="false" customHeight="false" outlineLevel="0" collapsed="false">
      <c r="A167" s="7" t="n">
        <v>45371</v>
      </c>
      <c r="B167" s="11" t="n">
        <f aca="false">C166</f>
        <v>45401</v>
      </c>
      <c r="C167" s="11" t="n">
        <f aca="false">IF(OR(H166,D167&lt;=$G$4),_xlfn.MINIFS('Futures Data'!$B$5:$B$3471,'Futures Data'!$A$5:$A$3471,A167,'Futures Data'!$B$5:$B$3471,"&gt;"&amp;B167),B167)</f>
        <v>45401</v>
      </c>
      <c r="D167" s="3" t="n">
        <f aca="false">COUNTIFS($A$47:$A$790,"&gt;"&amp;A167,$A$47:$A$790,"&lt;="&amp;B167)+IF(B167&gt;$G$5,NETWORKDAYS($G$5+1,B167),0)</f>
        <v>18</v>
      </c>
      <c r="E167" s="3" t="n">
        <f aca="false">SUMIFS('Futures Data'!$E$5:$E$3471,'Futures Data'!$A$5:$A$3471,A167,'Futures Data'!$B$5:$B$3471,C167)</f>
        <v>27035</v>
      </c>
      <c r="F167" s="11" t="n">
        <f aca="false">_xlfn.MINIFS('Futures Data'!$B$5:$B$3471,'Futures Data'!$A$5:$A$3471,A167,'Futures Data'!$B$5:$B$3471,"&gt;"&amp;C167)</f>
        <v>45432</v>
      </c>
      <c r="G167" s="3" t="n">
        <f aca="false">SUMIFS('Futures Data'!$E$5:$E$3471,'Futures Data'!$A$5:$A$3471,A167,'Futures Data'!$B$5:$B$3471,F167)</f>
        <v>6940</v>
      </c>
      <c r="H167" s="9" t="b">
        <f aca="false">G167&gt;E167</f>
        <v>0</v>
      </c>
      <c r="I167" s="9" t="b">
        <f aca="false">C167&lt;&gt;B167</f>
        <v>0</v>
      </c>
      <c r="J167" s="3" t="n">
        <f aca="false">SUMIFS('Futures Data'!$C$5:$C$3471,'Futures Data'!$A$5:$A$3471,A167,'Futures Data'!$B$5:$B$3471,B167)</f>
        <v>6008</v>
      </c>
      <c r="K167" s="3" t="n">
        <f aca="false">SUMIFS('Futures Data'!$C$5:$C$3471,'Futures Data'!$A$5:$A$3471,A167,'Futures Data'!$B$5:$B$3471,C167)</f>
        <v>6008</v>
      </c>
      <c r="L167" s="3" t="n">
        <f aca="false">K167-J167</f>
        <v>0</v>
      </c>
      <c r="M167" s="3" t="n">
        <f aca="false">M168+L167</f>
        <v>1710</v>
      </c>
      <c r="N167" s="3" t="n">
        <f aca="false">J167+M167</f>
        <v>7718</v>
      </c>
      <c r="O167" s="13" t="n">
        <f aca="false">LN(J167/K166)</f>
        <v>0.00283357136004583</v>
      </c>
      <c r="P167" s="13" t="n">
        <f aca="false">LN(N167/N166)</f>
        <v>0.00220507255831398</v>
      </c>
      <c r="Q167" s="3" t="n">
        <f aca="false">SUMIFS('Futures Data'!$D$5:$D$3471,'Futures Data'!$A$5:$A$3471,A167,'Futures Data'!$B$5:$B$3471,B167)</f>
        <v>3540</v>
      </c>
      <c r="R167" s="7" t="n">
        <v>45401</v>
      </c>
      <c r="S167" s="9" t="b">
        <f aca="false">C167=R167</f>
        <v>1</v>
      </c>
      <c r="T167" s="9" t="b">
        <f aca="false">ABS(O167-LN(J167/SUMIFS('Futures Data'!$C$5:$C$3471,'Futures Data'!$A$5:$A$3471,A166,'Futures Data'!$B$5:$B$3471,B167)))&lt;0.000000001</f>
        <v>1</v>
      </c>
    </row>
    <row r="168" customFormat="false" ht="15" hidden="false" customHeight="false" outlineLevel="0" collapsed="false">
      <c r="A168" s="7" t="n">
        <v>45372</v>
      </c>
      <c r="B168" s="11" t="n">
        <f aca="false">C167</f>
        <v>45401</v>
      </c>
      <c r="C168" s="11" t="n">
        <f aca="false">IF(OR(H167,D168&lt;=$G$4),_xlfn.MINIFS('Futures Data'!$B$5:$B$3471,'Futures Data'!$A$5:$A$3471,A168,'Futures Data'!$B$5:$B$3471,"&gt;"&amp;B168),B168)</f>
        <v>45401</v>
      </c>
      <c r="D168" s="3" t="n">
        <f aca="false">COUNTIFS($A$47:$A$790,"&gt;"&amp;A168,$A$47:$A$790,"&lt;="&amp;B168)+IF(B168&gt;$G$5,NETWORKDAYS($G$5+1,B168),0)</f>
        <v>17</v>
      </c>
      <c r="E168" s="3" t="n">
        <f aca="false">SUMIFS('Futures Data'!$E$5:$E$3471,'Futures Data'!$A$5:$A$3471,A168,'Futures Data'!$B$5:$B$3471,C168)</f>
        <v>26740</v>
      </c>
      <c r="F168" s="11" t="n">
        <f aca="false">_xlfn.MINIFS('Futures Data'!$B$5:$B$3471,'Futures Data'!$A$5:$A$3471,A168,'Futures Data'!$B$5:$B$3471,"&gt;"&amp;C168)</f>
        <v>45432</v>
      </c>
      <c r="G168" s="3" t="n">
        <f aca="false">SUMIFS('Futures Data'!$E$5:$E$3471,'Futures Data'!$A$5:$A$3471,A168,'Futures Data'!$B$5:$B$3471,F168)</f>
        <v>7095</v>
      </c>
      <c r="H168" s="9" t="b">
        <f aca="false">G168&gt;E168</f>
        <v>0</v>
      </c>
      <c r="I168" s="9" t="b">
        <f aca="false">C168&lt;&gt;B168</f>
        <v>0</v>
      </c>
      <c r="J168" s="3" t="n">
        <f aca="false">SUMIFS('Futures Data'!$C$5:$C$3471,'Futures Data'!$A$5:$A$3471,A168,'Futures Data'!$B$5:$B$3471,B168)</f>
        <v>6100</v>
      </c>
      <c r="K168" s="3" t="n">
        <f aca="false">SUMIFS('Futures Data'!$C$5:$C$3471,'Futures Data'!$A$5:$A$3471,A168,'Futures Data'!$B$5:$B$3471,C168)</f>
        <v>6100</v>
      </c>
      <c r="L168" s="3" t="n">
        <f aca="false">K168-J168</f>
        <v>0</v>
      </c>
      <c r="M168" s="3" t="n">
        <f aca="false">M169+L168</f>
        <v>1710</v>
      </c>
      <c r="N168" s="3" t="n">
        <f aca="false">J168+M168</f>
        <v>7810</v>
      </c>
      <c r="O168" s="13" t="n">
        <f aca="false">LN(J168/K167)</f>
        <v>0.0151968567174319</v>
      </c>
      <c r="P168" s="13" t="n">
        <f aca="false">LN(N168/N167)</f>
        <v>0.0118497007361677</v>
      </c>
      <c r="Q168" s="3" t="n">
        <f aca="false">SUMIFS('Futures Data'!$D$5:$D$3471,'Futures Data'!$A$5:$A$3471,A168,'Futures Data'!$B$5:$B$3471,B168)</f>
        <v>9225</v>
      </c>
      <c r="R168" s="7" t="n">
        <v>45401</v>
      </c>
      <c r="S168" s="9" t="b">
        <f aca="false">C168=R168</f>
        <v>1</v>
      </c>
      <c r="T168" s="9" t="b">
        <f aca="false">ABS(O168-LN(J168/SUMIFS('Futures Data'!$C$5:$C$3471,'Futures Data'!$A$5:$A$3471,A167,'Futures Data'!$B$5:$B$3471,B168)))&lt;0.000000001</f>
        <v>1</v>
      </c>
    </row>
    <row r="169" customFormat="false" ht="15" hidden="false" customHeight="false" outlineLevel="0" collapsed="false">
      <c r="A169" s="7" t="n">
        <v>45373</v>
      </c>
      <c r="B169" s="11" t="n">
        <f aca="false">C168</f>
        <v>45401</v>
      </c>
      <c r="C169" s="11" t="n">
        <f aca="false">IF(OR(H168,D169&lt;=$G$4),_xlfn.MINIFS('Futures Data'!$B$5:$B$3471,'Futures Data'!$A$5:$A$3471,A169,'Futures Data'!$B$5:$B$3471,"&gt;"&amp;B169),B169)</f>
        <v>45401</v>
      </c>
      <c r="D169" s="3" t="n">
        <f aca="false">COUNTIFS($A$47:$A$790,"&gt;"&amp;A169,$A$47:$A$790,"&lt;="&amp;B169)+IF(B169&gt;$G$5,NETWORKDAYS($G$5+1,B169),0)</f>
        <v>16</v>
      </c>
      <c r="E169" s="3" t="n">
        <f aca="false">SUMIFS('Futures Data'!$E$5:$E$3471,'Futures Data'!$A$5:$A$3471,A169,'Futures Data'!$B$5:$B$3471,C169)</f>
        <v>25730</v>
      </c>
      <c r="F169" s="11" t="n">
        <f aca="false">_xlfn.MINIFS('Futures Data'!$B$5:$B$3471,'Futures Data'!$A$5:$A$3471,A169,'Futures Data'!$B$5:$B$3471,"&gt;"&amp;C169)</f>
        <v>45432</v>
      </c>
      <c r="G169" s="3" t="n">
        <f aca="false">SUMIFS('Futures Data'!$E$5:$E$3471,'Futures Data'!$A$5:$A$3471,A169,'Futures Data'!$B$5:$B$3471,F169)</f>
        <v>8675</v>
      </c>
      <c r="H169" s="9" t="b">
        <f aca="false">G169&gt;E169</f>
        <v>0</v>
      </c>
      <c r="I169" s="9" t="b">
        <f aca="false">C169&lt;&gt;B169</f>
        <v>0</v>
      </c>
      <c r="J169" s="3" t="n">
        <f aca="false">SUMIFS('Futures Data'!$C$5:$C$3471,'Futures Data'!$A$5:$A$3471,A169,'Futures Data'!$B$5:$B$3471,B169)</f>
        <v>6138</v>
      </c>
      <c r="K169" s="3" t="n">
        <f aca="false">SUMIFS('Futures Data'!$C$5:$C$3471,'Futures Data'!$A$5:$A$3471,A169,'Futures Data'!$B$5:$B$3471,C169)</f>
        <v>6138</v>
      </c>
      <c r="L169" s="3" t="n">
        <f aca="false">K169-J169</f>
        <v>0</v>
      </c>
      <c r="M169" s="3" t="n">
        <f aca="false">M170+L169</f>
        <v>1710</v>
      </c>
      <c r="N169" s="3" t="n">
        <f aca="false">J169+M169</f>
        <v>7848</v>
      </c>
      <c r="O169" s="13" t="n">
        <f aca="false">LN(J169/K168)</f>
        <v>0.00621018501827897</v>
      </c>
      <c r="P169" s="13" t="n">
        <f aca="false">LN(N169/N168)</f>
        <v>0.00485375841146732</v>
      </c>
      <c r="Q169" s="3" t="n">
        <f aca="false">SUMIFS('Futures Data'!$D$5:$D$3471,'Futures Data'!$A$5:$A$3471,A169,'Futures Data'!$B$5:$B$3471,B169)</f>
        <v>7240</v>
      </c>
      <c r="R169" s="7" t="n">
        <v>45401</v>
      </c>
      <c r="S169" s="9" t="b">
        <f aca="false">C169=R169</f>
        <v>1</v>
      </c>
      <c r="T169" s="9" t="b">
        <f aca="false">ABS(O169-LN(J169/SUMIFS('Futures Data'!$C$5:$C$3471,'Futures Data'!$A$5:$A$3471,A168,'Futures Data'!$B$5:$B$3471,B169)))&lt;0.000000001</f>
        <v>1</v>
      </c>
    </row>
    <row r="170" customFormat="false" ht="15" hidden="false" customHeight="false" outlineLevel="0" collapsed="false">
      <c r="A170" s="7" t="n">
        <v>45377</v>
      </c>
      <c r="B170" s="11" t="n">
        <f aca="false">C169</f>
        <v>45401</v>
      </c>
      <c r="C170" s="11" t="n">
        <f aca="false">IF(OR(H169,D170&lt;=$G$4),_xlfn.MINIFS('Futures Data'!$B$5:$B$3471,'Futures Data'!$A$5:$A$3471,A170,'Futures Data'!$B$5:$B$3471,"&gt;"&amp;B170),B170)</f>
        <v>45401</v>
      </c>
      <c r="D170" s="3" t="n">
        <f aca="false">COUNTIFS($A$47:$A$790,"&gt;"&amp;A170,$A$47:$A$790,"&lt;="&amp;B170)+IF(B170&gt;$G$5,NETWORKDAYS($G$5+1,B170),0)</f>
        <v>15</v>
      </c>
      <c r="E170" s="3" t="n">
        <f aca="false">SUMIFS('Futures Data'!$E$5:$E$3471,'Futures Data'!$A$5:$A$3471,A170,'Futures Data'!$B$5:$B$3471,C170)</f>
        <v>23870</v>
      </c>
      <c r="F170" s="11" t="n">
        <f aca="false">_xlfn.MINIFS('Futures Data'!$B$5:$B$3471,'Futures Data'!$A$5:$A$3471,A170,'Futures Data'!$B$5:$B$3471,"&gt;"&amp;C170)</f>
        <v>45432</v>
      </c>
      <c r="G170" s="3" t="n">
        <f aca="false">SUMIFS('Futures Data'!$E$5:$E$3471,'Futures Data'!$A$5:$A$3471,A170,'Futures Data'!$B$5:$B$3471,F170)</f>
        <v>9415</v>
      </c>
      <c r="H170" s="9" t="b">
        <f aca="false">G170&gt;E170</f>
        <v>0</v>
      </c>
      <c r="I170" s="9" t="b">
        <f aca="false">C170&lt;&gt;B170</f>
        <v>0</v>
      </c>
      <c r="J170" s="3" t="n">
        <f aca="false">SUMIFS('Futures Data'!$C$5:$C$3471,'Futures Data'!$A$5:$A$3471,A170,'Futures Data'!$B$5:$B$3471,B170)</f>
        <v>6023</v>
      </c>
      <c r="K170" s="3" t="n">
        <f aca="false">SUMIFS('Futures Data'!$C$5:$C$3471,'Futures Data'!$A$5:$A$3471,A170,'Futures Data'!$B$5:$B$3471,C170)</f>
        <v>6023</v>
      </c>
      <c r="L170" s="3" t="n">
        <f aca="false">K170-J170</f>
        <v>0</v>
      </c>
      <c r="M170" s="3" t="n">
        <f aca="false">M171+L170</f>
        <v>1710</v>
      </c>
      <c r="N170" s="3" t="n">
        <f aca="false">J170+M170</f>
        <v>7733</v>
      </c>
      <c r="O170" s="13" t="n">
        <f aca="false">LN(J170/K169)</f>
        <v>-0.0189134821359604</v>
      </c>
      <c r="P170" s="13" t="n">
        <f aca="false">LN(N170/N169)</f>
        <v>-0.0147618366361636</v>
      </c>
      <c r="Q170" s="3" t="n">
        <f aca="false">SUMIFS('Futures Data'!$D$5:$D$3471,'Futures Data'!$A$5:$A$3471,A170,'Futures Data'!$B$5:$B$3471,B170)</f>
        <v>5990</v>
      </c>
      <c r="R170" s="7" t="n">
        <v>45401</v>
      </c>
      <c r="S170" s="9" t="b">
        <f aca="false">C170=R170</f>
        <v>1</v>
      </c>
      <c r="T170" s="9" t="b">
        <f aca="false">ABS(O170-LN(J170/SUMIFS('Futures Data'!$C$5:$C$3471,'Futures Data'!$A$5:$A$3471,A169,'Futures Data'!$B$5:$B$3471,B170)))&lt;0.000000001</f>
        <v>1</v>
      </c>
    </row>
    <row r="171" customFormat="false" ht="15" hidden="false" customHeight="false" outlineLevel="0" collapsed="false">
      <c r="A171" s="7" t="n">
        <v>45378</v>
      </c>
      <c r="B171" s="11" t="n">
        <f aca="false">C170</f>
        <v>45401</v>
      </c>
      <c r="C171" s="11" t="n">
        <f aca="false">IF(OR(H170,D171&lt;=$G$4),_xlfn.MINIFS('Futures Data'!$B$5:$B$3471,'Futures Data'!$A$5:$A$3471,A171,'Futures Data'!$B$5:$B$3471,"&gt;"&amp;B171),B171)</f>
        <v>45401</v>
      </c>
      <c r="D171" s="3" t="n">
        <f aca="false">COUNTIFS($A$47:$A$790,"&gt;"&amp;A171,$A$47:$A$790,"&lt;="&amp;B171)+IF(B171&gt;$G$5,NETWORKDAYS($G$5+1,B171),0)</f>
        <v>14</v>
      </c>
      <c r="E171" s="3" t="n">
        <f aca="false">SUMIFS('Futures Data'!$E$5:$E$3471,'Futures Data'!$A$5:$A$3471,A171,'Futures Data'!$B$5:$B$3471,C171)</f>
        <v>24715</v>
      </c>
      <c r="F171" s="11" t="n">
        <f aca="false">_xlfn.MINIFS('Futures Data'!$B$5:$B$3471,'Futures Data'!$A$5:$A$3471,A171,'Futures Data'!$B$5:$B$3471,"&gt;"&amp;C171)</f>
        <v>45432</v>
      </c>
      <c r="G171" s="3" t="n">
        <f aca="false">SUMIFS('Futures Data'!$E$5:$E$3471,'Futures Data'!$A$5:$A$3471,A171,'Futures Data'!$B$5:$B$3471,F171)</f>
        <v>9820</v>
      </c>
      <c r="H171" s="9" t="b">
        <f aca="false">G171&gt;E171</f>
        <v>0</v>
      </c>
      <c r="I171" s="9" t="b">
        <f aca="false">C171&lt;&gt;B171</f>
        <v>0</v>
      </c>
      <c r="J171" s="3" t="n">
        <f aca="false">SUMIFS('Futures Data'!$C$5:$C$3471,'Futures Data'!$A$5:$A$3471,A171,'Futures Data'!$B$5:$B$3471,B171)</f>
        <v>6072</v>
      </c>
      <c r="K171" s="3" t="n">
        <f aca="false">SUMIFS('Futures Data'!$C$5:$C$3471,'Futures Data'!$A$5:$A$3471,A171,'Futures Data'!$B$5:$B$3471,C171)</f>
        <v>6072</v>
      </c>
      <c r="L171" s="3" t="n">
        <f aca="false">K171-J171</f>
        <v>0</v>
      </c>
      <c r="M171" s="3" t="n">
        <f aca="false">M172+L171</f>
        <v>1710</v>
      </c>
      <c r="N171" s="3" t="n">
        <f aca="false">J171+M171</f>
        <v>7782</v>
      </c>
      <c r="O171" s="13" t="n">
        <f aca="false">LN(J171/K170)</f>
        <v>0.00810256603174472</v>
      </c>
      <c r="P171" s="13" t="n">
        <f aca="false">LN(N171/N170)</f>
        <v>0.00631648893546354</v>
      </c>
      <c r="Q171" s="3" t="n">
        <f aca="false">SUMIFS('Futures Data'!$D$5:$D$3471,'Futures Data'!$A$5:$A$3471,A171,'Futures Data'!$B$5:$B$3471,B171)</f>
        <v>19265</v>
      </c>
      <c r="R171" s="7" t="n">
        <v>45401</v>
      </c>
      <c r="S171" s="9" t="b">
        <f aca="false">C171=R171</f>
        <v>1</v>
      </c>
      <c r="T171" s="9" t="b">
        <f aca="false">ABS(O171-LN(J171/SUMIFS('Futures Data'!$C$5:$C$3471,'Futures Data'!$A$5:$A$3471,A170,'Futures Data'!$B$5:$B$3471,B171)))&lt;0.000000001</f>
        <v>1</v>
      </c>
    </row>
    <row r="172" customFormat="false" ht="15" hidden="false" customHeight="false" outlineLevel="0" collapsed="false">
      <c r="A172" s="7" t="n">
        <v>45379</v>
      </c>
      <c r="B172" s="11" t="n">
        <f aca="false">C171</f>
        <v>45401</v>
      </c>
      <c r="C172" s="11" t="n">
        <f aca="false">IF(OR(H171,D172&lt;=$G$4),_xlfn.MINIFS('Futures Data'!$B$5:$B$3471,'Futures Data'!$A$5:$A$3471,A172,'Futures Data'!$B$5:$B$3471,"&gt;"&amp;B172),B172)</f>
        <v>45401</v>
      </c>
      <c r="D172" s="3" t="n">
        <f aca="false">COUNTIFS($A$47:$A$790,"&gt;"&amp;A172,$A$47:$A$790,"&lt;="&amp;B172)+IF(B172&gt;$G$5,NETWORKDAYS($G$5+1,B172),0)</f>
        <v>13</v>
      </c>
      <c r="E172" s="3" t="n">
        <f aca="false">SUMIFS('Futures Data'!$E$5:$E$3471,'Futures Data'!$A$5:$A$3471,A172,'Futures Data'!$B$5:$B$3471,C172)</f>
        <v>25455</v>
      </c>
      <c r="F172" s="11" t="n">
        <f aca="false">_xlfn.MINIFS('Futures Data'!$B$5:$B$3471,'Futures Data'!$A$5:$A$3471,A172,'Futures Data'!$B$5:$B$3471,"&gt;"&amp;C172)</f>
        <v>45432</v>
      </c>
      <c r="G172" s="3" t="n">
        <f aca="false">SUMIFS('Futures Data'!$E$5:$E$3471,'Futures Data'!$A$5:$A$3471,A172,'Futures Data'!$B$5:$B$3471,F172)</f>
        <v>9845</v>
      </c>
      <c r="H172" s="9" t="b">
        <f aca="false">G172&gt;E172</f>
        <v>0</v>
      </c>
      <c r="I172" s="9" t="b">
        <f aca="false">C172&lt;&gt;B172</f>
        <v>0</v>
      </c>
      <c r="J172" s="3" t="n">
        <f aca="false">SUMIFS('Futures Data'!$C$5:$C$3471,'Futures Data'!$A$5:$A$3471,A172,'Futures Data'!$B$5:$B$3471,B172)</f>
        <v>6050</v>
      </c>
      <c r="K172" s="3" t="n">
        <f aca="false">SUMIFS('Futures Data'!$C$5:$C$3471,'Futures Data'!$A$5:$A$3471,A172,'Futures Data'!$B$5:$B$3471,C172)</f>
        <v>6050</v>
      </c>
      <c r="L172" s="3" t="n">
        <f aca="false">K172-J172</f>
        <v>0</v>
      </c>
      <c r="M172" s="3" t="n">
        <f aca="false">M173+L172</f>
        <v>1710</v>
      </c>
      <c r="N172" s="3" t="n">
        <f aca="false">J172+M172</f>
        <v>7760</v>
      </c>
      <c r="O172" s="13" t="n">
        <f aca="false">LN(J172/K171)</f>
        <v>-0.00362976805057872</v>
      </c>
      <c r="P172" s="13" t="n">
        <f aca="false">LN(N172/N171)</f>
        <v>-0.00283104036723445</v>
      </c>
      <c r="Q172" s="3" t="n">
        <f aca="false">SUMIFS('Futures Data'!$D$5:$D$3471,'Futures Data'!$A$5:$A$3471,A172,'Futures Data'!$B$5:$B$3471,B172)</f>
        <v>2270</v>
      </c>
      <c r="R172" s="7" t="n">
        <v>45401</v>
      </c>
      <c r="S172" s="9" t="b">
        <f aca="false">C172=R172</f>
        <v>1</v>
      </c>
      <c r="T172" s="9" t="b">
        <f aca="false">ABS(O172-LN(J172/SUMIFS('Futures Data'!$C$5:$C$3471,'Futures Data'!$A$5:$A$3471,A171,'Futures Data'!$B$5:$B$3471,B172)))&lt;0.000000001</f>
        <v>1</v>
      </c>
    </row>
    <row r="173" customFormat="false" ht="15" hidden="false" customHeight="false" outlineLevel="0" collapsed="false">
      <c r="A173" s="7" t="n">
        <v>45383</v>
      </c>
      <c r="B173" s="11" t="n">
        <f aca="false">C172</f>
        <v>45401</v>
      </c>
      <c r="C173" s="11" t="n">
        <f aca="false">IF(OR(H172,D173&lt;=$G$4),_xlfn.MINIFS('Futures Data'!$B$5:$B$3471,'Futures Data'!$A$5:$A$3471,A173,'Futures Data'!$B$5:$B$3471,"&gt;"&amp;B173),B173)</f>
        <v>45401</v>
      </c>
      <c r="D173" s="3" t="n">
        <f aca="false">COUNTIFS($A$47:$A$790,"&gt;"&amp;A173,$A$47:$A$790,"&lt;="&amp;B173)+IF(B173&gt;$G$5,NETWORKDAYS($G$5+1,B173),0)</f>
        <v>12</v>
      </c>
      <c r="E173" s="3" t="n">
        <f aca="false">SUMIFS('Futures Data'!$E$5:$E$3471,'Futures Data'!$A$5:$A$3471,A173,'Futures Data'!$B$5:$B$3471,C173)</f>
        <v>25895</v>
      </c>
      <c r="F173" s="11" t="n">
        <f aca="false">_xlfn.MINIFS('Futures Data'!$B$5:$B$3471,'Futures Data'!$A$5:$A$3471,A173,'Futures Data'!$B$5:$B$3471,"&gt;"&amp;C173)</f>
        <v>45432</v>
      </c>
      <c r="G173" s="3" t="n">
        <f aca="false">SUMIFS('Futures Data'!$E$5:$E$3471,'Futures Data'!$A$5:$A$3471,A173,'Futures Data'!$B$5:$B$3471,F173)</f>
        <v>10740</v>
      </c>
      <c r="H173" s="9" t="b">
        <f aca="false">G173&gt;E173</f>
        <v>0</v>
      </c>
      <c r="I173" s="9" t="b">
        <f aca="false">C173&lt;&gt;B173</f>
        <v>0</v>
      </c>
      <c r="J173" s="3" t="n">
        <f aca="false">SUMIFS('Futures Data'!$C$5:$C$3471,'Futures Data'!$A$5:$A$3471,A173,'Futures Data'!$B$5:$B$3471,B173)</f>
        <v>6009</v>
      </c>
      <c r="K173" s="3" t="n">
        <f aca="false">SUMIFS('Futures Data'!$C$5:$C$3471,'Futures Data'!$A$5:$A$3471,A173,'Futures Data'!$B$5:$B$3471,C173)</f>
        <v>6009</v>
      </c>
      <c r="L173" s="3" t="n">
        <f aca="false">K173-J173</f>
        <v>0</v>
      </c>
      <c r="M173" s="3" t="n">
        <f aca="false">M174+L173</f>
        <v>1710</v>
      </c>
      <c r="N173" s="3" t="n">
        <f aca="false">J173+M173</f>
        <v>7719</v>
      </c>
      <c r="O173" s="13" t="n">
        <f aca="false">LN(J173/K172)</f>
        <v>-0.00679992669095918</v>
      </c>
      <c r="P173" s="13" t="n">
        <f aca="false">LN(N173/N172)</f>
        <v>-0.00529751222741056</v>
      </c>
      <c r="Q173" s="3" t="n">
        <f aca="false">SUMIFS('Futures Data'!$D$5:$D$3471,'Futures Data'!$A$5:$A$3471,A173,'Futures Data'!$B$5:$B$3471,B173)</f>
        <v>1790</v>
      </c>
      <c r="R173" s="7" t="n">
        <v>45401</v>
      </c>
      <c r="S173" s="9" t="b">
        <f aca="false">C173=R173</f>
        <v>1</v>
      </c>
      <c r="T173" s="9" t="b">
        <f aca="false">ABS(O173-LN(J173/SUMIFS('Futures Data'!$C$5:$C$3471,'Futures Data'!$A$5:$A$3471,A172,'Futures Data'!$B$5:$B$3471,B173)))&lt;0.000000001</f>
        <v>1</v>
      </c>
    </row>
    <row r="174" customFormat="false" ht="15" hidden="false" customHeight="false" outlineLevel="0" collapsed="false">
      <c r="A174" s="7" t="n">
        <v>45384</v>
      </c>
      <c r="B174" s="11" t="n">
        <f aca="false">C173</f>
        <v>45401</v>
      </c>
      <c r="C174" s="11" t="n">
        <f aca="false">IF(OR(H173,D174&lt;=$G$4),_xlfn.MINIFS('Futures Data'!$B$5:$B$3471,'Futures Data'!$A$5:$A$3471,A174,'Futures Data'!$B$5:$B$3471,"&gt;"&amp;B174),B174)</f>
        <v>45401</v>
      </c>
      <c r="D174" s="3" t="n">
        <f aca="false">COUNTIFS($A$47:$A$790,"&gt;"&amp;A174,$A$47:$A$790,"&lt;="&amp;B174)+IF(B174&gt;$G$5,NETWORKDAYS($G$5+1,B174),0)</f>
        <v>11</v>
      </c>
      <c r="E174" s="3" t="n">
        <f aca="false">SUMIFS('Futures Data'!$E$5:$E$3471,'Futures Data'!$A$5:$A$3471,A174,'Futures Data'!$B$5:$B$3471,C174)</f>
        <v>25685</v>
      </c>
      <c r="F174" s="11" t="n">
        <f aca="false">_xlfn.MINIFS('Futures Data'!$B$5:$B$3471,'Futures Data'!$A$5:$A$3471,A174,'Futures Data'!$B$5:$B$3471,"&gt;"&amp;C174)</f>
        <v>45432</v>
      </c>
      <c r="G174" s="3" t="n">
        <f aca="false">SUMIFS('Futures Data'!$E$5:$E$3471,'Futures Data'!$A$5:$A$3471,A174,'Futures Data'!$B$5:$B$3471,F174)</f>
        <v>11230</v>
      </c>
      <c r="H174" s="9" t="b">
        <f aca="false">G174&gt;E174</f>
        <v>0</v>
      </c>
      <c r="I174" s="9" t="b">
        <f aca="false">C174&lt;&gt;B174</f>
        <v>0</v>
      </c>
      <c r="J174" s="3" t="n">
        <f aca="false">SUMIFS('Futures Data'!$C$5:$C$3471,'Futures Data'!$A$5:$A$3471,A174,'Futures Data'!$B$5:$B$3471,B174)</f>
        <v>5979</v>
      </c>
      <c r="K174" s="3" t="n">
        <f aca="false">SUMIFS('Futures Data'!$C$5:$C$3471,'Futures Data'!$A$5:$A$3471,A174,'Futures Data'!$B$5:$B$3471,C174)</f>
        <v>5979</v>
      </c>
      <c r="L174" s="3" t="n">
        <f aca="false">K174-J174</f>
        <v>0</v>
      </c>
      <c r="M174" s="3" t="n">
        <f aca="false">M175+L174</f>
        <v>1710</v>
      </c>
      <c r="N174" s="3" t="n">
        <f aca="false">J174+M174</f>
        <v>7689</v>
      </c>
      <c r="O174" s="13" t="n">
        <f aca="false">LN(J174/K173)</f>
        <v>-0.00500501545302351</v>
      </c>
      <c r="P174" s="13" t="n">
        <f aca="false">LN(N174/N173)</f>
        <v>-0.00389408591767309</v>
      </c>
      <c r="Q174" s="3" t="n">
        <f aca="false">SUMIFS('Futures Data'!$D$5:$D$3471,'Futures Data'!$A$5:$A$3471,A174,'Futures Data'!$B$5:$B$3471,B174)</f>
        <v>2490</v>
      </c>
      <c r="R174" s="7" t="n">
        <v>45401</v>
      </c>
      <c r="S174" s="9" t="b">
        <f aca="false">C174=R174</f>
        <v>1</v>
      </c>
      <c r="T174" s="9" t="b">
        <f aca="false">ABS(O174-LN(J174/SUMIFS('Futures Data'!$C$5:$C$3471,'Futures Data'!$A$5:$A$3471,A173,'Futures Data'!$B$5:$B$3471,B174)))&lt;0.000000001</f>
        <v>1</v>
      </c>
    </row>
    <row r="175" customFormat="false" ht="15" hidden="false" customHeight="false" outlineLevel="0" collapsed="false">
      <c r="A175" s="7" t="n">
        <v>45385</v>
      </c>
      <c r="B175" s="11" t="n">
        <f aca="false">C174</f>
        <v>45401</v>
      </c>
      <c r="C175" s="11" t="n">
        <f aca="false">IF(OR(H174,D175&lt;=$G$4),_xlfn.MINIFS('Futures Data'!$B$5:$B$3471,'Futures Data'!$A$5:$A$3471,A175,'Futures Data'!$B$5:$B$3471,"&gt;"&amp;B175),B175)</f>
        <v>45401</v>
      </c>
      <c r="D175" s="3" t="n">
        <f aca="false">COUNTIFS($A$47:$A$790,"&gt;"&amp;A175,$A$47:$A$790,"&lt;="&amp;B175)+IF(B175&gt;$G$5,NETWORKDAYS($G$5+1,B175),0)</f>
        <v>10</v>
      </c>
      <c r="E175" s="3" t="n">
        <f aca="false">SUMIFS('Futures Data'!$E$5:$E$3471,'Futures Data'!$A$5:$A$3471,A175,'Futures Data'!$B$5:$B$3471,C175)</f>
        <v>25145</v>
      </c>
      <c r="F175" s="11" t="n">
        <f aca="false">_xlfn.MINIFS('Futures Data'!$B$5:$B$3471,'Futures Data'!$A$5:$A$3471,A175,'Futures Data'!$B$5:$B$3471,"&gt;"&amp;C175)</f>
        <v>45432</v>
      </c>
      <c r="G175" s="3" t="n">
        <f aca="false">SUMIFS('Futures Data'!$E$5:$E$3471,'Futures Data'!$A$5:$A$3471,A175,'Futures Data'!$B$5:$B$3471,F175)</f>
        <v>11660</v>
      </c>
      <c r="H175" s="9" t="b">
        <f aca="false">G175&gt;E175</f>
        <v>0</v>
      </c>
      <c r="I175" s="9" t="b">
        <f aca="false">C175&lt;&gt;B175</f>
        <v>0</v>
      </c>
      <c r="J175" s="3" t="n">
        <f aca="false">SUMIFS('Futures Data'!$C$5:$C$3471,'Futures Data'!$A$5:$A$3471,A175,'Futures Data'!$B$5:$B$3471,B175)</f>
        <v>6026</v>
      </c>
      <c r="K175" s="3" t="n">
        <f aca="false">SUMIFS('Futures Data'!$C$5:$C$3471,'Futures Data'!$A$5:$A$3471,A175,'Futures Data'!$B$5:$B$3471,C175)</f>
        <v>6026</v>
      </c>
      <c r="L175" s="3" t="n">
        <f aca="false">K175-J175</f>
        <v>0</v>
      </c>
      <c r="M175" s="3" t="n">
        <f aca="false">M176+L175</f>
        <v>1710</v>
      </c>
      <c r="N175" s="3" t="n">
        <f aca="false">J175+M175</f>
        <v>7736</v>
      </c>
      <c r="O175" s="13" t="n">
        <f aca="false">LN(J175/K174)</f>
        <v>0.00783011080934211</v>
      </c>
      <c r="P175" s="13" t="n">
        <f aca="false">LN(N175/N174)</f>
        <v>0.00609402210094954</v>
      </c>
      <c r="Q175" s="3" t="n">
        <f aca="false">SUMIFS('Futures Data'!$D$5:$D$3471,'Futures Data'!$A$5:$A$3471,A175,'Futures Data'!$B$5:$B$3471,B175)</f>
        <v>3225</v>
      </c>
      <c r="R175" s="7" t="n">
        <v>45401</v>
      </c>
      <c r="S175" s="9" t="b">
        <f aca="false">C175=R175</f>
        <v>1</v>
      </c>
      <c r="T175" s="9" t="b">
        <f aca="false">ABS(O175-LN(J175/SUMIFS('Futures Data'!$C$5:$C$3471,'Futures Data'!$A$5:$A$3471,A174,'Futures Data'!$B$5:$B$3471,B175)))&lt;0.000000001</f>
        <v>1</v>
      </c>
    </row>
    <row r="176" customFormat="false" ht="15" hidden="false" customHeight="false" outlineLevel="0" collapsed="false">
      <c r="A176" s="7" t="n">
        <v>45386</v>
      </c>
      <c r="B176" s="11" t="n">
        <f aca="false">C175</f>
        <v>45401</v>
      </c>
      <c r="C176" s="11" t="n">
        <f aca="false">IF(OR(H175,D176&lt;=$G$4),_xlfn.MINIFS('Futures Data'!$B$5:$B$3471,'Futures Data'!$A$5:$A$3471,A176,'Futures Data'!$B$5:$B$3471,"&gt;"&amp;B176),B176)</f>
        <v>45401</v>
      </c>
      <c r="D176" s="3" t="n">
        <f aca="false">COUNTIFS($A$47:$A$790,"&gt;"&amp;A176,$A$47:$A$790,"&lt;="&amp;B176)+IF(B176&gt;$G$5,NETWORKDAYS($G$5+1,B176),0)</f>
        <v>9</v>
      </c>
      <c r="E176" s="3" t="n">
        <f aca="false">SUMIFS('Futures Data'!$E$5:$E$3471,'Futures Data'!$A$5:$A$3471,A176,'Futures Data'!$B$5:$B$3471,C176)</f>
        <v>24825</v>
      </c>
      <c r="F176" s="11" t="n">
        <f aca="false">_xlfn.MINIFS('Futures Data'!$B$5:$B$3471,'Futures Data'!$A$5:$A$3471,A176,'Futures Data'!$B$5:$B$3471,"&gt;"&amp;C176)</f>
        <v>45432</v>
      </c>
      <c r="G176" s="3" t="n">
        <f aca="false">SUMIFS('Futures Data'!$E$5:$E$3471,'Futures Data'!$A$5:$A$3471,A176,'Futures Data'!$B$5:$B$3471,F176)</f>
        <v>12130</v>
      </c>
      <c r="H176" s="9" t="b">
        <f aca="false">G176&gt;E176</f>
        <v>0</v>
      </c>
      <c r="I176" s="9" t="b">
        <f aca="false">C176&lt;&gt;B176</f>
        <v>0</v>
      </c>
      <c r="J176" s="3" t="n">
        <f aca="false">SUMIFS('Futures Data'!$C$5:$C$3471,'Futures Data'!$A$5:$A$3471,A176,'Futures Data'!$B$5:$B$3471,B176)</f>
        <v>6081</v>
      </c>
      <c r="K176" s="3" t="n">
        <f aca="false">SUMIFS('Futures Data'!$C$5:$C$3471,'Futures Data'!$A$5:$A$3471,A176,'Futures Data'!$B$5:$B$3471,C176)</f>
        <v>6081</v>
      </c>
      <c r="L176" s="3" t="n">
        <f aca="false">K176-J176</f>
        <v>0</v>
      </c>
      <c r="M176" s="3" t="n">
        <f aca="false">M177+L176</f>
        <v>1710</v>
      </c>
      <c r="N176" s="3" t="n">
        <f aca="false">J176+M176</f>
        <v>7791</v>
      </c>
      <c r="O176" s="13" t="n">
        <f aca="false">LN(J176/K175)</f>
        <v>0.00908571542986315</v>
      </c>
      <c r="P176" s="13" t="n">
        <f aca="false">LN(N176/N175)</f>
        <v>0.00708446319772795</v>
      </c>
      <c r="Q176" s="3" t="n">
        <f aca="false">SUMIFS('Futures Data'!$D$5:$D$3471,'Futures Data'!$A$5:$A$3471,A176,'Futures Data'!$B$5:$B$3471,B176)</f>
        <v>3295</v>
      </c>
      <c r="R176" s="7" t="n">
        <v>45401</v>
      </c>
      <c r="S176" s="9" t="b">
        <f aca="false">C176=R176</f>
        <v>1</v>
      </c>
      <c r="T176" s="9" t="b">
        <f aca="false">ABS(O176-LN(J176/SUMIFS('Futures Data'!$C$5:$C$3471,'Futures Data'!$A$5:$A$3471,A175,'Futures Data'!$B$5:$B$3471,B176)))&lt;0.000000001</f>
        <v>1</v>
      </c>
    </row>
    <row r="177" customFormat="false" ht="15" hidden="false" customHeight="false" outlineLevel="0" collapsed="false">
      <c r="A177" s="7" t="n">
        <v>45387</v>
      </c>
      <c r="B177" s="11" t="n">
        <f aca="false">C176</f>
        <v>45401</v>
      </c>
      <c r="C177" s="11" t="n">
        <f aca="false">IF(OR(H176,D177&lt;=$G$4),_xlfn.MINIFS('Futures Data'!$B$5:$B$3471,'Futures Data'!$A$5:$A$3471,A177,'Futures Data'!$B$5:$B$3471,"&gt;"&amp;B177),B177)</f>
        <v>45401</v>
      </c>
      <c r="D177" s="3" t="n">
        <f aca="false">COUNTIFS($A$47:$A$790,"&gt;"&amp;A177,$A$47:$A$790,"&lt;="&amp;B177)+IF(B177&gt;$G$5,NETWORKDAYS($G$5+1,B177),0)</f>
        <v>8</v>
      </c>
      <c r="E177" s="3" t="n">
        <f aca="false">SUMIFS('Futures Data'!$E$5:$E$3471,'Futures Data'!$A$5:$A$3471,A177,'Futures Data'!$B$5:$B$3471,C177)</f>
        <v>24630</v>
      </c>
      <c r="F177" s="11" t="n">
        <f aca="false">_xlfn.MINIFS('Futures Data'!$B$5:$B$3471,'Futures Data'!$A$5:$A$3471,A177,'Futures Data'!$B$5:$B$3471,"&gt;"&amp;C177)</f>
        <v>45432</v>
      </c>
      <c r="G177" s="3" t="n">
        <f aca="false">SUMIFS('Futures Data'!$E$5:$E$3471,'Futures Data'!$A$5:$A$3471,A177,'Futures Data'!$B$5:$B$3471,F177)</f>
        <v>12020</v>
      </c>
      <c r="H177" s="9" t="b">
        <f aca="false">G177&gt;E177</f>
        <v>0</v>
      </c>
      <c r="I177" s="9" t="b">
        <f aca="false">C177&lt;&gt;B177</f>
        <v>0</v>
      </c>
      <c r="J177" s="3" t="n">
        <f aca="false">SUMIFS('Futures Data'!$C$5:$C$3471,'Futures Data'!$A$5:$A$3471,A177,'Futures Data'!$B$5:$B$3471,B177)</f>
        <v>6028</v>
      </c>
      <c r="K177" s="3" t="n">
        <f aca="false">SUMIFS('Futures Data'!$C$5:$C$3471,'Futures Data'!$A$5:$A$3471,A177,'Futures Data'!$B$5:$B$3471,C177)</f>
        <v>6028</v>
      </c>
      <c r="L177" s="3" t="n">
        <f aca="false">K177-J177</f>
        <v>0</v>
      </c>
      <c r="M177" s="3" t="n">
        <f aca="false">M178+L177</f>
        <v>1710</v>
      </c>
      <c r="N177" s="3" t="n">
        <f aca="false">J177+M177</f>
        <v>7738</v>
      </c>
      <c r="O177" s="13" t="n">
        <f aca="false">LN(J177/K176)</f>
        <v>-0.00875387537372361</v>
      </c>
      <c r="P177" s="13" t="n">
        <f aca="false">LN(N177/N176)</f>
        <v>-0.00682596507039987</v>
      </c>
      <c r="Q177" s="3" t="n">
        <f aca="false">SUMIFS('Futures Data'!$D$5:$D$3471,'Futures Data'!$A$5:$A$3471,A177,'Futures Data'!$B$5:$B$3471,B177)</f>
        <v>2990</v>
      </c>
      <c r="R177" s="7" t="n">
        <v>45401</v>
      </c>
      <c r="S177" s="9" t="b">
        <f aca="false">C177=R177</f>
        <v>1</v>
      </c>
      <c r="T177" s="9" t="b">
        <f aca="false">ABS(O177-LN(J177/SUMIFS('Futures Data'!$C$5:$C$3471,'Futures Data'!$A$5:$A$3471,A176,'Futures Data'!$B$5:$B$3471,B177)))&lt;0.000000001</f>
        <v>1</v>
      </c>
    </row>
    <row r="178" customFormat="false" ht="15" hidden="false" customHeight="false" outlineLevel="0" collapsed="false">
      <c r="A178" s="7" t="n">
        <v>45390</v>
      </c>
      <c r="B178" s="11" t="n">
        <f aca="false">C177</f>
        <v>45401</v>
      </c>
      <c r="C178" s="11" t="n">
        <f aca="false">IF(OR(H177,D178&lt;=$G$4),_xlfn.MINIFS('Futures Data'!$B$5:$B$3471,'Futures Data'!$A$5:$A$3471,A178,'Futures Data'!$B$5:$B$3471,"&gt;"&amp;B178),B178)</f>
        <v>45432</v>
      </c>
      <c r="D178" s="3" t="n">
        <f aca="false">COUNTIFS($A$47:$A$790,"&gt;"&amp;A178,$A$47:$A$790,"&lt;="&amp;B178)+IF(B178&gt;$G$5,NETWORKDAYS($G$5+1,B178),0)</f>
        <v>7</v>
      </c>
      <c r="E178" s="3" t="n">
        <f aca="false">SUMIFS('Futures Data'!$E$5:$E$3471,'Futures Data'!$A$5:$A$3471,A178,'Futures Data'!$B$5:$B$3471,C178)</f>
        <v>11970</v>
      </c>
      <c r="F178" s="11" t="n">
        <f aca="false">_xlfn.MINIFS('Futures Data'!$B$5:$B$3471,'Futures Data'!$A$5:$A$3471,A178,'Futures Data'!$B$5:$B$3471,"&gt;"&amp;C178)</f>
        <v>45463</v>
      </c>
      <c r="G178" s="3" t="n">
        <f aca="false">SUMIFS('Futures Data'!$E$5:$E$3471,'Futures Data'!$A$5:$A$3471,A178,'Futures Data'!$B$5:$B$3471,F178)</f>
        <v>0</v>
      </c>
      <c r="H178" s="9" t="b">
        <f aca="false">G178&gt;E178</f>
        <v>0</v>
      </c>
      <c r="I178" s="9" t="b">
        <f aca="false">C178&lt;&gt;B178</f>
        <v>1</v>
      </c>
      <c r="J178" s="3" t="n">
        <f aca="false">SUMIFS('Futures Data'!$C$5:$C$3471,'Futures Data'!$A$5:$A$3471,A178,'Futures Data'!$B$5:$B$3471,B178)</f>
        <v>5931</v>
      </c>
      <c r="K178" s="3" t="n">
        <f aca="false">SUMIFS('Futures Data'!$C$5:$C$3471,'Futures Data'!$A$5:$A$3471,A178,'Futures Data'!$B$5:$B$3471,C178)</f>
        <v>5895</v>
      </c>
      <c r="L178" s="3" t="n">
        <f aca="false">K178-J178</f>
        <v>-36</v>
      </c>
      <c r="M178" s="3" t="n">
        <f aca="false">M179+L178</f>
        <v>1710</v>
      </c>
      <c r="N178" s="3" t="n">
        <f aca="false">J178+M178</f>
        <v>7641</v>
      </c>
      <c r="O178" s="13" t="n">
        <f aca="false">LN(J178/K177)</f>
        <v>-0.0162224479076595</v>
      </c>
      <c r="P178" s="13" t="n">
        <f aca="false">LN(N178/N177)</f>
        <v>-0.0126147716128916</v>
      </c>
      <c r="Q178" s="3" t="n">
        <f aca="false">SUMIFS('Futures Data'!$D$5:$D$3471,'Futures Data'!$A$5:$A$3471,A178,'Futures Data'!$B$5:$B$3471,B178)</f>
        <v>8140</v>
      </c>
      <c r="R178" s="7" t="n">
        <v>45432</v>
      </c>
      <c r="S178" s="9" t="b">
        <f aca="false">C178=R178</f>
        <v>1</v>
      </c>
      <c r="T178" s="9" t="b">
        <f aca="false">ABS(O178-LN(J178/SUMIFS('Futures Data'!$C$5:$C$3471,'Futures Data'!$A$5:$A$3471,A177,'Futures Data'!$B$5:$B$3471,B178)))&lt;0.000000001</f>
        <v>1</v>
      </c>
    </row>
    <row r="179" customFormat="false" ht="15" hidden="false" customHeight="false" outlineLevel="0" collapsed="false">
      <c r="A179" s="7" t="n">
        <v>45391</v>
      </c>
      <c r="B179" s="11" t="n">
        <f aca="false">C178</f>
        <v>45432</v>
      </c>
      <c r="C179" s="11" t="n">
        <f aca="false">IF(OR(H178,D179&lt;=$G$4),_xlfn.MINIFS('Futures Data'!$B$5:$B$3471,'Futures Data'!$A$5:$A$3471,A179,'Futures Data'!$B$5:$B$3471,"&gt;"&amp;B179),B179)</f>
        <v>45432</v>
      </c>
      <c r="D179" s="3" t="n">
        <f aca="false">COUNTIFS($A$47:$A$790,"&gt;"&amp;A179,$A$47:$A$790,"&lt;="&amp;B179)+IF(B179&gt;$G$5,NETWORKDAYS($G$5+1,B179),0)</f>
        <v>25</v>
      </c>
      <c r="E179" s="3" t="n">
        <f aca="false">SUMIFS('Futures Data'!$E$5:$E$3471,'Futures Data'!$A$5:$A$3471,A179,'Futures Data'!$B$5:$B$3471,C179)</f>
        <v>13420</v>
      </c>
      <c r="F179" s="11" t="n">
        <f aca="false">_xlfn.MINIFS('Futures Data'!$B$5:$B$3471,'Futures Data'!$A$5:$A$3471,A179,'Futures Data'!$B$5:$B$3471,"&gt;"&amp;C179)</f>
        <v>45463</v>
      </c>
      <c r="G179" s="3" t="n">
        <f aca="false">SUMIFS('Futures Data'!$E$5:$E$3471,'Futures Data'!$A$5:$A$3471,A179,'Futures Data'!$B$5:$B$3471,F179)</f>
        <v>0</v>
      </c>
      <c r="H179" s="9" t="b">
        <f aca="false">G179&gt;E179</f>
        <v>0</v>
      </c>
      <c r="I179" s="9" t="b">
        <f aca="false">C179&lt;&gt;B179</f>
        <v>0</v>
      </c>
      <c r="J179" s="3" t="n">
        <f aca="false">SUMIFS('Futures Data'!$C$5:$C$3471,'Futures Data'!$A$5:$A$3471,A179,'Futures Data'!$B$5:$B$3471,B179)</f>
        <v>5908</v>
      </c>
      <c r="K179" s="3" t="n">
        <f aca="false">SUMIFS('Futures Data'!$C$5:$C$3471,'Futures Data'!$A$5:$A$3471,A179,'Futures Data'!$B$5:$B$3471,C179)</f>
        <v>5908</v>
      </c>
      <c r="L179" s="3" t="n">
        <f aca="false">K179-J179</f>
        <v>0</v>
      </c>
      <c r="M179" s="3" t="n">
        <f aca="false">M180+L179</f>
        <v>1746</v>
      </c>
      <c r="N179" s="3" t="n">
        <f aca="false">J179+M179</f>
        <v>7654</v>
      </c>
      <c r="O179" s="13" t="n">
        <f aca="false">LN(J179/K178)</f>
        <v>0.00220283067979919</v>
      </c>
      <c r="P179" s="13" t="n">
        <f aca="false">LN(N179/N178)</f>
        <v>0.00169990233808079</v>
      </c>
      <c r="Q179" s="3" t="n">
        <f aca="false">SUMIFS('Futures Data'!$D$5:$D$3471,'Futures Data'!$A$5:$A$3471,A179,'Futures Data'!$B$5:$B$3471,B179)</f>
        <v>3660</v>
      </c>
      <c r="R179" s="7" t="n">
        <v>45432</v>
      </c>
      <c r="S179" s="9" t="b">
        <f aca="false">C179=R179</f>
        <v>1</v>
      </c>
      <c r="T179" s="9" t="b">
        <f aca="false">ABS(O179-LN(J179/SUMIFS('Futures Data'!$C$5:$C$3471,'Futures Data'!$A$5:$A$3471,A178,'Futures Data'!$B$5:$B$3471,B179)))&lt;0.000000001</f>
        <v>1</v>
      </c>
    </row>
    <row r="180" customFormat="false" ht="15" hidden="false" customHeight="false" outlineLevel="0" collapsed="false">
      <c r="A180" s="7" t="n">
        <v>45392</v>
      </c>
      <c r="B180" s="11" t="n">
        <f aca="false">C179</f>
        <v>45432</v>
      </c>
      <c r="C180" s="11" t="n">
        <f aca="false">IF(OR(H179,D180&lt;=$G$4),_xlfn.MINIFS('Futures Data'!$B$5:$B$3471,'Futures Data'!$A$5:$A$3471,A180,'Futures Data'!$B$5:$B$3471,"&gt;"&amp;B180),B180)</f>
        <v>45432</v>
      </c>
      <c r="D180" s="3" t="n">
        <f aca="false">COUNTIFS($A$47:$A$790,"&gt;"&amp;A180,$A$47:$A$790,"&lt;="&amp;B180)+IF(B180&gt;$G$5,NETWORKDAYS($G$5+1,B180),0)</f>
        <v>24</v>
      </c>
      <c r="E180" s="3" t="n">
        <f aca="false">SUMIFS('Futures Data'!$E$5:$E$3471,'Futures Data'!$A$5:$A$3471,A180,'Futures Data'!$B$5:$B$3471,C180)</f>
        <v>15760</v>
      </c>
      <c r="F180" s="11" t="n">
        <f aca="false">_xlfn.MINIFS('Futures Data'!$B$5:$B$3471,'Futures Data'!$A$5:$A$3471,A180,'Futures Data'!$B$5:$B$3471,"&gt;"&amp;C180)</f>
        <v>45463</v>
      </c>
      <c r="G180" s="3" t="n">
        <f aca="false">SUMIFS('Futures Data'!$E$5:$E$3471,'Futures Data'!$A$5:$A$3471,A180,'Futures Data'!$B$5:$B$3471,F180)</f>
        <v>5</v>
      </c>
      <c r="H180" s="9" t="b">
        <f aca="false">G180&gt;E180</f>
        <v>0</v>
      </c>
      <c r="I180" s="9" t="b">
        <f aca="false">C180&lt;&gt;B180</f>
        <v>0</v>
      </c>
      <c r="J180" s="3" t="n">
        <f aca="false">SUMIFS('Futures Data'!$C$5:$C$3471,'Futures Data'!$A$5:$A$3471,A180,'Futures Data'!$B$5:$B$3471,B180)</f>
        <v>5865</v>
      </c>
      <c r="K180" s="3" t="n">
        <f aca="false">SUMIFS('Futures Data'!$C$5:$C$3471,'Futures Data'!$A$5:$A$3471,A180,'Futures Data'!$B$5:$B$3471,C180)</f>
        <v>5865</v>
      </c>
      <c r="L180" s="3" t="n">
        <f aca="false">K180-J180</f>
        <v>0</v>
      </c>
      <c r="M180" s="3" t="n">
        <f aca="false">M181+L180</f>
        <v>1746</v>
      </c>
      <c r="N180" s="3" t="n">
        <f aca="false">J180+M180</f>
        <v>7611</v>
      </c>
      <c r="O180" s="13" t="n">
        <f aca="false">LN(J180/K179)</f>
        <v>-0.00730488256369461</v>
      </c>
      <c r="P180" s="13" t="n">
        <f aca="false">LN(N180/N179)</f>
        <v>-0.00563381771825602</v>
      </c>
      <c r="Q180" s="3" t="n">
        <f aca="false">SUMIFS('Futures Data'!$D$5:$D$3471,'Futures Data'!$A$5:$A$3471,A180,'Futures Data'!$B$5:$B$3471,B180)</f>
        <v>6590</v>
      </c>
      <c r="R180" s="7" t="n">
        <v>45432</v>
      </c>
      <c r="S180" s="9" t="b">
        <f aca="false">C180=R180</f>
        <v>1</v>
      </c>
      <c r="T180" s="9" t="b">
        <f aca="false">ABS(O180-LN(J180/SUMIFS('Futures Data'!$C$5:$C$3471,'Futures Data'!$A$5:$A$3471,A179,'Futures Data'!$B$5:$B$3471,B180)))&lt;0.000000001</f>
        <v>1</v>
      </c>
    </row>
    <row r="181" customFormat="false" ht="15" hidden="false" customHeight="false" outlineLevel="0" collapsed="false">
      <c r="A181" s="7" t="n">
        <v>45394</v>
      </c>
      <c r="B181" s="11" t="n">
        <f aca="false">C180</f>
        <v>45432</v>
      </c>
      <c r="C181" s="11" t="n">
        <f aca="false">IF(OR(H180,D181&lt;=$G$4),_xlfn.MINIFS('Futures Data'!$B$5:$B$3471,'Futures Data'!$A$5:$A$3471,A181,'Futures Data'!$B$5:$B$3471,"&gt;"&amp;B181),B181)</f>
        <v>45432</v>
      </c>
      <c r="D181" s="3" t="n">
        <f aca="false">COUNTIFS($A$47:$A$790,"&gt;"&amp;A181,$A$47:$A$790,"&lt;="&amp;B181)+IF(B181&gt;$G$5,NETWORKDAYS($G$5+1,B181),0)</f>
        <v>23</v>
      </c>
      <c r="E181" s="3" t="n">
        <f aca="false">SUMIFS('Futures Data'!$E$5:$E$3471,'Futures Data'!$A$5:$A$3471,A181,'Futures Data'!$B$5:$B$3471,C181)</f>
        <v>17270</v>
      </c>
      <c r="F181" s="11" t="n">
        <f aca="false">_xlfn.MINIFS('Futures Data'!$B$5:$B$3471,'Futures Data'!$A$5:$A$3471,A181,'Futures Data'!$B$5:$B$3471,"&gt;"&amp;C181)</f>
        <v>45463</v>
      </c>
      <c r="G181" s="3" t="n">
        <f aca="false">SUMIFS('Futures Data'!$E$5:$E$3471,'Futures Data'!$A$5:$A$3471,A181,'Futures Data'!$B$5:$B$3471,F181)</f>
        <v>375</v>
      </c>
      <c r="H181" s="9" t="b">
        <f aca="false">G181&gt;E181</f>
        <v>0</v>
      </c>
      <c r="I181" s="9" t="b">
        <f aca="false">C181&lt;&gt;B181</f>
        <v>0</v>
      </c>
      <c r="J181" s="3" t="n">
        <f aca="false">SUMIFS('Futures Data'!$C$5:$C$3471,'Futures Data'!$A$5:$A$3471,A181,'Futures Data'!$B$5:$B$3471,B181)</f>
        <v>5902</v>
      </c>
      <c r="K181" s="3" t="n">
        <f aca="false">SUMIFS('Futures Data'!$C$5:$C$3471,'Futures Data'!$A$5:$A$3471,A181,'Futures Data'!$B$5:$B$3471,C181)</f>
        <v>5902</v>
      </c>
      <c r="L181" s="3" t="n">
        <f aca="false">K181-J181</f>
        <v>0</v>
      </c>
      <c r="M181" s="3" t="n">
        <f aca="false">M182+L181</f>
        <v>1746</v>
      </c>
      <c r="N181" s="3" t="n">
        <f aca="false">J181+M181</f>
        <v>7648</v>
      </c>
      <c r="O181" s="13" t="n">
        <f aca="false">LN(J181/K180)</f>
        <v>0.00628879441530885</v>
      </c>
      <c r="P181" s="13" t="n">
        <f aca="false">LN(N181/N180)</f>
        <v>0.00484960646384559</v>
      </c>
      <c r="Q181" s="3" t="n">
        <f aca="false">SUMIFS('Futures Data'!$D$5:$D$3471,'Futures Data'!$A$5:$A$3471,A181,'Futures Data'!$B$5:$B$3471,B181)</f>
        <v>10600</v>
      </c>
      <c r="R181" s="7" t="n">
        <v>45432</v>
      </c>
      <c r="S181" s="9" t="b">
        <f aca="false">C181=R181</f>
        <v>1</v>
      </c>
      <c r="T181" s="9" t="b">
        <f aca="false">ABS(O181-LN(J181/SUMIFS('Futures Data'!$C$5:$C$3471,'Futures Data'!$A$5:$A$3471,A180,'Futures Data'!$B$5:$B$3471,B181)))&lt;0.000000001</f>
        <v>1</v>
      </c>
    </row>
    <row r="182" customFormat="false" ht="15" hidden="false" customHeight="false" outlineLevel="0" collapsed="false">
      <c r="A182" s="7" t="n">
        <v>45397</v>
      </c>
      <c r="B182" s="11" t="n">
        <f aca="false">C181</f>
        <v>45432</v>
      </c>
      <c r="C182" s="11" t="n">
        <f aca="false">IF(OR(H181,D182&lt;=$G$4),_xlfn.MINIFS('Futures Data'!$B$5:$B$3471,'Futures Data'!$A$5:$A$3471,A182,'Futures Data'!$B$5:$B$3471,"&gt;"&amp;B182),B182)</f>
        <v>45432</v>
      </c>
      <c r="D182" s="3" t="n">
        <f aca="false">COUNTIFS($A$47:$A$790,"&gt;"&amp;A182,$A$47:$A$790,"&lt;="&amp;B182)+IF(B182&gt;$G$5,NETWORKDAYS($G$5+1,B182),0)</f>
        <v>22</v>
      </c>
      <c r="E182" s="3" t="n">
        <f aca="false">SUMIFS('Futures Data'!$E$5:$E$3471,'Futures Data'!$A$5:$A$3471,A182,'Futures Data'!$B$5:$B$3471,C182)</f>
        <v>20115</v>
      </c>
      <c r="F182" s="11" t="n">
        <f aca="false">_xlfn.MINIFS('Futures Data'!$B$5:$B$3471,'Futures Data'!$A$5:$A$3471,A182,'Futures Data'!$B$5:$B$3471,"&gt;"&amp;C182)</f>
        <v>45463</v>
      </c>
      <c r="G182" s="3" t="n">
        <f aca="false">SUMIFS('Futures Data'!$E$5:$E$3471,'Futures Data'!$A$5:$A$3471,A182,'Futures Data'!$B$5:$B$3471,F182)</f>
        <v>770</v>
      </c>
      <c r="H182" s="9" t="b">
        <f aca="false">G182&gt;E182</f>
        <v>0</v>
      </c>
      <c r="I182" s="9" t="b">
        <f aca="false">C182&lt;&gt;B182</f>
        <v>0</v>
      </c>
      <c r="J182" s="3" t="n">
        <f aca="false">SUMIFS('Futures Data'!$C$5:$C$3471,'Futures Data'!$A$5:$A$3471,A182,'Futures Data'!$B$5:$B$3471,B182)</f>
        <v>5823</v>
      </c>
      <c r="K182" s="3" t="n">
        <f aca="false">SUMIFS('Futures Data'!$C$5:$C$3471,'Futures Data'!$A$5:$A$3471,A182,'Futures Data'!$B$5:$B$3471,C182)</f>
        <v>5823</v>
      </c>
      <c r="L182" s="3" t="n">
        <f aca="false">K182-J182</f>
        <v>0</v>
      </c>
      <c r="M182" s="3" t="n">
        <f aca="false">M183+L182</f>
        <v>1746</v>
      </c>
      <c r="N182" s="3" t="n">
        <f aca="false">J182+M182</f>
        <v>7569</v>
      </c>
      <c r="O182" s="13" t="n">
        <f aca="false">LN(J182/K181)</f>
        <v>-0.0134756836657648</v>
      </c>
      <c r="P182" s="13" t="n">
        <f aca="false">LN(N182/N181)</f>
        <v>-0.0103832174220698</v>
      </c>
      <c r="Q182" s="3" t="n">
        <f aca="false">SUMIFS('Futures Data'!$D$5:$D$3471,'Futures Data'!$A$5:$A$3471,A182,'Futures Data'!$B$5:$B$3471,B182)</f>
        <v>14330</v>
      </c>
      <c r="R182" s="7" t="n">
        <v>45432</v>
      </c>
      <c r="S182" s="9" t="b">
        <f aca="false">C182=R182</f>
        <v>1</v>
      </c>
      <c r="T182" s="9" t="b">
        <f aca="false">ABS(O182-LN(J182/SUMIFS('Futures Data'!$C$5:$C$3471,'Futures Data'!$A$5:$A$3471,A181,'Futures Data'!$B$5:$B$3471,B182)))&lt;0.000000001</f>
        <v>1</v>
      </c>
    </row>
    <row r="183" customFormat="false" ht="15" hidden="false" customHeight="false" outlineLevel="0" collapsed="false">
      <c r="A183" s="7" t="n">
        <v>45398</v>
      </c>
      <c r="B183" s="11" t="n">
        <f aca="false">C182</f>
        <v>45432</v>
      </c>
      <c r="C183" s="11" t="n">
        <f aca="false">IF(OR(H182,D183&lt;=$G$4),_xlfn.MINIFS('Futures Data'!$B$5:$B$3471,'Futures Data'!$A$5:$A$3471,A183,'Futures Data'!$B$5:$B$3471,"&gt;"&amp;B183),B183)</f>
        <v>45432</v>
      </c>
      <c r="D183" s="3" t="n">
        <f aca="false">COUNTIFS($A$47:$A$790,"&gt;"&amp;A183,$A$47:$A$790,"&lt;="&amp;B183)+IF(B183&gt;$G$5,NETWORKDAYS($G$5+1,B183),0)</f>
        <v>21</v>
      </c>
      <c r="E183" s="3" t="n">
        <f aca="false">SUMIFS('Futures Data'!$E$5:$E$3471,'Futures Data'!$A$5:$A$3471,A183,'Futures Data'!$B$5:$B$3471,C183)</f>
        <v>20395</v>
      </c>
      <c r="F183" s="11" t="n">
        <f aca="false">_xlfn.MINIFS('Futures Data'!$B$5:$B$3471,'Futures Data'!$A$5:$A$3471,A183,'Futures Data'!$B$5:$B$3471,"&gt;"&amp;C183)</f>
        <v>45463</v>
      </c>
      <c r="G183" s="3" t="n">
        <f aca="false">SUMIFS('Futures Data'!$E$5:$E$3471,'Futures Data'!$A$5:$A$3471,A183,'Futures Data'!$B$5:$B$3471,F183)</f>
        <v>1095</v>
      </c>
      <c r="H183" s="9" t="b">
        <f aca="false">G183&gt;E183</f>
        <v>0</v>
      </c>
      <c r="I183" s="9" t="b">
        <f aca="false">C183&lt;&gt;B183</f>
        <v>0</v>
      </c>
      <c r="J183" s="3" t="n">
        <f aca="false">SUMIFS('Futures Data'!$C$5:$C$3471,'Futures Data'!$A$5:$A$3471,A183,'Futures Data'!$B$5:$B$3471,B183)</f>
        <v>5802</v>
      </c>
      <c r="K183" s="3" t="n">
        <f aca="false">SUMIFS('Futures Data'!$C$5:$C$3471,'Futures Data'!$A$5:$A$3471,A183,'Futures Data'!$B$5:$B$3471,C183)</f>
        <v>5802</v>
      </c>
      <c r="L183" s="3" t="n">
        <f aca="false">K183-J183</f>
        <v>0</v>
      </c>
      <c r="M183" s="3" t="n">
        <f aca="false">M184+L183</f>
        <v>1746</v>
      </c>
      <c r="N183" s="3" t="n">
        <f aca="false">J183+M183</f>
        <v>7548</v>
      </c>
      <c r="O183" s="13" t="n">
        <f aca="false">LN(J183/K182)</f>
        <v>-0.00361290715577066</v>
      </c>
      <c r="P183" s="13" t="n">
        <f aca="false">LN(N183/N182)</f>
        <v>-0.00277833082072655</v>
      </c>
      <c r="Q183" s="3" t="n">
        <f aca="false">SUMIFS('Futures Data'!$D$5:$D$3471,'Futures Data'!$A$5:$A$3471,A183,'Futures Data'!$B$5:$B$3471,B183)</f>
        <v>7155</v>
      </c>
      <c r="R183" s="7" t="n">
        <v>45432</v>
      </c>
      <c r="S183" s="9" t="b">
        <f aca="false">C183=R183</f>
        <v>1</v>
      </c>
      <c r="T183" s="9" t="b">
        <f aca="false">ABS(O183-LN(J183/SUMIFS('Futures Data'!$C$5:$C$3471,'Futures Data'!$A$5:$A$3471,A182,'Futures Data'!$B$5:$B$3471,B183)))&lt;0.000000001</f>
        <v>1</v>
      </c>
    </row>
    <row r="184" customFormat="false" ht="15" hidden="false" customHeight="false" outlineLevel="0" collapsed="false">
      <c r="A184" s="7" t="n">
        <v>45400</v>
      </c>
      <c r="B184" s="11" t="n">
        <f aca="false">C183</f>
        <v>45432</v>
      </c>
      <c r="C184" s="11" t="n">
        <f aca="false">IF(OR(H183,D184&lt;=$G$4),_xlfn.MINIFS('Futures Data'!$B$5:$B$3471,'Futures Data'!$A$5:$A$3471,A184,'Futures Data'!$B$5:$B$3471,"&gt;"&amp;B184),B184)</f>
        <v>45432</v>
      </c>
      <c r="D184" s="3" t="n">
        <f aca="false">COUNTIFS($A$47:$A$790,"&gt;"&amp;A184,$A$47:$A$790,"&lt;="&amp;B184)+IF(B184&gt;$G$5,NETWORKDAYS($G$5+1,B184),0)</f>
        <v>20</v>
      </c>
      <c r="E184" s="3" t="n">
        <f aca="false">SUMIFS('Futures Data'!$E$5:$E$3471,'Futures Data'!$A$5:$A$3471,A184,'Futures Data'!$B$5:$B$3471,C184)</f>
        <v>21320</v>
      </c>
      <c r="F184" s="11" t="n">
        <f aca="false">_xlfn.MINIFS('Futures Data'!$B$5:$B$3471,'Futures Data'!$A$5:$A$3471,A184,'Futures Data'!$B$5:$B$3471,"&gt;"&amp;C184)</f>
        <v>45463</v>
      </c>
      <c r="G184" s="3" t="n">
        <f aca="false">SUMIFS('Futures Data'!$E$5:$E$3471,'Futures Data'!$A$5:$A$3471,A184,'Futures Data'!$B$5:$B$3471,F184)</f>
        <v>1320</v>
      </c>
      <c r="H184" s="9" t="b">
        <f aca="false">G184&gt;E184</f>
        <v>0</v>
      </c>
      <c r="I184" s="9" t="b">
        <f aca="false">C184&lt;&gt;B184</f>
        <v>0</v>
      </c>
      <c r="J184" s="3" t="n">
        <f aca="false">SUMIFS('Futures Data'!$C$5:$C$3471,'Futures Data'!$A$5:$A$3471,A184,'Futures Data'!$B$5:$B$3471,B184)</f>
        <v>5806</v>
      </c>
      <c r="K184" s="3" t="n">
        <f aca="false">SUMIFS('Futures Data'!$C$5:$C$3471,'Futures Data'!$A$5:$A$3471,A184,'Futures Data'!$B$5:$B$3471,C184)</f>
        <v>5806</v>
      </c>
      <c r="L184" s="3" t="n">
        <f aca="false">K184-J184</f>
        <v>0</v>
      </c>
      <c r="M184" s="3" t="n">
        <f aca="false">M185+L184</f>
        <v>1746</v>
      </c>
      <c r="N184" s="3" t="n">
        <f aca="false">J184+M184</f>
        <v>7552</v>
      </c>
      <c r="O184" s="13" t="n">
        <f aca="false">LN(J184/K183)</f>
        <v>0.00068917990322595</v>
      </c>
      <c r="P184" s="13" t="n">
        <f aca="false">LN(N184/N183)</f>
        <v>0.000529801336895672</v>
      </c>
      <c r="Q184" s="3" t="n">
        <f aca="false">SUMIFS('Futures Data'!$D$5:$D$3471,'Futures Data'!$A$5:$A$3471,A184,'Futures Data'!$B$5:$B$3471,B184)</f>
        <v>6465</v>
      </c>
      <c r="R184" s="7" t="n">
        <v>45432</v>
      </c>
      <c r="S184" s="9" t="b">
        <f aca="false">C184=R184</f>
        <v>1</v>
      </c>
      <c r="T184" s="9" t="b">
        <f aca="false">ABS(O184-LN(J184/SUMIFS('Futures Data'!$C$5:$C$3471,'Futures Data'!$A$5:$A$3471,A183,'Futures Data'!$B$5:$B$3471,B184)))&lt;0.000000001</f>
        <v>1</v>
      </c>
    </row>
    <row r="185" customFormat="false" ht="15" hidden="false" customHeight="false" outlineLevel="0" collapsed="false">
      <c r="A185" s="7" t="n">
        <v>45401</v>
      </c>
      <c r="B185" s="11" t="n">
        <f aca="false">C184</f>
        <v>45432</v>
      </c>
      <c r="C185" s="11" t="n">
        <f aca="false">IF(OR(H184,D185&lt;=$G$4),_xlfn.MINIFS('Futures Data'!$B$5:$B$3471,'Futures Data'!$A$5:$A$3471,A185,'Futures Data'!$B$5:$B$3471,"&gt;"&amp;B185),B185)</f>
        <v>45432</v>
      </c>
      <c r="D185" s="3" t="n">
        <f aca="false">COUNTIFS($A$47:$A$790,"&gt;"&amp;A185,$A$47:$A$790,"&lt;="&amp;B185)+IF(B185&gt;$G$5,NETWORKDAYS($G$5+1,B185),0)</f>
        <v>19</v>
      </c>
      <c r="E185" s="3" t="n">
        <f aca="false">SUMIFS('Futures Data'!$E$5:$E$3471,'Futures Data'!$A$5:$A$3471,A185,'Futures Data'!$B$5:$B$3471,C185)</f>
        <v>21305</v>
      </c>
      <c r="F185" s="11" t="n">
        <f aca="false">_xlfn.MINIFS('Futures Data'!$B$5:$B$3471,'Futures Data'!$A$5:$A$3471,A185,'Futures Data'!$B$5:$B$3471,"&gt;"&amp;C185)</f>
        <v>45463</v>
      </c>
      <c r="G185" s="3" t="n">
        <f aca="false">SUMIFS('Futures Data'!$E$5:$E$3471,'Futures Data'!$A$5:$A$3471,A185,'Futures Data'!$B$5:$B$3471,F185)</f>
        <v>1610</v>
      </c>
      <c r="H185" s="9" t="b">
        <f aca="false">G185&gt;E185</f>
        <v>0</v>
      </c>
      <c r="I185" s="9" t="b">
        <f aca="false">C185&lt;&gt;B185</f>
        <v>0</v>
      </c>
      <c r="J185" s="3" t="n">
        <f aca="false">SUMIFS('Futures Data'!$C$5:$C$3471,'Futures Data'!$A$5:$A$3471,A185,'Futures Data'!$B$5:$B$3471,B185)</f>
        <v>5830</v>
      </c>
      <c r="K185" s="3" t="n">
        <f aca="false">SUMIFS('Futures Data'!$C$5:$C$3471,'Futures Data'!$A$5:$A$3471,A185,'Futures Data'!$B$5:$B$3471,C185)</f>
        <v>5830</v>
      </c>
      <c r="L185" s="3" t="n">
        <f aca="false">K185-J185</f>
        <v>0</v>
      </c>
      <c r="M185" s="3" t="n">
        <f aca="false">M186+L185</f>
        <v>1746</v>
      </c>
      <c r="N185" s="3" t="n">
        <f aca="false">J185+M185</f>
        <v>7576</v>
      </c>
      <c r="O185" s="13" t="n">
        <f aca="false">LN(J185/K184)</f>
        <v>0.00412513475996296</v>
      </c>
      <c r="P185" s="13" t="n">
        <f aca="false">LN(N185/N184)</f>
        <v>0.00317292704057749</v>
      </c>
      <c r="Q185" s="3" t="n">
        <f aca="false">SUMIFS('Futures Data'!$D$5:$D$3471,'Futures Data'!$A$5:$A$3471,A185,'Futures Data'!$B$5:$B$3471,B185)</f>
        <v>4470</v>
      </c>
      <c r="R185" s="7" t="n">
        <v>45432</v>
      </c>
      <c r="S185" s="9" t="b">
        <f aca="false">C185=R185</f>
        <v>1</v>
      </c>
      <c r="T185" s="9" t="b">
        <f aca="false">ABS(O185-LN(J185/SUMIFS('Futures Data'!$C$5:$C$3471,'Futures Data'!$A$5:$A$3471,A184,'Futures Data'!$B$5:$B$3471,B185)))&lt;0.000000001</f>
        <v>1</v>
      </c>
    </row>
    <row r="186" customFormat="false" ht="15" hidden="false" customHeight="false" outlineLevel="0" collapsed="false">
      <c r="A186" s="7" t="n">
        <v>45404</v>
      </c>
      <c r="B186" s="11" t="n">
        <f aca="false">C185</f>
        <v>45432</v>
      </c>
      <c r="C186" s="11" t="n">
        <f aca="false">IF(OR(H185,D186&lt;=$G$4),_xlfn.MINIFS('Futures Data'!$B$5:$B$3471,'Futures Data'!$A$5:$A$3471,A186,'Futures Data'!$B$5:$B$3471,"&gt;"&amp;B186),B186)</f>
        <v>45432</v>
      </c>
      <c r="D186" s="3" t="n">
        <f aca="false">COUNTIFS($A$47:$A$790,"&gt;"&amp;A186,$A$47:$A$790,"&lt;="&amp;B186)+IF(B186&gt;$G$5,NETWORKDAYS($G$5+1,B186),0)</f>
        <v>18</v>
      </c>
      <c r="E186" s="3" t="n">
        <f aca="false">SUMIFS('Futures Data'!$E$5:$E$3471,'Futures Data'!$A$5:$A$3471,A186,'Futures Data'!$B$5:$B$3471,C186)</f>
        <v>22085</v>
      </c>
      <c r="F186" s="11" t="n">
        <f aca="false">_xlfn.MINIFS('Futures Data'!$B$5:$B$3471,'Futures Data'!$A$5:$A$3471,A186,'Futures Data'!$B$5:$B$3471,"&gt;"&amp;C186)</f>
        <v>45463</v>
      </c>
      <c r="G186" s="3" t="n">
        <f aca="false">SUMIFS('Futures Data'!$E$5:$E$3471,'Futures Data'!$A$5:$A$3471,A186,'Futures Data'!$B$5:$B$3471,F186)</f>
        <v>1925</v>
      </c>
      <c r="H186" s="9" t="b">
        <f aca="false">G186&gt;E186</f>
        <v>0</v>
      </c>
      <c r="I186" s="9" t="b">
        <f aca="false">C186&lt;&gt;B186</f>
        <v>0</v>
      </c>
      <c r="J186" s="3" t="n">
        <f aca="false">SUMIFS('Futures Data'!$C$5:$C$3471,'Futures Data'!$A$5:$A$3471,A186,'Futures Data'!$B$5:$B$3471,B186)</f>
        <v>5806</v>
      </c>
      <c r="K186" s="3" t="n">
        <f aca="false">SUMIFS('Futures Data'!$C$5:$C$3471,'Futures Data'!$A$5:$A$3471,A186,'Futures Data'!$B$5:$B$3471,C186)</f>
        <v>5806</v>
      </c>
      <c r="L186" s="3" t="n">
        <f aca="false">K186-J186</f>
        <v>0</v>
      </c>
      <c r="M186" s="3" t="n">
        <f aca="false">M187+L186</f>
        <v>1746</v>
      </c>
      <c r="N186" s="3" t="n">
        <f aca="false">J186+M186</f>
        <v>7552</v>
      </c>
      <c r="O186" s="13" t="n">
        <f aca="false">LN(J186/K185)</f>
        <v>-0.00412513475996291</v>
      </c>
      <c r="P186" s="13" t="n">
        <f aca="false">LN(N186/N185)</f>
        <v>-0.00317292704057761</v>
      </c>
      <c r="Q186" s="3" t="n">
        <f aca="false">SUMIFS('Futures Data'!$D$5:$D$3471,'Futures Data'!$A$5:$A$3471,A186,'Futures Data'!$B$5:$B$3471,B186)</f>
        <v>4780</v>
      </c>
      <c r="R186" s="7" t="n">
        <v>45432</v>
      </c>
      <c r="S186" s="9" t="b">
        <f aca="false">C186=R186</f>
        <v>1</v>
      </c>
      <c r="T186" s="9" t="b">
        <f aca="false">ABS(O186-LN(J186/SUMIFS('Futures Data'!$C$5:$C$3471,'Futures Data'!$A$5:$A$3471,A185,'Futures Data'!$B$5:$B$3471,B186)))&lt;0.000000001</f>
        <v>1</v>
      </c>
    </row>
    <row r="187" customFormat="false" ht="15" hidden="false" customHeight="false" outlineLevel="0" collapsed="false">
      <c r="A187" s="7" t="n">
        <v>45405</v>
      </c>
      <c r="B187" s="11" t="n">
        <f aca="false">C186</f>
        <v>45432</v>
      </c>
      <c r="C187" s="11" t="n">
        <f aca="false">IF(OR(H186,D187&lt;=$G$4),_xlfn.MINIFS('Futures Data'!$B$5:$B$3471,'Futures Data'!$A$5:$A$3471,A187,'Futures Data'!$B$5:$B$3471,"&gt;"&amp;B187),B187)</f>
        <v>45432</v>
      </c>
      <c r="D187" s="3" t="n">
        <f aca="false">COUNTIFS($A$47:$A$790,"&gt;"&amp;A187,$A$47:$A$790,"&lt;="&amp;B187)+IF(B187&gt;$G$5,NETWORKDAYS($G$5+1,B187),0)</f>
        <v>17</v>
      </c>
      <c r="E187" s="3" t="n">
        <f aca="false">SUMIFS('Futures Data'!$E$5:$E$3471,'Futures Data'!$A$5:$A$3471,A187,'Futures Data'!$B$5:$B$3471,C187)</f>
        <v>22465</v>
      </c>
      <c r="F187" s="11" t="n">
        <f aca="false">_xlfn.MINIFS('Futures Data'!$B$5:$B$3471,'Futures Data'!$A$5:$A$3471,A187,'Futures Data'!$B$5:$B$3471,"&gt;"&amp;C187)</f>
        <v>45463</v>
      </c>
      <c r="G187" s="3" t="n">
        <f aca="false">SUMIFS('Futures Data'!$E$5:$E$3471,'Futures Data'!$A$5:$A$3471,A187,'Futures Data'!$B$5:$B$3471,F187)</f>
        <v>2690</v>
      </c>
      <c r="H187" s="9" t="b">
        <f aca="false">G187&gt;E187</f>
        <v>0</v>
      </c>
      <c r="I187" s="9" t="b">
        <f aca="false">C187&lt;&gt;B187</f>
        <v>0</v>
      </c>
      <c r="J187" s="3" t="n">
        <f aca="false">SUMIFS('Futures Data'!$C$5:$C$3471,'Futures Data'!$A$5:$A$3471,A187,'Futures Data'!$B$5:$B$3471,B187)</f>
        <v>5810</v>
      </c>
      <c r="K187" s="3" t="n">
        <f aca="false">SUMIFS('Futures Data'!$C$5:$C$3471,'Futures Data'!$A$5:$A$3471,A187,'Futures Data'!$B$5:$B$3471,C187)</f>
        <v>5810</v>
      </c>
      <c r="L187" s="3" t="n">
        <f aca="false">K187-J187</f>
        <v>0</v>
      </c>
      <c r="M187" s="3" t="n">
        <f aca="false">M188+L187</f>
        <v>1746</v>
      </c>
      <c r="N187" s="3" t="n">
        <f aca="false">J187+M187</f>
        <v>7556</v>
      </c>
      <c r="O187" s="13" t="n">
        <f aca="false">LN(J187/K186)</f>
        <v>0.000688705261381654</v>
      </c>
      <c r="P187" s="13" t="n">
        <f aca="false">LN(N187/N186)</f>
        <v>0.000529520796063581</v>
      </c>
      <c r="Q187" s="3" t="n">
        <f aca="false">SUMIFS('Futures Data'!$D$5:$D$3471,'Futures Data'!$A$5:$A$3471,A187,'Futures Data'!$B$5:$B$3471,B187)</f>
        <v>5970</v>
      </c>
      <c r="R187" s="7" t="n">
        <v>45432</v>
      </c>
      <c r="S187" s="9" t="b">
        <f aca="false">C187=R187</f>
        <v>1</v>
      </c>
      <c r="T187" s="9" t="b">
        <f aca="false">ABS(O187-LN(J187/SUMIFS('Futures Data'!$C$5:$C$3471,'Futures Data'!$A$5:$A$3471,A186,'Futures Data'!$B$5:$B$3471,B187)))&lt;0.000000001</f>
        <v>1</v>
      </c>
    </row>
    <row r="188" customFormat="false" ht="15" hidden="false" customHeight="false" outlineLevel="0" collapsed="false">
      <c r="A188" s="7" t="n">
        <v>45406</v>
      </c>
      <c r="B188" s="11" t="n">
        <f aca="false">C187</f>
        <v>45432</v>
      </c>
      <c r="C188" s="11" t="n">
        <f aca="false">IF(OR(H187,D188&lt;=$G$4),_xlfn.MINIFS('Futures Data'!$B$5:$B$3471,'Futures Data'!$A$5:$A$3471,A188,'Futures Data'!$B$5:$B$3471,"&gt;"&amp;B188),B188)</f>
        <v>45432</v>
      </c>
      <c r="D188" s="3" t="n">
        <f aca="false">COUNTIFS($A$47:$A$790,"&gt;"&amp;A188,$A$47:$A$790,"&lt;="&amp;B188)+IF(B188&gt;$G$5,NETWORKDAYS($G$5+1,B188),0)</f>
        <v>16</v>
      </c>
      <c r="E188" s="3" t="n">
        <f aca="false">SUMIFS('Futures Data'!$E$5:$E$3471,'Futures Data'!$A$5:$A$3471,A188,'Futures Data'!$B$5:$B$3471,C188)</f>
        <v>22795</v>
      </c>
      <c r="F188" s="11" t="n">
        <f aca="false">_xlfn.MINIFS('Futures Data'!$B$5:$B$3471,'Futures Data'!$A$5:$A$3471,A188,'Futures Data'!$B$5:$B$3471,"&gt;"&amp;C188)</f>
        <v>45463</v>
      </c>
      <c r="G188" s="3" t="n">
        <f aca="false">SUMIFS('Futures Data'!$E$5:$E$3471,'Futures Data'!$A$5:$A$3471,A188,'Futures Data'!$B$5:$B$3471,F188)</f>
        <v>3815</v>
      </c>
      <c r="H188" s="9" t="b">
        <f aca="false">G188&gt;E188</f>
        <v>0</v>
      </c>
      <c r="I188" s="9" t="b">
        <f aca="false">C188&lt;&gt;B188</f>
        <v>0</v>
      </c>
      <c r="J188" s="3" t="n">
        <f aca="false">SUMIFS('Futures Data'!$C$5:$C$3471,'Futures Data'!$A$5:$A$3471,A188,'Futures Data'!$B$5:$B$3471,B188)</f>
        <v>5780</v>
      </c>
      <c r="K188" s="3" t="n">
        <f aca="false">SUMIFS('Futures Data'!$C$5:$C$3471,'Futures Data'!$A$5:$A$3471,A188,'Futures Data'!$B$5:$B$3471,C188)</f>
        <v>5780</v>
      </c>
      <c r="L188" s="3" t="n">
        <f aca="false">K188-J188</f>
        <v>0</v>
      </c>
      <c r="M188" s="3" t="n">
        <f aca="false">M189+L188</f>
        <v>1746</v>
      </c>
      <c r="N188" s="3" t="n">
        <f aca="false">J188+M188</f>
        <v>7526</v>
      </c>
      <c r="O188" s="13" t="n">
        <f aca="false">LN(J188/K187)</f>
        <v>-0.00517688817953379</v>
      </c>
      <c r="P188" s="13" t="n">
        <f aca="false">LN(N188/N187)</f>
        <v>-0.00397825746801757</v>
      </c>
      <c r="Q188" s="3" t="n">
        <f aca="false">SUMIFS('Futures Data'!$D$5:$D$3471,'Futures Data'!$A$5:$A$3471,A188,'Futures Data'!$B$5:$B$3471,B188)</f>
        <v>4115</v>
      </c>
      <c r="R188" s="7" t="n">
        <v>45432</v>
      </c>
      <c r="S188" s="9" t="b">
        <f aca="false">C188=R188</f>
        <v>1</v>
      </c>
      <c r="T188" s="9" t="b">
        <f aca="false">ABS(O188-LN(J188/SUMIFS('Futures Data'!$C$5:$C$3471,'Futures Data'!$A$5:$A$3471,A187,'Futures Data'!$B$5:$B$3471,B188)))&lt;0.000000001</f>
        <v>1</v>
      </c>
    </row>
    <row r="189" customFormat="false" ht="15" hidden="false" customHeight="false" outlineLevel="0" collapsed="false">
      <c r="A189" s="7" t="n">
        <v>45407</v>
      </c>
      <c r="B189" s="11" t="n">
        <f aca="false">C188</f>
        <v>45432</v>
      </c>
      <c r="C189" s="11" t="n">
        <f aca="false">IF(OR(H188,D189&lt;=$G$4),_xlfn.MINIFS('Futures Data'!$B$5:$B$3471,'Futures Data'!$A$5:$A$3471,A189,'Futures Data'!$B$5:$B$3471,"&gt;"&amp;B189),B189)</f>
        <v>45432</v>
      </c>
      <c r="D189" s="3" t="n">
        <f aca="false">COUNTIFS($A$47:$A$790,"&gt;"&amp;A189,$A$47:$A$790,"&lt;="&amp;B189)+IF(B189&gt;$G$5,NETWORKDAYS($G$5+1,B189),0)</f>
        <v>15</v>
      </c>
      <c r="E189" s="3" t="n">
        <f aca="false">SUMIFS('Futures Data'!$E$5:$E$3471,'Futures Data'!$A$5:$A$3471,A189,'Futures Data'!$B$5:$B$3471,C189)</f>
        <v>21505</v>
      </c>
      <c r="F189" s="11" t="n">
        <f aca="false">_xlfn.MINIFS('Futures Data'!$B$5:$B$3471,'Futures Data'!$A$5:$A$3471,A189,'Futures Data'!$B$5:$B$3471,"&gt;"&amp;C189)</f>
        <v>45463</v>
      </c>
      <c r="G189" s="3" t="n">
        <f aca="false">SUMIFS('Futures Data'!$E$5:$E$3471,'Futures Data'!$A$5:$A$3471,A189,'Futures Data'!$B$5:$B$3471,F189)</f>
        <v>5110</v>
      </c>
      <c r="H189" s="9" t="b">
        <f aca="false">G189&gt;E189</f>
        <v>0</v>
      </c>
      <c r="I189" s="9" t="b">
        <f aca="false">C189&lt;&gt;B189</f>
        <v>0</v>
      </c>
      <c r="J189" s="3" t="n">
        <f aca="false">SUMIFS('Futures Data'!$C$5:$C$3471,'Futures Data'!$A$5:$A$3471,A189,'Futures Data'!$B$5:$B$3471,B189)</f>
        <v>5787</v>
      </c>
      <c r="K189" s="3" t="n">
        <f aca="false">SUMIFS('Futures Data'!$C$5:$C$3471,'Futures Data'!$A$5:$A$3471,A189,'Futures Data'!$B$5:$B$3471,C189)</f>
        <v>5787</v>
      </c>
      <c r="L189" s="3" t="n">
        <f aca="false">K189-J189</f>
        <v>0</v>
      </c>
      <c r="M189" s="3" t="n">
        <f aca="false">M190+L189</f>
        <v>1746</v>
      </c>
      <c r="N189" s="3" t="n">
        <f aca="false">J189+M189</f>
        <v>7533</v>
      </c>
      <c r="O189" s="13" t="n">
        <f aca="false">LN(J189/K188)</f>
        <v>0.00121033990741569</v>
      </c>
      <c r="P189" s="13" t="n">
        <f aca="false">LN(N189/N188)</f>
        <v>0.000929676672312246</v>
      </c>
      <c r="Q189" s="3" t="n">
        <f aca="false">SUMIFS('Futures Data'!$D$5:$D$3471,'Futures Data'!$A$5:$A$3471,A189,'Futures Data'!$B$5:$B$3471,B189)</f>
        <v>5810</v>
      </c>
      <c r="R189" s="7" t="n">
        <v>45432</v>
      </c>
      <c r="S189" s="9" t="b">
        <f aca="false">C189=R189</f>
        <v>1</v>
      </c>
      <c r="T189" s="9" t="b">
        <f aca="false">ABS(O189-LN(J189/SUMIFS('Futures Data'!$C$5:$C$3471,'Futures Data'!$A$5:$A$3471,A188,'Futures Data'!$B$5:$B$3471,B189)))&lt;0.000000001</f>
        <v>1</v>
      </c>
    </row>
    <row r="190" customFormat="false" ht="15" hidden="false" customHeight="false" outlineLevel="0" collapsed="false">
      <c r="A190" s="7" t="n">
        <v>45408</v>
      </c>
      <c r="B190" s="11" t="n">
        <f aca="false">C189</f>
        <v>45432</v>
      </c>
      <c r="C190" s="11" t="n">
        <f aca="false">IF(OR(H189,D190&lt;=$G$4),_xlfn.MINIFS('Futures Data'!$B$5:$B$3471,'Futures Data'!$A$5:$A$3471,A190,'Futures Data'!$B$5:$B$3471,"&gt;"&amp;B190),B190)</f>
        <v>45432</v>
      </c>
      <c r="D190" s="3" t="n">
        <f aca="false">COUNTIFS($A$47:$A$790,"&gt;"&amp;A190,$A$47:$A$790,"&lt;="&amp;B190)+IF(B190&gt;$G$5,NETWORKDAYS($G$5+1,B190),0)</f>
        <v>14</v>
      </c>
      <c r="E190" s="3" t="n">
        <f aca="false">SUMIFS('Futures Data'!$E$5:$E$3471,'Futures Data'!$A$5:$A$3471,A190,'Futures Data'!$B$5:$B$3471,C190)</f>
        <v>20705</v>
      </c>
      <c r="F190" s="11" t="n">
        <f aca="false">_xlfn.MINIFS('Futures Data'!$B$5:$B$3471,'Futures Data'!$A$5:$A$3471,A190,'Futures Data'!$B$5:$B$3471,"&gt;"&amp;C190)</f>
        <v>45463</v>
      </c>
      <c r="G190" s="3" t="n">
        <f aca="false">SUMIFS('Futures Data'!$E$5:$E$3471,'Futures Data'!$A$5:$A$3471,A190,'Futures Data'!$B$5:$B$3471,F190)</f>
        <v>6030</v>
      </c>
      <c r="H190" s="9" t="b">
        <f aca="false">G190&gt;E190</f>
        <v>0</v>
      </c>
      <c r="I190" s="9" t="b">
        <f aca="false">C190&lt;&gt;B190</f>
        <v>0</v>
      </c>
      <c r="J190" s="3" t="n">
        <f aca="false">SUMIFS('Futures Data'!$C$5:$C$3471,'Futures Data'!$A$5:$A$3471,A190,'Futures Data'!$B$5:$B$3471,B190)</f>
        <v>5754</v>
      </c>
      <c r="K190" s="3" t="n">
        <f aca="false">SUMIFS('Futures Data'!$C$5:$C$3471,'Futures Data'!$A$5:$A$3471,A190,'Futures Data'!$B$5:$B$3471,C190)</f>
        <v>5754</v>
      </c>
      <c r="L190" s="3" t="n">
        <f aca="false">K190-J190</f>
        <v>0</v>
      </c>
      <c r="M190" s="3" t="n">
        <f aca="false">M191+L190</f>
        <v>1746</v>
      </c>
      <c r="N190" s="3" t="n">
        <f aca="false">J190+M190</f>
        <v>7500</v>
      </c>
      <c r="O190" s="13" t="n">
        <f aca="false">LN(J190/K189)</f>
        <v>-0.00571875746234552</v>
      </c>
      <c r="P190" s="13" t="n">
        <f aca="false">LN(N190/N189)</f>
        <v>-0.00439034830129285</v>
      </c>
      <c r="Q190" s="3" t="n">
        <f aca="false">SUMIFS('Futures Data'!$D$5:$D$3471,'Futures Data'!$A$5:$A$3471,A190,'Futures Data'!$B$5:$B$3471,B190)</f>
        <v>4095</v>
      </c>
      <c r="R190" s="7" t="n">
        <v>45432</v>
      </c>
      <c r="S190" s="9" t="b">
        <f aca="false">C190=R190</f>
        <v>1</v>
      </c>
      <c r="T190" s="9" t="b">
        <f aca="false">ABS(O190-LN(J190/SUMIFS('Futures Data'!$C$5:$C$3471,'Futures Data'!$A$5:$A$3471,A189,'Futures Data'!$B$5:$B$3471,B190)))&lt;0.000000001</f>
        <v>1</v>
      </c>
    </row>
    <row r="191" customFormat="false" ht="15" hidden="false" customHeight="false" outlineLevel="0" collapsed="false">
      <c r="A191" s="7" t="n">
        <v>45411</v>
      </c>
      <c r="B191" s="11" t="n">
        <f aca="false">C190</f>
        <v>45432</v>
      </c>
      <c r="C191" s="11" t="n">
        <f aca="false">IF(OR(H190,D191&lt;=$G$4),_xlfn.MINIFS('Futures Data'!$B$5:$B$3471,'Futures Data'!$A$5:$A$3471,A191,'Futures Data'!$B$5:$B$3471,"&gt;"&amp;B191),B191)</f>
        <v>45432</v>
      </c>
      <c r="D191" s="3" t="n">
        <f aca="false">COUNTIFS($A$47:$A$790,"&gt;"&amp;A191,$A$47:$A$790,"&lt;="&amp;B191)+IF(B191&gt;$G$5,NETWORKDAYS($G$5+1,B191),0)</f>
        <v>13</v>
      </c>
      <c r="E191" s="3" t="n">
        <f aca="false">SUMIFS('Futures Data'!$E$5:$E$3471,'Futures Data'!$A$5:$A$3471,A191,'Futures Data'!$B$5:$B$3471,C191)</f>
        <v>18670</v>
      </c>
      <c r="F191" s="11" t="n">
        <f aca="false">_xlfn.MINIFS('Futures Data'!$B$5:$B$3471,'Futures Data'!$A$5:$A$3471,A191,'Futures Data'!$B$5:$B$3471,"&gt;"&amp;C191)</f>
        <v>45463</v>
      </c>
      <c r="G191" s="3" t="n">
        <f aca="false">SUMIFS('Futures Data'!$E$5:$E$3471,'Futures Data'!$A$5:$A$3471,A191,'Futures Data'!$B$5:$B$3471,F191)</f>
        <v>7935</v>
      </c>
      <c r="H191" s="9" t="b">
        <f aca="false">G191&gt;E191</f>
        <v>0</v>
      </c>
      <c r="I191" s="9" t="b">
        <f aca="false">C191&lt;&gt;B191</f>
        <v>0</v>
      </c>
      <c r="J191" s="3" t="n">
        <f aca="false">SUMIFS('Futures Data'!$C$5:$C$3471,'Futures Data'!$A$5:$A$3471,A191,'Futures Data'!$B$5:$B$3471,B191)</f>
        <v>5707</v>
      </c>
      <c r="K191" s="3" t="n">
        <f aca="false">SUMIFS('Futures Data'!$C$5:$C$3471,'Futures Data'!$A$5:$A$3471,A191,'Futures Data'!$B$5:$B$3471,C191)</f>
        <v>5707</v>
      </c>
      <c r="L191" s="3" t="n">
        <f aca="false">K191-J191</f>
        <v>0</v>
      </c>
      <c r="M191" s="3" t="n">
        <f aca="false">M192+L191</f>
        <v>1746</v>
      </c>
      <c r="N191" s="3" t="n">
        <f aca="false">J191+M191</f>
        <v>7453</v>
      </c>
      <c r="O191" s="13" t="n">
        <f aca="false">LN(J191/K190)</f>
        <v>-0.00820177357478518</v>
      </c>
      <c r="P191" s="13" t="n">
        <f aca="false">LN(N191/N190)</f>
        <v>-0.00628638464270796</v>
      </c>
      <c r="Q191" s="3" t="n">
        <f aca="false">SUMIFS('Futures Data'!$D$5:$D$3471,'Futures Data'!$A$5:$A$3471,A191,'Futures Data'!$B$5:$B$3471,B191)</f>
        <v>6290</v>
      </c>
      <c r="R191" s="7" t="n">
        <v>45432</v>
      </c>
      <c r="S191" s="9" t="b">
        <f aca="false">C191=R191</f>
        <v>1</v>
      </c>
      <c r="T191" s="9" t="b">
        <f aca="false">ABS(O191-LN(J191/SUMIFS('Futures Data'!$C$5:$C$3471,'Futures Data'!$A$5:$A$3471,A190,'Futures Data'!$B$5:$B$3471,B191)))&lt;0.000000001</f>
        <v>1</v>
      </c>
    </row>
    <row r="192" customFormat="false" ht="15" hidden="false" customHeight="false" outlineLevel="0" collapsed="false">
      <c r="A192" s="7" t="n">
        <v>45412</v>
      </c>
      <c r="B192" s="11" t="n">
        <f aca="false">C191</f>
        <v>45432</v>
      </c>
      <c r="C192" s="11" t="n">
        <f aca="false">IF(OR(H191,D192&lt;=$G$4),_xlfn.MINIFS('Futures Data'!$B$5:$B$3471,'Futures Data'!$A$5:$A$3471,A192,'Futures Data'!$B$5:$B$3471,"&gt;"&amp;B192),B192)</f>
        <v>45432</v>
      </c>
      <c r="D192" s="3" t="n">
        <f aca="false">COUNTIFS($A$47:$A$790,"&gt;"&amp;A192,$A$47:$A$790,"&lt;="&amp;B192)+IF(B192&gt;$G$5,NETWORKDAYS($G$5+1,B192),0)</f>
        <v>12</v>
      </c>
      <c r="E192" s="3" t="n">
        <f aca="false">SUMIFS('Futures Data'!$E$5:$E$3471,'Futures Data'!$A$5:$A$3471,A192,'Futures Data'!$B$5:$B$3471,C192)</f>
        <v>16330</v>
      </c>
      <c r="F192" s="11" t="n">
        <f aca="false">_xlfn.MINIFS('Futures Data'!$B$5:$B$3471,'Futures Data'!$A$5:$A$3471,A192,'Futures Data'!$B$5:$B$3471,"&gt;"&amp;C192)</f>
        <v>45463</v>
      </c>
      <c r="G192" s="3" t="n">
        <f aca="false">SUMIFS('Futures Data'!$E$5:$E$3471,'Futures Data'!$A$5:$A$3471,A192,'Futures Data'!$B$5:$B$3471,F192)</f>
        <v>10275</v>
      </c>
      <c r="H192" s="9" t="b">
        <f aca="false">G192&gt;E192</f>
        <v>0</v>
      </c>
      <c r="I192" s="9" t="b">
        <f aca="false">C192&lt;&gt;B192</f>
        <v>0</v>
      </c>
      <c r="J192" s="3" t="n">
        <f aca="false">SUMIFS('Futures Data'!$C$5:$C$3471,'Futures Data'!$A$5:$A$3471,A192,'Futures Data'!$B$5:$B$3471,B192)</f>
        <v>5650</v>
      </c>
      <c r="K192" s="3" t="n">
        <f aca="false">SUMIFS('Futures Data'!$C$5:$C$3471,'Futures Data'!$A$5:$A$3471,A192,'Futures Data'!$B$5:$B$3471,C192)</f>
        <v>5650</v>
      </c>
      <c r="L192" s="3" t="n">
        <f aca="false">K192-J192</f>
        <v>0</v>
      </c>
      <c r="M192" s="3" t="n">
        <f aca="false">M193+L192</f>
        <v>1746</v>
      </c>
      <c r="N192" s="3" t="n">
        <f aca="false">J192+M192</f>
        <v>7396</v>
      </c>
      <c r="O192" s="13" t="n">
        <f aca="false">LN(J192/K191)</f>
        <v>-0.0100379463962214</v>
      </c>
      <c r="P192" s="13" t="n">
        <f aca="false">LN(N192/N191)</f>
        <v>-0.00767732237467832</v>
      </c>
      <c r="Q192" s="3" t="n">
        <f aca="false">SUMIFS('Futures Data'!$D$5:$D$3471,'Futures Data'!$A$5:$A$3471,A192,'Futures Data'!$B$5:$B$3471,B192)</f>
        <v>6180</v>
      </c>
      <c r="R192" s="7" t="n">
        <v>45432</v>
      </c>
      <c r="S192" s="9" t="b">
        <f aca="false">C192=R192</f>
        <v>1</v>
      </c>
      <c r="T192" s="9" t="b">
        <f aca="false">ABS(O192-LN(J192/SUMIFS('Futures Data'!$C$5:$C$3471,'Futures Data'!$A$5:$A$3471,A191,'Futures Data'!$B$5:$B$3471,B192)))&lt;0.000000001</f>
        <v>1</v>
      </c>
    </row>
    <row r="193" customFormat="false" ht="15" hidden="false" customHeight="false" outlineLevel="0" collapsed="false">
      <c r="A193" s="7" t="n">
        <v>45414</v>
      </c>
      <c r="B193" s="11" t="n">
        <f aca="false">C192</f>
        <v>45432</v>
      </c>
      <c r="C193" s="11" t="n">
        <f aca="false">IF(OR(H192,D193&lt;=$G$4),_xlfn.MINIFS('Futures Data'!$B$5:$B$3471,'Futures Data'!$A$5:$A$3471,A193,'Futures Data'!$B$5:$B$3471,"&gt;"&amp;B193),B193)</f>
        <v>45432</v>
      </c>
      <c r="D193" s="3" t="n">
        <f aca="false">COUNTIFS($A$47:$A$790,"&gt;"&amp;A193,$A$47:$A$790,"&lt;="&amp;B193)+IF(B193&gt;$G$5,NETWORKDAYS($G$5+1,B193),0)</f>
        <v>11</v>
      </c>
      <c r="E193" s="3" t="n">
        <f aca="false">SUMIFS('Futures Data'!$E$5:$E$3471,'Futures Data'!$A$5:$A$3471,A193,'Futures Data'!$B$5:$B$3471,C193)</f>
        <v>15765</v>
      </c>
      <c r="F193" s="11" t="n">
        <f aca="false">_xlfn.MINIFS('Futures Data'!$B$5:$B$3471,'Futures Data'!$A$5:$A$3471,A193,'Futures Data'!$B$5:$B$3471,"&gt;"&amp;C193)</f>
        <v>45463</v>
      </c>
      <c r="G193" s="3" t="n">
        <f aca="false">SUMIFS('Futures Data'!$E$5:$E$3471,'Futures Data'!$A$5:$A$3471,A193,'Futures Data'!$B$5:$B$3471,F193)</f>
        <v>12805</v>
      </c>
      <c r="H193" s="9" t="b">
        <f aca="false">G193&gt;E193</f>
        <v>0</v>
      </c>
      <c r="I193" s="9" t="b">
        <f aca="false">C193&lt;&gt;B193</f>
        <v>0</v>
      </c>
      <c r="J193" s="3" t="n">
        <f aca="false">SUMIFS('Futures Data'!$C$5:$C$3471,'Futures Data'!$A$5:$A$3471,A193,'Futures Data'!$B$5:$B$3471,B193)</f>
        <v>5657</v>
      </c>
      <c r="K193" s="3" t="n">
        <f aca="false">SUMIFS('Futures Data'!$C$5:$C$3471,'Futures Data'!$A$5:$A$3471,A193,'Futures Data'!$B$5:$B$3471,C193)</f>
        <v>5657</v>
      </c>
      <c r="L193" s="3" t="n">
        <f aca="false">K193-J193</f>
        <v>0</v>
      </c>
      <c r="M193" s="3" t="n">
        <f aca="false">M194+L193</f>
        <v>1746</v>
      </c>
      <c r="N193" s="3" t="n">
        <f aca="false">J193+M193</f>
        <v>7403</v>
      </c>
      <c r="O193" s="13" t="n">
        <f aca="false">LN(J193/K192)</f>
        <v>0.001238171202669</v>
      </c>
      <c r="P193" s="13" t="n">
        <f aca="false">LN(N193/N192)</f>
        <v>0.000946009936082921</v>
      </c>
      <c r="Q193" s="3" t="n">
        <f aca="false">SUMIFS('Futures Data'!$D$5:$D$3471,'Futures Data'!$A$5:$A$3471,A193,'Futures Data'!$B$5:$B$3471,B193)</f>
        <v>8495</v>
      </c>
      <c r="R193" s="7" t="n">
        <v>45432</v>
      </c>
      <c r="S193" s="9" t="b">
        <f aca="false">C193=R193</f>
        <v>1</v>
      </c>
      <c r="T193" s="9" t="b">
        <f aca="false">ABS(O193-LN(J193/SUMIFS('Futures Data'!$C$5:$C$3471,'Futures Data'!$A$5:$A$3471,A192,'Futures Data'!$B$5:$B$3471,B193)))&lt;0.000000001</f>
        <v>1</v>
      </c>
    </row>
    <row r="194" customFormat="false" ht="15" hidden="false" customHeight="false" outlineLevel="0" collapsed="false">
      <c r="A194" s="7" t="n">
        <v>45415</v>
      </c>
      <c r="B194" s="11" t="n">
        <f aca="false">C193</f>
        <v>45432</v>
      </c>
      <c r="C194" s="11" t="n">
        <f aca="false">IF(OR(H193,D194&lt;=$G$4),_xlfn.MINIFS('Futures Data'!$B$5:$B$3471,'Futures Data'!$A$5:$A$3471,A194,'Futures Data'!$B$5:$B$3471,"&gt;"&amp;B194),B194)</f>
        <v>45432</v>
      </c>
      <c r="D194" s="3" t="n">
        <f aca="false">COUNTIFS($A$47:$A$790,"&gt;"&amp;A194,$A$47:$A$790,"&lt;="&amp;B194)+IF(B194&gt;$G$5,NETWORKDAYS($G$5+1,B194),0)</f>
        <v>10</v>
      </c>
      <c r="E194" s="3" t="n">
        <f aca="false">SUMIFS('Futures Data'!$E$5:$E$3471,'Futures Data'!$A$5:$A$3471,A194,'Futures Data'!$B$5:$B$3471,C194)</f>
        <v>13380</v>
      </c>
      <c r="F194" s="11" t="n">
        <f aca="false">_xlfn.MINIFS('Futures Data'!$B$5:$B$3471,'Futures Data'!$A$5:$A$3471,A194,'Futures Data'!$B$5:$B$3471,"&gt;"&amp;C194)</f>
        <v>45463</v>
      </c>
      <c r="G194" s="3" t="n">
        <f aca="false">SUMIFS('Futures Data'!$E$5:$E$3471,'Futures Data'!$A$5:$A$3471,A194,'Futures Data'!$B$5:$B$3471,F194)</f>
        <v>15675</v>
      </c>
      <c r="H194" s="9" t="b">
        <f aca="false">G194&gt;E194</f>
        <v>1</v>
      </c>
      <c r="I194" s="9" t="b">
        <f aca="false">C194&lt;&gt;B194</f>
        <v>0</v>
      </c>
      <c r="J194" s="3" t="n">
        <f aca="false">SUMIFS('Futures Data'!$C$5:$C$3471,'Futures Data'!$A$5:$A$3471,A194,'Futures Data'!$B$5:$B$3471,B194)</f>
        <v>5641</v>
      </c>
      <c r="K194" s="3" t="n">
        <f aca="false">SUMIFS('Futures Data'!$C$5:$C$3471,'Futures Data'!$A$5:$A$3471,A194,'Futures Data'!$B$5:$B$3471,C194)</f>
        <v>5641</v>
      </c>
      <c r="L194" s="3" t="n">
        <f aca="false">K194-J194</f>
        <v>0</v>
      </c>
      <c r="M194" s="3" t="n">
        <f aca="false">M195+L194</f>
        <v>1746</v>
      </c>
      <c r="N194" s="3" t="n">
        <f aca="false">J194+M194</f>
        <v>7387</v>
      </c>
      <c r="O194" s="13" t="n">
        <f aca="false">LN(J194/K193)</f>
        <v>-0.00283236160317958</v>
      </c>
      <c r="P194" s="13" t="n">
        <f aca="false">LN(N194/N193)</f>
        <v>-0.00216362491436063</v>
      </c>
      <c r="Q194" s="3" t="n">
        <f aca="false">SUMIFS('Futures Data'!$D$5:$D$3471,'Futures Data'!$A$5:$A$3471,A194,'Futures Data'!$B$5:$B$3471,B194)</f>
        <v>4635</v>
      </c>
      <c r="R194" s="7" t="n">
        <v>45432</v>
      </c>
      <c r="S194" s="9" t="b">
        <f aca="false">C194=R194</f>
        <v>1</v>
      </c>
      <c r="T194" s="9" t="b">
        <f aca="false">ABS(O194-LN(J194/SUMIFS('Futures Data'!$C$5:$C$3471,'Futures Data'!$A$5:$A$3471,A193,'Futures Data'!$B$5:$B$3471,B194)))&lt;0.000000001</f>
        <v>1</v>
      </c>
    </row>
    <row r="195" customFormat="false" ht="15" hidden="false" customHeight="false" outlineLevel="0" collapsed="false">
      <c r="A195" s="7" t="n">
        <v>45418</v>
      </c>
      <c r="B195" s="11" t="n">
        <f aca="false">C194</f>
        <v>45432</v>
      </c>
      <c r="C195" s="11" t="n">
        <f aca="false">IF(OR(H194,D195&lt;=$G$4),_xlfn.MINIFS('Futures Data'!$B$5:$B$3471,'Futures Data'!$A$5:$A$3471,A195,'Futures Data'!$B$5:$B$3471,"&gt;"&amp;B195),B195)</f>
        <v>45463</v>
      </c>
      <c r="D195" s="3" t="n">
        <f aca="false">COUNTIFS($A$47:$A$790,"&gt;"&amp;A195,$A$47:$A$790,"&lt;="&amp;B195)+IF(B195&gt;$G$5,NETWORKDAYS($G$5+1,B195),0)</f>
        <v>9</v>
      </c>
      <c r="E195" s="3" t="n">
        <f aca="false">SUMIFS('Futures Data'!$E$5:$E$3471,'Futures Data'!$A$5:$A$3471,A195,'Futures Data'!$B$5:$B$3471,C195)</f>
        <v>19350</v>
      </c>
      <c r="F195" s="11" t="n">
        <f aca="false">_xlfn.MINIFS('Futures Data'!$B$5:$B$3471,'Futures Data'!$A$5:$A$3471,A195,'Futures Data'!$B$5:$B$3471,"&gt;"&amp;C195)</f>
        <v>45492</v>
      </c>
      <c r="G195" s="3" t="n">
        <f aca="false">SUMIFS('Futures Data'!$E$5:$E$3471,'Futures Data'!$A$5:$A$3471,A195,'Futures Data'!$B$5:$B$3471,F195)</f>
        <v>5</v>
      </c>
      <c r="H195" s="9" t="b">
        <f aca="false">G195&gt;E195</f>
        <v>0</v>
      </c>
      <c r="I195" s="9" t="b">
        <f aca="false">C195&lt;&gt;B195</f>
        <v>1</v>
      </c>
      <c r="J195" s="3" t="n">
        <f aca="false">SUMIFS('Futures Data'!$C$5:$C$3471,'Futures Data'!$A$5:$A$3471,A195,'Futures Data'!$B$5:$B$3471,B195)</f>
        <v>5590</v>
      </c>
      <c r="K195" s="3" t="n">
        <f aca="false">SUMIFS('Futures Data'!$C$5:$C$3471,'Futures Data'!$A$5:$A$3471,A195,'Futures Data'!$B$5:$B$3471,C195)</f>
        <v>5674</v>
      </c>
      <c r="L195" s="3" t="n">
        <f aca="false">K195-J195</f>
        <v>84</v>
      </c>
      <c r="M195" s="3" t="n">
        <f aca="false">M196+L195</f>
        <v>1746</v>
      </c>
      <c r="N195" s="3" t="n">
        <f aca="false">J195+M195</f>
        <v>7336</v>
      </c>
      <c r="O195" s="13" t="n">
        <f aca="false">LN(J195/K194)</f>
        <v>-0.00908206759083131</v>
      </c>
      <c r="P195" s="13" t="n">
        <f aca="false">LN(N195/N194)</f>
        <v>-0.00692796359243703</v>
      </c>
      <c r="Q195" s="3" t="n">
        <f aca="false">SUMIFS('Futures Data'!$D$5:$D$3471,'Futures Data'!$A$5:$A$3471,A195,'Futures Data'!$B$5:$B$3471,B195)</f>
        <v>5650</v>
      </c>
      <c r="R195" s="7" t="n">
        <v>45463</v>
      </c>
      <c r="S195" s="9" t="b">
        <f aca="false">C195=R195</f>
        <v>1</v>
      </c>
      <c r="T195" s="9" t="b">
        <f aca="false">ABS(O195-LN(J195/SUMIFS('Futures Data'!$C$5:$C$3471,'Futures Data'!$A$5:$A$3471,A194,'Futures Data'!$B$5:$B$3471,B195)))&lt;0.000000001</f>
        <v>1</v>
      </c>
    </row>
    <row r="196" customFormat="false" ht="15" hidden="false" customHeight="false" outlineLevel="0" collapsed="false">
      <c r="A196" s="7" t="n">
        <v>45419</v>
      </c>
      <c r="B196" s="11" t="n">
        <f aca="false">C195</f>
        <v>45463</v>
      </c>
      <c r="C196" s="11" t="n">
        <f aca="false">IF(OR(H195,D196&lt;=$G$4),_xlfn.MINIFS('Futures Data'!$B$5:$B$3471,'Futures Data'!$A$5:$A$3471,A196,'Futures Data'!$B$5:$B$3471,"&gt;"&amp;B196),B196)</f>
        <v>45463</v>
      </c>
      <c r="D196" s="3" t="n">
        <f aca="false">COUNTIFS($A$47:$A$790,"&gt;"&amp;A196,$A$47:$A$790,"&lt;="&amp;B196)+IF(B196&gt;$G$5,NETWORKDAYS($G$5+1,B196),0)</f>
        <v>30</v>
      </c>
      <c r="E196" s="3" t="n">
        <f aca="false">SUMIFS('Futures Data'!$E$5:$E$3471,'Futures Data'!$A$5:$A$3471,A196,'Futures Data'!$B$5:$B$3471,C196)</f>
        <v>20325</v>
      </c>
      <c r="F196" s="11" t="n">
        <f aca="false">_xlfn.MINIFS('Futures Data'!$B$5:$B$3471,'Futures Data'!$A$5:$A$3471,A196,'Futures Data'!$B$5:$B$3471,"&gt;"&amp;C196)</f>
        <v>45492</v>
      </c>
      <c r="G196" s="3" t="n">
        <f aca="false">SUMIFS('Futures Data'!$E$5:$E$3471,'Futures Data'!$A$5:$A$3471,A196,'Futures Data'!$B$5:$B$3471,F196)</f>
        <v>5</v>
      </c>
      <c r="H196" s="9" t="b">
        <f aca="false">G196&gt;E196</f>
        <v>0</v>
      </c>
      <c r="I196" s="9" t="b">
        <f aca="false">C196&lt;&gt;B196</f>
        <v>0</v>
      </c>
      <c r="J196" s="3" t="n">
        <f aca="false">SUMIFS('Futures Data'!$C$5:$C$3471,'Futures Data'!$A$5:$A$3471,A196,'Futures Data'!$B$5:$B$3471,B196)</f>
        <v>5622</v>
      </c>
      <c r="K196" s="3" t="n">
        <f aca="false">SUMIFS('Futures Data'!$C$5:$C$3471,'Futures Data'!$A$5:$A$3471,A196,'Futures Data'!$B$5:$B$3471,C196)</f>
        <v>5622</v>
      </c>
      <c r="L196" s="3" t="n">
        <f aca="false">K196-J196</f>
        <v>0</v>
      </c>
      <c r="M196" s="3" t="n">
        <f aca="false">M197+L196</f>
        <v>1662</v>
      </c>
      <c r="N196" s="3" t="n">
        <f aca="false">J196+M196</f>
        <v>7284</v>
      </c>
      <c r="O196" s="13" t="n">
        <f aca="false">LN(J196/K195)</f>
        <v>-0.00920686390231949</v>
      </c>
      <c r="P196" s="13" t="n">
        <f aca="false">LN(N196/N195)</f>
        <v>-0.00711357308880223</v>
      </c>
      <c r="Q196" s="3" t="n">
        <f aca="false">SUMIFS('Futures Data'!$D$5:$D$3471,'Futures Data'!$A$5:$A$3471,A196,'Futures Data'!$B$5:$B$3471,B196)</f>
        <v>2620</v>
      </c>
      <c r="R196" s="7" t="n">
        <v>45463</v>
      </c>
      <c r="S196" s="9" t="b">
        <f aca="false">C196=R196</f>
        <v>1</v>
      </c>
      <c r="T196" s="9" t="b">
        <f aca="false">ABS(O196-LN(J196/SUMIFS('Futures Data'!$C$5:$C$3471,'Futures Data'!$A$5:$A$3471,A195,'Futures Data'!$B$5:$B$3471,B196)))&lt;0.000000001</f>
        <v>1</v>
      </c>
    </row>
    <row r="197" customFormat="false" ht="15" hidden="false" customHeight="false" outlineLevel="0" collapsed="false">
      <c r="A197" s="7" t="n">
        <v>45420</v>
      </c>
      <c r="B197" s="11" t="n">
        <f aca="false">C196</f>
        <v>45463</v>
      </c>
      <c r="C197" s="11" t="n">
        <f aca="false">IF(OR(H196,D197&lt;=$G$4),_xlfn.MINIFS('Futures Data'!$B$5:$B$3471,'Futures Data'!$A$5:$A$3471,A197,'Futures Data'!$B$5:$B$3471,"&gt;"&amp;B197),B197)</f>
        <v>45463</v>
      </c>
      <c r="D197" s="3" t="n">
        <f aca="false">COUNTIFS($A$47:$A$790,"&gt;"&amp;A197,$A$47:$A$790,"&lt;="&amp;B197)+IF(B197&gt;$G$5,NETWORKDAYS($G$5+1,B197),0)</f>
        <v>29</v>
      </c>
      <c r="E197" s="3" t="n">
        <f aca="false">SUMIFS('Futures Data'!$E$5:$E$3471,'Futures Data'!$A$5:$A$3471,A197,'Futures Data'!$B$5:$B$3471,C197)</f>
        <v>22665</v>
      </c>
      <c r="F197" s="11" t="n">
        <f aca="false">_xlfn.MINIFS('Futures Data'!$B$5:$B$3471,'Futures Data'!$A$5:$A$3471,A197,'Futures Data'!$B$5:$B$3471,"&gt;"&amp;C197)</f>
        <v>45492</v>
      </c>
      <c r="G197" s="3" t="n">
        <f aca="false">SUMIFS('Futures Data'!$E$5:$E$3471,'Futures Data'!$A$5:$A$3471,A197,'Futures Data'!$B$5:$B$3471,F197)</f>
        <v>5</v>
      </c>
      <c r="H197" s="9" t="b">
        <f aca="false">G197&gt;E197</f>
        <v>0</v>
      </c>
      <c r="I197" s="9" t="b">
        <f aca="false">C197&lt;&gt;B197</f>
        <v>0</v>
      </c>
      <c r="J197" s="3" t="n">
        <f aca="false">SUMIFS('Futures Data'!$C$5:$C$3471,'Futures Data'!$A$5:$A$3471,A197,'Futures Data'!$B$5:$B$3471,B197)</f>
        <v>5666</v>
      </c>
      <c r="K197" s="3" t="n">
        <f aca="false">SUMIFS('Futures Data'!$C$5:$C$3471,'Futures Data'!$A$5:$A$3471,A197,'Futures Data'!$B$5:$B$3471,C197)</f>
        <v>5666</v>
      </c>
      <c r="L197" s="3" t="n">
        <f aca="false">K197-J197</f>
        <v>0</v>
      </c>
      <c r="M197" s="3" t="n">
        <f aca="false">M198+L197</f>
        <v>1662</v>
      </c>
      <c r="N197" s="3" t="n">
        <f aca="false">J197+M197</f>
        <v>7328</v>
      </c>
      <c r="O197" s="13" t="n">
        <f aca="false">LN(J197/K196)</f>
        <v>0.0077959289239846</v>
      </c>
      <c r="P197" s="13" t="n">
        <f aca="false">LN(N197/N196)</f>
        <v>0.00602246550646767</v>
      </c>
      <c r="Q197" s="3" t="n">
        <f aca="false">SUMIFS('Futures Data'!$D$5:$D$3471,'Futures Data'!$A$5:$A$3471,A197,'Futures Data'!$B$5:$B$3471,B197)</f>
        <v>5840</v>
      </c>
      <c r="R197" s="7" t="n">
        <v>45463</v>
      </c>
      <c r="S197" s="9" t="b">
        <f aca="false">C197=R197</f>
        <v>1</v>
      </c>
      <c r="T197" s="9" t="b">
        <f aca="false">ABS(O197-LN(J197/SUMIFS('Futures Data'!$C$5:$C$3471,'Futures Data'!$A$5:$A$3471,A196,'Futures Data'!$B$5:$B$3471,B197)))&lt;0.000000001</f>
        <v>1</v>
      </c>
    </row>
    <row r="198" customFormat="false" ht="15" hidden="false" customHeight="false" outlineLevel="0" collapsed="false">
      <c r="A198" s="7" t="n">
        <v>45421</v>
      </c>
      <c r="B198" s="11" t="n">
        <f aca="false">C197</f>
        <v>45463</v>
      </c>
      <c r="C198" s="11" t="n">
        <f aca="false">IF(OR(H197,D198&lt;=$G$4),_xlfn.MINIFS('Futures Data'!$B$5:$B$3471,'Futures Data'!$A$5:$A$3471,A198,'Futures Data'!$B$5:$B$3471,"&gt;"&amp;B198),B198)</f>
        <v>45463</v>
      </c>
      <c r="D198" s="3" t="n">
        <f aca="false">COUNTIFS($A$47:$A$790,"&gt;"&amp;A198,$A$47:$A$790,"&lt;="&amp;B198)+IF(B198&gt;$G$5,NETWORKDAYS($G$5+1,B198),0)</f>
        <v>28</v>
      </c>
      <c r="E198" s="3" t="n">
        <f aca="false">SUMIFS('Futures Data'!$E$5:$E$3471,'Futures Data'!$A$5:$A$3471,A198,'Futures Data'!$B$5:$B$3471,C198)</f>
        <v>24840</v>
      </c>
      <c r="F198" s="11" t="n">
        <f aca="false">_xlfn.MINIFS('Futures Data'!$B$5:$B$3471,'Futures Data'!$A$5:$A$3471,A198,'Futures Data'!$B$5:$B$3471,"&gt;"&amp;C198)</f>
        <v>45492</v>
      </c>
      <c r="G198" s="3" t="n">
        <f aca="false">SUMIFS('Futures Data'!$E$5:$E$3471,'Futures Data'!$A$5:$A$3471,A198,'Futures Data'!$B$5:$B$3471,F198)</f>
        <v>5</v>
      </c>
      <c r="H198" s="9" t="b">
        <f aca="false">G198&gt;E198</f>
        <v>0</v>
      </c>
      <c r="I198" s="9" t="b">
        <f aca="false">C198&lt;&gt;B198</f>
        <v>0</v>
      </c>
      <c r="J198" s="3" t="n">
        <f aca="false">SUMIFS('Futures Data'!$C$5:$C$3471,'Futures Data'!$A$5:$A$3471,A198,'Futures Data'!$B$5:$B$3471,B198)</f>
        <v>5652</v>
      </c>
      <c r="K198" s="3" t="n">
        <f aca="false">SUMIFS('Futures Data'!$C$5:$C$3471,'Futures Data'!$A$5:$A$3471,A198,'Futures Data'!$B$5:$B$3471,C198)</f>
        <v>5652</v>
      </c>
      <c r="L198" s="3" t="n">
        <f aca="false">K198-J198</f>
        <v>0</v>
      </c>
      <c r="M198" s="3" t="n">
        <f aca="false">M199+L198</f>
        <v>1662</v>
      </c>
      <c r="N198" s="3" t="n">
        <f aca="false">J198+M198</f>
        <v>7314</v>
      </c>
      <c r="O198" s="13" t="n">
        <f aca="false">LN(J198/K197)</f>
        <v>-0.00247393658604376</v>
      </c>
      <c r="P198" s="13" t="n">
        <f aca="false">LN(N198/N197)</f>
        <v>-0.00191230764463963</v>
      </c>
      <c r="Q198" s="3" t="n">
        <f aca="false">SUMIFS('Futures Data'!$D$5:$D$3471,'Futures Data'!$A$5:$A$3471,A198,'Futures Data'!$B$5:$B$3471,B198)</f>
        <v>5960</v>
      </c>
      <c r="R198" s="7" t="n">
        <v>45463</v>
      </c>
      <c r="S198" s="9" t="b">
        <f aca="false">C198=R198</f>
        <v>1</v>
      </c>
      <c r="T198" s="9" t="b">
        <f aca="false">ABS(O198-LN(J198/SUMIFS('Futures Data'!$C$5:$C$3471,'Futures Data'!$A$5:$A$3471,A197,'Futures Data'!$B$5:$B$3471,B198)))&lt;0.000000001</f>
        <v>1</v>
      </c>
    </row>
    <row r="199" customFormat="false" ht="15" hidden="false" customHeight="false" outlineLevel="0" collapsed="false">
      <c r="A199" s="7" t="n">
        <v>45422</v>
      </c>
      <c r="B199" s="11" t="n">
        <f aca="false">C198</f>
        <v>45463</v>
      </c>
      <c r="C199" s="11" t="n">
        <f aca="false">IF(OR(H198,D199&lt;=$G$4),_xlfn.MINIFS('Futures Data'!$B$5:$B$3471,'Futures Data'!$A$5:$A$3471,A199,'Futures Data'!$B$5:$B$3471,"&gt;"&amp;B199),B199)</f>
        <v>45463</v>
      </c>
      <c r="D199" s="3" t="n">
        <f aca="false">COUNTIFS($A$47:$A$790,"&gt;"&amp;A199,$A$47:$A$790,"&lt;="&amp;B199)+IF(B199&gt;$G$5,NETWORKDAYS($G$5+1,B199),0)</f>
        <v>27</v>
      </c>
      <c r="E199" s="3" t="n">
        <f aca="false">SUMIFS('Futures Data'!$E$5:$E$3471,'Futures Data'!$A$5:$A$3471,A199,'Futures Data'!$B$5:$B$3471,C199)</f>
        <v>27215</v>
      </c>
      <c r="F199" s="11" t="n">
        <f aca="false">_xlfn.MINIFS('Futures Data'!$B$5:$B$3471,'Futures Data'!$A$5:$A$3471,A199,'Futures Data'!$B$5:$B$3471,"&gt;"&amp;C199)</f>
        <v>45492</v>
      </c>
      <c r="G199" s="3" t="n">
        <f aca="false">SUMIFS('Futures Data'!$E$5:$E$3471,'Futures Data'!$A$5:$A$3471,A199,'Futures Data'!$B$5:$B$3471,F199)</f>
        <v>5</v>
      </c>
      <c r="H199" s="9" t="b">
        <f aca="false">G199&gt;E199</f>
        <v>0</v>
      </c>
      <c r="I199" s="9" t="b">
        <f aca="false">C199&lt;&gt;B199</f>
        <v>0</v>
      </c>
      <c r="J199" s="3" t="n">
        <f aca="false">SUMIFS('Futures Data'!$C$5:$C$3471,'Futures Data'!$A$5:$A$3471,A199,'Futures Data'!$B$5:$B$3471,B199)</f>
        <v>5634</v>
      </c>
      <c r="K199" s="3" t="n">
        <f aca="false">SUMIFS('Futures Data'!$C$5:$C$3471,'Futures Data'!$A$5:$A$3471,A199,'Futures Data'!$B$5:$B$3471,C199)</f>
        <v>5634</v>
      </c>
      <c r="L199" s="3" t="n">
        <f aca="false">K199-J199</f>
        <v>0</v>
      </c>
      <c r="M199" s="3" t="n">
        <f aca="false">M200+L199</f>
        <v>1662</v>
      </c>
      <c r="N199" s="3" t="n">
        <f aca="false">J199+M199</f>
        <v>7296</v>
      </c>
      <c r="O199" s="13" t="n">
        <f aca="false">LN(J199/K198)</f>
        <v>-0.00318979536810015</v>
      </c>
      <c r="P199" s="13" t="n">
        <f aca="false">LN(N199/N198)</f>
        <v>-0.00246406695515918</v>
      </c>
      <c r="Q199" s="3" t="n">
        <f aca="false">SUMIFS('Futures Data'!$D$5:$D$3471,'Futures Data'!$A$5:$A$3471,A199,'Futures Data'!$B$5:$B$3471,B199)</f>
        <v>7465</v>
      </c>
      <c r="R199" s="7" t="n">
        <v>45463</v>
      </c>
      <c r="S199" s="9" t="b">
        <f aca="false">C199=R199</f>
        <v>1</v>
      </c>
      <c r="T199" s="9" t="b">
        <f aca="false">ABS(O199-LN(J199/SUMIFS('Futures Data'!$C$5:$C$3471,'Futures Data'!$A$5:$A$3471,A198,'Futures Data'!$B$5:$B$3471,B199)))&lt;0.000000001</f>
        <v>1</v>
      </c>
    </row>
    <row r="200" customFormat="false" ht="15" hidden="false" customHeight="false" outlineLevel="0" collapsed="false">
      <c r="A200" s="7" t="n">
        <v>45425</v>
      </c>
      <c r="B200" s="11" t="n">
        <f aca="false">C199</f>
        <v>45463</v>
      </c>
      <c r="C200" s="11" t="n">
        <f aca="false">IF(OR(H199,D200&lt;=$G$4),_xlfn.MINIFS('Futures Data'!$B$5:$B$3471,'Futures Data'!$A$5:$A$3471,A200,'Futures Data'!$B$5:$B$3471,"&gt;"&amp;B200),B200)</f>
        <v>45463</v>
      </c>
      <c r="D200" s="3" t="n">
        <f aca="false">COUNTIFS($A$47:$A$790,"&gt;"&amp;A200,$A$47:$A$790,"&lt;="&amp;B200)+IF(B200&gt;$G$5,NETWORKDAYS($G$5+1,B200),0)</f>
        <v>26</v>
      </c>
      <c r="E200" s="3" t="n">
        <f aca="false">SUMIFS('Futures Data'!$E$5:$E$3471,'Futures Data'!$A$5:$A$3471,A200,'Futures Data'!$B$5:$B$3471,C200)</f>
        <v>27490</v>
      </c>
      <c r="F200" s="11" t="n">
        <f aca="false">_xlfn.MINIFS('Futures Data'!$B$5:$B$3471,'Futures Data'!$A$5:$A$3471,A200,'Futures Data'!$B$5:$B$3471,"&gt;"&amp;C200)</f>
        <v>45492</v>
      </c>
      <c r="G200" s="3" t="n">
        <f aca="false">SUMIFS('Futures Data'!$E$5:$E$3471,'Futures Data'!$A$5:$A$3471,A200,'Futures Data'!$B$5:$B$3471,F200)</f>
        <v>160</v>
      </c>
      <c r="H200" s="9" t="b">
        <f aca="false">G200&gt;E200</f>
        <v>0</v>
      </c>
      <c r="I200" s="9" t="b">
        <f aca="false">C200&lt;&gt;B200</f>
        <v>0</v>
      </c>
      <c r="J200" s="3" t="n">
        <f aca="false">SUMIFS('Futures Data'!$C$5:$C$3471,'Futures Data'!$A$5:$A$3471,A200,'Futures Data'!$B$5:$B$3471,B200)</f>
        <v>5728</v>
      </c>
      <c r="K200" s="3" t="n">
        <f aca="false">SUMIFS('Futures Data'!$C$5:$C$3471,'Futures Data'!$A$5:$A$3471,A200,'Futures Data'!$B$5:$B$3471,C200)</f>
        <v>5728</v>
      </c>
      <c r="L200" s="3" t="n">
        <f aca="false">K200-J200</f>
        <v>0</v>
      </c>
      <c r="M200" s="3" t="n">
        <f aca="false">M201+L200</f>
        <v>1662</v>
      </c>
      <c r="N200" s="3" t="n">
        <f aca="false">J200+M200</f>
        <v>7390</v>
      </c>
      <c r="O200" s="13" t="n">
        <f aca="false">LN(J200/K199)</f>
        <v>0.0165467602041637</v>
      </c>
      <c r="P200" s="13" t="n">
        <f aca="false">LN(N200/N199)</f>
        <v>0.0128014821880801</v>
      </c>
      <c r="Q200" s="3" t="n">
        <f aca="false">SUMIFS('Futures Data'!$D$5:$D$3471,'Futures Data'!$A$5:$A$3471,A200,'Futures Data'!$B$5:$B$3471,B200)</f>
        <v>6955</v>
      </c>
      <c r="R200" s="7" t="n">
        <v>45463</v>
      </c>
      <c r="S200" s="9" t="b">
        <f aca="false">C200=R200</f>
        <v>1</v>
      </c>
      <c r="T200" s="9" t="b">
        <f aca="false">ABS(O200-LN(J200/SUMIFS('Futures Data'!$C$5:$C$3471,'Futures Data'!$A$5:$A$3471,A199,'Futures Data'!$B$5:$B$3471,B200)))&lt;0.000000001</f>
        <v>1</v>
      </c>
    </row>
    <row r="201" customFormat="false" ht="15" hidden="false" customHeight="false" outlineLevel="0" collapsed="false">
      <c r="A201" s="7" t="n">
        <v>45426</v>
      </c>
      <c r="B201" s="11" t="n">
        <f aca="false">C200</f>
        <v>45463</v>
      </c>
      <c r="C201" s="11" t="n">
        <f aca="false">IF(OR(H200,D201&lt;=$G$4),_xlfn.MINIFS('Futures Data'!$B$5:$B$3471,'Futures Data'!$A$5:$A$3471,A201,'Futures Data'!$B$5:$B$3471,"&gt;"&amp;B201),B201)</f>
        <v>45463</v>
      </c>
      <c r="D201" s="3" t="n">
        <f aca="false">COUNTIFS($A$47:$A$790,"&gt;"&amp;A201,$A$47:$A$790,"&lt;="&amp;B201)+IF(B201&gt;$G$5,NETWORKDAYS($G$5+1,B201),0)</f>
        <v>25</v>
      </c>
      <c r="E201" s="3" t="n">
        <f aca="false">SUMIFS('Futures Data'!$E$5:$E$3471,'Futures Data'!$A$5:$A$3471,A201,'Futures Data'!$B$5:$B$3471,C201)</f>
        <v>28435</v>
      </c>
      <c r="F201" s="11" t="n">
        <f aca="false">_xlfn.MINIFS('Futures Data'!$B$5:$B$3471,'Futures Data'!$A$5:$A$3471,A201,'Futures Data'!$B$5:$B$3471,"&gt;"&amp;C201)</f>
        <v>45492</v>
      </c>
      <c r="G201" s="3" t="n">
        <f aca="false">SUMIFS('Futures Data'!$E$5:$E$3471,'Futures Data'!$A$5:$A$3471,A201,'Futures Data'!$B$5:$B$3471,F201)</f>
        <v>1525</v>
      </c>
      <c r="H201" s="9" t="b">
        <f aca="false">G201&gt;E201</f>
        <v>0</v>
      </c>
      <c r="I201" s="9" t="b">
        <f aca="false">C201&lt;&gt;B201</f>
        <v>0</v>
      </c>
      <c r="J201" s="3" t="n">
        <f aca="false">SUMIFS('Futures Data'!$C$5:$C$3471,'Futures Data'!$A$5:$A$3471,A201,'Futures Data'!$B$5:$B$3471,B201)</f>
        <v>5731</v>
      </c>
      <c r="K201" s="3" t="n">
        <f aca="false">SUMIFS('Futures Data'!$C$5:$C$3471,'Futures Data'!$A$5:$A$3471,A201,'Futures Data'!$B$5:$B$3471,C201)</f>
        <v>5731</v>
      </c>
      <c r="L201" s="3" t="n">
        <f aca="false">K201-J201</f>
        <v>0</v>
      </c>
      <c r="M201" s="3" t="n">
        <f aca="false">M202+L201</f>
        <v>1662</v>
      </c>
      <c r="N201" s="3" t="n">
        <f aca="false">J201+M201</f>
        <v>7393</v>
      </c>
      <c r="O201" s="13" t="n">
        <f aca="false">LN(J201/K200)</f>
        <v>0.000523605911255868</v>
      </c>
      <c r="P201" s="13" t="n">
        <f aca="false">LN(N201/N200)</f>
        <v>0.000405871614852487</v>
      </c>
      <c r="Q201" s="3" t="n">
        <f aca="false">SUMIFS('Futures Data'!$D$5:$D$3471,'Futures Data'!$A$5:$A$3471,A201,'Futures Data'!$B$5:$B$3471,B201)</f>
        <v>8370</v>
      </c>
      <c r="R201" s="7" t="n">
        <v>45463</v>
      </c>
      <c r="S201" s="9" t="b">
        <f aca="false">C201=R201</f>
        <v>1</v>
      </c>
      <c r="T201" s="9" t="b">
        <f aca="false">ABS(O201-LN(J201/SUMIFS('Futures Data'!$C$5:$C$3471,'Futures Data'!$A$5:$A$3471,A200,'Futures Data'!$B$5:$B$3471,B201)))&lt;0.000000001</f>
        <v>1</v>
      </c>
    </row>
    <row r="202" customFormat="false" ht="15" hidden="false" customHeight="false" outlineLevel="0" collapsed="false">
      <c r="A202" s="7" t="n">
        <v>45427</v>
      </c>
      <c r="B202" s="11" t="n">
        <f aca="false">C201</f>
        <v>45463</v>
      </c>
      <c r="C202" s="11" t="n">
        <f aca="false">IF(OR(H201,D202&lt;=$G$4),_xlfn.MINIFS('Futures Data'!$B$5:$B$3471,'Futures Data'!$A$5:$A$3471,A202,'Futures Data'!$B$5:$B$3471,"&gt;"&amp;B202),B202)</f>
        <v>45463</v>
      </c>
      <c r="D202" s="3" t="n">
        <f aca="false">COUNTIFS($A$47:$A$790,"&gt;"&amp;A202,$A$47:$A$790,"&lt;="&amp;B202)+IF(B202&gt;$G$5,NETWORKDAYS($G$5+1,B202),0)</f>
        <v>24</v>
      </c>
      <c r="E202" s="3" t="n">
        <f aca="false">SUMIFS('Futures Data'!$E$5:$E$3471,'Futures Data'!$A$5:$A$3471,A202,'Futures Data'!$B$5:$B$3471,C202)</f>
        <v>28065</v>
      </c>
      <c r="F202" s="11" t="n">
        <f aca="false">_xlfn.MINIFS('Futures Data'!$B$5:$B$3471,'Futures Data'!$A$5:$A$3471,A202,'Futures Data'!$B$5:$B$3471,"&gt;"&amp;C202)</f>
        <v>45492</v>
      </c>
      <c r="G202" s="3" t="n">
        <f aca="false">SUMIFS('Futures Data'!$E$5:$E$3471,'Futures Data'!$A$5:$A$3471,A202,'Futures Data'!$B$5:$B$3471,F202)</f>
        <v>4145</v>
      </c>
      <c r="H202" s="9" t="b">
        <f aca="false">G202&gt;E202</f>
        <v>0</v>
      </c>
      <c r="I202" s="9" t="b">
        <f aca="false">C202&lt;&gt;B202</f>
        <v>0</v>
      </c>
      <c r="J202" s="3" t="n">
        <f aca="false">SUMIFS('Futures Data'!$C$5:$C$3471,'Futures Data'!$A$5:$A$3471,A202,'Futures Data'!$B$5:$B$3471,B202)</f>
        <v>5689</v>
      </c>
      <c r="K202" s="3" t="n">
        <f aca="false">SUMIFS('Futures Data'!$C$5:$C$3471,'Futures Data'!$A$5:$A$3471,A202,'Futures Data'!$B$5:$B$3471,C202)</f>
        <v>5689</v>
      </c>
      <c r="L202" s="3" t="n">
        <f aca="false">K202-J202</f>
        <v>0</v>
      </c>
      <c r="M202" s="3" t="n">
        <f aca="false">M203+L202</f>
        <v>1662</v>
      </c>
      <c r="N202" s="3" t="n">
        <f aca="false">J202+M202</f>
        <v>7351</v>
      </c>
      <c r="O202" s="13" t="n">
        <f aca="false">LN(J202/K201)</f>
        <v>-0.00735554980109002</v>
      </c>
      <c r="P202" s="13" t="n">
        <f aca="false">LN(N202/N201)</f>
        <v>-0.0056972481830124</v>
      </c>
      <c r="Q202" s="3" t="n">
        <f aca="false">SUMIFS('Futures Data'!$D$5:$D$3471,'Futures Data'!$A$5:$A$3471,A202,'Futures Data'!$B$5:$B$3471,B202)</f>
        <v>6090</v>
      </c>
      <c r="R202" s="7" t="n">
        <v>45463</v>
      </c>
      <c r="S202" s="9" t="b">
        <f aca="false">C202=R202</f>
        <v>1</v>
      </c>
      <c r="T202" s="9" t="b">
        <f aca="false">ABS(O202-LN(J202/SUMIFS('Futures Data'!$C$5:$C$3471,'Futures Data'!$A$5:$A$3471,A201,'Futures Data'!$B$5:$B$3471,B202)))&lt;0.000000001</f>
        <v>1</v>
      </c>
    </row>
    <row r="203" customFormat="false" ht="15" hidden="false" customHeight="false" outlineLevel="0" collapsed="false">
      <c r="A203" s="7" t="n">
        <v>45428</v>
      </c>
      <c r="B203" s="11" t="n">
        <f aca="false">C202</f>
        <v>45463</v>
      </c>
      <c r="C203" s="11" t="n">
        <f aca="false">IF(OR(H202,D203&lt;=$G$4),_xlfn.MINIFS('Futures Data'!$B$5:$B$3471,'Futures Data'!$A$5:$A$3471,A203,'Futures Data'!$B$5:$B$3471,"&gt;"&amp;B203),B203)</f>
        <v>45463</v>
      </c>
      <c r="D203" s="3" t="n">
        <f aca="false">COUNTIFS($A$47:$A$790,"&gt;"&amp;A203,$A$47:$A$790,"&lt;="&amp;B203)+IF(B203&gt;$G$5,NETWORKDAYS($G$5+1,B203),0)</f>
        <v>23</v>
      </c>
      <c r="E203" s="3" t="n">
        <f aca="false">SUMIFS('Futures Data'!$E$5:$E$3471,'Futures Data'!$A$5:$A$3471,A203,'Futures Data'!$B$5:$B$3471,C203)</f>
        <v>27335</v>
      </c>
      <c r="F203" s="11" t="n">
        <f aca="false">_xlfn.MINIFS('Futures Data'!$B$5:$B$3471,'Futures Data'!$A$5:$A$3471,A203,'Futures Data'!$B$5:$B$3471,"&gt;"&amp;C203)</f>
        <v>45492</v>
      </c>
      <c r="G203" s="3" t="n">
        <f aca="false">SUMIFS('Futures Data'!$E$5:$E$3471,'Futures Data'!$A$5:$A$3471,A203,'Futures Data'!$B$5:$B$3471,F203)</f>
        <v>6060</v>
      </c>
      <c r="H203" s="9" t="b">
        <f aca="false">G203&gt;E203</f>
        <v>0</v>
      </c>
      <c r="I203" s="9" t="b">
        <f aca="false">C203&lt;&gt;B203</f>
        <v>0</v>
      </c>
      <c r="J203" s="3" t="n">
        <f aca="false">SUMIFS('Futures Data'!$C$5:$C$3471,'Futures Data'!$A$5:$A$3471,A203,'Futures Data'!$B$5:$B$3471,B203)</f>
        <v>5734</v>
      </c>
      <c r="K203" s="3" t="n">
        <f aca="false">SUMIFS('Futures Data'!$C$5:$C$3471,'Futures Data'!$A$5:$A$3471,A203,'Futures Data'!$B$5:$B$3471,C203)</f>
        <v>5734</v>
      </c>
      <c r="L203" s="3" t="n">
        <f aca="false">K203-J203</f>
        <v>0</v>
      </c>
      <c r="M203" s="3" t="n">
        <f aca="false">M204+L203</f>
        <v>1662</v>
      </c>
      <c r="N203" s="3" t="n">
        <f aca="false">J203+M203</f>
        <v>7396</v>
      </c>
      <c r="O203" s="13" t="n">
        <f aca="false">LN(J203/K202)</f>
        <v>0.00787888169266782</v>
      </c>
      <c r="P203" s="13" t="n">
        <f aca="false">LN(N203/N202)</f>
        <v>0.00610295513292786</v>
      </c>
      <c r="Q203" s="3" t="n">
        <f aca="false">SUMIFS('Futures Data'!$D$5:$D$3471,'Futures Data'!$A$5:$A$3471,A203,'Futures Data'!$B$5:$B$3471,B203)</f>
        <v>4870</v>
      </c>
      <c r="R203" s="7" t="n">
        <v>45463</v>
      </c>
      <c r="S203" s="9" t="b">
        <f aca="false">C203=R203</f>
        <v>1</v>
      </c>
      <c r="T203" s="9" t="b">
        <f aca="false">ABS(O203-LN(J203/SUMIFS('Futures Data'!$C$5:$C$3471,'Futures Data'!$A$5:$A$3471,A202,'Futures Data'!$B$5:$B$3471,B203)))&lt;0.000000001</f>
        <v>1</v>
      </c>
    </row>
    <row r="204" customFormat="false" ht="15" hidden="false" customHeight="false" outlineLevel="0" collapsed="false">
      <c r="A204" s="7" t="n">
        <v>45429</v>
      </c>
      <c r="B204" s="11" t="n">
        <f aca="false">C203</f>
        <v>45463</v>
      </c>
      <c r="C204" s="11" t="n">
        <f aca="false">IF(OR(H203,D204&lt;=$G$4),_xlfn.MINIFS('Futures Data'!$B$5:$B$3471,'Futures Data'!$A$5:$A$3471,A204,'Futures Data'!$B$5:$B$3471,"&gt;"&amp;B204),B204)</f>
        <v>45463</v>
      </c>
      <c r="D204" s="3" t="n">
        <f aca="false">COUNTIFS($A$47:$A$790,"&gt;"&amp;A204,$A$47:$A$790,"&lt;="&amp;B204)+IF(B204&gt;$G$5,NETWORKDAYS($G$5+1,B204),0)</f>
        <v>22</v>
      </c>
      <c r="E204" s="3" t="n">
        <f aca="false">SUMIFS('Futures Data'!$E$5:$E$3471,'Futures Data'!$A$5:$A$3471,A204,'Futures Data'!$B$5:$B$3471,C204)</f>
        <v>23835</v>
      </c>
      <c r="F204" s="11" t="n">
        <f aca="false">_xlfn.MINIFS('Futures Data'!$B$5:$B$3471,'Futures Data'!$A$5:$A$3471,A204,'Futures Data'!$B$5:$B$3471,"&gt;"&amp;C204)</f>
        <v>45492</v>
      </c>
      <c r="G204" s="3" t="n">
        <f aca="false">SUMIFS('Futures Data'!$E$5:$E$3471,'Futures Data'!$A$5:$A$3471,A204,'Futures Data'!$B$5:$B$3471,F204)</f>
        <v>8005</v>
      </c>
      <c r="H204" s="9" t="b">
        <f aca="false">G204&gt;E204</f>
        <v>0</v>
      </c>
      <c r="I204" s="9" t="b">
        <f aca="false">C204&lt;&gt;B204</f>
        <v>0</v>
      </c>
      <c r="J204" s="3" t="n">
        <f aca="false">SUMIFS('Futures Data'!$C$5:$C$3471,'Futures Data'!$A$5:$A$3471,A204,'Futures Data'!$B$5:$B$3471,B204)</f>
        <v>5719</v>
      </c>
      <c r="K204" s="3" t="n">
        <f aca="false">SUMIFS('Futures Data'!$C$5:$C$3471,'Futures Data'!$A$5:$A$3471,A204,'Futures Data'!$B$5:$B$3471,C204)</f>
        <v>5719</v>
      </c>
      <c r="L204" s="3" t="n">
        <f aca="false">K204-J204</f>
        <v>0</v>
      </c>
      <c r="M204" s="3" t="n">
        <f aca="false">M205+L204</f>
        <v>1662</v>
      </c>
      <c r="N204" s="3" t="n">
        <f aca="false">J204+M204</f>
        <v>7381</v>
      </c>
      <c r="O204" s="13" t="n">
        <f aca="false">LN(J204/K203)</f>
        <v>-0.00261940252799898</v>
      </c>
      <c r="P204" s="13" t="n">
        <f aca="false">LN(N204/N203)</f>
        <v>-0.0020301827369631</v>
      </c>
      <c r="Q204" s="3" t="n">
        <f aca="false">SUMIFS('Futures Data'!$D$5:$D$3471,'Futures Data'!$A$5:$A$3471,A204,'Futures Data'!$B$5:$B$3471,B204)</f>
        <v>7040</v>
      </c>
      <c r="R204" s="7" t="n">
        <v>45463</v>
      </c>
      <c r="S204" s="9" t="b">
        <f aca="false">C204=R204</f>
        <v>1</v>
      </c>
      <c r="T204" s="9" t="b">
        <f aca="false">ABS(O204-LN(J204/SUMIFS('Futures Data'!$C$5:$C$3471,'Futures Data'!$A$5:$A$3471,A203,'Futures Data'!$B$5:$B$3471,B204)))&lt;0.000000001</f>
        <v>1</v>
      </c>
    </row>
    <row r="205" customFormat="false" ht="15" hidden="false" customHeight="false" outlineLevel="0" collapsed="false">
      <c r="A205" s="7" t="n">
        <v>45433</v>
      </c>
      <c r="B205" s="11" t="n">
        <f aca="false">C204</f>
        <v>45463</v>
      </c>
      <c r="C205" s="11" t="n">
        <f aca="false">IF(OR(H204,D205&lt;=$G$4),_xlfn.MINIFS('Futures Data'!$B$5:$B$3471,'Futures Data'!$A$5:$A$3471,A205,'Futures Data'!$B$5:$B$3471,"&gt;"&amp;B205),B205)</f>
        <v>45463</v>
      </c>
      <c r="D205" s="3" t="n">
        <f aca="false">COUNTIFS($A$47:$A$790,"&gt;"&amp;A205,$A$47:$A$790,"&lt;="&amp;B205)+IF(B205&gt;$G$5,NETWORKDAYS($G$5+1,B205),0)</f>
        <v>21</v>
      </c>
      <c r="E205" s="3" t="n">
        <f aca="false">SUMIFS('Futures Data'!$E$5:$E$3471,'Futures Data'!$A$5:$A$3471,A205,'Futures Data'!$B$5:$B$3471,C205)</f>
        <v>23635</v>
      </c>
      <c r="F205" s="11" t="n">
        <f aca="false">_xlfn.MINIFS('Futures Data'!$B$5:$B$3471,'Futures Data'!$A$5:$A$3471,A205,'Futures Data'!$B$5:$B$3471,"&gt;"&amp;C205)</f>
        <v>45492</v>
      </c>
      <c r="G205" s="3" t="n">
        <f aca="false">SUMIFS('Futures Data'!$E$5:$E$3471,'Futures Data'!$A$5:$A$3471,A205,'Futures Data'!$B$5:$B$3471,F205)</f>
        <v>8735</v>
      </c>
      <c r="H205" s="9" t="b">
        <f aca="false">G205&gt;E205</f>
        <v>0</v>
      </c>
      <c r="I205" s="9" t="b">
        <f aca="false">C205&lt;&gt;B205</f>
        <v>0</v>
      </c>
      <c r="J205" s="3" t="n">
        <f aca="false">SUMIFS('Futures Data'!$C$5:$C$3471,'Futures Data'!$A$5:$A$3471,A205,'Futures Data'!$B$5:$B$3471,B205)</f>
        <v>5701</v>
      </c>
      <c r="K205" s="3" t="n">
        <f aca="false">SUMIFS('Futures Data'!$C$5:$C$3471,'Futures Data'!$A$5:$A$3471,A205,'Futures Data'!$B$5:$B$3471,C205)</f>
        <v>5701</v>
      </c>
      <c r="L205" s="3" t="n">
        <f aca="false">K205-J205</f>
        <v>0</v>
      </c>
      <c r="M205" s="3" t="n">
        <f aca="false">M206+L205</f>
        <v>1662</v>
      </c>
      <c r="N205" s="3" t="n">
        <f aca="false">J205+M205</f>
        <v>7363</v>
      </c>
      <c r="O205" s="13" t="n">
        <f aca="false">LN(J205/K204)</f>
        <v>-0.00315236688373432</v>
      </c>
      <c r="P205" s="13" t="n">
        <f aca="false">LN(N205/N204)</f>
        <v>-0.00244167240133551</v>
      </c>
      <c r="Q205" s="3" t="n">
        <f aca="false">SUMIFS('Futures Data'!$D$5:$D$3471,'Futures Data'!$A$5:$A$3471,A205,'Futures Data'!$B$5:$B$3471,B205)</f>
        <v>3110</v>
      </c>
      <c r="R205" s="7" t="n">
        <v>45463</v>
      </c>
      <c r="S205" s="9" t="b">
        <f aca="false">C205=R205</f>
        <v>1</v>
      </c>
      <c r="T205" s="9" t="b">
        <f aca="false">ABS(O205-LN(J205/SUMIFS('Futures Data'!$C$5:$C$3471,'Futures Data'!$A$5:$A$3471,A204,'Futures Data'!$B$5:$B$3471,B205)))&lt;0.000000001</f>
        <v>1</v>
      </c>
    </row>
    <row r="206" customFormat="false" ht="15" hidden="false" customHeight="false" outlineLevel="0" collapsed="false">
      <c r="A206" s="7" t="n">
        <v>45434</v>
      </c>
      <c r="B206" s="11" t="n">
        <f aca="false">C205</f>
        <v>45463</v>
      </c>
      <c r="C206" s="11" t="n">
        <f aca="false">IF(OR(H205,D206&lt;=$G$4),_xlfn.MINIFS('Futures Data'!$B$5:$B$3471,'Futures Data'!$A$5:$A$3471,A206,'Futures Data'!$B$5:$B$3471,"&gt;"&amp;B206),B206)</f>
        <v>45463</v>
      </c>
      <c r="D206" s="3" t="n">
        <f aca="false">COUNTIFS($A$47:$A$790,"&gt;"&amp;A206,$A$47:$A$790,"&lt;="&amp;B206)+IF(B206&gt;$G$5,NETWORKDAYS($G$5+1,B206),0)</f>
        <v>20</v>
      </c>
      <c r="E206" s="3" t="n">
        <f aca="false">SUMIFS('Futures Data'!$E$5:$E$3471,'Futures Data'!$A$5:$A$3471,A206,'Futures Data'!$B$5:$B$3471,C206)</f>
        <v>22310</v>
      </c>
      <c r="F206" s="11" t="n">
        <f aca="false">_xlfn.MINIFS('Futures Data'!$B$5:$B$3471,'Futures Data'!$A$5:$A$3471,A206,'Futures Data'!$B$5:$B$3471,"&gt;"&amp;C206)</f>
        <v>45492</v>
      </c>
      <c r="G206" s="3" t="n">
        <f aca="false">SUMIFS('Futures Data'!$E$5:$E$3471,'Futures Data'!$A$5:$A$3471,A206,'Futures Data'!$B$5:$B$3471,F206)</f>
        <v>9720</v>
      </c>
      <c r="H206" s="9" t="b">
        <f aca="false">G206&gt;E206</f>
        <v>0</v>
      </c>
      <c r="I206" s="9" t="b">
        <f aca="false">C206&lt;&gt;B206</f>
        <v>0</v>
      </c>
      <c r="J206" s="3" t="n">
        <f aca="false">SUMIFS('Futures Data'!$C$5:$C$3471,'Futures Data'!$A$5:$A$3471,A206,'Futures Data'!$B$5:$B$3471,B206)</f>
        <v>5729</v>
      </c>
      <c r="K206" s="3" t="n">
        <f aca="false">SUMIFS('Futures Data'!$C$5:$C$3471,'Futures Data'!$A$5:$A$3471,A206,'Futures Data'!$B$5:$B$3471,C206)</f>
        <v>5729</v>
      </c>
      <c r="L206" s="3" t="n">
        <f aca="false">K206-J206</f>
        <v>0</v>
      </c>
      <c r="M206" s="3" t="n">
        <f aca="false">M207+L206</f>
        <v>1662</v>
      </c>
      <c r="N206" s="3" t="n">
        <f aca="false">J206+M206</f>
        <v>7391</v>
      </c>
      <c r="O206" s="13" t="n">
        <f aca="false">LN(J206/K205)</f>
        <v>0.00489939737699594</v>
      </c>
      <c r="P206" s="13" t="n">
        <f aca="false">LN(N206/N205)</f>
        <v>0.00379558541616981</v>
      </c>
      <c r="Q206" s="3" t="n">
        <f aca="false">SUMIFS('Futures Data'!$D$5:$D$3471,'Futures Data'!$A$5:$A$3471,A206,'Futures Data'!$B$5:$B$3471,B206)</f>
        <v>6050</v>
      </c>
      <c r="R206" s="7" t="n">
        <v>45463</v>
      </c>
      <c r="S206" s="9" t="b">
        <f aca="false">C206=R206</f>
        <v>1</v>
      </c>
      <c r="T206" s="9" t="b">
        <f aca="false">ABS(O206-LN(J206/SUMIFS('Futures Data'!$C$5:$C$3471,'Futures Data'!$A$5:$A$3471,A205,'Futures Data'!$B$5:$B$3471,B206)))&lt;0.000000001</f>
        <v>1</v>
      </c>
    </row>
    <row r="207" customFormat="false" ht="15" hidden="false" customHeight="false" outlineLevel="0" collapsed="false">
      <c r="A207" s="7" t="n">
        <v>45435</v>
      </c>
      <c r="B207" s="11" t="n">
        <f aca="false">C206</f>
        <v>45463</v>
      </c>
      <c r="C207" s="11" t="n">
        <f aca="false">IF(OR(H206,D207&lt;=$G$4),_xlfn.MINIFS('Futures Data'!$B$5:$B$3471,'Futures Data'!$A$5:$A$3471,A207,'Futures Data'!$B$5:$B$3471,"&gt;"&amp;B207),B207)</f>
        <v>45463</v>
      </c>
      <c r="D207" s="3" t="n">
        <f aca="false">COUNTIFS($A$47:$A$790,"&gt;"&amp;A207,$A$47:$A$790,"&lt;="&amp;B207)+IF(B207&gt;$G$5,NETWORKDAYS($G$5+1,B207),0)</f>
        <v>19</v>
      </c>
      <c r="E207" s="3" t="n">
        <f aca="false">SUMIFS('Futures Data'!$E$5:$E$3471,'Futures Data'!$A$5:$A$3471,A207,'Futures Data'!$B$5:$B$3471,C207)</f>
        <v>22225</v>
      </c>
      <c r="F207" s="11" t="n">
        <f aca="false">_xlfn.MINIFS('Futures Data'!$B$5:$B$3471,'Futures Data'!$A$5:$A$3471,A207,'Futures Data'!$B$5:$B$3471,"&gt;"&amp;C207)</f>
        <v>45492</v>
      </c>
      <c r="G207" s="3" t="n">
        <f aca="false">SUMIFS('Futures Data'!$E$5:$E$3471,'Futures Data'!$A$5:$A$3471,A207,'Futures Data'!$B$5:$B$3471,F207)</f>
        <v>10400</v>
      </c>
      <c r="H207" s="9" t="b">
        <f aca="false">G207&gt;E207</f>
        <v>0</v>
      </c>
      <c r="I207" s="9" t="b">
        <f aca="false">C207&lt;&gt;B207</f>
        <v>0</v>
      </c>
      <c r="J207" s="3" t="n">
        <f aca="false">SUMIFS('Futures Data'!$C$5:$C$3471,'Futures Data'!$A$5:$A$3471,A207,'Futures Data'!$B$5:$B$3471,B207)</f>
        <v>5712</v>
      </c>
      <c r="K207" s="3" t="n">
        <f aca="false">SUMIFS('Futures Data'!$C$5:$C$3471,'Futures Data'!$A$5:$A$3471,A207,'Futures Data'!$B$5:$B$3471,C207)</f>
        <v>5712</v>
      </c>
      <c r="L207" s="3" t="n">
        <f aca="false">K207-J207</f>
        <v>0</v>
      </c>
      <c r="M207" s="3" t="n">
        <f aca="false">M208+L207</f>
        <v>1662</v>
      </c>
      <c r="N207" s="3" t="n">
        <f aca="false">J207+M207</f>
        <v>7374</v>
      </c>
      <c r="O207" s="13" t="n">
        <f aca="false">LN(J207/K206)</f>
        <v>-0.00297177038915748</v>
      </c>
      <c r="P207" s="13" t="n">
        <f aca="false">LN(N207/N206)</f>
        <v>-0.00230274399079697</v>
      </c>
      <c r="Q207" s="3" t="n">
        <f aca="false">SUMIFS('Futures Data'!$D$5:$D$3471,'Futures Data'!$A$5:$A$3471,A207,'Futures Data'!$B$5:$B$3471,B207)</f>
        <v>2250</v>
      </c>
      <c r="R207" s="7" t="n">
        <v>45463</v>
      </c>
      <c r="S207" s="9" t="b">
        <f aca="false">C207=R207</f>
        <v>1</v>
      </c>
      <c r="T207" s="9" t="b">
        <f aca="false">ABS(O207-LN(J207/SUMIFS('Futures Data'!$C$5:$C$3471,'Futures Data'!$A$5:$A$3471,A206,'Futures Data'!$B$5:$B$3471,B207)))&lt;0.000000001</f>
        <v>1</v>
      </c>
    </row>
    <row r="208" customFormat="false" ht="15" hidden="false" customHeight="false" outlineLevel="0" collapsed="false">
      <c r="A208" s="7" t="n">
        <v>45436</v>
      </c>
      <c r="B208" s="11" t="n">
        <f aca="false">C207</f>
        <v>45463</v>
      </c>
      <c r="C208" s="11" t="n">
        <f aca="false">IF(OR(H207,D208&lt;=$G$4),_xlfn.MINIFS('Futures Data'!$B$5:$B$3471,'Futures Data'!$A$5:$A$3471,A208,'Futures Data'!$B$5:$B$3471,"&gt;"&amp;B208),B208)</f>
        <v>45463</v>
      </c>
      <c r="D208" s="3" t="n">
        <f aca="false">COUNTIFS($A$47:$A$790,"&gt;"&amp;A208,$A$47:$A$790,"&lt;="&amp;B208)+IF(B208&gt;$G$5,NETWORKDAYS($G$5+1,B208),0)</f>
        <v>18</v>
      </c>
      <c r="E208" s="3" t="n">
        <f aca="false">SUMIFS('Futures Data'!$E$5:$E$3471,'Futures Data'!$A$5:$A$3471,A208,'Futures Data'!$B$5:$B$3471,C208)</f>
        <v>22210</v>
      </c>
      <c r="F208" s="11" t="n">
        <f aca="false">_xlfn.MINIFS('Futures Data'!$B$5:$B$3471,'Futures Data'!$A$5:$A$3471,A208,'Futures Data'!$B$5:$B$3471,"&gt;"&amp;C208)</f>
        <v>45492</v>
      </c>
      <c r="G208" s="3" t="n">
        <f aca="false">SUMIFS('Futures Data'!$E$5:$E$3471,'Futures Data'!$A$5:$A$3471,A208,'Futures Data'!$B$5:$B$3471,F208)</f>
        <v>10995</v>
      </c>
      <c r="H208" s="9" t="b">
        <f aca="false">G208&gt;E208</f>
        <v>0</v>
      </c>
      <c r="I208" s="9" t="b">
        <f aca="false">C208&lt;&gt;B208</f>
        <v>0</v>
      </c>
      <c r="J208" s="3" t="n">
        <f aca="false">SUMIFS('Futures Data'!$C$5:$C$3471,'Futures Data'!$A$5:$A$3471,A208,'Futures Data'!$B$5:$B$3471,B208)</f>
        <v>5691</v>
      </c>
      <c r="K208" s="3" t="n">
        <f aca="false">SUMIFS('Futures Data'!$C$5:$C$3471,'Futures Data'!$A$5:$A$3471,A208,'Futures Data'!$B$5:$B$3471,C208)</f>
        <v>5691</v>
      </c>
      <c r="L208" s="3" t="n">
        <f aca="false">K208-J208</f>
        <v>0</v>
      </c>
      <c r="M208" s="3" t="n">
        <f aca="false">M209+L208</f>
        <v>1662</v>
      </c>
      <c r="N208" s="3" t="n">
        <f aca="false">J208+M208</f>
        <v>7353</v>
      </c>
      <c r="O208" s="13" t="n">
        <f aca="false">LN(J208/K207)</f>
        <v>-0.00368324541629641</v>
      </c>
      <c r="P208" s="13" t="n">
        <f aca="false">LN(N208/N207)</f>
        <v>-0.00285190659786751</v>
      </c>
      <c r="Q208" s="3" t="n">
        <f aca="false">SUMIFS('Futures Data'!$D$5:$D$3471,'Futures Data'!$A$5:$A$3471,A208,'Futures Data'!$B$5:$B$3471,B208)</f>
        <v>3600</v>
      </c>
      <c r="R208" s="7" t="n">
        <v>45463</v>
      </c>
      <c r="S208" s="9" t="b">
        <f aca="false">C208=R208</f>
        <v>1</v>
      </c>
      <c r="T208" s="9" t="b">
        <f aca="false">ABS(O208-LN(J208/SUMIFS('Futures Data'!$C$5:$C$3471,'Futures Data'!$A$5:$A$3471,A207,'Futures Data'!$B$5:$B$3471,B208)))&lt;0.000000001</f>
        <v>1</v>
      </c>
    </row>
    <row r="209" customFormat="false" ht="15" hidden="false" customHeight="false" outlineLevel="0" collapsed="false">
      <c r="A209" s="7" t="n">
        <v>45439</v>
      </c>
      <c r="B209" s="11" t="n">
        <f aca="false">C208</f>
        <v>45463</v>
      </c>
      <c r="C209" s="11" t="n">
        <f aca="false">IF(OR(H208,D209&lt;=$G$4),_xlfn.MINIFS('Futures Data'!$B$5:$B$3471,'Futures Data'!$A$5:$A$3471,A209,'Futures Data'!$B$5:$B$3471,"&gt;"&amp;B209),B209)</f>
        <v>45463</v>
      </c>
      <c r="D209" s="3" t="n">
        <f aca="false">COUNTIFS($A$47:$A$790,"&gt;"&amp;A209,$A$47:$A$790,"&lt;="&amp;B209)+IF(B209&gt;$G$5,NETWORKDAYS($G$5+1,B209),0)</f>
        <v>17</v>
      </c>
      <c r="E209" s="3" t="n">
        <f aca="false">SUMIFS('Futures Data'!$E$5:$E$3471,'Futures Data'!$A$5:$A$3471,A209,'Futures Data'!$B$5:$B$3471,C209)</f>
        <v>22650</v>
      </c>
      <c r="F209" s="11" t="n">
        <f aca="false">_xlfn.MINIFS('Futures Data'!$B$5:$B$3471,'Futures Data'!$A$5:$A$3471,A209,'Futures Data'!$B$5:$B$3471,"&gt;"&amp;C209)</f>
        <v>45492</v>
      </c>
      <c r="G209" s="3" t="n">
        <f aca="false">SUMIFS('Futures Data'!$E$5:$E$3471,'Futures Data'!$A$5:$A$3471,A209,'Futures Data'!$B$5:$B$3471,F209)</f>
        <v>11455</v>
      </c>
      <c r="H209" s="9" t="b">
        <f aca="false">G209&gt;E209</f>
        <v>0</v>
      </c>
      <c r="I209" s="9" t="b">
        <f aca="false">C209&lt;&gt;B209</f>
        <v>0</v>
      </c>
      <c r="J209" s="3" t="n">
        <f aca="false">SUMIFS('Futures Data'!$C$5:$C$3471,'Futures Data'!$A$5:$A$3471,A209,'Futures Data'!$B$5:$B$3471,B209)</f>
        <v>5685</v>
      </c>
      <c r="K209" s="3" t="n">
        <f aca="false">SUMIFS('Futures Data'!$C$5:$C$3471,'Futures Data'!$A$5:$A$3471,A209,'Futures Data'!$B$5:$B$3471,C209)</f>
        <v>5685</v>
      </c>
      <c r="L209" s="3" t="n">
        <f aca="false">K209-J209</f>
        <v>0</v>
      </c>
      <c r="M209" s="3" t="n">
        <f aca="false">M210+L209</f>
        <v>1662</v>
      </c>
      <c r="N209" s="3" t="n">
        <f aca="false">J209+M209</f>
        <v>7347</v>
      </c>
      <c r="O209" s="13" t="n">
        <f aca="false">LN(J209/K208)</f>
        <v>-0.00105485241848748</v>
      </c>
      <c r="P209" s="13" t="n">
        <f aca="false">LN(N209/N208)</f>
        <v>-0.000816326575944801</v>
      </c>
      <c r="Q209" s="3" t="n">
        <f aca="false">SUMIFS('Futures Data'!$D$5:$D$3471,'Futures Data'!$A$5:$A$3471,A209,'Futures Data'!$B$5:$B$3471,B209)</f>
        <v>2685</v>
      </c>
      <c r="R209" s="7" t="n">
        <v>45463</v>
      </c>
      <c r="S209" s="9" t="b">
        <f aca="false">C209=R209</f>
        <v>1</v>
      </c>
      <c r="T209" s="9" t="b">
        <f aca="false">ABS(O209-LN(J209/SUMIFS('Futures Data'!$C$5:$C$3471,'Futures Data'!$A$5:$A$3471,A208,'Futures Data'!$B$5:$B$3471,B209)))&lt;0.000000001</f>
        <v>1</v>
      </c>
    </row>
    <row r="210" customFormat="false" ht="15" hidden="false" customHeight="false" outlineLevel="0" collapsed="false">
      <c r="A210" s="7" t="n">
        <v>45440</v>
      </c>
      <c r="B210" s="11" t="n">
        <f aca="false">C209</f>
        <v>45463</v>
      </c>
      <c r="C210" s="11" t="n">
        <f aca="false">IF(OR(H209,D210&lt;=$G$4),_xlfn.MINIFS('Futures Data'!$B$5:$B$3471,'Futures Data'!$A$5:$A$3471,A210,'Futures Data'!$B$5:$B$3471,"&gt;"&amp;B210),B210)</f>
        <v>45463</v>
      </c>
      <c r="D210" s="3" t="n">
        <f aca="false">COUNTIFS($A$47:$A$790,"&gt;"&amp;A210,$A$47:$A$790,"&lt;="&amp;B210)+IF(B210&gt;$G$5,NETWORKDAYS($G$5+1,B210),0)</f>
        <v>16</v>
      </c>
      <c r="E210" s="3" t="n">
        <f aca="false">SUMIFS('Futures Data'!$E$5:$E$3471,'Futures Data'!$A$5:$A$3471,A210,'Futures Data'!$B$5:$B$3471,C210)</f>
        <v>21445</v>
      </c>
      <c r="F210" s="11" t="n">
        <f aca="false">_xlfn.MINIFS('Futures Data'!$B$5:$B$3471,'Futures Data'!$A$5:$A$3471,A210,'Futures Data'!$B$5:$B$3471,"&gt;"&amp;C210)</f>
        <v>45492</v>
      </c>
      <c r="G210" s="3" t="n">
        <f aca="false">SUMIFS('Futures Data'!$E$5:$E$3471,'Futures Data'!$A$5:$A$3471,A210,'Futures Data'!$B$5:$B$3471,F210)</f>
        <v>12225</v>
      </c>
      <c r="H210" s="9" t="b">
        <f aca="false">G210&gt;E210</f>
        <v>0</v>
      </c>
      <c r="I210" s="9" t="b">
        <f aca="false">C210&lt;&gt;B210</f>
        <v>0</v>
      </c>
      <c r="J210" s="3" t="n">
        <f aca="false">SUMIFS('Futures Data'!$C$5:$C$3471,'Futures Data'!$A$5:$A$3471,A210,'Futures Data'!$B$5:$B$3471,B210)</f>
        <v>5700</v>
      </c>
      <c r="K210" s="3" t="n">
        <f aca="false">SUMIFS('Futures Data'!$C$5:$C$3471,'Futures Data'!$A$5:$A$3471,A210,'Futures Data'!$B$5:$B$3471,C210)</f>
        <v>5700</v>
      </c>
      <c r="L210" s="3" t="n">
        <f aca="false">K210-J210</f>
        <v>0</v>
      </c>
      <c r="M210" s="3" t="n">
        <f aca="false">M211+L210</f>
        <v>1662</v>
      </c>
      <c r="N210" s="3" t="n">
        <f aca="false">J210+M210</f>
        <v>7362</v>
      </c>
      <c r="O210" s="13" t="n">
        <f aca="false">LN(J210/K209)</f>
        <v>0.00263504763800503</v>
      </c>
      <c r="P210" s="13" t="n">
        <f aca="false">LN(N210/N209)</f>
        <v>0.00203956831868909</v>
      </c>
      <c r="Q210" s="3" t="n">
        <f aca="false">SUMIFS('Futures Data'!$D$5:$D$3471,'Futures Data'!$A$5:$A$3471,A210,'Futures Data'!$B$5:$B$3471,B210)</f>
        <v>4160</v>
      </c>
      <c r="R210" s="7" t="n">
        <v>45463</v>
      </c>
      <c r="S210" s="9" t="b">
        <f aca="false">C210=R210</f>
        <v>1</v>
      </c>
      <c r="T210" s="9" t="b">
        <f aca="false">ABS(O210-LN(J210/SUMIFS('Futures Data'!$C$5:$C$3471,'Futures Data'!$A$5:$A$3471,A209,'Futures Data'!$B$5:$B$3471,B210)))&lt;0.000000001</f>
        <v>1</v>
      </c>
    </row>
    <row r="211" customFormat="false" ht="15" hidden="false" customHeight="false" outlineLevel="0" collapsed="false">
      <c r="A211" s="7" t="n">
        <v>45441</v>
      </c>
      <c r="B211" s="11" t="n">
        <f aca="false">C210</f>
        <v>45463</v>
      </c>
      <c r="C211" s="11" t="n">
        <f aca="false">IF(OR(H210,D211&lt;=$G$4),_xlfn.MINIFS('Futures Data'!$B$5:$B$3471,'Futures Data'!$A$5:$A$3471,A211,'Futures Data'!$B$5:$B$3471,"&gt;"&amp;B211),B211)</f>
        <v>45463</v>
      </c>
      <c r="D211" s="3" t="n">
        <f aca="false">COUNTIFS($A$47:$A$790,"&gt;"&amp;A211,$A$47:$A$790,"&lt;="&amp;B211)+IF(B211&gt;$G$5,NETWORKDAYS($G$5+1,B211),0)</f>
        <v>15</v>
      </c>
      <c r="E211" s="3" t="n">
        <f aca="false">SUMIFS('Futures Data'!$E$5:$E$3471,'Futures Data'!$A$5:$A$3471,A211,'Futures Data'!$B$5:$B$3471,C211)</f>
        <v>20665</v>
      </c>
      <c r="F211" s="11" t="n">
        <f aca="false">_xlfn.MINIFS('Futures Data'!$B$5:$B$3471,'Futures Data'!$A$5:$A$3471,A211,'Futures Data'!$B$5:$B$3471,"&gt;"&amp;C211)</f>
        <v>45492</v>
      </c>
      <c r="G211" s="3" t="n">
        <f aca="false">SUMIFS('Futures Data'!$E$5:$E$3471,'Futures Data'!$A$5:$A$3471,A211,'Futures Data'!$B$5:$B$3471,F211)</f>
        <v>13360</v>
      </c>
      <c r="H211" s="9" t="b">
        <f aca="false">G211&gt;E211</f>
        <v>0</v>
      </c>
      <c r="I211" s="9" t="b">
        <f aca="false">C211&lt;&gt;B211</f>
        <v>0</v>
      </c>
      <c r="J211" s="3" t="n">
        <f aca="false">SUMIFS('Futures Data'!$C$5:$C$3471,'Futures Data'!$A$5:$A$3471,A211,'Futures Data'!$B$5:$B$3471,B211)</f>
        <v>5745</v>
      </c>
      <c r="K211" s="3" t="n">
        <f aca="false">SUMIFS('Futures Data'!$C$5:$C$3471,'Futures Data'!$A$5:$A$3471,A211,'Futures Data'!$B$5:$B$3471,C211)</f>
        <v>5745</v>
      </c>
      <c r="L211" s="3" t="n">
        <f aca="false">K211-J211</f>
        <v>0</v>
      </c>
      <c r="M211" s="3" t="n">
        <f aca="false">M212+L211</f>
        <v>1662</v>
      </c>
      <c r="N211" s="3" t="n">
        <f aca="false">J211+M211</f>
        <v>7407</v>
      </c>
      <c r="O211" s="13" t="n">
        <f aca="false">LN(J211/K210)</f>
        <v>0.00786373646021445</v>
      </c>
      <c r="P211" s="13" t="n">
        <f aca="false">LN(N211/N210)</f>
        <v>0.00609386407432281</v>
      </c>
      <c r="Q211" s="3" t="n">
        <f aca="false">SUMIFS('Futures Data'!$D$5:$D$3471,'Futures Data'!$A$5:$A$3471,A211,'Futures Data'!$B$5:$B$3471,B211)</f>
        <v>6540</v>
      </c>
      <c r="R211" s="7" t="n">
        <v>45463</v>
      </c>
      <c r="S211" s="9" t="b">
        <f aca="false">C211=R211</f>
        <v>1</v>
      </c>
      <c r="T211" s="9" t="b">
        <f aca="false">ABS(O211-LN(J211/SUMIFS('Futures Data'!$C$5:$C$3471,'Futures Data'!$A$5:$A$3471,A210,'Futures Data'!$B$5:$B$3471,B211)))&lt;0.000000001</f>
        <v>1</v>
      </c>
    </row>
    <row r="212" customFormat="false" ht="15" hidden="false" customHeight="false" outlineLevel="0" collapsed="false">
      <c r="A212" s="7" t="n">
        <v>45442</v>
      </c>
      <c r="B212" s="11" t="n">
        <f aca="false">C211</f>
        <v>45463</v>
      </c>
      <c r="C212" s="11" t="n">
        <f aca="false">IF(OR(H211,D212&lt;=$G$4),_xlfn.MINIFS('Futures Data'!$B$5:$B$3471,'Futures Data'!$A$5:$A$3471,A212,'Futures Data'!$B$5:$B$3471,"&gt;"&amp;B212),B212)</f>
        <v>45463</v>
      </c>
      <c r="D212" s="3" t="n">
        <f aca="false">COUNTIFS($A$47:$A$790,"&gt;"&amp;A212,$A$47:$A$790,"&lt;="&amp;B212)+IF(B212&gt;$G$5,NETWORKDAYS($G$5+1,B212),0)</f>
        <v>14</v>
      </c>
      <c r="E212" s="3" t="n">
        <f aca="false">SUMIFS('Futures Data'!$E$5:$E$3471,'Futures Data'!$A$5:$A$3471,A212,'Futures Data'!$B$5:$B$3471,C212)</f>
        <v>19345</v>
      </c>
      <c r="F212" s="11" t="n">
        <f aca="false">_xlfn.MINIFS('Futures Data'!$B$5:$B$3471,'Futures Data'!$A$5:$A$3471,A212,'Futures Data'!$B$5:$B$3471,"&gt;"&amp;C212)</f>
        <v>45492</v>
      </c>
      <c r="G212" s="3" t="n">
        <f aca="false">SUMIFS('Futures Data'!$E$5:$E$3471,'Futures Data'!$A$5:$A$3471,A212,'Futures Data'!$B$5:$B$3471,F212)</f>
        <v>14160</v>
      </c>
      <c r="H212" s="9" t="b">
        <f aca="false">G212&gt;E212</f>
        <v>0</v>
      </c>
      <c r="I212" s="9" t="b">
        <f aca="false">C212&lt;&gt;B212</f>
        <v>0</v>
      </c>
      <c r="J212" s="3" t="n">
        <f aca="false">SUMIFS('Futures Data'!$C$5:$C$3471,'Futures Data'!$A$5:$A$3471,A212,'Futures Data'!$B$5:$B$3471,B212)</f>
        <v>5715</v>
      </c>
      <c r="K212" s="3" t="n">
        <f aca="false">SUMIFS('Futures Data'!$C$5:$C$3471,'Futures Data'!$A$5:$A$3471,A212,'Futures Data'!$B$5:$B$3471,C212)</f>
        <v>5715</v>
      </c>
      <c r="L212" s="3" t="n">
        <f aca="false">K212-J212</f>
        <v>0</v>
      </c>
      <c r="M212" s="3" t="n">
        <f aca="false">M213+L212</f>
        <v>1662</v>
      </c>
      <c r="N212" s="3" t="n">
        <f aca="false">J212+M212</f>
        <v>7377</v>
      </c>
      <c r="O212" s="13" t="n">
        <f aca="false">LN(J212/K211)</f>
        <v>-0.00523561405394505</v>
      </c>
      <c r="P212" s="13" t="n">
        <f aca="false">LN(N212/N211)</f>
        <v>-0.00405844712898699</v>
      </c>
      <c r="Q212" s="3" t="n">
        <f aca="false">SUMIFS('Futures Data'!$D$5:$D$3471,'Futures Data'!$A$5:$A$3471,A212,'Futures Data'!$B$5:$B$3471,B212)</f>
        <v>6880</v>
      </c>
      <c r="R212" s="7" t="n">
        <v>45463</v>
      </c>
      <c r="S212" s="9" t="b">
        <f aca="false">C212=R212</f>
        <v>1</v>
      </c>
      <c r="T212" s="9" t="b">
        <f aca="false">ABS(O212-LN(J212/SUMIFS('Futures Data'!$C$5:$C$3471,'Futures Data'!$A$5:$A$3471,A211,'Futures Data'!$B$5:$B$3471,B212)))&lt;0.000000001</f>
        <v>1</v>
      </c>
    </row>
    <row r="213" customFormat="false" ht="15" hidden="false" customHeight="false" outlineLevel="0" collapsed="false">
      <c r="A213" s="7" t="n">
        <v>45443</v>
      </c>
      <c r="B213" s="11" t="n">
        <f aca="false">C212</f>
        <v>45463</v>
      </c>
      <c r="C213" s="11" t="n">
        <f aca="false">IF(OR(H212,D213&lt;=$G$4),_xlfn.MINIFS('Futures Data'!$B$5:$B$3471,'Futures Data'!$A$5:$A$3471,A213,'Futures Data'!$B$5:$B$3471,"&gt;"&amp;B213),B213)</f>
        <v>45463</v>
      </c>
      <c r="D213" s="3" t="n">
        <f aca="false">COUNTIFS($A$47:$A$790,"&gt;"&amp;A213,$A$47:$A$790,"&lt;="&amp;B213)+IF(B213&gt;$G$5,NETWORKDAYS($G$5+1,B213),0)</f>
        <v>13</v>
      </c>
      <c r="E213" s="3" t="n">
        <f aca="false">SUMIFS('Futures Data'!$E$5:$E$3471,'Futures Data'!$A$5:$A$3471,A213,'Futures Data'!$B$5:$B$3471,C213)</f>
        <v>18230</v>
      </c>
      <c r="F213" s="11" t="n">
        <f aca="false">_xlfn.MINIFS('Futures Data'!$B$5:$B$3471,'Futures Data'!$A$5:$A$3471,A213,'Futures Data'!$B$5:$B$3471,"&gt;"&amp;C213)</f>
        <v>45492</v>
      </c>
      <c r="G213" s="3" t="n">
        <f aca="false">SUMIFS('Futures Data'!$E$5:$E$3471,'Futures Data'!$A$5:$A$3471,A213,'Futures Data'!$B$5:$B$3471,F213)</f>
        <v>16105</v>
      </c>
      <c r="H213" s="9" t="b">
        <f aca="false">G213&gt;E213</f>
        <v>0</v>
      </c>
      <c r="I213" s="9" t="b">
        <f aca="false">C213&lt;&gt;B213</f>
        <v>0</v>
      </c>
      <c r="J213" s="3" t="n">
        <f aca="false">SUMIFS('Futures Data'!$C$5:$C$3471,'Futures Data'!$A$5:$A$3471,A213,'Futures Data'!$B$5:$B$3471,B213)</f>
        <v>5702</v>
      </c>
      <c r="K213" s="3" t="n">
        <f aca="false">SUMIFS('Futures Data'!$C$5:$C$3471,'Futures Data'!$A$5:$A$3471,A213,'Futures Data'!$B$5:$B$3471,C213)</f>
        <v>5702</v>
      </c>
      <c r="L213" s="3" t="n">
        <f aca="false">K213-J213</f>
        <v>0</v>
      </c>
      <c r="M213" s="3" t="n">
        <f aca="false">M214+L213</f>
        <v>1662</v>
      </c>
      <c r="N213" s="3" t="n">
        <f aca="false">J213+M213</f>
        <v>7364</v>
      </c>
      <c r="O213" s="13" t="n">
        <f aca="false">LN(J213/K212)</f>
        <v>-0.00227730675629368</v>
      </c>
      <c r="P213" s="13" t="n">
        <f aca="false">LN(N213/N212)</f>
        <v>-0.00176378853133381</v>
      </c>
      <c r="Q213" s="3" t="n">
        <f aca="false">SUMIFS('Futures Data'!$D$5:$D$3471,'Futures Data'!$A$5:$A$3471,A213,'Futures Data'!$B$5:$B$3471,B213)</f>
        <v>8015</v>
      </c>
      <c r="R213" s="7" t="n">
        <v>45463</v>
      </c>
      <c r="S213" s="9" t="b">
        <f aca="false">C213=R213</f>
        <v>1</v>
      </c>
      <c r="T213" s="9" t="b">
        <f aca="false">ABS(O213-LN(J213/SUMIFS('Futures Data'!$C$5:$C$3471,'Futures Data'!$A$5:$A$3471,A212,'Futures Data'!$B$5:$B$3471,B213)))&lt;0.000000001</f>
        <v>1</v>
      </c>
    </row>
    <row r="214" customFormat="false" ht="15" hidden="false" customHeight="false" outlineLevel="0" collapsed="false">
      <c r="A214" s="7" t="n">
        <v>45446</v>
      </c>
      <c r="B214" s="11" t="n">
        <f aca="false">C213</f>
        <v>45463</v>
      </c>
      <c r="C214" s="11" t="n">
        <f aca="false">IF(OR(H213,D214&lt;=$G$4),_xlfn.MINIFS('Futures Data'!$B$5:$B$3471,'Futures Data'!$A$5:$A$3471,A214,'Futures Data'!$B$5:$B$3471,"&gt;"&amp;B214),B214)</f>
        <v>45463</v>
      </c>
      <c r="D214" s="3" t="n">
        <f aca="false">COUNTIFS($A$47:$A$790,"&gt;"&amp;A214,$A$47:$A$790,"&lt;="&amp;B214)+IF(B214&gt;$G$5,NETWORKDAYS($G$5+1,B214),0)</f>
        <v>12</v>
      </c>
      <c r="E214" s="3" t="n">
        <f aca="false">SUMIFS('Futures Data'!$E$5:$E$3471,'Futures Data'!$A$5:$A$3471,A214,'Futures Data'!$B$5:$B$3471,C214)</f>
        <v>17485</v>
      </c>
      <c r="F214" s="11" t="n">
        <f aca="false">_xlfn.MINIFS('Futures Data'!$B$5:$B$3471,'Futures Data'!$A$5:$A$3471,A214,'Futures Data'!$B$5:$B$3471,"&gt;"&amp;C214)</f>
        <v>45492</v>
      </c>
      <c r="G214" s="3" t="n">
        <f aca="false">SUMIFS('Futures Data'!$E$5:$E$3471,'Futures Data'!$A$5:$A$3471,A214,'Futures Data'!$B$5:$B$3471,F214)</f>
        <v>17395</v>
      </c>
      <c r="H214" s="9" t="b">
        <f aca="false">G214&gt;E214</f>
        <v>0</v>
      </c>
      <c r="I214" s="9" t="b">
        <f aca="false">C214&lt;&gt;B214</f>
        <v>0</v>
      </c>
      <c r="J214" s="3" t="n">
        <f aca="false">SUMIFS('Futures Data'!$C$5:$C$3471,'Futures Data'!$A$5:$A$3471,A214,'Futures Data'!$B$5:$B$3471,B214)</f>
        <v>5741</v>
      </c>
      <c r="K214" s="3" t="n">
        <f aca="false">SUMIFS('Futures Data'!$C$5:$C$3471,'Futures Data'!$A$5:$A$3471,A214,'Futures Data'!$B$5:$B$3471,C214)</f>
        <v>5741</v>
      </c>
      <c r="L214" s="3" t="n">
        <f aca="false">K214-J214</f>
        <v>0</v>
      </c>
      <c r="M214" s="3" t="n">
        <f aca="false">M215+L214</f>
        <v>1662</v>
      </c>
      <c r="N214" s="3" t="n">
        <f aca="false">J214+M214</f>
        <v>7403</v>
      </c>
      <c r="O214" s="13" t="n">
        <f aca="false">LN(J214/K213)</f>
        <v>0.00681642069501956</v>
      </c>
      <c r="P214" s="13" t="n">
        <f aca="false">LN(N214/N213)</f>
        <v>0.00528206009012993</v>
      </c>
      <c r="Q214" s="3" t="n">
        <f aca="false">SUMIFS('Futures Data'!$D$5:$D$3471,'Futures Data'!$A$5:$A$3471,A214,'Futures Data'!$B$5:$B$3471,B214)</f>
        <v>3610</v>
      </c>
      <c r="R214" s="7" t="n">
        <v>45463</v>
      </c>
      <c r="S214" s="9" t="b">
        <f aca="false">C214=R214</f>
        <v>1</v>
      </c>
      <c r="T214" s="9" t="b">
        <f aca="false">ABS(O214-LN(J214/SUMIFS('Futures Data'!$C$5:$C$3471,'Futures Data'!$A$5:$A$3471,A213,'Futures Data'!$B$5:$B$3471,B214)))&lt;0.000000001</f>
        <v>1</v>
      </c>
    </row>
    <row r="215" customFormat="false" ht="15" hidden="false" customHeight="false" outlineLevel="0" collapsed="false">
      <c r="A215" s="7" t="n">
        <v>45447</v>
      </c>
      <c r="B215" s="11" t="n">
        <f aca="false">C214</f>
        <v>45463</v>
      </c>
      <c r="C215" s="11" t="n">
        <f aca="false">IF(OR(H214,D215&lt;=$G$4),_xlfn.MINIFS('Futures Data'!$B$5:$B$3471,'Futures Data'!$A$5:$A$3471,A215,'Futures Data'!$B$5:$B$3471,"&gt;"&amp;B215),B215)</f>
        <v>45463</v>
      </c>
      <c r="D215" s="3" t="n">
        <f aca="false">COUNTIFS($A$47:$A$790,"&gt;"&amp;A215,$A$47:$A$790,"&lt;="&amp;B215)+IF(B215&gt;$G$5,NETWORKDAYS($G$5+1,B215),0)</f>
        <v>11</v>
      </c>
      <c r="E215" s="3" t="n">
        <f aca="false">SUMIFS('Futures Data'!$E$5:$E$3471,'Futures Data'!$A$5:$A$3471,A215,'Futures Data'!$B$5:$B$3471,C215)</f>
        <v>16785</v>
      </c>
      <c r="F215" s="11" t="n">
        <f aca="false">_xlfn.MINIFS('Futures Data'!$B$5:$B$3471,'Futures Data'!$A$5:$A$3471,A215,'Futures Data'!$B$5:$B$3471,"&gt;"&amp;C215)</f>
        <v>45492</v>
      </c>
      <c r="G215" s="3" t="n">
        <f aca="false">SUMIFS('Futures Data'!$E$5:$E$3471,'Futures Data'!$A$5:$A$3471,A215,'Futures Data'!$B$5:$B$3471,F215)</f>
        <v>18175</v>
      </c>
      <c r="H215" s="9" t="b">
        <f aca="false">G215&gt;E215</f>
        <v>1</v>
      </c>
      <c r="I215" s="9" t="b">
        <f aca="false">C215&lt;&gt;B215</f>
        <v>0</v>
      </c>
      <c r="J215" s="3" t="n">
        <f aca="false">SUMIFS('Futures Data'!$C$5:$C$3471,'Futures Data'!$A$5:$A$3471,A215,'Futures Data'!$B$5:$B$3471,B215)</f>
        <v>5719</v>
      </c>
      <c r="K215" s="3" t="n">
        <f aca="false">SUMIFS('Futures Data'!$C$5:$C$3471,'Futures Data'!$A$5:$A$3471,A215,'Futures Data'!$B$5:$B$3471,C215)</f>
        <v>5719</v>
      </c>
      <c r="L215" s="3" t="n">
        <f aca="false">K215-J215</f>
        <v>0</v>
      </c>
      <c r="M215" s="3" t="n">
        <f aca="false">M216+L215</f>
        <v>1662</v>
      </c>
      <c r="N215" s="3" t="n">
        <f aca="false">J215+M215</f>
        <v>7381</v>
      </c>
      <c r="O215" s="13" t="n">
        <f aca="false">LN(J215/K214)</f>
        <v>-0.00383944625232062</v>
      </c>
      <c r="P215" s="13" t="n">
        <f aca="false">LN(N215/N214)</f>
        <v>-0.002976192673046</v>
      </c>
      <c r="Q215" s="3" t="n">
        <f aca="false">SUMIFS('Futures Data'!$D$5:$D$3471,'Futures Data'!$A$5:$A$3471,A215,'Futures Data'!$B$5:$B$3471,B215)</f>
        <v>2995</v>
      </c>
      <c r="R215" s="7" t="n">
        <v>45463</v>
      </c>
      <c r="S215" s="9" t="b">
        <f aca="false">C215=R215</f>
        <v>1</v>
      </c>
      <c r="T215" s="9" t="b">
        <f aca="false">ABS(O215-LN(J215/SUMIFS('Futures Data'!$C$5:$C$3471,'Futures Data'!$A$5:$A$3471,A214,'Futures Data'!$B$5:$B$3471,B215)))&lt;0.000000001</f>
        <v>1</v>
      </c>
    </row>
    <row r="216" customFormat="false" ht="15" hidden="false" customHeight="false" outlineLevel="0" collapsed="false">
      <c r="A216" s="7" t="n">
        <v>45448</v>
      </c>
      <c r="B216" s="11" t="n">
        <f aca="false">C215</f>
        <v>45463</v>
      </c>
      <c r="C216" s="11" t="n">
        <f aca="false">IF(OR(H215,D216&lt;=$G$4),_xlfn.MINIFS('Futures Data'!$B$5:$B$3471,'Futures Data'!$A$5:$A$3471,A216,'Futures Data'!$B$5:$B$3471,"&gt;"&amp;B216),B216)</f>
        <v>45492</v>
      </c>
      <c r="D216" s="3" t="n">
        <f aca="false">COUNTIFS($A$47:$A$790,"&gt;"&amp;A216,$A$47:$A$790,"&lt;="&amp;B216)+IF(B216&gt;$G$5,NETWORKDAYS($G$5+1,B216),0)</f>
        <v>10</v>
      </c>
      <c r="E216" s="3" t="n">
        <f aca="false">SUMIFS('Futures Data'!$E$5:$E$3471,'Futures Data'!$A$5:$A$3471,A216,'Futures Data'!$B$5:$B$3471,C216)</f>
        <v>19070</v>
      </c>
      <c r="F216" s="11" t="n">
        <f aca="false">_xlfn.MINIFS('Futures Data'!$B$5:$B$3471,'Futures Data'!$A$5:$A$3471,A216,'Futures Data'!$B$5:$B$3471,"&gt;"&amp;C216)</f>
        <v>45524</v>
      </c>
      <c r="G216" s="3" t="n">
        <f aca="false">SUMIFS('Futures Data'!$E$5:$E$3471,'Futures Data'!$A$5:$A$3471,A216,'Futures Data'!$B$5:$B$3471,F216)</f>
        <v>5</v>
      </c>
      <c r="H216" s="9" t="b">
        <f aca="false">G216&gt;E216</f>
        <v>0</v>
      </c>
      <c r="I216" s="9" t="b">
        <f aca="false">C216&lt;&gt;B216</f>
        <v>1</v>
      </c>
      <c r="J216" s="3" t="n">
        <f aca="false">SUMIFS('Futures Data'!$C$5:$C$3471,'Futures Data'!$A$5:$A$3471,A216,'Futures Data'!$B$5:$B$3471,B216)</f>
        <v>5700</v>
      </c>
      <c r="K216" s="3" t="n">
        <f aca="false">SUMIFS('Futures Data'!$C$5:$C$3471,'Futures Data'!$A$5:$A$3471,A216,'Futures Data'!$B$5:$B$3471,C216)</f>
        <v>5775</v>
      </c>
      <c r="L216" s="3" t="n">
        <f aca="false">K216-J216</f>
        <v>75</v>
      </c>
      <c r="M216" s="3" t="n">
        <f aca="false">M217+L216</f>
        <v>1662</v>
      </c>
      <c r="N216" s="3" t="n">
        <f aca="false">J216+M216</f>
        <v>7362</v>
      </c>
      <c r="O216" s="13" t="n">
        <f aca="false">LN(J216/K215)</f>
        <v>-0.00332779009267469</v>
      </c>
      <c r="P216" s="13" t="n">
        <f aca="false">LN(N216/N215)</f>
        <v>-0.00257749583108595</v>
      </c>
      <c r="Q216" s="3" t="n">
        <f aca="false">SUMIFS('Futures Data'!$D$5:$D$3471,'Futures Data'!$A$5:$A$3471,A216,'Futures Data'!$B$5:$B$3471,B216)</f>
        <v>2685</v>
      </c>
      <c r="R216" s="7" t="n">
        <v>45492</v>
      </c>
      <c r="S216" s="9" t="b">
        <f aca="false">C216=R216</f>
        <v>1</v>
      </c>
      <c r="T216" s="9" t="b">
        <f aca="false">ABS(O216-LN(J216/SUMIFS('Futures Data'!$C$5:$C$3471,'Futures Data'!$A$5:$A$3471,A215,'Futures Data'!$B$5:$B$3471,B216)))&lt;0.000000001</f>
        <v>1</v>
      </c>
    </row>
    <row r="217" customFormat="false" ht="15" hidden="false" customHeight="false" outlineLevel="0" collapsed="false">
      <c r="A217" s="7" t="n">
        <v>45449</v>
      </c>
      <c r="B217" s="11" t="n">
        <f aca="false">C216</f>
        <v>45492</v>
      </c>
      <c r="C217" s="11" t="n">
        <f aca="false">IF(OR(H216,D217&lt;=$G$4),_xlfn.MINIFS('Futures Data'!$B$5:$B$3471,'Futures Data'!$A$5:$A$3471,A217,'Futures Data'!$B$5:$B$3471,"&gt;"&amp;B217),B217)</f>
        <v>45492</v>
      </c>
      <c r="D217" s="3" t="n">
        <f aca="false">COUNTIFS($A$47:$A$790,"&gt;"&amp;A217,$A$47:$A$790,"&lt;="&amp;B217)+IF(B217&gt;$G$5,NETWORKDAYS($G$5+1,B217),0)</f>
        <v>29</v>
      </c>
      <c r="E217" s="3" t="n">
        <f aca="false">SUMIFS('Futures Data'!$E$5:$E$3471,'Futures Data'!$A$5:$A$3471,A217,'Futures Data'!$B$5:$B$3471,C217)</f>
        <v>20890</v>
      </c>
      <c r="F217" s="11" t="n">
        <f aca="false">_xlfn.MINIFS('Futures Data'!$B$5:$B$3471,'Futures Data'!$A$5:$A$3471,A217,'Futures Data'!$B$5:$B$3471,"&gt;"&amp;C217)</f>
        <v>45524</v>
      </c>
      <c r="G217" s="3" t="n">
        <f aca="false">SUMIFS('Futures Data'!$E$5:$E$3471,'Futures Data'!$A$5:$A$3471,A217,'Futures Data'!$B$5:$B$3471,F217)</f>
        <v>10</v>
      </c>
      <c r="H217" s="9" t="b">
        <f aca="false">G217&gt;E217</f>
        <v>0</v>
      </c>
      <c r="I217" s="9" t="b">
        <f aca="false">C217&lt;&gt;B217</f>
        <v>0</v>
      </c>
      <c r="J217" s="3" t="n">
        <f aca="false">SUMIFS('Futures Data'!$C$5:$C$3471,'Futures Data'!$A$5:$A$3471,A217,'Futures Data'!$B$5:$B$3471,B217)</f>
        <v>5781</v>
      </c>
      <c r="K217" s="3" t="n">
        <f aca="false">SUMIFS('Futures Data'!$C$5:$C$3471,'Futures Data'!$A$5:$A$3471,A217,'Futures Data'!$B$5:$B$3471,C217)</f>
        <v>5781</v>
      </c>
      <c r="L217" s="3" t="n">
        <f aca="false">K217-J217</f>
        <v>0</v>
      </c>
      <c r="M217" s="3" t="n">
        <f aca="false">M218+L217</f>
        <v>1587</v>
      </c>
      <c r="N217" s="3" t="n">
        <f aca="false">J217+M217</f>
        <v>7368</v>
      </c>
      <c r="O217" s="13" t="n">
        <f aca="false">LN(J217/K216)</f>
        <v>0.0010384216924817</v>
      </c>
      <c r="P217" s="13" t="n">
        <f aca="false">LN(N217/N216)</f>
        <v>0.000814663996176284</v>
      </c>
      <c r="Q217" s="3" t="n">
        <f aca="false">SUMIFS('Futures Data'!$D$5:$D$3471,'Futures Data'!$A$5:$A$3471,A217,'Futures Data'!$B$5:$B$3471,B217)</f>
        <v>3290</v>
      </c>
      <c r="R217" s="7" t="n">
        <v>45492</v>
      </c>
      <c r="S217" s="9" t="b">
        <f aca="false">C217=R217</f>
        <v>1</v>
      </c>
      <c r="T217" s="9" t="b">
        <f aca="false">ABS(O217-LN(J217/SUMIFS('Futures Data'!$C$5:$C$3471,'Futures Data'!$A$5:$A$3471,A216,'Futures Data'!$B$5:$B$3471,B217)))&lt;0.000000001</f>
        <v>1</v>
      </c>
    </row>
    <row r="218" customFormat="false" ht="15" hidden="false" customHeight="false" outlineLevel="0" collapsed="false">
      <c r="A218" s="7" t="n">
        <v>45450</v>
      </c>
      <c r="B218" s="11" t="n">
        <f aca="false">C217</f>
        <v>45492</v>
      </c>
      <c r="C218" s="11" t="n">
        <f aca="false">IF(OR(H217,D218&lt;=$G$4),_xlfn.MINIFS('Futures Data'!$B$5:$B$3471,'Futures Data'!$A$5:$A$3471,A218,'Futures Data'!$B$5:$B$3471,"&gt;"&amp;B218),B218)</f>
        <v>45492</v>
      </c>
      <c r="D218" s="3" t="n">
        <f aca="false">COUNTIFS($A$47:$A$790,"&gt;"&amp;A218,$A$47:$A$790,"&lt;="&amp;B218)+IF(B218&gt;$G$5,NETWORKDAYS($G$5+1,B218),0)</f>
        <v>28</v>
      </c>
      <c r="E218" s="3" t="n">
        <f aca="false">SUMIFS('Futures Data'!$E$5:$E$3471,'Futures Data'!$A$5:$A$3471,A218,'Futures Data'!$B$5:$B$3471,C218)</f>
        <v>22000</v>
      </c>
      <c r="F218" s="11" t="n">
        <f aca="false">_xlfn.MINIFS('Futures Data'!$B$5:$B$3471,'Futures Data'!$A$5:$A$3471,A218,'Futures Data'!$B$5:$B$3471,"&gt;"&amp;C218)</f>
        <v>45524</v>
      </c>
      <c r="G218" s="3" t="n">
        <f aca="false">SUMIFS('Futures Data'!$E$5:$E$3471,'Futures Data'!$A$5:$A$3471,A218,'Futures Data'!$B$5:$B$3471,F218)</f>
        <v>10</v>
      </c>
      <c r="H218" s="9" t="b">
        <f aca="false">G218&gt;E218</f>
        <v>0</v>
      </c>
      <c r="I218" s="9" t="b">
        <f aca="false">C218&lt;&gt;B218</f>
        <v>0</v>
      </c>
      <c r="J218" s="3" t="n">
        <f aca="false">SUMIFS('Futures Data'!$C$5:$C$3471,'Futures Data'!$A$5:$A$3471,A218,'Futures Data'!$B$5:$B$3471,B218)</f>
        <v>5787</v>
      </c>
      <c r="K218" s="3" t="n">
        <f aca="false">SUMIFS('Futures Data'!$C$5:$C$3471,'Futures Data'!$A$5:$A$3471,A218,'Futures Data'!$B$5:$B$3471,C218)</f>
        <v>5787</v>
      </c>
      <c r="L218" s="3" t="n">
        <f aca="false">K218-J218</f>
        <v>0</v>
      </c>
      <c r="M218" s="3" t="n">
        <f aca="false">M219+L218</f>
        <v>1587</v>
      </c>
      <c r="N218" s="3" t="n">
        <f aca="false">J218+M218</f>
        <v>7374</v>
      </c>
      <c r="O218" s="13" t="n">
        <f aca="false">LN(J218/K217)</f>
        <v>0.00103734449136272</v>
      </c>
      <c r="P218" s="13" t="n">
        <f aca="false">LN(N218/N217)</f>
        <v>0.000814000858946938</v>
      </c>
      <c r="Q218" s="3" t="n">
        <f aca="false">SUMIFS('Futures Data'!$D$5:$D$3471,'Futures Data'!$A$5:$A$3471,A218,'Futures Data'!$B$5:$B$3471,B218)</f>
        <v>3070</v>
      </c>
      <c r="R218" s="7" t="n">
        <v>45492</v>
      </c>
      <c r="S218" s="9" t="b">
        <f aca="false">C218=R218</f>
        <v>1</v>
      </c>
      <c r="T218" s="9" t="b">
        <f aca="false">ABS(O218-LN(J218/SUMIFS('Futures Data'!$C$5:$C$3471,'Futures Data'!$A$5:$A$3471,A217,'Futures Data'!$B$5:$B$3471,B218)))&lt;0.000000001</f>
        <v>1</v>
      </c>
    </row>
    <row r="219" customFormat="false" ht="15" hidden="false" customHeight="false" outlineLevel="0" collapsed="false">
      <c r="A219" s="7" t="n">
        <v>45453</v>
      </c>
      <c r="B219" s="11" t="n">
        <f aca="false">C218</f>
        <v>45492</v>
      </c>
      <c r="C219" s="11" t="n">
        <f aca="false">IF(OR(H218,D219&lt;=$G$4),_xlfn.MINIFS('Futures Data'!$B$5:$B$3471,'Futures Data'!$A$5:$A$3471,A219,'Futures Data'!$B$5:$B$3471,"&gt;"&amp;B219),B219)</f>
        <v>45492</v>
      </c>
      <c r="D219" s="3" t="n">
        <f aca="false">COUNTIFS($A$47:$A$790,"&gt;"&amp;A219,$A$47:$A$790,"&lt;="&amp;B219)+IF(B219&gt;$G$5,NETWORKDAYS($G$5+1,B219),0)</f>
        <v>27</v>
      </c>
      <c r="E219" s="3" t="n">
        <f aca="false">SUMIFS('Futures Data'!$E$5:$E$3471,'Futures Data'!$A$5:$A$3471,A219,'Futures Data'!$B$5:$B$3471,C219)</f>
        <v>25455</v>
      </c>
      <c r="F219" s="11" t="n">
        <f aca="false">_xlfn.MINIFS('Futures Data'!$B$5:$B$3471,'Futures Data'!$A$5:$A$3471,A219,'Futures Data'!$B$5:$B$3471,"&gt;"&amp;C219)</f>
        <v>45524</v>
      </c>
      <c r="G219" s="3" t="n">
        <f aca="false">SUMIFS('Futures Data'!$E$5:$E$3471,'Futures Data'!$A$5:$A$3471,A219,'Futures Data'!$B$5:$B$3471,F219)</f>
        <v>55</v>
      </c>
      <c r="H219" s="9" t="b">
        <f aca="false">G219&gt;E219</f>
        <v>0</v>
      </c>
      <c r="I219" s="9" t="b">
        <f aca="false">C219&lt;&gt;B219</f>
        <v>0</v>
      </c>
      <c r="J219" s="3" t="n">
        <f aca="false">SUMIFS('Futures Data'!$C$5:$C$3471,'Futures Data'!$A$5:$A$3471,A219,'Futures Data'!$B$5:$B$3471,B219)</f>
        <v>5768</v>
      </c>
      <c r="K219" s="3" t="n">
        <f aca="false">SUMIFS('Futures Data'!$C$5:$C$3471,'Futures Data'!$A$5:$A$3471,A219,'Futures Data'!$B$5:$B$3471,C219)</f>
        <v>5768</v>
      </c>
      <c r="L219" s="3" t="n">
        <f aca="false">K219-J219</f>
        <v>0</v>
      </c>
      <c r="M219" s="3" t="n">
        <f aca="false">M220+L219</f>
        <v>1587</v>
      </c>
      <c r="N219" s="3" t="n">
        <f aca="false">J219+M219</f>
        <v>7355</v>
      </c>
      <c r="O219" s="13" t="n">
        <f aca="false">LN(J219/K218)</f>
        <v>-0.00328862260905375</v>
      </c>
      <c r="P219" s="13" t="n">
        <f aca="false">LN(N219/N218)</f>
        <v>-0.00257994575855198</v>
      </c>
      <c r="Q219" s="3" t="n">
        <f aca="false">SUMIFS('Futures Data'!$D$5:$D$3471,'Futures Data'!$A$5:$A$3471,A219,'Futures Data'!$B$5:$B$3471,B219)</f>
        <v>6900</v>
      </c>
      <c r="R219" s="7" t="n">
        <v>45492</v>
      </c>
      <c r="S219" s="9" t="b">
        <f aca="false">C219=R219</f>
        <v>1</v>
      </c>
      <c r="T219" s="9" t="b">
        <f aca="false">ABS(O219-LN(J219/SUMIFS('Futures Data'!$C$5:$C$3471,'Futures Data'!$A$5:$A$3471,A218,'Futures Data'!$B$5:$B$3471,B219)))&lt;0.000000001</f>
        <v>1</v>
      </c>
    </row>
    <row r="220" customFormat="false" ht="15" hidden="false" customHeight="false" outlineLevel="0" collapsed="false">
      <c r="A220" s="7" t="n">
        <v>45454</v>
      </c>
      <c r="B220" s="11" t="n">
        <f aca="false">C219</f>
        <v>45492</v>
      </c>
      <c r="C220" s="11" t="n">
        <f aca="false">IF(OR(H219,D220&lt;=$G$4),_xlfn.MINIFS('Futures Data'!$B$5:$B$3471,'Futures Data'!$A$5:$A$3471,A220,'Futures Data'!$B$5:$B$3471,"&gt;"&amp;B220),B220)</f>
        <v>45492</v>
      </c>
      <c r="D220" s="3" t="n">
        <f aca="false">COUNTIFS($A$47:$A$790,"&gt;"&amp;A220,$A$47:$A$790,"&lt;="&amp;B220)+IF(B220&gt;$G$5,NETWORKDAYS($G$5+1,B220),0)</f>
        <v>26</v>
      </c>
      <c r="E220" s="3" t="n">
        <f aca="false">SUMIFS('Futures Data'!$E$5:$E$3471,'Futures Data'!$A$5:$A$3471,A220,'Futures Data'!$B$5:$B$3471,C220)</f>
        <v>28200</v>
      </c>
      <c r="F220" s="11" t="n">
        <f aca="false">_xlfn.MINIFS('Futures Data'!$B$5:$B$3471,'Futures Data'!$A$5:$A$3471,A220,'Futures Data'!$B$5:$B$3471,"&gt;"&amp;C220)</f>
        <v>45524</v>
      </c>
      <c r="G220" s="3" t="n">
        <f aca="false">SUMIFS('Futures Data'!$E$5:$E$3471,'Futures Data'!$A$5:$A$3471,A220,'Futures Data'!$B$5:$B$3471,F220)</f>
        <v>55</v>
      </c>
      <c r="H220" s="9" t="b">
        <f aca="false">G220&gt;E220</f>
        <v>0</v>
      </c>
      <c r="I220" s="9" t="b">
        <f aca="false">C220&lt;&gt;B220</f>
        <v>0</v>
      </c>
      <c r="J220" s="3" t="n">
        <f aca="false">SUMIFS('Futures Data'!$C$5:$C$3471,'Futures Data'!$A$5:$A$3471,A220,'Futures Data'!$B$5:$B$3471,B220)</f>
        <v>5757</v>
      </c>
      <c r="K220" s="3" t="n">
        <f aca="false">SUMIFS('Futures Data'!$C$5:$C$3471,'Futures Data'!$A$5:$A$3471,A220,'Futures Data'!$B$5:$B$3471,C220)</f>
        <v>5757</v>
      </c>
      <c r="L220" s="3" t="n">
        <f aca="false">K220-J220</f>
        <v>0</v>
      </c>
      <c r="M220" s="3" t="n">
        <f aca="false">M221+L220</f>
        <v>1587</v>
      </c>
      <c r="N220" s="3" t="n">
        <f aca="false">J220+M220</f>
        <v>7344</v>
      </c>
      <c r="O220" s="13" t="n">
        <f aca="false">LN(J220/K219)</f>
        <v>-0.00190889428897546</v>
      </c>
      <c r="P220" s="13" t="n">
        <f aca="false">LN(N220/N219)</f>
        <v>-0.00149670073521151</v>
      </c>
      <c r="Q220" s="3" t="n">
        <f aca="false">SUMIFS('Futures Data'!$D$5:$D$3471,'Futures Data'!$A$5:$A$3471,A220,'Futures Data'!$B$5:$B$3471,B220)</f>
        <v>4830</v>
      </c>
      <c r="R220" s="7" t="n">
        <v>45492</v>
      </c>
      <c r="S220" s="9" t="b">
        <f aca="false">C220=R220</f>
        <v>1</v>
      </c>
      <c r="T220" s="9" t="b">
        <f aca="false">ABS(O220-LN(J220/SUMIFS('Futures Data'!$C$5:$C$3471,'Futures Data'!$A$5:$A$3471,A219,'Futures Data'!$B$5:$B$3471,B220)))&lt;0.000000001</f>
        <v>1</v>
      </c>
    </row>
    <row r="221" customFormat="false" ht="15" hidden="false" customHeight="false" outlineLevel="0" collapsed="false">
      <c r="A221" s="7" t="n">
        <v>45455</v>
      </c>
      <c r="B221" s="11" t="n">
        <f aca="false">C220</f>
        <v>45492</v>
      </c>
      <c r="C221" s="11" t="n">
        <f aca="false">IF(OR(H220,D221&lt;=$G$4),_xlfn.MINIFS('Futures Data'!$B$5:$B$3471,'Futures Data'!$A$5:$A$3471,A221,'Futures Data'!$B$5:$B$3471,"&gt;"&amp;B221),B221)</f>
        <v>45492</v>
      </c>
      <c r="D221" s="3" t="n">
        <f aca="false">COUNTIFS($A$47:$A$790,"&gt;"&amp;A221,$A$47:$A$790,"&lt;="&amp;B221)+IF(B221&gt;$G$5,NETWORKDAYS($G$5+1,B221),0)</f>
        <v>25</v>
      </c>
      <c r="E221" s="3" t="n">
        <f aca="false">SUMIFS('Futures Data'!$E$5:$E$3471,'Futures Data'!$A$5:$A$3471,A221,'Futures Data'!$B$5:$B$3471,C221)</f>
        <v>30060</v>
      </c>
      <c r="F221" s="11" t="n">
        <f aca="false">_xlfn.MINIFS('Futures Data'!$B$5:$B$3471,'Futures Data'!$A$5:$A$3471,A221,'Futures Data'!$B$5:$B$3471,"&gt;"&amp;C221)</f>
        <v>45524</v>
      </c>
      <c r="G221" s="3" t="n">
        <f aca="false">SUMIFS('Futures Data'!$E$5:$E$3471,'Futures Data'!$A$5:$A$3471,A221,'Futures Data'!$B$5:$B$3471,F221)</f>
        <v>60</v>
      </c>
      <c r="H221" s="9" t="b">
        <f aca="false">G221&gt;E221</f>
        <v>0</v>
      </c>
      <c r="I221" s="9" t="b">
        <f aca="false">C221&lt;&gt;B221</f>
        <v>0</v>
      </c>
      <c r="J221" s="3" t="n">
        <f aca="false">SUMIFS('Futures Data'!$C$5:$C$3471,'Futures Data'!$A$5:$A$3471,A221,'Futures Data'!$B$5:$B$3471,B221)</f>
        <v>5759</v>
      </c>
      <c r="K221" s="3" t="n">
        <f aca="false">SUMIFS('Futures Data'!$C$5:$C$3471,'Futures Data'!$A$5:$A$3471,A221,'Futures Data'!$B$5:$B$3471,C221)</f>
        <v>5759</v>
      </c>
      <c r="L221" s="3" t="n">
        <f aca="false">K221-J221</f>
        <v>0</v>
      </c>
      <c r="M221" s="3" t="n">
        <f aca="false">M222+L221</f>
        <v>1587</v>
      </c>
      <c r="N221" s="3" t="n">
        <f aca="false">J221+M221</f>
        <v>7346</v>
      </c>
      <c r="O221" s="13" t="n">
        <f aca="false">LN(J221/K220)</f>
        <v>0.000347342830862835</v>
      </c>
      <c r="P221" s="13" t="n">
        <f aca="false">LN(N221/N220)</f>
        <v>0.000272294079286301</v>
      </c>
      <c r="Q221" s="3" t="n">
        <f aca="false">SUMIFS('Futures Data'!$D$5:$D$3471,'Futures Data'!$A$5:$A$3471,A221,'Futures Data'!$B$5:$B$3471,B221)</f>
        <v>6275</v>
      </c>
      <c r="R221" s="7" t="n">
        <v>45492</v>
      </c>
      <c r="S221" s="9" t="b">
        <f aca="false">C221=R221</f>
        <v>1</v>
      </c>
      <c r="T221" s="9" t="b">
        <f aca="false">ABS(O221-LN(J221/SUMIFS('Futures Data'!$C$5:$C$3471,'Futures Data'!$A$5:$A$3471,A220,'Futures Data'!$B$5:$B$3471,B221)))&lt;0.000000001</f>
        <v>1</v>
      </c>
    </row>
    <row r="222" customFormat="false" ht="15" hidden="false" customHeight="false" outlineLevel="0" collapsed="false">
      <c r="A222" s="7" t="n">
        <v>45456</v>
      </c>
      <c r="B222" s="11" t="n">
        <f aca="false">C221</f>
        <v>45492</v>
      </c>
      <c r="C222" s="11" t="n">
        <f aca="false">IF(OR(H221,D222&lt;=$G$4),_xlfn.MINIFS('Futures Data'!$B$5:$B$3471,'Futures Data'!$A$5:$A$3471,A222,'Futures Data'!$B$5:$B$3471,"&gt;"&amp;B222),B222)</f>
        <v>45492</v>
      </c>
      <c r="D222" s="3" t="n">
        <f aca="false">COUNTIFS($A$47:$A$790,"&gt;"&amp;A222,$A$47:$A$790,"&lt;="&amp;B222)+IF(B222&gt;$G$5,NETWORKDAYS($G$5+1,B222),0)</f>
        <v>24</v>
      </c>
      <c r="E222" s="3" t="n">
        <f aca="false">SUMIFS('Futures Data'!$E$5:$E$3471,'Futures Data'!$A$5:$A$3471,A222,'Futures Data'!$B$5:$B$3471,C222)</f>
        <v>32610</v>
      </c>
      <c r="F222" s="11" t="n">
        <f aca="false">_xlfn.MINIFS('Futures Data'!$B$5:$B$3471,'Futures Data'!$A$5:$A$3471,A222,'Futures Data'!$B$5:$B$3471,"&gt;"&amp;C222)</f>
        <v>45524</v>
      </c>
      <c r="G222" s="3" t="n">
        <f aca="false">SUMIFS('Futures Data'!$E$5:$E$3471,'Futures Data'!$A$5:$A$3471,A222,'Futures Data'!$B$5:$B$3471,F222)</f>
        <v>60</v>
      </c>
      <c r="H222" s="9" t="b">
        <f aca="false">G222&gt;E222</f>
        <v>0</v>
      </c>
      <c r="I222" s="9" t="b">
        <f aca="false">C222&lt;&gt;B222</f>
        <v>0</v>
      </c>
      <c r="J222" s="3" t="n">
        <f aca="false">SUMIFS('Futures Data'!$C$5:$C$3471,'Futures Data'!$A$5:$A$3471,A222,'Futures Data'!$B$5:$B$3471,B222)</f>
        <v>5778</v>
      </c>
      <c r="K222" s="3" t="n">
        <f aca="false">SUMIFS('Futures Data'!$C$5:$C$3471,'Futures Data'!$A$5:$A$3471,A222,'Futures Data'!$B$5:$B$3471,C222)</f>
        <v>5778</v>
      </c>
      <c r="L222" s="3" t="n">
        <f aca="false">K222-J222</f>
        <v>0</v>
      </c>
      <c r="M222" s="3" t="n">
        <f aca="false">M223+L222</f>
        <v>1587</v>
      </c>
      <c r="N222" s="3" t="n">
        <f aca="false">J222+M222</f>
        <v>7365</v>
      </c>
      <c r="O222" s="13" t="n">
        <f aca="false">LN(J222/K221)</f>
        <v>0.00329375351950825</v>
      </c>
      <c r="P222" s="13" t="n">
        <f aca="false">LN(N222/N221)</f>
        <v>0.00258310251711798</v>
      </c>
      <c r="Q222" s="3" t="n">
        <f aca="false">SUMIFS('Futures Data'!$D$5:$D$3471,'Futures Data'!$A$5:$A$3471,A222,'Futures Data'!$B$5:$B$3471,B222)</f>
        <v>6855</v>
      </c>
      <c r="R222" s="7" t="n">
        <v>45492</v>
      </c>
      <c r="S222" s="9" t="b">
        <f aca="false">C222=R222</f>
        <v>1</v>
      </c>
      <c r="T222" s="9" t="b">
        <f aca="false">ABS(O222-LN(J222/SUMIFS('Futures Data'!$C$5:$C$3471,'Futures Data'!$A$5:$A$3471,A221,'Futures Data'!$B$5:$B$3471,B222)))&lt;0.000000001</f>
        <v>1</v>
      </c>
    </row>
    <row r="223" customFormat="false" ht="15" hidden="false" customHeight="false" outlineLevel="0" collapsed="false">
      <c r="A223" s="7" t="n">
        <v>45457</v>
      </c>
      <c r="B223" s="11" t="n">
        <f aca="false">C222</f>
        <v>45492</v>
      </c>
      <c r="C223" s="11" t="n">
        <f aca="false">IF(OR(H222,D223&lt;=$G$4),_xlfn.MINIFS('Futures Data'!$B$5:$B$3471,'Futures Data'!$A$5:$A$3471,A223,'Futures Data'!$B$5:$B$3471,"&gt;"&amp;B223),B223)</f>
        <v>45492</v>
      </c>
      <c r="D223" s="3" t="n">
        <f aca="false">COUNTIFS($A$47:$A$790,"&gt;"&amp;A223,$A$47:$A$790,"&lt;="&amp;B223)+IF(B223&gt;$G$5,NETWORKDAYS($G$5+1,B223),0)</f>
        <v>23</v>
      </c>
      <c r="E223" s="3" t="n">
        <f aca="false">SUMIFS('Futures Data'!$E$5:$E$3471,'Futures Data'!$A$5:$A$3471,A223,'Futures Data'!$B$5:$B$3471,C223)</f>
        <v>33320</v>
      </c>
      <c r="F223" s="11" t="n">
        <f aca="false">_xlfn.MINIFS('Futures Data'!$B$5:$B$3471,'Futures Data'!$A$5:$A$3471,A223,'Futures Data'!$B$5:$B$3471,"&gt;"&amp;C223)</f>
        <v>45524</v>
      </c>
      <c r="G223" s="3" t="n">
        <f aca="false">SUMIFS('Futures Data'!$E$5:$E$3471,'Futures Data'!$A$5:$A$3471,A223,'Futures Data'!$B$5:$B$3471,F223)</f>
        <v>65</v>
      </c>
      <c r="H223" s="9" t="b">
        <f aca="false">G223&gt;E223</f>
        <v>0</v>
      </c>
      <c r="I223" s="9" t="b">
        <f aca="false">C223&lt;&gt;B223</f>
        <v>0</v>
      </c>
      <c r="J223" s="3" t="n">
        <f aca="false">SUMIFS('Futures Data'!$C$5:$C$3471,'Futures Data'!$A$5:$A$3471,A223,'Futures Data'!$B$5:$B$3471,B223)</f>
        <v>5811</v>
      </c>
      <c r="K223" s="3" t="n">
        <f aca="false">SUMIFS('Futures Data'!$C$5:$C$3471,'Futures Data'!$A$5:$A$3471,A223,'Futures Data'!$B$5:$B$3471,C223)</f>
        <v>5811</v>
      </c>
      <c r="L223" s="3" t="n">
        <f aca="false">K223-J223</f>
        <v>0</v>
      </c>
      <c r="M223" s="3" t="n">
        <f aca="false">M224+L223</f>
        <v>1587</v>
      </c>
      <c r="N223" s="3" t="n">
        <f aca="false">J223+M223</f>
        <v>7398</v>
      </c>
      <c r="O223" s="13" t="n">
        <f aca="false">LN(J223/K222)</f>
        <v>0.00569507104892503</v>
      </c>
      <c r="P223" s="13" t="n">
        <f aca="false">LN(N223/N222)</f>
        <v>0.00447064349566861</v>
      </c>
      <c r="Q223" s="3" t="n">
        <f aca="false">SUMIFS('Futures Data'!$D$5:$D$3471,'Futures Data'!$A$5:$A$3471,A223,'Futures Data'!$B$5:$B$3471,B223)</f>
        <v>6380</v>
      </c>
      <c r="R223" s="7" t="n">
        <v>45492</v>
      </c>
      <c r="S223" s="9" t="b">
        <f aca="false">C223=R223</f>
        <v>1</v>
      </c>
      <c r="T223" s="9" t="b">
        <f aca="false">ABS(O223-LN(J223/SUMIFS('Futures Data'!$C$5:$C$3471,'Futures Data'!$A$5:$A$3471,A222,'Futures Data'!$B$5:$B$3471,B223)))&lt;0.000000001</f>
        <v>1</v>
      </c>
    </row>
    <row r="224" customFormat="false" ht="15" hidden="false" customHeight="false" outlineLevel="0" collapsed="false">
      <c r="A224" s="7" t="n">
        <v>45461</v>
      </c>
      <c r="B224" s="11" t="n">
        <f aca="false">C223</f>
        <v>45492</v>
      </c>
      <c r="C224" s="11" t="n">
        <f aca="false">IF(OR(H223,D224&lt;=$G$4),_xlfn.MINIFS('Futures Data'!$B$5:$B$3471,'Futures Data'!$A$5:$A$3471,A224,'Futures Data'!$B$5:$B$3471,"&gt;"&amp;B224),B224)</f>
        <v>45492</v>
      </c>
      <c r="D224" s="3" t="n">
        <f aca="false">COUNTIFS($A$47:$A$790,"&gt;"&amp;A224,$A$47:$A$790,"&lt;="&amp;B224)+IF(B224&gt;$G$5,NETWORKDAYS($G$5+1,B224),0)</f>
        <v>22</v>
      </c>
      <c r="E224" s="3" t="n">
        <f aca="false">SUMIFS('Futures Data'!$E$5:$E$3471,'Futures Data'!$A$5:$A$3471,A224,'Futures Data'!$B$5:$B$3471,C224)</f>
        <v>33815</v>
      </c>
      <c r="F224" s="11" t="n">
        <f aca="false">_xlfn.MINIFS('Futures Data'!$B$5:$B$3471,'Futures Data'!$A$5:$A$3471,A224,'Futures Data'!$B$5:$B$3471,"&gt;"&amp;C224)</f>
        <v>45524</v>
      </c>
      <c r="G224" s="3" t="n">
        <f aca="false">SUMIFS('Futures Data'!$E$5:$E$3471,'Futures Data'!$A$5:$A$3471,A224,'Futures Data'!$B$5:$B$3471,F224)</f>
        <v>240</v>
      </c>
      <c r="H224" s="9" t="b">
        <f aca="false">G224&gt;E224</f>
        <v>0</v>
      </c>
      <c r="I224" s="9" t="b">
        <f aca="false">C224&lt;&gt;B224</f>
        <v>0</v>
      </c>
      <c r="J224" s="3" t="n">
        <f aca="false">SUMIFS('Futures Data'!$C$5:$C$3471,'Futures Data'!$A$5:$A$3471,A224,'Futures Data'!$B$5:$B$3471,B224)</f>
        <v>5765</v>
      </c>
      <c r="K224" s="3" t="n">
        <f aca="false">SUMIFS('Futures Data'!$C$5:$C$3471,'Futures Data'!$A$5:$A$3471,A224,'Futures Data'!$B$5:$B$3471,C224)</f>
        <v>5765</v>
      </c>
      <c r="L224" s="3" t="n">
        <f aca="false">K224-J224</f>
        <v>0</v>
      </c>
      <c r="M224" s="3" t="n">
        <f aca="false">M225+L224</f>
        <v>1587</v>
      </c>
      <c r="N224" s="3" t="n">
        <f aca="false">J224+M224</f>
        <v>7352</v>
      </c>
      <c r="O224" s="13" t="n">
        <f aca="false">LN(J224/K223)</f>
        <v>-0.00794751937194621</v>
      </c>
      <c r="P224" s="13" t="n">
        <f aca="false">LN(N224/N223)</f>
        <v>-0.00623730835687634</v>
      </c>
      <c r="Q224" s="3" t="n">
        <f aca="false">SUMIFS('Futures Data'!$D$5:$D$3471,'Futures Data'!$A$5:$A$3471,A224,'Futures Data'!$B$5:$B$3471,B224)</f>
        <v>3570</v>
      </c>
      <c r="R224" s="7" t="n">
        <v>45492</v>
      </c>
      <c r="S224" s="9" t="b">
        <f aca="false">C224=R224</f>
        <v>1</v>
      </c>
      <c r="T224" s="9" t="b">
        <f aca="false">ABS(O224-LN(J224/SUMIFS('Futures Data'!$C$5:$C$3471,'Futures Data'!$A$5:$A$3471,A223,'Futures Data'!$B$5:$B$3471,B224)))&lt;0.000000001</f>
        <v>1</v>
      </c>
    </row>
    <row r="225" customFormat="false" ht="15" hidden="false" customHeight="false" outlineLevel="0" collapsed="false">
      <c r="A225" s="7" t="n">
        <v>45462</v>
      </c>
      <c r="B225" s="11" t="n">
        <f aca="false">C224</f>
        <v>45492</v>
      </c>
      <c r="C225" s="11" t="n">
        <f aca="false">IF(OR(H224,D225&lt;=$G$4),_xlfn.MINIFS('Futures Data'!$B$5:$B$3471,'Futures Data'!$A$5:$A$3471,A225,'Futures Data'!$B$5:$B$3471,"&gt;"&amp;B225),B225)</f>
        <v>45492</v>
      </c>
      <c r="D225" s="3" t="n">
        <f aca="false">COUNTIFS($A$47:$A$790,"&gt;"&amp;A225,$A$47:$A$790,"&lt;="&amp;B225)+IF(B225&gt;$G$5,NETWORKDAYS($G$5+1,B225),0)</f>
        <v>21</v>
      </c>
      <c r="E225" s="3" t="n">
        <f aca="false">SUMIFS('Futures Data'!$E$5:$E$3471,'Futures Data'!$A$5:$A$3471,A225,'Futures Data'!$B$5:$B$3471,C225)</f>
        <v>34085</v>
      </c>
      <c r="F225" s="11" t="n">
        <f aca="false">_xlfn.MINIFS('Futures Data'!$B$5:$B$3471,'Futures Data'!$A$5:$A$3471,A225,'Futures Data'!$B$5:$B$3471,"&gt;"&amp;C225)</f>
        <v>45524</v>
      </c>
      <c r="G225" s="3" t="n">
        <f aca="false">SUMIFS('Futures Data'!$E$5:$E$3471,'Futures Data'!$A$5:$A$3471,A225,'Futures Data'!$B$5:$B$3471,F225)</f>
        <v>295</v>
      </c>
      <c r="H225" s="9" t="b">
        <f aca="false">G225&gt;E225</f>
        <v>0</v>
      </c>
      <c r="I225" s="9" t="b">
        <f aca="false">C225&lt;&gt;B225</f>
        <v>0</v>
      </c>
      <c r="J225" s="3" t="n">
        <f aca="false">SUMIFS('Futures Data'!$C$5:$C$3471,'Futures Data'!$A$5:$A$3471,A225,'Futures Data'!$B$5:$B$3471,B225)</f>
        <v>5763</v>
      </c>
      <c r="K225" s="3" t="n">
        <f aca="false">SUMIFS('Futures Data'!$C$5:$C$3471,'Futures Data'!$A$5:$A$3471,A225,'Futures Data'!$B$5:$B$3471,C225)</f>
        <v>5763</v>
      </c>
      <c r="L225" s="3" t="n">
        <f aca="false">K225-J225</f>
        <v>0</v>
      </c>
      <c r="M225" s="3" t="n">
        <f aca="false">M226+L225</f>
        <v>1587</v>
      </c>
      <c r="N225" s="3" t="n">
        <f aca="false">J225+M225</f>
        <v>7350</v>
      </c>
      <c r="O225" s="13" t="n">
        <f aca="false">LN(J225/K224)</f>
        <v>-0.000346981266493035</v>
      </c>
      <c r="P225" s="13" t="n">
        <f aca="false">LN(N225/N224)</f>
        <v>-0.000272071828640611</v>
      </c>
      <c r="Q225" s="3" t="n">
        <f aca="false">SUMIFS('Futures Data'!$D$5:$D$3471,'Futures Data'!$A$5:$A$3471,A225,'Futures Data'!$B$5:$B$3471,B225)</f>
        <v>3395</v>
      </c>
      <c r="R225" s="7" t="n">
        <v>45492</v>
      </c>
      <c r="S225" s="9" t="b">
        <f aca="false">C225=R225</f>
        <v>1</v>
      </c>
      <c r="T225" s="9" t="b">
        <f aca="false">ABS(O225-LN(J225/SUMIFS('Futures Data'!$C$5:$C$3471,'Futures Data'!$A$5:$A$3471,A224,'Futures Data'!$B$5:$B$3471,B225)))&lt;0.000000001</f>
        <v>1</v>
      </c>
    </row>
    <row r="226" customFormat="false" ht="15" hidden="false" customHeight="false" outlineLevel="0" collapsed="false">
      <c r="A226" s="7" t="n">
        <v>45463</v>
      </c>
      <c r="B226" s="11" t="n">
        <f aca="false">C225</f>
        <v>45492</v>
      </c>
      <c r="C226" s="11" t="n">
        <f aca="false">IF(OR(H225,D226&lt;=$G$4),_xlfn.MINIFS('Futures Data'!$B$5:$B$3471,'Futures Data'!$A$5:$A$3471,A226,'Futures Data'!$B$5:$B$3471,"&gt;"&amp;B226),B226)</f>
        <v>45492</v>
      </c>
      <c r="D226" s="3" t="n">
        <f aca="false">COUNTIFS($A$47:$A$790,"&gt;"&amp;A226,$A$47:$A$790,"&lt;="&amp;B226)+IF(B226&gt;$G$5,NETWORKDAYS($G$5+1,B226),0)</f>
        <v>20</v>
      </c>
      <c r="E226" s="3" t="n">
        <f aca="false">SUMIFS('Futures Data'!$E$5:$E$3471,'Futures Data'!$A$5:$A$3471,A226,'Futures Data'!$B$5:$B$3471,C226)</f>
        <v>33110</v>
      </c>
      <c r="F226" s="11" t="n">
        <f aca="false">_xlfn.MINIFS('Futures Data'!$B$5:$B$3471,'Futures Data'!$A$5:$A$3471,A226,'Futures Data'!$B$5:$B$3471,"&gt;"&amp;C226)</f>
        <v>45524</v>
      </c>
      <c r="G226" s="3" t="n">
        <f aca="false">SUMIFS('Futures Data'!$E$5:$E$3471,'Futures Data'!$A$5:$A$3471,A226,'Futures Data'!$B$5:$B$3471,F226)</f>
        <v>1850</v>
      </c>
      <c r="H226" s="9" t="b">
        <f aca="false">G226&gt;E226</f>
        <v>0</v>
      </c>
      <c r="I226" s="9" t="b">
        <f aca="false">C226&lt;&gt;B226</f>
        <v>0</v>
      </c>
      <c r="J226" s="3" t="n">
        <f aca="false">SUMIFS('Futures Data'!$C$5:$C$3471,'Futures Data'!$A$5:$A$3471,A226,'Futures Data'!$B$5:$B$3471,B226)</f>
        <v>5775</v>
      </c>
      <c r="K226" s="3" t="n">
        <f aca="false">SUMIFS('Futures Data'!$C$5:$C$3471,'Futures Data'!$A$5:$A$3471,A226,'Futures Data'!$B$5:$B$3471,C226)</f>
        <v>5775</v>
      </c>
      <c r="L226" s="3" t="n">
        <f aca="false">K226-J226</f>
        <v>0</v>
      </c>
      <c r="M226" s="3" t="n">
        <f aca="false">M227+L226</f>
        <v>1587</v>
      </c>
      <c r="N226" s="3" t="n">
        <f aca="false">J226+M226</f>
        <v>7362</v>
      </c>
      <c r="O226" s="13" t="n">
        <f aca="false">LN(J226/K225)</f>
        <v>0.00208008395332801</v>
      </c>
      <c r="P226" s="13" t="n">
        <f aca="false">LN(N226/N225)</f>
        <v>0.0016313217320841</v>
      </c>
      <c r="Q226" s="3" t="n">
        <f aca="false">SUMIFS('Futures Data'!$D$5:$D$3471,'Futures Data'!$A$5:$A$3471,A226,'Futures Data'!$B$5:$B$3471,B226)</f>
        <v>3370</v>
      </c>
      <c r="R226" s="7" t="n">
        <v>45492</v>
      </c>
      <c r="S226" s="9" t="b">
        <f aca="false">C226=R226</f>
        <v>1</v>
      </c>
      <c r="T226" s="9" t="b">
        <f aca="false">ABS(O226-LN(J226/SUMIFS('Futures Data'!$C$5:$C$3471,'Futures Data'!$A$5:$A$3471,A225,'Futures Data'!$B$5:$B$3471,B226)))&lt;0.000000001</f>
        <v>1</v>
      </c>
    </row>
    <row r="227" customFormat="false" ht="15" hidden="false" customHeight="false" outlineLevel="0" collapsed="false">
      <c r="A227" s="7" t="n">
        <v>45464</v>
      </c>
      <c r="B227" s="11" t="n">
        <f aca="false">C226</f>
        <v>45492</v>
      </c>
      <c r="C227" s="11" t="n">
        <f aca="false">IF(OR(H226,D227&lt;=$G$4),_xlfn.MINIFS('Futures Data'!$B$5:$B$3471,'Futures Data'!$A$5:$A$3471,A227,'Futures Data'!$B$5:$B$3471,"&gt;"&amp;B227),B227)</f>
        <v>45492</v>
      </c>
      <c r="D227" s="3" t="n">
        <f aca="false">COUNTIFS($A$47:$A$790,"&gt;"&amp;A227,$A$47:$A$790,"&lt;="&amp;B227)+IF(B227&gt;$G$5,NETWORKDAYS($G$5+1,B227),0)</f>
        <v>19</v>
      </c>
      <c r="E227" s="3" t="n">
        <f aca="false">SUMIFS('Futures Data'!$E$5:$E$3471,'Futures Data'!$A$5:$A$3471,A227,'Futures Data'!$B$5:$B$3471,C227)</f>
        <v>31785</v>
      </c>
      <c r="F227" s="11" t="n">
        <f aca="false">_xlfn.MINIFS('Futures Data'!$B$5:$B$3471,'Futures Data'!$A$5:$A$3471,A227,'Futures Data'!$B$5:$B$3471,"&gt;"&amp;C227)</f>
        <v>45524</v>
      </c>
      <c r="G227" s="3" t="n">
        <f aca="false">SUMIFS('Futures Data'!$E$5:$E$3471,'Futures Data'!$A$5:$A$3471,A227,'Futures Data'!$B$5:$B$3471,F227)</f>
        <v>3145</v>
      </c>
      <c r="H227" s="9" t="b">
        <f aca="false">G227&gt;E227</f>
        <v>0</v>
      </c>
      <c r="I227" s="9" t="b">
        <f aca="false">C227&lt;&gt;B227</f>
        <v>0</v>
      </c>
      <c r="J227" s="3" t="n">
        <f aca="false">SUMIFS('Futures Data'!$C$5:$C$3471,'Futures Data'!$A$5:$A$3471,A227,'Futures Data'!$B$5:$B$3471,B227)</f>
        <v>5770</v>
      </c>
      <c r="K227" s="3" t="n">
        <f aca="false">SUMIFS('Futures Data'!$C$5:$C$3471,'Futures Data'!$A$5:$A$3471,A227,'Futures Data'!$B$5:$B$3471,C227)</f>
        <v>5770</v>
      </c>
      <c r="L227" s="3" t="n">
        <f aca="false">K227-J227</f>
        <v>0</v>
      </c>
      <c r="M227" s="3" t="n">
        <f aca="false">M228+L227</f>
        <v>1587</v>
      </c>
      <c r="N227" s="3" t="n">
        <f aca="false">J227+M227</f>
        <v>7357</v>
      </c>
      <c r="O227" s="13" t="n">
        <f aca="false">LN(J227/K226)</f>
        <v>-0.000866175887849082</v>
      </c>
      <c r="P227" s="13" t="n">
        <f aca="false">LN(N227/N226)</f>
        <v>-0.000679394006701964</v>
      </c>
      <c r="Q227" s="3" t="n">
        <f aca="false">SUMIFS('Futures Data'!$D$5:$D$3471,'Futures Data'!$A$5:$A$3471,A227,'Futures Data'!$B$5:$B$3471,B227)</f>
        <v>4405</v>
      </c>
      <c r="R227" s="7" t="n">
        <v>45492</v>
      </c>
      <c r="S227" s="9" t="b">
        <f aca="false">C227=R227</f>
        <v>1</v>
      </c>
      <c r="T227" s="9" t="b">
        <f aca="false">ABS(O227-LN(J227/SUMIFS('Futures Data'!$C$5:$C$3471,'Futures Data'!$A$5:$A$3471,A226,'Futures Data'!$B$5:$B$3471,B227)))&lt;0.000000001</f>
        <v>1</v>
      </c>
    </row>
    <row r="228" customFormat="false" ht="15" hidden="false" customHeight="false" outlineLevel="0" collapsed="false">
      <c r="A228" s="7" t="n">
        <v>45467</v>
      </c>
      <c r="B228" s="11" t="n">
        <f aca="false">C227</f>
        <v>45492</v>
      </c>
      <c r="C228" s="11" t="n">
        <f aca="false">IF(OR(H227,D228&lt;=$G$4),_xlfn.MINIFS('Futures Data'!$B$5:$B$3471,'Futures Data'!$A$5:$A$3471,A228,'Futures Data'!$B$5:$B$3471,"&gt;"&amp;B228),B228)</f>
        <v>45492</v>
      </c>
      <c r="D228" s="3" t="n">
        <f aca="false">COUNTIFS($A$47:$A$790,"&gt;"&amp;A228,$A$47:$A$790,"&lt;="&amp;B228)+IF(B228&gt;$G$5,NETWORKDAYS($G$5+1,B228),0)</f>
        <v>18</v>
      </c>
      <c r="E228" s="3" t="n">
        <f aca="false">SUMIFS('Futures Data'!$E$5:$E$3471,'Futures Data'!$A$5:$A$3471,A228,'Futures Data'!$B$5:$B$3471,C228)</f>
        <v>31360</v>
      </c>
      <c r="F228" s="11" t="n">
        <f aca="false">_xlfn.MINIFS('Futures Data'!$B$5:$B$3471,'Futures Data'!$A$5:$A$3471,A228,'Futures Data'!$B$5:$B$3471,"&gt;"&amp;C228)</f>
        <v>45524</v>
      </c>
      <c r="G228" s="3" t="n">
        <f aca="false">SUMIFS('Futures Data'!$E$5:$E$3471,'Futures Data'!$A$5:$A$3471,A228,'Futures Data'!$B$5:$B$3471,F228)</f>
        <v>4140</v>
      </c>
      <c r="H228" s="9" t="b">
        <f aca="false">G228&gt;E228</f>
        <v>0</v>
      </c>
      <c r="I228" s="9" t="b">
        <f aca="false">C228&lt;&gt;B228</f>
        <v>0</v>
      </c>
      <c r="J228" s="3" t="n">
        <f aca="false">SUMIFS('Futures Data'!$C$5:$C$3471,'Futures Data'!$A$5:$A$3471,A228,'Futures Data'!$B$5:$B$3471,B228)</f>
        <v>5774</v>
      </c>
      <c r="K228" s="3" t="n">
        <f aca="false">SUMIFS('Futures Data'!$C$5:$C$3471,'Futures Data'!$A$5:$A$3471,A228,'Futures Data'!$B$5:$B$3471,C228)</f>
        <v>5774</v>
      </c>
      <c r="L228" s="3" t="n">
        <f aca="false">K228-J228</f>
        <v>0</v>
      </c>
      <c r="M228" s="3" t="n">
        <f aca="false">M229+L228</f>
        <v>1587</v>
      </c>
      <c r="N228" s="3" t="n">
        <f aca="false">J228+M228</f>
        <v>7361</v>
      </c>
      <c r="O228" s="13" t="n">
        <f aca="false">LN(J228/K227)</f>
        <v>0.000693000720735241</v>
      </c>
      <c r="P228" s="13" t="n">
        <f aca="false">LN(N228/N227)</f>
        <v>0.000543552126441527</v>
      </c>
      <c r="Q228" s="3" t="n">
        <f aca="false">SUMIFS('Futures Data'!$D$5:$D$3471,'Futures Data'!$A$5:$A$3471,A228,'Futures Data'!$B$5:$B$3471,B228)</f>
        <v>3090</v>
      </c>
      <c r="R228" s="7" t="n">
        <v>45492</v>
      </c>
      <c r="S228" s="9" t="b">
        <f aca="false">C228=R228</f>
        <v>1</v>
      </c>
      <c r="T228" s="9" t="b">
        <f aca="false">ABS(O228-LN(J228/SUMIFS('Futures Data'!$C$5:$C$3471,'Futures Data'!$A$5:$A$3471,A227,'Futures Data'!$B$5:$B$3471,B228)))&lt;0.000000001</f>
        <v>1</v>
      </c>
    </row>
    <row r="229" customFormat="false" ht="15" hidden="false" customHeight="false" outlineLevel="0" collapsed="false">
      <c r="A229" s="7" t="n">
        <v>45468</v>
      </c>
      <c r="B229" s="11" t="n">
        <f aca="false">C228</f>
        <v>45492</v>
      </c>
      <c r="C229" s="11" t="n">
        <f aca="false">IF(OR(H228,D229&lt;=$G$4),_xlfn.MINIFS('Futures Data'!$B$5:$B$3471,'Futures Data'!$A$5:$A$3471,A229,'Futures Data'!$B$5:$B$3471,"&gt;"&amp;B229),B229)</f>
        <v>45492</v>
      </c>
      <c r="D229" s="3" t="n">
        <f aca="false">COUNTIFS($A$47:$A$790,"&gt;"&amp;A229,$A$47:$A$790,"&lt;="&amp;B229)+IF(B229&gt;$G$5,NETWORKDAYS($G$5+1,B229),0)</f>
        <v>17</v>
      </c>
      <c r="E229" s="3" t="n">
        <f aca="false">SUMIFS('Futures Data'!$E$5:$E$3471,'Futures Data'!$A$5:$A$3471,A229,'Futures Data'!$B$5:$B$3471,C229)</f>
        <v>29640</v>
      </c>
      <c r="F229" s="11" t="n">
        <f aca="false">_xlfn.MINIFS('Futures Data'!$B$5:$B$3471,'Futures Data'!$A$5:$A$3471,A229,'Futures Data'!$B$5:$B$3471,"&gt;"&amp;C229)</f>
        <v>45524</v>
      </c>
      <c r="G229" s="3" t="n">
        <f aca="false">SUMIFS('Futures Data'!$E$5:$E$3471,'Futures Data'!$A$5:$A$3471,A229,'Futures Data'!$B$5:$B$3471,F229)</f>
        <v>6205</v>
      </c>
      <c r="H229" s="9" t="b">
        <f aca="false">G229&gt;E229</f>
        <v>0</v>
      </c>
      <c r="I229" s="9" t="b">
        <f aca="false">C229&lt;&gt;B229</f>
        <v>0</v>
      </c>
      <c r="J229" s="3" t="n">
        <f aca="false">SUMIFS('Futures Data'!$C$5:$C$3471,'Futures Data'!$A$5:$A$3471,A229,'Futures Data'!$B$5:$B$3471,B229)</f>
        <v>5755</v>
      </c>
      <c r="K229" s="3" t="n">
        <f aca="false">SUMIFS('Futures Data'!$C$5:$C$3471,'Futures Data'!$A$5:$A$3471,A229,'Futures Data'!$B$5:$B$3471,C229)</f>
        <v>5755</v>
      </c>
      <c r="L229" s="3" t="n">
        <f aca="false">K229-J229</f>
        <v>0</v>
      </c>
      <c r="M229" s="3" t="n">
        <f aca="false">M230+L229</f>
        <v>1587</v>
      </c>
      <c r="N229" s="3" t="n">
        <f aca="false">J229+M229</f>
        <v>7342</v>
      </c>
      <c r="O229" s="13" t="n">
        <f aca="false">LN(J229/K228)</f>
        <v>-0.00329603906689743</v>
      </c>
      <c r="P229" s="13" t="n">
        <f aca="false">LN(N229/N228)</f>
        <v>-0.00258450800192636</v>
      </c>
      <c r="Q229" s="3" t="n">
        <f aca="false">SUMIFS('Futures Data'!$D$5:$D$3471,'Futures Data'!$A$5:$A$3471,A229,'Futures Data'!$B$5:$B$3471,B229)</f>
        <v>4055</v>
      </c>
      <c r="R229" s="7" t="n">
        <v>45492</v>
      </c>
      <c r="S229" s="9" t="b">
        <f aca="false">C229=R229</f>
        <v>1</v>
      </c>
      <c r="T229" s="9" t="b">
        <f aca="false">ABS(O229-LN(J229/SUMIFS('Futures Data'!$C$5:$C$3471,'Futures Data'!$A$5:$A$3471,A228,'Futures Data'!$B$5:$B$3471,B229)))&lt;0.000000001</f>
        <v>1</v>
      </c>
    </row>
    <row r="230" customFormat="false" ht="15" hidden="false" customHeight="false" outlineLevel="0" collapsed="false">
      <c r="A230" s="7" t="n">
        <v>45469</v>
      </c>
      <c r="B230" s="11" t="n">
        <f aca="false">C229</f>
        <v>45492</v>
      </c>
      <c r="C230" s="11" t="n">
        <f aca="false">IF(OR(H229,D230&lt;=$G$4),_xlfn.MINIFS('Futures Data'!$B$5:$B$3471,'Futures Data'!$A$5:$A$3471,A230,'Futures Data'!$B$5:$B$3471,"&gt;"&amp;B230),B230)</f>
        <v>45492</v>
      </c>
      <c r="D230" s="3" t="n">
        <f aca="false">COUNTIFS($A$47:$A$790,"&gt;"&amp;A230,$A$47:$A$790,"&lt;="&amp;B230)+IF(B230&gt;$G$5,NETWORKDAYS($G$5+1,B230),0)</f>
        <v>16</v>
      </c>
      <c r="E230" s="3" t="n">
        <f aca="false">SUMIFS('Futures Data'!$E$5:$E$3471,'Futures Data'!$A$5:$A$3471,A230,'Futures Data'!$B$5:$B$3471,C230)</f>
        <v>28295</v>
      </c>
      <c r="F230" s="11" t="n">
        <f aca="false">_xlfn.MINIFS('Futures Data'!$B$5:$B$3471,'Futures Data'!$A$5:$A$3471,A230,'Futures Data'!$B$5:$B$3471,"&gt;"&amp;C230)</f>
        <v>45524</v>
      </c>
      <c r="G230" s="3" t="n">
        <f aca="false">SUMIFS('Futures Data'!$E$5:$E$3471,'Futures Data'!$A$5:$A$3471,A230,'Futures Data'!$B$5:$B$3471,F230)</f>
        <v>7685</v>
      </c>
      <c r="H230" s="9" t="b">
        <f aca="false">G230&gt;E230</f>
        <v>0</v>
      </c>
      <c r="I230" s="9" t="b">
        <f aca="false">C230&lt;&gt;B230</f>
        <v>0</v>
      </c>
      <c r="J230" s="3" t="n">
        <f aca="false">SUMIFS('Futures Data'!$C$5:$C$3471,'Futures Data'!$A$5:$A$3471,A230,'Futures Data'!$B$5:$B$3471,B230)</f>
        <v>5761</v>
      </c>
      <c r="K230" s="3" t="n">
        <f aca="false">SUMIFS('Futures Data'!$C$5:$C$3471,'Futures Data'!$A$5:$A$3471,A230,'Futures Data'!$B$5:$B$3471,C230)</f>
        <v>5761</v>
      </c>
      <c r="L230" s="3" t="n">
        <f aca="false">K230-J230</f>
        <v>0</v>
      </c>
      <c r="M230" s="3" t="n">
        <f aca="false">M231+L230</f>
        <v>1587</v>
      </c>
      <c r="N230" s="3" t="n">
        <f aca="false">J230+M230</f>
        <v>7348</v>
      </c>
      <c r="O230" s="13" t="n">
        <f aca="false">LN(J230/K229)</f>
        <v>0.00104202857640009</v>
      </c>
      <c r="P230" s="13" t="n">
        <f aca="false">LN(N230/N229)</f>
        <v>0.000816882278236734</v>
      </c>
      <c r="Q230" s="3" t="n">
        <f aca="false">SUMIFS('Futures Data'!$D$5:$D$3471,'Futures Data'!$A$5:$A$3471,A230,'Futures Data'!$B$5:$B$3471,B230)</f>
        <v>3740</v>
      </c>
      <c r="R230" s="7" t="n">
        <v>45492</v>
      </c>
      <c r="S230" s="9" t="b">
        <f aca="false">C230=R230</f>
        <v>1</v>
      </c>
      <c r="T230" s="9" t="b">
        <f aca="false">ABS(O230-LN(J230/SUMIFS('Futures Data'!$C$5:$C$3471,'Futures Data'!$A$5:$A$3471,A229,'Futures Data'!$B$5:$B$3471,B230)))&lt;0.000000001</f>
        <v>1</v>
      </c>
    </row>
    <row r="231" customFormat="false" ht="15" hidden="false" customHeight="false" outlineLevel="0" collapsed="false">
      <c r="A231" s="7" t="n">
        <v>45470</v>
      </c>
      <c r="B231" s="11" t="n">
        <f aca="false">C230</f>
        <v>45492</v>
      </c>
      <c r="C231" s="11" t="n">
        <f aca="false">IF(OR(H230,D231&lt;=$G$4),_xlfn.MINIFS('Futures Data'!$B$5:$B$3471,'Futures Data'!$A$5:$A$3471,A231,'Futures Data'!$B$5:$B$3471,"&gt;"&amp;B231),B231)</f>
        <v>45492</v>
      </c>
      <c r="D231" s="3" t="n">
        <f aca="false">COUNTIFS($A$47:$A$790,"&gt;"&amp;A231,$A$47:$A$790,"&lt;="&amp;B231)+IF(B231&gt;$G$5,NETWORKDAYS($G$5+1,B231),0)</f>
        <v>15</v>
      </c>
      <c r="E231" s="3" t="n">
        <f aca="false">SUMIFS('Futures Data'!$E$5:$E$3471,'Futures Data'!$A$5:$A$3471,A231,'Futures Data'!$B$5:$B$3471,C231)</f>
        <v>27755</v>
      </c>
      <c r="F231" s="11" t="n">
        <f aca="false">_xlfn.MINIFS('Futures Data'!$B$5:$B$3471,'Futures Data'!$A$5:$A$3471,A231,'Futures Data'!$B$5:$B$3471,"&gt;"&amp;C231)</f>
        <v>45524</v>
      </c>
      <c r="G231" s="3" t="n">
        <f aca="false">SUMIFS('Futures Data'!$E$5:$E$3471,'Futures Data'!$A$5:$A$3471,A231,'Futures Data'!$B$5:$B$3471,F231)</f>
        <v>9145</v>
      </c>
      <c r="H231" s="9" t="b">
        <f aca="false">G231&gt;E231</f>
        <v>0</v>
      </c>
      <c r="I231" s="9" t="b">
        <f aca="false">C231&lt;&gt;B231</f>
        <v>0</v>
      </c>
      <c r="J231" s="3" t="n">
        <f aca="false">SUMIFS('Futures Data'!$C$5:$C$3471,'Futures Data'!$A$5:$A$3471,A231,'Futures Data'!$B$5:$B$3471,B231)</f>
        <v>5759</v>
      </c>
      <c r="K231" s="3" t="n">
        <f aca="false">SUMIFS('Futures Data'!$C$5:$C$3471,'Futures Data'!$A$5:$A$3471,A231,'Futures Data'!$B$5:$B$3471,C231)</f>
        <v>5759</v>
      </c>
      <c r="L231" s="3" t="n">
        <f aca="false">K231-J231</f>
        <v>0</v>
      </c>
      <c r="M231" s="3" t="n">
        <f aca="false">M232+L231</f>
        <v>1587</v>
      </c>
      <c r="N231" s="3" t="n">
        <f aca="false">J231+M231</f>
        <v>7346</v>
      </c>
      <c r="O231" s="13" t="n">
        <f aca="false">LN(J231/K230)</f>
        <v>-0.00034722222571069</v>
      </c>
      <c r="P231" s="13" t="n">
        <f aca="false">LN(N231/N230)</f>
        <v>-0.000272219955403647</v>
      </c>
      <c r="Q231" s="3" t="n">
        <f aca="false">SUMIFS('Futures Data'!$D$5:$D$3471,'Futures Data'!$A$5:$A$3471,A231,'Futures Data'!$B$5:$B$3471,B231)</f>
        <v>3890</v>
      </c>
      <c r="R231" s="7" t="n">
        <v>45492</v>
      </c>
      <c r="S231" s="9" t="b">
        <f aca="false">C231=R231</f>
        <v>1</v>
      </c>
      <c r="T231" s="9" t="b">
        <f aca="false">ABS(O231-LN(J231/SUMIFS('Futures Data'!$C$5:$C$3471,'Futures Data'!$A$5:$A$3471,A230,'Futures Data'!$B$5:$B$3471,B231)))&lt;0.000000001</f>
        <v>1</v>
      </c>
    </row>
    <row r="232" customFormat="false" ht="15" hidden="false" customHeight="false" outlineLevel="0" collapsed="false">
      <c r="A232" s="7" t="n">
        <v>45471</v>
      </c>
      <c r="B232" s="11" t="n">
        <f aca="false">C231</f>
        <v>45492</v>
      </c>
      <c r="C232" s="11" t="n">
        <f aca="false">IF(OR(H231,D232&lt;=$G$4),_xlfn.MINIFS('Futures Data'!$B$5:$B$3471,'Futures Data'!$A$5:$A$3471,A232,'Futures Data'!$B$5:$B$3471,"&gt;"&amp;B232),B232)</f>
        <v>45492</v>
      </c>
      <c r="D232" s="3" t="n">
        <f aca="false">COUNTIFS($A$47:$A$790,"&gt;"&amp;A232,$A$47:$A$790,"&lt;="&amp;B232)+IF(B232&gt;$G$5,NETWORKDAYS($G$5+1,B232),0)</f>
        <v>14</v>
      </c>
      <c r="E232" s="3" t="n">
        <f aca="false">SUMIFS('Futures Data'!$E$5:$E$3471,'Futures Data'!$A$5:$A$3471,A232,'Futures Data'!$B$5:$B$3471,C232)</f>
        <v>26210</v>
      </c>
      <c r="F232" s="11" t="n">
        <f aca="false">_xlfn.MINIFS('Futures Data'!$B$5:$B$3471,'Futures Data'!$A$5:$A$3471,A232,'Futures Data'!$B$5:$B$3471,"&gt;"&amp;C232)</f>
        <v>45524</v>
      </c>
      <c r="G232" s="3" t="n">
        <f aca="false">SUMIFS('Futures Data'!$E$5:$E$3471,'Futures Data'!$A$5:$A$3471,A232,'Futures Data'!$B$5:$B$3471,F232)</f>
        <v>9945</v>
      </c>
      <c r="H232" s="9" t="b">
        <f aca="false">G232&gt;E232</f>
        <v>0</v>
      </c>
      <c r="I232" s="9" t="b">
        <f aca="false">C232&lt;&gt;B232</f>
        <v>0</v>
      </c>
      <c r="J232" s="3" t="n">
        <f aca="false">SUMIFS('Futures Data'!$C$5:$C$3471,'Futures Data'!$A$5:$A$3471,A232,'Futures Data'!$B$5:$B$3471,B232)</f>
        <v>5754</v>
      </c>
      <c r="K232" s="3" t="n">
        <f aca="false">SUMIFS('Futures Data'!$C$5:$C$3471,'Futures Data'!$A$5:$A$3471,A232,'Futures Data'!$B$5:$B$3471,C232)</f>
        <v>5754</v>
      </c>
      <c r="L232" s="3" t="n">
        <f aca="false">K232-J232</f>
        <v>0</v>
      </c>
      <c r="M232" s="3" t="n">
        <f aca="false">M233+L232</f>
        <v>1587</v>
      </c>
      <c r="N232" s="3" t="n">
        <f aca="false">J232+M232</f>
        <v>7341</v>
      </c>
      <c r="O232" s="13" t="n">
        <f aca="false">LN(J232/K231)</f>
        <v>-0.000868583395179166</v>
      </c>
      <c r="P232" s="13" t="n">
        <f aca="false">LN(N232/N231)</f>
        <v>-0.000680874268831302</v>
      </c>
      <c r="Q232" s="3" t="n">
        <f aca="false">SUMIFS('Futures Data'!$D$5:$D$3471,'Futures Data'!$A$5:$A$3471,A232,'Futures Data'!$B$5:$B$3471,B232)</f>
        <v>2980</v>
      </c>
      <c r="R232" s="7" t="n">
        <v>45492</v>
      </c>
      <c r="S232" s="9" t="b">
        <f aca="false">C232=R232</f>
        <v>1</v>
      </c>
      <c r="T232" s="9" t="b">
        <f aca="false">ABS(O232-LN(J232/SUMIFS('Futures Data'!$C$5:$C$3471,'Futures Data'!$A$5:$A$3471,A231,'Futures Data'!$B$5:$B$3471,B232)))&lt;0.000000001</f>
        <v>1</v>
      </c>
    </row>
    <row r="233" customFormat="false" ht="15" hidden="false" customHeight="false" outlineLevel="0" collapsed="false">
      <c r="A233" s="7" t="n">
        <v>45474</v>
      </c>
      <c r="B233" s="11" t="n">
        <f aca="false">C232</f>
        <v>45492</v>
      </c>
      <c r="C233" s="11" t="n">
        <f aca="false">IF(OR(H232,D233&lt;=$G$4),_xlfn.MINIFS('Futures Data'!$B$5:$B$3471,'Futures Data'!$A$5:$A$3471,A233,'Futures Data'!$B$5:$B$3471,"&gt;"&amp;B233),B233)</f>
        <v>45492</v>
      </c>
      <c r="D233" s="3" t="n">
        <f aca="false">COUNTIFS($A$47:$A$790,"&gt;"&amp;A233,$A$47:$A$790,"&lt;="&amp;B233)+IF(B233&gt;$G$5,NETWORKDAYS($G$5+1,B233),0)</f>
        <v>13</v>
      </c>
      <c r="E233" s="3" t="n">
        <f aca="false">SUMIFS('Futures Data'!$E$5:$E$3471,'Futures Data'!$A$5:$A$3471,A233,'Futures Data'!$B$5:$B$3471,C233)</f>
        <v>23155</v>
      </c>
      <c r="F233" s="11" t="n">
        <f aca="false">_xlfn.MINIFS('Futures Data'!$B$5:$B$3471,'Futures Data'!$A$5:$A$3471,A233,'Futures Data'!$B$5:$B$3471,"&gt;"&amp;C233)</f>
        <v>45524</v>
      </c>
      <c r="G233" s="3" t="n">
        <f aca="false">SUMIFS('Futures Data'!$E$5:$E$3471,'Futures Data'!$A$5:$A$3471,A233,'Futures Data'!$B$5:$B$3471,F233)</f>
        <v>12760</v>
      </c>
      <c r="H233" s="9" t="b">
        <f aca="false">G233&gt;E233</f>
        <v>0</v>
      </c>
      <c r="I233" s="9" t="b">
        <f aca="false">C233&lt;&gt;B233</f>
        <v>0</v>
      </c>
      <c r="J233" s="3" t="n">
        <f aca="false">SUMIFS('Futures Data'!$C$5:$C$3471,'Futures Data'!$A$5:$A$3471,A233,'Futures Data'!$B$5:$B$3471,B233)</f>
        <v>5779</v>
      </c>
      <c r="K233" s="3" t="n">
        <f aca="false">SUMIFS('Futures Data'!$C$5:$C$3471,'Futures Data'!$A$5:$A$3471,A233,'Futures Data'!$B$5:$B$3471,C233)</f>
        <v>5779</v>
      </c>
      <c r="L233" s="3" t="n">
        <f aca="false">K233-J233</f>
        <v>0</v>
      </c>
      <c r="M233" s="3" t="n">
        <f aca="false">M234+L233</f>
        <v>1587</v>
      </c>
      <c r="N233" s="3" t="n">
        <f aca="false">J233+M233</f>
        <v>7366</v>
      </c>
      <c r="O233" s="13" t="n">
        <f aca="false">LN(J233/K232)</f>
        <v>0.00433539220628469</v>
      </c>
      <c r="P233" s="13" t="n">
        <f aca="false">LN(N233/N232)</f>
        <v>0.00339974489422934</v>
      </c>
      <c r="Q233" s="3" t="n">
        <f aca="false">SUMIFS('Futures Data'!$D$5:$D$3471,'Futures Data'!$A$5:$A$3471,A233,'Futures Data'!$B$5:$B$3471,B233)</f>
        <v>5130</v>
      </c>
      <c r="R233" s="7" t="n">
        <v>45492</v>
      </c>
      <c r="S233" s="9" t="b">
        <f aca="false">C233=R233</f>
        <v>1</v>
      </c>
      <c r="T233" s="9" t="b">
        <f aca="false">ABS(O233-LN(J233/SUMIFS('Futures Data'!$C$5:$C$3471,'Futures Data'!$A$5:$A$3471,A232,'Futures Data'!$B$5:$B$3471,B233)))&lt;0.000000001</f>
        <v>1</v>
      </c>
    </row>
    <row r="234" customFormat="false" ht="15" hidden="false" customHeight="false" outlineLevel="0" collapsed="false">
      <c r="A234" s="7" t="n">
        <v>45475</v>
      </c>
      <c r="B234" s="11" t="n">
        <f aca="false">C233</f>
        <v>45492</v>
      </c>
      <c r="C234" s="11" t="n">
        <f aca="false">IF(OR(H233,D234&lt;=$G$4),_xlfn.MINIFS('Futures Data'!$B$5:$B$3471,'Futures Data'!$A$5:$A$3471,A234,'Futures Data'!$B$5:$B$3471,"&gt;"&amp;B234),B234)</f>
        <v>45492</v>
      </c>
      <c r="D234" s="3" t="n">
        <f aca="false">COUNTIFS($A$47:$A$790,"&gt;"&amp;A234,$A$47:$A$790,"&lt;="&amp;B234)+IF(B234&gt;$G$5,NETWORKDAYS($G$5+1,B234),0)</f>
        <v>12</v>
      </c>
      <c r="E234" s="3" t="n">
        <f aca="false">SUMIFS('Futures Data'!$E$5:$E$3471,'Futures Data'!$A$5:$A$3471,A234,'Futures Data'!$B$5:$B$3471,C234)</f>
        <v>21245</v>
      </c>
      <c r="F234" s="11" t="n">
        <f aca="false">_xlfn.MINIFS('Futures Data'!$B$5:$B$3471,'Futures Data'!$A$5:$A$3471,A234,'Futures Data'!$B$5:$B$3471,"&gt;"&amp;C234)</f>
        <v>45524</v>
      </c>
      <c r="G234" s="3" t="n">
        <f aca="false">SUMIFS('Futures Data'!$E$5:$E$3471,'Futures Data'!$A$5:$A$3471,A234,'Futures Data'!$B$5:$B$3471,F234)</f>
        <v>15785</v>
      </c>
      <c r="H234" s="9" t="b">
        <f aca="false">G234&gt;E234</f>
        <v>0</v>
      </c>
      <c r="I234" s="9" t="b">
        <f aca="false">C234&lt;&gt;B234</f>
        <v>0</v>
      </c>
      <c r="J234" s="3" t="n">
        <f aca="false">SUMIFS('Futures Data'!$C$5:$C$3471,'Futures Data'!$A$5:$A$3471,A234,'Futures Data'!$B$5:$B$3471,B234)</f>
        <v>5837</v>
      </c>
      <c r="K234" s="3" t="n">
        <f aca="false">SUMIFS('Futures Data'!$C$5:$C$3471,'Futures Data'!$A$5:$A$3471,A234,'Futures Data'!$B$5:$B$3471,C234)</f>
        <v>5837</v>
      </c>
      <c r="L234" s="3" t="n">
        <f aca="false">K234-J234</f>
        <v>0</v>
      </c>
      <c r="M234" s="3" t="n">
        <f aca="false">M235+L234</f>
        <v>1587</v>
      </c>
      <c r="N234" s="3" t="n">
        <f aca="false">J234+M234</f>
        <v>7424</v>
      </c>
      <c r="O234" s="13" t="n">
        <f aca="false">LN(J234/K233)</f>
        <v>0.00998630888601297</v>
      </c>
      <c r="P234" s="13" t="n">
        <f aca="false">LN(N234/N233)</f>
        <v>0.00784317746102588</v>
      </c>
      <c r="Q234" s="3" t="n">
        <f aca="false">SUMIFS('Futures Data'!$D$5:$D$3471,'Futures Data'!$A$5:$A$3471,A234,'Futures Data'!$B$5:$B$3471,B234)</f>
        <v>9520</v>
      </c>
      <c r="R234" s="7" t="n">
        <v>45492</v>
      </c>
      <c r="S234" s="9" t="b">
        <f aca="false">C234=R234</f>
        <v>1</v>
      </c>
      <c r="T234" s="9" t="b">
        <f aca="false">ABS(O234-LN(J234/SUMIFS('Futures Data'!$C$5:$C$3471,'Futures Data'!$A$5:$A$3471,A233,'Futures Data'!$B$5:$B$3471,B234)))&lt;0.000000001</f>
        <v>1</v>
      </c>
    </row>
    <row r="235" customFormat="false" ht="15" hidden="false" customHeight="false" outlineLevel="0" collapsed="false">
      <c r="A235" s="7" t="n">
        <v>45476</v>
      </c>
      <c r="B235" s="11" t="n">
        <f aca="false">C234</f>
        <v>45492</v>
      </c>
      <c r="C235" s="11" t="n">
        <f aca="false">IF(OR(H234,D235&lt;=$G$4),_xlfn.MINIFS('Futures Data'!$B$5:$B$3471,'Futures Data'!$A$5:$A$3471,A235,'Futures Data'!$B$5:$B$3471,"&gt;"&amp;B235),B235)</f>
        <v>45492</v>
      </c>
      <c r="D235" s="3" t="n">
        <f aca="false">COUNTIFS($A$47:$A$790,"&gt;"&amp;A235,$A$47:$A$790,"&lt;="&amp;B235)+IF(B235&gt;$G$5,NETWORKDAYS($G$5+1,B235),0)</f>
        <v>11</v>
      </c>
      <c r="E235" s="3" t="n">
        <f aca="false">SUMIFS('Futures Data'!$E$5:$E$3471,'Futures Data'!$A$5:$A$3471,A235,'Futures Data'!$B$5:$B$3471,C235)</f>
        <v>19405</v>
      </c>
      <c r="F235" s="11" t="n">
        <f aca="false">_xlfn.MINIFS('Futures Data'!$B$5:$B$3471,'Futures Data'!$A$5:$A$3471,A235,'Futures Data'!$B$5:$B$3471,"&gt;"&amp;C235)</f>
        <v>45524</v>
      </c>
      <c r="G235" s="3" t="n">
        <f aca="false">SUMIFS('Futures Data'!$E$5:$E$3471,'Futures Data'!$A$5:$A$3471,A235,'Futures Data'!$B$5:$B$3471,F235)</f>
        <v>18605</v>
      </c>
      <c r="H235" s="9" t="b">
        <f aca="false">G235&gt;E235</f>
        <v>0</v>
      </c>
      <c r="I235" s="9" t="b">
        <f aca="false">C235&lt;&gt;B235</f>
        <v>0</v>
      </c>
      <c r="J235" s="3" t="n">
        <f aca="false">SUMIFS('Futures Data'!$C$5:$C$3471,'Futures Data'!$A$5:$A$3471,A235,'Futures Data'!$B$5:$B$3471,B235)</f>
        <v>5835</v>
      </c>
      <c r="K235" s="3" t="n">
        <f aca="false">SUMIFS('Futures Data'!$C$5:$C$3471,'Futures Data'!$A$5:$A$3471,A235,'Futures Data'!$B$5:$B$3471,C235)</f>
        <v>5835</v>
      </c>
      <c r="L235" s="3" t="n">
        <f aca="false">K235-J235</f>
        <v>0</v>
      </c>
      <c r="M235" s="3" t="n">
        <f aca="false">M236+L235</f>
        <v>1587</v>
      </c>
      <c r="N235" s="3" t="n">
        <f aca="false">J235+M235</f>
        <v>7422</v>
      </c>
      <c r="O235" s="13" t="n">
        <f aca="false">LN(J235/K234)</f>
        <v>-0.000342700483134707</v>
      </c>
      <c r="P235" s="13" t="n">
        <f aca="false">LN(N235/N234)</f>
        <v>-0.000269432845493553</v>
      </c>
      <c r="Q235" s="3" t="n">
        <f aca="false">SUMIFS('Futures Data'!$D$5:$D$3471,'Futures Data'!$A$5:$A$3471,A235,'Futures Data'!$B$5:$B$3471,B235)</f>
        <v>5835</v>
      </c>
      <c r="R235" s="7" t="n">
        <v>45492</v>
      </c>
      <c r="S235" s="9" t="b">
        <f aca="false">C235=R235</f>
        <v>1</v>
      </c>
      <c r="T235" s="9" t="b">
        <f aca="false">ABS(O235-LN(J235/SUMIFS('Futures Data'!$C$5:$C$3471,'Futures Data'!$A$5:$A$3471,A234,'Futures Data'!$B$5:$B$3471,B235)))&lt;0.000000001</f>
        <v>1</v>
      </c>
    </row>
    <row r="236" customFormat="false" ht="15" hidden="false" customHeight="false" outlineLevel="0" collapsed="false">
      <c r="A236" s="7" t="n">
        <v>45477</v>
      </c>
      <c r="B236" s="11" t="n">
        <f aca="false">C235</f>
        <v>45492</v>
      </c>
      <c r="C236" s="11" t="n">
        <f aca="false">IF(OR(H235,D236&lt;=$G$4),_xlfn.MINIFS('Futures Data'!$B$5:$B$3471,'Futures Data'!$A$5:$A$3471,A236,'Futures Data'!$B$5:$B$3471,"&gt;"&amp;B236),B236)</f>
        <v>45492</v>
      </c>
      <c r="D236" s="3" t="n">
        <f aca="false">COUNTIFS($A$47:$A$790,"&gt;"&amp;A236,$A$47:$A$790,"&lt;="&amp;B236)+IF(B236&gt;$G$5,NETWORKDAYS($G$5+1,B236),0)</f>
        <v>10</v>
      </c>
      <c r="E236" s="3" t="n">
        <f aca="false">SUMIFS('Futures Data'!$E$5:$E$3471,'Futures Data'!$A$5:$A$3471,A236,'Futures Data'!$B$5:$B$3471,C236)</f>
        <v>17945</v>
      </c>
      <c r="F236" s="11" t="n">
        <f aca="false">_xlfn.MINIFS('Futures Data'!$B$5:$B$3471,'Futures Data'!$A$5:$A$3471,A236,'Futures Data'!$B$5:$B$3471,"&gt;"&amp;C236)</f>
        <v>45524</v>
      </c>
      <c r="G236" s="3" t="n">
        <f aca="false">SUMIFS('Futures Data'!$E$5:$E$3471,'Futures Data'!$A$5:$A$3471,A236,'Futures Data'!$B$5:$B$3471,F236)</f>
        <v>20205</v>
      </c>
      <c r="H236" s="9" t="b">
        <f aca="false">G236&gt;E236</f>
        <v>1</v>
      </c>
      <c r="I236" s="9" t="b">
        <f aca="false">C236&lt;&gt;B236</f>
        <v>0</v>
      </c>
      <c r="J236" s="3" t="n">
        <f aca="false">SUMIFS('Futures Data'!$C$5:$C$3471,'Futures Data'!$A$5:$A$3471,A236,'Futures Data'!$B$5:$B$3471,B236)</f>
        <v>5841</v>
      </c>
      <c r="K236" s="3" t="n">
        <f aca="false">SUMIFS('Futures Data'!$C$5:$C$3471,'Futures Data'!$A$5:$A$3471,A236,'Futures Data'!$B$5:$B$3471,C236)</f>
        <v>5841</v>
      </c>
      <c r="L236" s="3" t="n">
        <f aca="false">K236-J236</f>
        <v>0</v>
      </c>
      <c r="M236" s="3" t="n">
        <f aca="false">M237+L236</f>
        <v>1587</v>
      </c>
      <c r="N236" s="3" t="n">
        <f aca="false">J236+M236</f>
        <v>7428</v>
      </c>
      <c r="O236" s="13" t="n">
        <f aca="false">LN(J236/K235)</f>
        <v>0.00102774931965307</v>
      </c>
      <c r="P236" s="13" t="n">
        <f aca="false">LN(N236/N235)</f>
        <v>0.000808080852053535</v>
      </c>
      <c r="Q236" s="3" t="n">
        <f aca="false">SUMIFS('Futures Data'!$D$5:$D$3471,'Futures Data'!$A$5:$A$3471,A236,'Futures Data'!$B$5:$B$3471,B236)</f>
        <v>2485</v>
      </c>
      <c r="R236" s="7" t="n">
        <v>45492</v>
      </c>
      <c r="S236" s="9" t="b">
        <f aca="false">C236=R236</f>
        <v>1</v>
      </c>
      <c r="T236" s="9" t="b">
        <f aca="false">ABS(O236-LN(J236/SUMIFS('Futures Data'!$C$5:$C$3471,'Futures Data'!$A$5:$A$3471,A235,'Futures Data'!$B$5:$B$3471,B236)))&lt;0.000000001</f>
        <v>1</v>
      </c>
    </row>
    <row r="237" customFormat="false" ht="15" hidden="false" customHeight="false" outlineLevel="0" collapsed="false">
      <c r="A237" s="7" t="n">
        <v>45478</v>
      </c>
      <c r="B237" s="11" t="n">
        <f aca="false">C236</f>
        <v>45492</v>
      </c>
      <c r="C237" s="11" t="n">
        <f aca="false">IF(OR(H236,D237&lt;=$G$4),_xlfn.MINIFS('Futures Data'!$B$5:$B$3471,'Futures Data'!$A$5:$A$3471,A237,'Futures Data'!$B$5:$B$3471,"&gt;"&amp;B237),B237)</f>
        <v>45524</v>
      </c>
      <c r="D237" s="3" t="n">
        <f aca="false">COUNTIFS($A$47:$A$790,"&gt;"&amp;A237,$A$47:$A$790,"&lt;="&amp;B237)+IF(B237&gt;$G$5,NETWORKDAYS($G$5+1,B237),0)</f>
        <v>9</v>
      </c>
      <c r="E237" s="3" t="n">
        <f aca="false">SUMIFS('Futures Data'!$E$5:$E$3471,'Futures Data'!$A$5:$A$3471,A237,'Futures Data'!$B$5:$B$3471,C237)</f>
        <v>25140</v>
      </c>
      <c r="F237" s="11" t="n">
        <f aca="false">_xlfn.MINIFS('Futures Data'!$B$5:$B$3471,'Futures Data'!$A$5:$A$3471,A237,'Futures Data'!$B$5:$B$3471,"&gt;"&amp;C237)</f>
        <v>45555</v>
      </c>
      <c r="G237" s="3" t="n">
        <f aca="false">SUMIFS('Futures Data'!$E$5:$E$3471,'Futures Data'!$A$5:$A$3471,A237,'Futures Data'!$B$5:$B$3471,F237)</f>
        <v>0</v>
      </c>
      <c r="H237" s="9" t="b">
        <f aca="false">G237&gt;E237</f>
        <v>0</v>
      </c>
      <c r="I237" s="9" t="b">
        <f aca="false">C237&lt;&gt;B237</f>
        <v>1</v>
      </c>
      <c r="J237" s="3" t="n">
        <f aca="false">SUMIFS('Futures Data'!$C$5:$C$3471,'Futures Data'!$A$5:$A$3471,A237,'Futures Data'!$B$5:$B$3471,B237)</f>
        <v>5896</v>
      </c>
      <c r="K237" s="3" t="n">
        <f aca="false">SUMIFS('Futures Data'!$C$5:$C$3471,'Futures Data'!$A$5:$A$3471,A237,'Futures Data'!$B$5:$B$3471,C237)</f>
        <v>5976</v>
      </c>
      <c r="L237" s="3" t="n">
        <f aca="false">K237-J237</f>
        <v>80</v>
      </c>
      <c r="M237" s="3" t="n">
        <f aca="false">M238+L237</f>
        <v>1587</v>
      </c>
      <c r="N237" s="3" t="n">
        <f aca="false">J237+M237</f>
        <v>7483</v>
      </c>
      <c r="O237" s="13" t="n">
        <f aca="false">LN(J237/K236)</f>
        <v>0.00937213982886325</v>
      </c>
      <c r="P237" s="13" t="n">
        <f aca="false">LN(N237/N236)</f>
        <v>0.00737713760776215</v>
      </c>
      <c r="Q237" s="3" t="n">
        <f aca="false">SUMIFS('Futures Data'!$D$5:$D$3471,'Futures Data'!$A$5:$A$3471,A237,'Futures Data'!$B$5:$B$3471,B237)</f>
        <v>8880</v>
      </c>
      <c r="R237" s="7" t="n">
        <v>45524</v>
      </c>
      <c r="S237" s="9" t="b">
        <f aca="false">C237=R237</f>
        <v>1</v>
      </c>
      <c r="T237" s="9" t="b">
        <f aca="false">ABS(O237-LN(J237/SUMIFS('Futures Data'!$C$5:$C$3471,'Futures Data'!$A$5:$A$3471,A236,'Futures Data'!$B$5:$B$3471,B237)))&lt;0.000000001</f>
        <v>1</v>
      </c>
    </row>
    <row r="238" customFormat="false" ht="15" hidden="false" customHeight="false" outlineLevel="0" collapsed="false">
      <c r="A238" s="7" t="n">
        <v>45481</v>
      </c>
      <c r="B238" s="11" t="n">
        <f aca="false">C237</f>
        <v>45524</v>
      </c>
      <c r="C238" s="11" t="n">
        <f aca="false">IF(OR(H237,D238&lt;=$G$4),_xlfn.MINIFS('Futures Data'!$B$5:$B$3471,'Futures Data'!$A$5:$A$3471,A238,'Futures Data'!$B$5:$B$3471,"&gt;"&amp;B238),B238)</f>
        <v>45524</v>
      </c>
      <c r="D238" s="3" t="n">
        <f aca="false">COUNTIFS($A$47:$A$790,"&gt;"&amp;A238,$A$47:$A$790,"&lt;="&amp;B238)+IF(B238&gt;$G$5,NETWORKDAYS($G$5+1,B238),0)</f>
        <v>29</v>
      </c>
      <c r="E238" s="3" t="n">
        <f aca="false">SUMIFS('Futures Data'!$E$5:$E$3471,'Futures Data'!$A$5:$A$3471,A238,'Futures Data'!$B$5:$B$3471,C238)</f>
        <v>30555</v>
      </c>
      <c r="F238" s="11" t="n">
        <f aca="false">_xlfn.MINIFS('Futures Data'!$B$5:$B$3471,'Futures Data'!$A$5:$A$3471,A238,'Futures Data'!$B$5:$B$3471,"&gt;"&amp;C238)</f>
        <v>45555</v>
      </c>
      <c r="G238" s="3" t="n">
        <f aca="false">SUMIFS('Futures Data'!$E$5:$E$3471,'Futures Data'!$A$5:$A$3471,A238,'Futures Data'!$B$5:$B$3471,F238)</f>
        <v>15</v>
      </c>
      <c r="H238" s="9" t="b">
        <f aca="false">G238&gt;E238</f>
        <v>0</v>
      </c>
      <c r="I238" s="9" t="b">
        <f aca="false">C238&lt;&gt;B238</f>
        <v>0</v>
      </c>
      <c r="J238" s="3" t="n">
        <f aca="false">SUMIFS('Futures Data'!$C$5:$C$3471,'Futures Data'!$A$5:$A$3471,A238,'Futures Data'!$B$5:$B$3471,B238)</f>
        <v>6077</v>
      </c>
      <c r="K238" s="3" t="n">
        <f aca="false">SUMIFS('Futures Data'!$C$5:$C$3471,'Futures Data'!$A$5:$A$3471,A238,'Futures Data'!$B$5:$B$3471,C238)</f>
        <v>6077</v>
      </c>
      <c r="L238" s="3" t="n">
        <f aca="false">K238-J238</f>
        <v>0</v>
      </c>
      <c r="M238" s="3" t="n">
        <f aca="false">M239+L238</f>
        <v>1507</v>
      </c>
      <c r="N238" s="3" t="n">
        <f aca="false">J238+M238</f>
        <v>7584</v>
      </c>
      <c r="O238" s="13" t="n">
        <f aca="false">LN(J238/K237)</f>
        <v>0.016759705322702</v>
      </c>
      <c r="P238" s="13" t="n">
        <f aca="false">LN(N238/N237)</f>
        <v>0.0134069838544993</v>
      </c>
      <c r="Q238" s="3" t="n">
        <f aca="false">SUMIFS('Futures Data'!$D$5:$D$3471,'Futures Data'!$A$5:$A$3471,A238,'Futures Data'!$B$5:$B$3471,B238)</f>
        <v>15145</v>
      </c>
      <c r="R238" s="7" t="n">
        <v>45524</v>
      </c>
      <c r="S238" s="9" t="b">
        <f aca="false">C238=R238</f>
        <v>1</v>
      </c>
      <c r="T238" s="9" t="b">
        <f aca="false">ABS(O238-LN(J238/SUMIFS('Futures Data'!$C$5:$C$3471,'Futures Data'!$A$5:$A$3471,A237,'Futures Data'!$B$5:$B$3471,B238)))&lt;0.000000001</f>
        <v>1</v>
      </c>
    </row>
    <row r="239" customFormat="false" ht="15" hidden="false" customHeight="false" outlineLevel="0" collapsed="false">
      <c r="A239" s="7" t="n">
        <v>45482</v>
      </c>
      <c r="B239" s="11" t="n">
        <f aca="false">C238</f>
        <v>45524</v>
      </c>
      <c r="C239" s="11" t="n">
        <f aca="false">IF(OR(H238,D239&lt;=$G$4),_xlfn.MINIFS('Futures Data'!$B$5:$B$3471,'Futures Data'!$A$5:$A$3471,A239,'Futures Data'!$B$5:$B$3471,"&gt;"&amp;B239),B239)</f>
        <v>45524</v>
      </c>
      <c r="D239" s="3" t="n">
        <f aca="false">COUNTIFS($A$47:$A$790,"&gt;"&amp;A239,$A$47:$A$790,"&lt;="&amp;B239)+IF(B239&gt;$G$5,NETWORKDAYS($G$5+1,B239),0)</f>
        <v>28</v>
      </c>
      <c r="E239" s="3" t="n">
        <f aca="false">SUMIFS('Futures Data'!$E$5:$E$3471,'Futures Data'!$A$5:$A$3471,A239,'Futures Data'!$B$5:$B$3471,C239)</f>
        <v>31840</v>
      </c>
      <c r="F239" s="11" t="n">
        <f aca="false">_xlfn.MINIFS('Futures Data'!$B$5:$B$3471,'Futures Data'!$A$5:$A$3471,A239,'Futures Data'!$B$5:$B$3471,"&gt;"&amp;C239)</f>
        <v>45555</v>
      </c>
      <c r="G239" s="3" t="n">
        <f aca="false">SUMIFS('Futures Data'!$E$5:$E$3471,'Futures Data'!$A$5:$A$3471,A239,'Futures Data'!$B$5:$B$3471,F239)</f>
        <v>10</v>
      </c>
      <c r="H239" s="9" t="b">
        <f aca="false">G239&gt;E239</f>
        <v>0</v>
      </c>
      <c r="I239" s="9" t="b">
        <f aca="false">C239&lt;&gt;B239</f>
        <v>0</v>
      </c>
      <c r="J239" s="3" t="n">
        <f aca="false">SUMIFS('Futures Data'!$C$5:$C$3471,'Futures Data'!$A$5:$A$3471,A239,'Futures Data'!$B$5:$B$3471,B239)</f>
        <v>6083</v>
      </c>
      <c r="K239" s="3" t="n">
        <f aca="false">SUMIFS('Futures Data'!$C$5:$C$3471,'Futures Data'!$A$5:$A$3471,A239,'Futures Data'!$B$5:$B$3471,C239)</f>
        <v>6083</v>
      </c>
      <c r="L239" s="3" t="n">
        <f aca="false">K239-J239</f>
        <v>0</v>
      </c>
      <c r="M239" s="3" t="n">
        <f aca="false">M240+L239</f>
        <v>1507</v>
      </c>
      <c r="N239" s="3" t="n">
        <f aca="false">J239+M239</f>
        <v>7590</v>
      </c>
      <c r="O239" s="13" t="n">
        <f aca="false">LN(J239/K238)</f>
        <v>0.000986842185350137</v>
      </c>
      <c r="P239" s="13" t="n">
        <f aca="false">LN(N239/N238)</f>
        <v>0.000790826454817771</v>
      </c>
      <c r="Q239" s="3" t="n">
        <f aca="false">SUMIFS('Futures Data'!$D$5:$D$3471,'Futures Data'!$A$5:$A$3471,A239,'Futures Data'!$B$5:$B$3471,B239)</f>
        <v>6235</v>
      </c>
      <c r="R239" s="7" t="n">
        <v>45524</v>
      </c>
      <c r="S239" s="9" t="b">
        <f aca="false">C239=R239</f>
        <v>1</v>
      </c>
      <c r="T239" s="9" t="b">
        <f aca="false">ABS(O239-LN(J239/SUMIFS('Futures Data'!$C$5:$C$3471,'Futures Data'!$A$5:$A$3471,A238,'Futures Data'!$B$5:$B$3471,B239)))&lt;0.000000001</f>
        <v>1</v>
      </c>
    </row>
    <row r="240" customFormat="false" ht="15" hidden="false" customHeight="false" outlineLevel="0" collapsed="false">
      <c r="A240" s="7" t="n">
        <v>45483</v>
      </c>
      <c r="B240" s="11" t="n">
        <f aca="false">C239</f>
        <v>45524</v>
      </c>
      <c r="C240" s="11" t="n">
        <f aca="false">IF(OR(H239,D240&lt;=$G$4),_xlfn.MINIFS('Futures Data'!$B$5:$B$3471,'Futures Data'!$A$5:$A$3471,A240,'Futures Data'!$B$5:$B$3471,"&gt;"&amp;B240),B240)</f>
        <v>45524</v>
      </c>
      <c r="D240" s="3" t="n">
        <f aca="false">COUNTIFS($A$47:$A$790,"&gt;"&amp;A240,$A$47:$A$790,"&lt;="&amp;B240)+IF(B240&gt;$G$5,NETWORKDAYS($G$5+1,B240),0)</f>
        <v>27</v>
      </c>
      <c r="E240" s="3" t="n">
        <f aca="false">SUMIFS('Futures Data'!$E$5:$E$3471,'Futures Data'!$A$5:$A$3471,A240,'Futures Data'!$B$5:$B$3471,C240)</f>
        <v>33785</v>
      </c>
      <c r="F240" s="11" t="n">
        <f aca="false">_xlfn.MINIFS('Futures Data'!$B$5:$B$3471,'Futures Data'!$A$5:$A$3471,A240,'Futures Data'!$B$5:$B$3471,"&gt;"&amp;C240)</f>
        <v>45555</v>
      </c>
      <c r="G240" s="3" t="n">
        <f aca="false">SUMIFS('Futures Data'!$E$5:$E$3471,'Futures Data'!$A$5:$A$3471,A240,'Futures Data'!$B$5:$B$3471,F240)</f>
        <v>210</v>
      </c>
      <c r="H240" s="9" t="b">
        <f aca="false">G240&gt;E240</f>
        <v>0</v>
      </c>
      <c r="I240" s="9" t="b">
        <f aca="false">C240&lt;&gt;B240</f>
        <v>0</v>
      </c>
      <c r="J240" s="3" t="n">
        <f aca="false">SUMIFS('Futures Data'!$C$5:$C$3471,'Futures Data'!$A$5:$A$3471,A240,'Futures Data'!$B$5:$B$3471,B240)</f>
        <v>6158</v>
      </c>
      <c r="K240" s="3" t="n">
        <f aca="false">SUMIFS('Futures Data'!$C$5:$C$3471,'Futures Data'!$A$5:$A$3471,A240,'Futures Data'!$B$5:$B$3471,C240)</f>
        <v>6158</v>
      </c>
      <c r="L240" s="3" t="n">
        <f aca="false">K240-J240</f>
        <v>0</v>
      </c>
      <c r="M240" s="3" t="n">
        <f aca="false">M241+L240</f>
        <v>1507</v>
      </c>
      <c r="N240" s="3" t="n">
        <f aca="false">J240+M240</f>
        <v>7665</v>
      </c>
      <c r="O240" s="13" t="n">
        <f aca="false">LN(J240/K239)</f>
        <v>0.0122540541637404</v>
      </c>
      <c r="P240" s="13" t="n">
        <f aca="false">LN(N240/N239)</f>
        <v>0.00983292091623883</v>
      </c>
      <c r="Q240" s="3" t="n">
        <f aca="false">SUMIFS('Futures Data'!$D$5:$D$3471,'Futures Data'!$A$5:$A$3471,A240,'Futures Data'!$B$5:$B$3471,B240)</f>
        <v>12615</v>
      </c>
      <c r="R240" s="7" t="n">
        <v>45524</v>
      </c>
      <c r="S240" s="9" t="b">
        <f aca="false">C240=R240</f>
        <v>1</v>
      </c>
      <c r="T240" s="9" t="b">
        <f aca="false">ABS(O240-LN(J240/SUMIFS('Futures Data'!$C$5:$C$3471,'Futures Data'!$A$5:$A$3471,A239,'Futures Data'!$B$5:$B$3471,B240)))&lt;0.000000001</f>
        <v>1</v>
      </c>
    </row>
    <row r="241" customFormat="false" ht="15" hidden="false" customHeight="false" outlineLevel="0" collapsed="false">
      <c r="A241" s="7" t="n">
        <v>45484</v>
      </c>
      <c r="B241" s="11" t="n">
        <f aca="false">C240</f>
        <v>45524</v>
      </c>
      <c r="C241" s="11" t="n">
        <f aca="false">IF(OR(H240,D241&lt;=$G$4),_xlfn.MINIFS('Futures Data'!$B$5:$B$3471,'Futures Data'!$A$5:$A$3471,A241,'Futures Data'!$B$5:$B$3471,"&gt;"&amp;B241),B241)</f>
        <v>45524</v>
      </c>
      <c r="D241" s="3" t="n">
        <f aca="false">COUNTIFS($A$47:$A$790,"&gt;"&amp;A241,$A$47:$A$790,"&lt;="&amp;B241)+IF(B241&gt;$G$5,NETWORKDAYS($G$5+1,B241),0)</f>
        <v>26</v>
      </c>
      <c r="E241" s="3" t="n">
        <f aca="false">SUMIFS('Futures Data'!$E$5:$E$3471,'Futures Data'!$A$5:$A$3471,A241,'Futures Data'!$B$5:$B$3471,C241)</f>
        <v>35875</v>
      </c>
      <c r="F241" s="11" t="n">
        <f aca="false">_xlfn.MINIFS('Futures Data'!$B$5:$B$3471,'Futures Data'!$A$5:$A$3471,A241,'Futures Data'!$B$5:$B$3471,"&gt;"&amp;C241)</f>
        <v>45555</v>
      </c>
      <c r="G241" s="3" t="n">
        <f aca="false">SUMIFS('Futures Data'!$E$5:$E$3471,'Futures Data'!$A$5:$A$3471,A241,'Futures Data'!$B$5:$B$3471,F241)</f>
        <v>210</v>
      </c>
      <c r="H241" s="9" t="b">
        <f aca="false">G241&gt;E241</f>
        <v>0</v>
      </c>
      <c r="I241" s="9" t="b">
        <f aca="false">C241&lt;&gt;B241</f>
        <v>0</v>
      </c>
      <c r="J241" s="3" t="n">
        <f aca="false">SUMIFS('Futures Data'!$C$5:$C$3471,'Futures Data'!$A$5:$A$3471,A241,'Futures Data'!$B$5:$B$3471,B241)</f>
        <v>6164</v>
      </c>
      <c r="K241" s="3" t="n">
        <f aca="false">SUMIFS('Futures Data'!$C$5:$C$3471,'Futures Data'!$A$5:$A$3471,A241,'Futures Data'!$B$5:$B$3471,C241)</f>
        <v>6164</v>
      </c>
      <c r="L241" s="3" t="n">
        <f aca="false">K241-J241</f>
        <v>0</v>
      </c>
      <c r="M241" s="3" t="n">
        <f aca="false">M242+L241</f>
        <v>1507</v>
      </c>
      <c r="N241" s="3" t="n">
        <f aca="false">J241+M241</f>
        <v>7671</v>
      </c>
      <c r="O241" s="13" t="n">
        <f aca="false">LN(J241/K240)</f>
        <v>0.000973867955560752</v>
      </c>
      <c r="P241" s="13" t="n">
        <f aca="false">LN(N241/N240)</f>
        <v>0.000782472653381744</v>
      </c>
      <c r="Q241" s="3" t="n">
        <f aca="false">SUMIFS('Futures Data'!$D$5:$D$3471,'Futures Data'!$A$5:$A$3471,A241,'Futures Data'!$B$5:$B$3471,B241)</f>
        <v>7570</v>
      </c>
      <c r="R241" s="7" t="n">
        <v>45524</v>
      </c>
      <c r="S241" s="9" t="b">
        <f aca="false">C241=R241</f>
        <v>1</v>
      </c>
      <c r="T241" s="9" t="b">
        <f aca="false">ABS(O241-LN(J241/SUMIFS('Futures Data'!$C$5:$C$3471,'Futures Data'!$A$5:$A$3471,A240,'Futures Data'!$B$5:$B$3471,B241)))&lt;0.000000001</f>
        <v>1</v>
      </c>
    </row>
    <row r="242" customFormat="false" ht="15" hidden="false" customHeight="false" outlineLevel="0" collapsed="false">
      <c r="A242" s="7" t="n">
        <v>45485</v>
      </c>
      <c r="B242" s="11" t="n">
        <f aca="false">C241</f>
        <v>45524</v>
      </c>
      <c r="C242" s="11" t="n">
        <f aca="false">IF(OR(H241,D242&lt;=$G$4),_xlfn.MINIFS('Futures Data'!$B$5:$B$3471,'Futures Data'!$A$5:$A$3471,A242,'Futures Data'!$B$5:$B$3471,"&gt;"&amp;B242),B242)</f>
        <v>45524</v>
      </c>
      <c r="D242" s="3" t="n">
        <f aca="false">COUNTIFS($A$47:$A$790,"&gt;"&amp;A242,$A$47:$A$790,"&lt;="&amp;B242)+IF(B242&gt;$G$5,NETWORKDAYS($G$5+1,B242),0)</f>
        <v>25</v>
      </c>
      <c r="E242" s="3" t="n">
        <f aca="false">SUMIFS('Futures Data'!$E$5:$E$3471,'Futures Data'!$A$5:$A$3471,A242,'Futures Data'!$B$5:$B$3471,C242)</f>
        <v>39200</v>
      </c>
      <c r="F242" s="11" t="n">
        <f aca="false">_xlfn.MINIFS('Futures Data'!$B$5:$B$3471,'Futures Data'!$A$5:$A$3471,A242,'Futures Data'!$B$5:$B$3471,"&gt;"&amp;C242)</f>
        <v>45555</v>
      </c>
      <c r="G242" s="3" t="n">
        <f aca="false">SUMIFS('Futures Data'!$E$5:$E$3471,'Futures Data'!$A$5:$A$3471,A242,'Futures Data'!$B$5:$B$3471,F242)</f>
        <v>220</v>
      </c>
      <c r="H242" s="9" t="b">
        <f aca="false">G242&gt;E242</f>
        <v>0</v>
      </c>
      <c r="I242" s="9" t="b">
        <f aca="false">C242&lt;&gt;B242</f>
        <v>0</v>
      </c>
      <c r="J242" s="3" t="n">
        <f aca="false">SUMIFS('Futures Data'!$C$5:$C$3471,'Futures Data'!$A$5:$A$3471,A242,'Futures Data'!$B$5:$B$3471,B242)</f>
        <v>6215</v>
      </c>
      <c r="K242" s="3" t="n">
        <f aca="false">SUMIFS('Futures Data'!$C$5:$C$3471,'Futures Data'!$A$5:$A$3471,A242,'Futures Data'!$B$5:$B$3471,C242)</f>
        <v>6215</v>
      </c>
      <c r="L242" s="3" t="n">
        <f aca="false">K242-J242</f>
        <v>0</v>
      </c>
      <c r="M242" s="3" t="n">
        <f aca="false">M243+L242</f>
        <v>1507</v>
      </c>
      <c r="N242" s="3" t="n">
        <f aca="false">J242+M242</f>
        <v>7722</v>
      </c>
      <c r="O242" s="13" t="n">
        <f aca="false">LN(J242/K241)</f>
        <v>0.00823980750480507</v>
      </c>
      <c r="P242" s="13" t="n">
        <f aca="false">LN(N242/N241)</f>
        <v>0.00662641286488526</v>
      </c>
      <c r="Q242" s="3" t="n">
        <f aca="false">SUMIFS('Futures Data'!$D$5:$D$3471,'Futures Data'!$A$5:$A$3471,A242,'Futures Data'!$B$5:$B$3471,B242)</f>
        <v>10980</v>
      </c>
      <c r="R242" s="7" t="n">
        <v>45524</v>
      </c>
      <c r="S242" s="9" t="b">
        <f aca="false">C242=R242</f>
        <v>1</v>
      </c>
      <c r="T242" s="9" t="b">
        <f aca="false">ABS(O242-LN(J242/SUMIFS('Futures Data'!$C$5:$C$3471,'Futures Data'!$A$5:$A$3471,A241,'Futures Data'!$B$5:$B$3471,B242)))&lt;0.000000001</f>
        <v>1</v>
      </c>
    </row>
    <row r="243" customFormat="false" ht="15" hidden="false" customHeight="false" outlineLevel="0" collapsed="false">
      <c r="A243" s="7" t="n">
        <v>45488</v>
      </c>
      <c r="B243" s="11" t="n">
        <f aca="false">C242</f>
        <v>45524</v>
      </c>
      <c r="C243" s="11" t="n">
        <f aca="false">IF(OR(H242,D243&lt;=$G$4),_xlfn.MINIFS('Futures Data'!$B$5:$B$3471,'Futures Data'!$A$5:$A$3471,A243,'Futures Data'!$B$5:$B$3471,"&gt;"&amp;B243),B243)</f>
        <v>45524</v>
      </c>
      <c r="D243" s="3" t="n">
        <f aca="false">COUNTIFS($A$47:$A$790,"&gt;"&amp;A243,$A$47:$A$790,"&lt;="&amp;B243)+IF(B243&gt;$G$5,NETWORKDAYS($G$5+1,B243),0)</f>
        <v>24</v>
      </c>
      <c r="E243" s="3" t="n">
        <f aca="false">SUMIFS('Futures Data'!$E$5:$E$3471,'Futures Data'!$A$5:$A$3471,A243,'Futures Data'!$B$5:$B$3471,C243)</f>
        <v>41270</v>
      </c>
      <c r="F243" s="11" t="n">
        <f aca="false">_xlfn.MINIFS('Futures Data'!$B$5:$B$3471,'Futures Data'!$A$5:$A$3471,A243,'Futures Data'!$B$5:$B$3471,"&gt;"&amp;C243)</f>
        <v>45555</v>
      </c>
      <c r="G243" s="3" t="n">
        <f aca="false">SUMIFS('Futures Data'!$E$5:$E$3471,'Futures Data'!$A$5:$A$3471,A243,'Futures Data'!$B$5:$B$3471,F243)</f>
        <v>290</v>
      </c>
      <c r="H243" s="9" t="b">
        <f aca="false">G243&gt;E243</f>
        <v>0</v>
      </c>
      <c r="I243" s="9" t="b">
        <f aca="false">C243&lt;&gt;B243</f>
        <v>0</v>
      </c>
      <c r="J243" s="3" t="n">
        <f aca="false">SUMIFS('Futures Data'!$C$5:$C$3471,'Futures Data'!$A$5:$A$3471,A243,'Futures Data'!$B$5:$B$3471,B243)</f>
        <v>6201</v>
      </c>
      <c r="K243" s="3" t="n">
        <f aca="false">SUMIFS('Futures Data'!$C$5:$C$3471,'Futures Data'!$A$5:$A$3471,A243,'Futures Data'!$B$5:$B$3471,C243)</f>
        <v>6201</v>
      </c>
      <c r="L243" s="3" t="n">
        <f aca="false">K243-J243</f>
        <v>0</v>
      </c>
      <c r="M243" s="3" t="n">
        <f aca="false">M244+L243</f>
        <v>1507</v>
      </c>
      <c r="N243" s="3" t="n">
        <f aca="false">J243+M243</f>
        <v>7708</v>
      </c>
      <c r="O243" s="13" t="n">
        <f aca="false">LN(J243/K242)</f>
        <v>-0.00225515559493358</v>
      </c>
      <c r="P243" s="13" t="n">
        <f aca="false">LN(N243/N242)</f>
        <v>-0.00181464728992465</v>
      </c>
      <c r="Q243" s="3" t="n">
        <f aca="false">SUMIFS('Futures Data'!$D$5:$D$3471,'Futures Data'!$A$5:$A$3471,A243,'Futures Data'!$B$5:$B$3471,B243)</f>
        <v>8580</v>
      </c>
      <c r="R243" s="7" t="n">
        <v>45524</v>
      </c>
      <c r="S243" s="9" t="b">
        <f aca="false">C243=R243</f>
        <v>1</v>
      </c>
      <c r="T243" s="9" t="b">
        <f aca="false">ABS(O243-LN(J243/SUMIFS('Futures Data'!$C$5:$C$3471,'Futures Data'!$A$5:$A$3471,A242,'Futures Data'!$B$5:$B$3471,B243)))&lt;0.000000001</f>
        <v>1</v>
      </c>
    </row>
    <row r="244" customFormat="false" ht="15" hidden="false" customHeight="false" outlineLevel="0" collapsed="false">
      <c r="A244" s="7" t="n">
        <v>45489</v>
      </c>
      <c r="B244" s="11" t="n">
        <f aca="false">C243</f>
        <v>45524</v>
      </c>
      <c r="C244" s="11" t="n">
        <f aca="false">IF(OR(H243,D244&lt;=$G$4),_xlfn.MINIFS('Futures Data'!$B$5:$B$3471,'Futures Data'!$A$5:$A$3471,A244,'Futures Data'!$B$5:$B$3471,"&gt;"&amp;B244),B244)</f>
        <v>45524</v>
      </c>
      <c r="D244" s="3" t="n">
        <f aca="false">COUNTIFS($A$47:$A$790,"&gt;"&amp;A244,$A$47:$A$790,"&lt;="&amp;B244)+IF(B244&gt;$G$5,NETWORKDAYS($G$5+1,B244),0)</f>
        <v>23</v>
      </c>
      <c r="E244" s="3" t="n">
        <f aca="false">SUMIFS('Futures Data'!$E$5:$E$3471,'Futures Data'!$A$5:$A$3471,A244,'Futures Data'!$B$5:$B$3471,C244)</f>
        <v>41825</v>
      </c>
      <c r="F244" s="11" t="n">
        <f aca="false">_xlfn.MINIFS('Futures Data'!$B$5:$B$3471,'Futures Data'!$A$5:$A$3471,A244,'Futures Data'!$B$5:$B$3471,"&gt;"&amp;C244)</f>
        <v>45555</v>
      </c>
      <c r="G244" s="3" t="n">
        <f aca="false">SUMIFS('Futures Data'!$E$5:$E$3471,'Futures Data'!$A$5:$A$3471,A244,'Futures Data'!$B$5:$B$3471,F244)</f>
        <v>560</v>
      </c>
      <c r="H244" s="9" t="b">
        <f aca="false">G244&gt;E244</f>
        <v>0</v>
      </c>
      <c r="I244" s="9" t="b">
        <f aca="false">C244&lt;&gt;B244</f>
        <v>0</v>
      </c>
      <c r="J244" s="3" t="n">
        <f aca="false">SUMIFS('Futures Data'!$C$5:$C$3471,'Futures Data'!$A$5:$A$3471,A244,'Futures Data'!$B$5:$B$3471,B244)</f>
        <v>6123</v>
      </c>
      <c r="K244" s="3" t="n">
        <f aca="false">SUMIFS('Futures Data'!$C$5:$C$3471,'Futures Data'!$A$5:$A$3471,A244,'Futures Data'!$B$5:$B$3471,C244)</f>
        <v>6123</v>
      </c>
      <c r="L244" s="3" t="n">
        <f aca="false">K244-J244</f>
        <v>0</v>
      </c>
      <c r="M244" s="3" t="n">
        <f aca="false">M245+L244</f>
        <v>1507</v>
      </c>
      <c r="N244" s="3" t="n">
        <f aca="false">J244+M244</f>
        <v>7630</v>
      </c>
      <c r="O244" s="13" t="n">
        <f aca="false">LN(J244/K243)</f>
        <v>-0.0126583968719235</v>
      </c>
      <c r="P244" s="13" t="n">
        <f aca="false">LN(N244/N243)</f>
        <v>-0.0101709052557544</v>
      </c>
      <c r="Q244" s="3" t="n">
        <f aca="false">SUMIFS('Futures Data'!$D$5:$D$3471,'Futures Data'!$A$5:$A$3471,A244,'Futures Data'!$B$5:$B$3471,B244)</f>
        <v>7330</v>
      </c>
      <c r="R244" s="7" t="n">
        <v>45524</v>
      </c>
      <c r="S244" s="9" t="b">
        <f aca="false">C244=R244</f>
        <v>1</v>
      </c>
      <c r="T244" s="9" t="b">
        <f aca="false">ABS(O244-LN(J244/SUMIFS('Futures Data'!$C$5:$C$3471,'Futures Data'!$A$5:$A$3471,A243,'Futures Data'!$B$5:$B$3471,B244)))&lt;0.000000001</f>
        <v>1</v>
      </c>
    </row>
    <row r="245" customFormat="false" ht="15" hidden="false" customHeight="false" outlineLevel="0" collapsed="false">
      <c r="A245" s="7" t="n">
        <v>45491</v>
      </c>
      <c r="B245" s="11" t="n">
        <f aca="false">C244</f>
        <v>45524</v>
      </c>
      <c r="C245" s="11" t="n">
        <f aca="false">IF(OR(H244,D245&lt;=$G$4),_xlfn.MINIFS('Futures Data'!$B$5:$B$3471,'Futures Data'!$A$5:$A$3471,A245,'Futures Data'!$B$5:$B$3471,"&gt;"&amp;B245),B245)</f>
        <v>45524</v>
      </c>
      <c r="D245" s="3" t="n">
        <f aca="false">COUNTIFS($A$47:$A$790,"&gt;"&amp;A245,$A$47:$A$790,"&lt;="&amp;B245)+IF(B245&gt;$G$5,NETWORKDAYS($G$5+1,B245),0)</f>
        <v>22</v>
      </c>
      <c r="E245" s="3" t="n">
        <f aca="false">SUMIFS('Futures Data'!$E$5:$E$3471,'Futures Data'!$A$5:$A$3471,A245,'Futures Data'!$B$5:$B$3471,C245)</f>
        <v>41245</v>
      </c>
      <c r="F245" s="11" t="n">
        <f aca="false">_xlfn.MINIFS('Futures Data'!$B$5:$B$3471,'Futures Data'!$A$5:$A$3471,A245,'Futures Data'!$B$5:$B$3471,"&gt;"&amp;C245)</f>
        <v>45555</v>
      </c>
      <c r="G245" s="3" t="n">
        <f aca="false">SUMIFS('Futures Data'!$E$5:$E$3471,'Futures Data'!$A$5:$A$3471,A245,'Futures Data'!$B$5:$B$3471,F245)</f>
        <v>1725</v>
      </c>
      <c r="H245" s="9" t="b">
        <f aca="false">G245&gt;E245</f>
        <v>0</v>
      </c>
      <c r="I245" s="9" t="b">
        <f aca="false">C245&lt;&gt;B245</f>
        <v>0</v>
      </c>
      <c r="J245" s="3" t="n">
        <f aca="false">SUMIFS('Futures Data'!$C$5:$C$3471,'Futures Data'!$A$5:$A$3471,A245,'Futures Data'!$B$5:$B$3471,B245)</f>
        <v>6133</v>
      </c>
      <c r="K245" s="3" t="n">
        <f aca="false">SUMIFS('Futures Data'!$C$5:$C$3471,'Futures Data'!$A$5:$A$3471,A245,'Futures Data'!$B$5:$B$3471,C245)</f>
        <v>6133</v>
      </c>
      <c r="L245" s="3" t="n">
        <f aca="false">K245-J245</f>
        <v>0</v>
      </c>
      <c r="M245" s="3" t="n">
        <f aca="false">M246+L245</f>
        <v>1507</v>
      </c>
      <c r="N245" s="3" t="n">
        <f aca="false">J245+M245</f>
        <v>7640</v>
      </c>
      <c r="O245" s="13" t="n">
        <f aca="false">LN(J245/K244)</f>
        <v>0.00163185414802928</v>
      </c>
      <c r="P245" s="13" t="n">
        <f aca="false">LN(N245/N244)</f>
        <v>0.00130975788206351</v>
      </c>
      <c r="Q245" s="3" t="n">
        <f aca="false">SUMIFS('Futures Data'!$D$5:$D$3471,'Futures Data'!$A$5:$A$3471,A245,'Futures Data'!$B$5:$B$3471,B245)</f>
        <v>4340</v>
      </c>
      <c r="R245" s="7" t="n">
        <v>45524</v>
      </c>
      <c r="S245" s="9" t="b">
        <f aca="false">C245=R245</f>
        <v>1</v>
      </c>
      <c r="T245" s="9" t="b">
        <f aca="false">ABS(O245-LN(J245/SUMIFS('Futures Data'!$C$5:$C$3471,'Futures Data'!$A$5:$A$3471,A244,'Futures Data'!$B$5:$B$3471,B245)))&lt;0.000000001</f>
        <v>1</v>
      </c>
    </row>
    <row r="246" customFormat="false" ht="15" hidden="false" customHeight="false" outlineLevel="0" collapsed="false">
      <c r="A246" s="7" t="n">
        <v>45492</v>
      </c>
      <c r="B246" s="11" t="n">
        <f aca="false">C245</f>
        <v>45524</v>
      </c>
      <c r="C246" s="11" t="n">
        <f aca="false">IF(OR(H245,D246&lt;=$G$4),_xlfn.MINIFS('Futures Data'!$B$5:$B$3471,'Futures Data'!$A$5:$A$3471,A246,'Futures Data'!$B$5:$B$3471,"&gt;"&amp;B246),B246)</f>
        <v>45524</v>
      </c>
      <c r="D246" s="3" t="n">
        <f aca="false">COUNTIFS($A$47:$A$790,"&gt;"&amp;A246,$A$47:$A$790,"&lt;="&amp;B246)+IF(B246&gt;$G$5,NETWORKDAYS($G$5+1,B246),0)</f>
        <v>21</v>
      </c>
      <c r="E246" s="3" t="n">
        <f aca="false">SUMIFS('Futures Data'!$E$5:$E$3471,'Futures Data'!$A$5:$A$3471,A246,'Futures Data'!$B$5:$B$3471,C246)</f>
        <v>40195</v>
      </c>
      <c r="F246" s="11" t="n">
        <f aca="false">_xlfn.MINIFS('Futures Data'!$B$5:$B$3471,'Futures Data'!$A$5:$A$3471,A246,'Futures Data'!$B$5:$B$3471,"&gt;"&amp;C246)</f>
        <v>45555</v>
      </c>
      <c r="G246" s="3" t="n">
        <f aca="false">SUMIFS('Futures Data'!$E$5:$E$3471,'Futures Data'!$A$5:$A$3471,A246,'Futures Data'!$B$5:$B$3471,F246)</f>
        <v>1865</v>
      </c>
      <c r="H246" s="9" t="b">
        <f aca="false">G246&gt;E246</f>
        <v>0</v>
      </c>
      <c r="I246" s="9" t="b">
        <f aca="false">C246&lt;&gt;B246</f>
        <v>0</v>
      </c>
      <c r="J246" s="3" t="n">
        <f aca="false">SUMIFS('Futures Data'!$C$5:$C$3471,'Futures Data'!$A$5:$A$3471,A246,'Futures Data'!$B$5:$B$3471,B246)</f>
        <v>6085</v>
      </c>
      <c r="K246" s="3" t="n">
        <f aca="false">SUMIFS('Futures Data'!$C$5:$C$3471,'Futures Data'!$A$5:$A$3471,A246,'Futures Data'!$B$5:$B$3471,C246)</f>
        <v>6085</v>
      </c>
      <c r="L246" s="3" t="n">
        <f aca="false">K246-J246</f>
        <v>0</v>
      </c>
      <c r="M246" s="3" t="n">
        <f aca="false">M247+L246</f>
        <v>1507</v>
      </c>
      <c r="N246" s="3" t="n">
        <f aca="false">J246+M246</f>
        <v>7592</v>
      </c>
      <c r="O246" s="13" t="n">
        <f aca="false">LN(J246/K245)</f>
        <v>-0.00785730020435614</v>
      </c>
      <c r="P246" s="13" t="n">
        <f aca="false">LN(N246/N245)</f>
        <v>-0.00630254187080241</v>
      </c>
      <c r="Q246" s="3" t="n">
        <f aca="false">SUMIFS('Futures Data'!$D$5:$D$3471,'Futures Data'!$A$5:$A$3471,A246,'Futures Data'!$B$5:$B$3471,B246)</f>
        <v>4105</v>
      </c>
      <c r="R246" s="7" t="n">
        <v>45524</v>
      </c>
      <c r="S246" s="9" t="b">
        <f aca="false">C246=R246</f>
        <v>1</v>
      </c>
      <c r="T246" s="9" t="b">
        <f aca="false">ABS(O246-LN(J246/SUMIFS('Futures Data'!$C$5:$C$3471,'Futures Data'!$A$5:$A$3471,A245,'Futures Data'!$B$5:$B$3471,B246)))&lt;0.000000001</f>
        <v>1</v>
      </c>
    </row>
    <row r="247" customFormat="false" ht="15" hidden="false" customHeight="false" outlineLevel="0" collapsed="false">
      <c r="A247" s="7" t="n">
        <v>45495</v>
      </c>
      <c r="B247" s="11" t="n">
        <f aca="false">C246</f>
        <v>45524</v>
      </c>
      <c r="C247" s="11" t="n">
        <f aca="false">IF(OR(H246,D247&lt;=$G$4),_xlfn.MINIFS('Futures Data'!$B$5:$B$3471,'Futures Data'!$A$5:$A$3471,A247,'Futures Data'!$B$5:$B$3471,"&gt;"&amp;B247),B247)</f>
        <v>45524</v>
      </c>
      <c r="D247" s="3" t="n">
        <f aca="false">COUNTIFS($A$47:$A$790,"&gt;"&amp;A247,$A$47:$A$790,"&lt;="&amp;B247)+IF(B247&gt;$G$5,NETWORKDAYS($G$5+1,B247),0)</f>
        <v>20</v>
      </c>
      <c r="E247" s="3" t="n">
        <f aca="false">SUMIFS('Futures Data'!$E$5:$E$3471,'Futures Data'!$A$5:$A$3471,A247,'Futures Data'!$B$5:$B$3471,C247)</f>
        <v>38725</v>
      </c>
      <c r="F247" s="11" t="n">
        <f aca="false">_xlfn.MINIFS('Futures Data'!$B$5:$B$3471,'Futures Data'!$A$5:$A$3471,A247,'Futures Data'!$B$5:$B$3471,"&gt;"&amp;C247)</f>
        <v>45555</v>
      </c>
      <c r="G247" s="3" t="n">
        <f aca="false">SUMIFS('Futures Data'!$E$5:$E$3471,'Futures Data'!$A$5:$A$3471,A247,'Futures Data'!$B$5:$B$3471,F247)</f>
        <v>3410</v>
      </c>
      <c r="H247" s="9" t="b">
        <f aca="false">G247&gt;E247</f>
        <v>0</v>
      </c>
      <c r="I247" s="9" t="b">
        <f aca="false">C247&lt;&gt;B247</f>
        <v>0</v>
      </c>
      <c r="J247" s="3" t="n">
        <f aca="false">SUMIFS('Futures Data'!$C$5:$C$3471,'Futures Data'!$A$5:$A$3471,A247,'Futures Data'!$B$5:$B$3471,B247)</f>
        <v>6134</v>
      </c>
      <c r="K247" s="3" t="n">
        <f aca="false">SUMIFS('Futures Data'!$C$5:$C$3471,'Futures Data'!$A$5:$A$3471,A247,'Futures Data'!$B$5:$B$3471,C247)</f>
        <v>6134</v>
      </c>
      <c r="L247" s="3" t="n">
        <f aca="false">K247-J247</f>
        <v>0</v>
      </c>
      <c r="M247" s="3" t="n">
        <f aca="false">M248+L247</f>
        <v>1507</v>
      </c>
      <c r="N247" s="3" t="n">
        <f aca="false">J247+M247</f>
        <v>7641</v>
      </c>
      <c r="O247" s="13" t="n">
        <f aca="false">LN(J247/K246)</f>
        <v>0.00802033925256921</v>
      </c>
      <c r="P247" s="13" t="n">
        <f aca="false">LN(N247/N246)</f>
        <v>0.00643342335780291</v>
      </c>
      <c r="Q247" s="3" t="n">
        <f aca="false">SUMIFS('Futures Data'!$D$5:$D$3471,'Futures Data'!$A$5:$A$3471,A247,'Futures Data'!$B$5:$B$3471,B247)</f>
        <v>8075</v>
      </c>
      <c r="R247" s="7" t="n">
        <v>45524</v>
      </c>
      <c r="S247" s="9" t="b">
        <f aca="false">C247=R247</f>
        <v>1</v>
      </c>
      <c r="T247" s="9" t="b">
        <f aca="false">ABS(O247-LN(J247/SUMIFS('Futures Data'!$C$5:$C$3471,'Futures Data'!$A$5:$A$3471,A246,'Futures Data'!$B$5:$B$3471,B247)))&lt;0.000000001</f>
        <v>1</v>
      </c>
    </row>
    <row r="248" customFormat="false" ht="15" hidden="false" customHeight="false" outlineLevel="0" collapsed="false">
      <c r="A248" s="7" t="n">
        <v>45496</v>
      </c>
      <c r="B248" s="11" t="n">
        <f aca="false">C247</f>
        <v>45524</v>
      </c>
      <c r="C248" s="11" t="n">
        <f aca="false">IF(OR(H247,D248&lt;=$G$4),_xlfn.MINIFS('Futures Data'!$B$5:$B$3471,'Futures Data'!$A$5:$A$3471,A248,'Futures Data'!$B$5:$B$3471,"&gt;"&amp;B248),B248)</f>
        <v>45524</v>
      </c>
      <c r="D248" s="3" t="n">
        <f aca="false">COUNTIFS($A$47:$A$790,"&gt;"&amp;A248,$A$47:$A$790,"&lt;="&amp;B248)+IF(B248&gt;$G$5,NETWORKDAYS($G$5+1,B248),0)</f>
        <v>19</v>
      </c>
      <c r="E248" s="3" t="n">
        <f aca="false">SUMIFS('Futures Data'!$E$5:$E$3471,'Futures Data'!$A$5:$A$3471,A248,'Futures Data'!$B$5:$B$3471,C248)</f>
        <v>36700</v>
      </c>
      <c r="F248" s="11" t="n">
        <f aca="false">_xlfn.MINIFS('Futures Data'!$B$5:$B$3471,'Futures Data'!$A$5:$A$3471,A248,'Futures Data'!$B$5:$B$3471,"&gt;"&amp;C248)</f>
        <v>45555</v>
      </c>
      <c r="G248" s="3" t="n">
        <f aca="false">SUMIFS('Futures Data'!$E$5:$E$3471,'Futures Data'!$A$5:$A$3471,A248,'Futures Data'!$B$5:$B$3471,F248)</f>
        <v>5765</v>
      </c>
      <c r="H248" s="9" t="b">
        <f aca="false">G248&gt;E248</f>
        <v>0</v>
      </c>
      <c r="I248" s="9" t="b">
        <f aca="false">C248&lt;&gt;B248</f>
        <v>0</v>
      </c>
      <c r="J248" s="3" t="n">
        <f aca="false">SUMIFS('Futures Data'!$C$5:$C$3471,'Futures Data'!$A$5:$A$3471,A248,'Futures Data'!$B$5:$B$3471,B248)</f>
        <v>6112</v>
      </c>
      <c r="K248" s="3" t="n">
        <f aca="false">SUMIFS('Futures Data'!$C$5:$C$3471,'Futures Data'!$A$5:$A$3471,A248,'Futures Data'!$B$5:$B$3471,C248)</f>
        <v>6112</v>
      </c>
      <c r="L248" s="3" t="n">
        <f aca="false">K248-J248</f>
        <v>0</v>
      </c>
      <c r="M248" s="3" t="n">
        <f aca="false">M249+L248</f>
        <v>1507</v>
      </c>
      <c r="N248" s="3" t="n">
        <f aca="false">J248+M248</f>
        <v>7619</v>
      </c>
      <c r="O248" s="13" t="n">
        <f aca="false">LN(J248/K247)</f>
        <v>-0.00359301382784047</v>
      </c>
      <c r="P248" s="13" t="n">
        <f aca="false">LN(N248/N247)</f>
        <v>-0.00288335717455709</v>
      </c>
      <c r="Q248" s="3" t="n">
        <f aca="false">SUMIFS('Futures Data'!$D$5:$D$3471,'Futures Data'!$A$5:$A$3471,A248,'Futures Data'!$B$5:$B$3471,B248)</f>
        <v>5625</v>
      </c>
      <c r="R248" s="7" t="n">
        <v>45524</v>
      </c>
      <c r="S248" s="9" t="b">
        <f aca="false">C248=R248</f>
        <v>1</v>
      </c>
      <c r="T248" s="9" t="b">
        <f aca="false">ABS(O248-LN(J248/SUMIFS('Futures Data'!$C$5:$C$3471,'Futures Data'!$A$5:$A$3471,A247,'Futures Data'!$B$5:$B$3471,B248)))&lt;0.000000001</f>
        <v>1</v>
      </c>
    </row>
    <row r="249" customFormat="false" ht="15" hidden="false" customHeight="false" outlineLevel="0" collapsed="false">
      <c r="A249" s="7" t="n">
        <v>45497</v>
      </c>
      <c r="B249" s="11" t="n">
        <f aca="false">C248</f>
        <v>45524</v>
      </c>
      <c r="C249" s="11" t="n">
        <f aca="false">IF(OR(H248,D249&lt;=$G$4),_xlfn.MINIFS('Futures Data'!$B$5:$B$3471,'Futures Data'!$A$5:$A$3471,A249,'Futures Data'!$B$5:$B$3471,"&gt;"&amp;B249),B249)</f>
        <v>45524</v>
      </c>
      <c r="D249" s="3" t="n">
        <f aca="false">COUNTIFS($A$47:$A$790,"&gt;"&amp;A249,$A$47:$A$790,"&lt;="&amp;B249)+IF(B249&gt;$G$5,NETWORKDAYS($G$5+1,B249),0)</f>
        <v>18</v>
      </c>
      <c r="E249" s="3" t="n">
        <f aca="false">SUMIFS('Futures Data'!$E$5:$E$3471,'Futures Data'!$A$5:$A$3471,A249,'Futures Data'!$B$5:$B$3471,C249)</f>
        <v>36230</v>
      </c>
      <c r="F249" s="11" t="n">
        <f aca="false">_xlfn.MINIFS('Futures Data'!$B$5:$B$3471,'Futures Data'!$A$5:$A$3471,A249,'Futures Data'!$B$5:$B$3471,"&gt;"&amp;C249)</f>
        <v>45555</v>
      </c>
      <c r="G249" s="3" t="n">
        <f aca="false">SUMIFS('Futures Data'!$E$5:$E$3471,'Futures Data'!$A$5:$A$3471,A249,'Futures Data'!$B$5:$B$3471,F249)</f>
        <v>7220</v>
      </c>
      <c r="H249" s="9" t="b">
        <f aca="false">G249&gt;E249</f>
        <v>0</v>
      </c>
      <c r="I249" s="9" t="b">
        <f aca="false">C249&lt;&gt;B249</f>
        <v>0</v>
      </c>
      <c r="J249" s="3" t="n">
        <f aca="false">SUMIFS('Futures Data'!$C$5:$C$3471,'Futures Data'!$A$5:$A$3471,A249,'Futures Data'!$B$5:$B$3471,B249)</f>
        <v>6198</v>
      </c>
      <c r="K249" s="3" t="n">
        <f aca="false">SUMIFS('Futures Data'!$C$5:$C$3471,'Futures Data'!$A$5:$A$3471,A249,'Futures Data'!$B$5:$B$3471,C249)</f>
        <v>6198</v>
      </c>
      <c r="L249" s="3" t="n">
        <f aca="false">K249-J249</f>
        <v>0</v>
      </c>
      <c r="M249" s="3" t="n">
        <f aca="false">M250+L249</f>
        <v>1507</v>
      </c>
      <c r="N249" s="3" t="n">
        <f aca="false">J249+M249</f>
        <v>7705</v>
      </c>
      <c r="O249" s="13" t="n">
        <f aca="false">LN(J249/K248)</f>
        <v>0.0139726075013371</v>
      </c>
      <c r="P249" s="13" t="n">
        <f aca="false">LN(N249/N248)</f>
        <v>0.0112243412812064</v>
      </c>
      <c r="Q249" s="3" t="n">
        <f aca="false">SUMIFS('Futures Data'!$D$5:$D$3471,'Futures Data'!$A$5:$A$3471,A249,'Futures Data'!$B$5:$B$3471,B249)</f>
        <v>9245</v>
      </c>
      <c r="R249" s="7" t="n">
        <v>45524</v>
      </c>
      <c r="S249" s="9" t="b">
        <f aca="false">C249=R249</f>
        <v>1</v>
      </c>
      <c r="T249" s="9" t="b">
        <f aca="false">ABS(O249-LN(J249/SUMIFS('Futures Data'!$C$5:$C$3471,'Futures Data'!$A$5:$A$3471,A248,'Futures Data'!$B$5:$B$3471,B249)))&lt;0.000000001</f>
        <v>1</v>
      </c>
    </row>
    <row r="250" customFormat="false" ht="15" hidden="false" customHeight="false" outlineLevel="0" collapsed="false">
      <c r="A250" s="7" t="n">
        <v>45498</v>
      </c>
      <c r="B250" s="11" t="n">
        <f aca="false">C249</f>
        <v>45524</v>
      </c>
      <c r="C250" s="11" t="n">
        <f aca="false">IF(OR(H249,D250&lt;=$G$4),_xlfn.MINIFS('Futures Data'!$B$5:$B$3471,'Futures Data'!$A$5:$A$3471,A250,'Futures Data'!$B$5:$B$3471,"&gt;"&amp;B250),B250)</f>
        <v>45524</v>
      </c>
      <c r="D250" s="3" t="n">
        <f aca="false">COUNTIFS($A$47:$A$790,"&gt;"&amp;A250,$A$47:$A$790,"&lt;="&amp;B250)+IF(B250&gt;$G$5,NETWORKDAYS($G$5+1,B250),0)</f>
        <v>17</v>
      </c>
      <c r="E250" s="3" t="n">
        <f aca="false">SUMIFS('Futures Data'!$E$5:$E$3471,'Futures Data'!$A$5:$A$3471,A250,'Futures Data'!$B$5:$B$3471,C250)</f>
        <v>36035</v>
      </c>
      <c r="F250" s="11" t="n">
        <f aca="false">_xlfn.MINIFS('Futures Data'!$B$5:$B$3471,'Futures Data'!$A$5:$A$3471,A250,'Futures Data'!$B$5:$B$3471,"&gt;"&amp;C250)</f>
        <v>45555</v>
      </c>
      <c r="G250" s="3" t="n">
        <f aca="false">SUMIFS('Futures Data'!$E$5:$E$3471,'Futures Data'!$A$5:$A$3471,A250,'Futures Data'!$B$5:$B$3471,F250)</f>
        <v>7800</v>
      </c>
      <c r="H250" s="9" t="b">
        <f aca="false">G250&gt;E250</f>
        <v>0</v>
      </c>
      <c r="I250" s="9" t="b">
        <f aca="false">C250&lt;&gt;B250</f>
        <v>0</v>
      </c>
      <c r="J250" s="3" t="n">
        <f aca="false">SUMIFS('Futures Data'!$C$5:$C$3471,'Futures Data'!$A$5:$A$3471,A250,'Futures Data'!$B$5:$B$3471,B250)</f>
        <v>6197</v>
      </c>
      <c r="K250" s="3" t="n">
        <f aca="false">SUMIFS('Futures Data'!$C$5:$C$3471,'Futures Data'!$A$5:$A$3471,A250,'Futures Data'!$B$5:$B$3471,C250)</f>
        <v>6197</v>
      </c>
      <c r="L250" s="3" t="n">
        <f aca="false">K250-J250</f>
        <v>0</v>
      </c>
      <c r="M250" s="3" t="n">
        <f aca="false">M251+L250</f>
        <v>1507</v>
      </c>
      <c r="N250" s="3" t="n">
        <f aca="false">J250+M250</f>
        <v>7704</v>
      </c>
      <c r="O250" s="13" t="n">
        <f aca="false">LN(J250/K249)</f>
        <v>-0.000161355385586051</v>
      </c>
      <c r="P250" s="13" t="n">
        <f aca="false">LN(N250/N249)</f>
        <v>-0.000129794276254657</v>
      </c>
      <c r="Q250" s="3" t="n">
        <f aca="false">SUMIFS('Futures Data'!$D$5:$D$3471,'Futures Data'!$A$5:$A$3471,A250,'Futures Data'!$B$5:$B$3471,B250)</f>
        <v>5090</v>
      </c>
      <c r="R250" s="7" t="n">
        <v>45524</v>
      </c>
      <c r="S250" s="9" t="b">
        <f aca="false">C250=R250</f>
        <v>1</v>
      </c>
      <c r="T250" s="9" t="b">
        <f aca="false">ABS(O250-LN(J250/SUMIFS('Futures Data'!$C$5:$C$3471,'Futures Data'!$A$5:$A$3471,A249,'Futures Data'!$B$5:$B$3471,B250)))&lt;0.000000001</f>
        <v>1</v>
      </c>
    </row>
    <row r="251" customFormat="false" ht="15" hidden="false" customHeight="false" outlineLevel="0" collapsed="false">
      <c r="A251" s="7" t="n">
        <v>45499</v>
      </c>
      <c r="B251" s="11" t="n">
        <f aca="false">C250</f>
        <v>45524</v>
      </c>
      <c r="C251" s="11" t="n">
        <f aca="false">IF(OR(H250,D251&lt;=$G$4),_xlfn.MINIFS('Futures Data'!$B$5:$B$3471,'Futures Data'!$A$5:$A$3471,A251,'Futures Data'!$B$5:$B$3471,"&gt;"&amp;B251),B251)</f>
        <v>45524</v>
      </c>
      <c r="D251" s="3" t="n">
        <f aca="false">COUNTIFS($A$47:$A$790,"&gt;"&amp;A251,$A$47:$A$790,"&lt;="&amp;B251)+IF(B251&gt;$G$5,NETWORKDAYS($G$5+1,B251),0)</f>
        <v>16</v>
      </c>
      <c r="E251" s="3" t="n">
        <f aca="false">SUMIFS('Futures Data'!$E$5:$E$3471,'Futures Data'!$A$5:$A$3471,A251,'Futures Data'!$B$5:$B$3471,C251)</f>
        <v>34120</v>
      </c>
      <c r="F251" s="11" t="n">
        <f aca="false">_xlfn.MINIFS('Futures Data'!$B$5:$B$3471,'Futures Data'!$A$5:$A$3471,A251,'Futures Data'!$B$5:$B$3471,"&gt;"&amp;C251)</f>
        <v>45555</v>
      </c>
      <c r="G251" s="3" t="n">
        <f aca="false">SUMIFS('Futures Data'!$E$5:$E$3471,'Futures Data'!$A$5:$A$3471,A251,'Futures Data'!$B$5:$B$3471,F251)</f>
        <v>9450</v>
      </c>
      <c r="H251" s="9" t="b">
        <f aca="false">G251&gt;E251</f>
        <v>0</v>
      </c>
      <c r="I251" s="9" t="b">
        <f aca="false">C251&lt;&gt;B251</f>
        <v>0</v>
      </c>
      <c r="J251" s="3" t="n">
        <f aca="false">SUMIFS('Futures Data'!$C$5:$C$3471,'Futures Data'!$A$5:$A$3471,A251,'Futures Data'!$B$5:$B$3471,B251)</f>
        <v>6161</v>
      </c>
      <c r="K251" s="3" t="n">
        <f aca="false">SUMIFS('Futures Data'!$C$5:$C$3471,'Futures Data'!$A$5:$A$3471,A251,'Futures Data'!$B$5:$B$3471,C251)</f>
        <v>6161</v>
      </c>
      <c r="L251" s="3" t="n">
        <f aca="false">K251-J251</f>
        <v>0</v>
      </c>
      <c r="M251" s="3" t="n">
        <f aca="false">M252+L251</f>
        <v>1507</v>
      </c>
      <c r="N251" s="3" t="n">
        <f aca="false">J251+M251</f>
        <v>7668</v>
      </c>
      <c r="O251" s="13" t="n">
        <f aca="false">LN(J251/K250)</f>
        <v>-0.00582620194753684</v>
      </c>
      <c r="P251" s="13" t="n">
        <f aca="false">LN(N251/N250)</f>
        <v>-0.00468384931242631</v>
      </c>
      <c r="Q251" s="3" t="n">
        <f aca="false">SUMIFS('Futures Data'!$D$5:$D$3471,'Futures Data'!$A$5:$A$3471,A251,'Futures Data'!$B$5:$B$3471,B251)</f>
        <v>6970</v>
      </c>
      <c r="R251" s="7" t="n">
        <v>45524</v>
      </c>
      <c r="S251" s="9" t="b">
        <f aca="false">C251=R251</f>
        <v>1</v>
      </c>
      <c r="T251" s="9" t="b">
        <f aca="false">ABS(O251-LN(J251/SUMIFS('Futures Data'!$C$5:$C$3471,'Futures Data'!$A$5:$A$3471,A250,'Futures Data'!$B$5:$B$3471,B251)))&lt;0.000000001</f>
        <v>1</v>
      </c>
    </row>
    <row r="252" customFormat="false" ht="15" hidden="false" customHeight="false" outlineLevel="0" collapsed="false">
      <c r="A252" s="7" t="n">
        <v>45502</v>
      </c>
      <c r="B252" s="11" t="n">
        <f aca="false">C251</f>
        <v>45524</v>
      </c>
      <c r="C252" s="11" t="n">
        <f aca="false">IF(OR(H251,D252&lt;=$G$4),_xlfn.MINIFS('Futures Data'!$B$5:$B$3471,'Futures Data'!$A$5:$A$3471,A252,'Futures Data'!$B$5:$B$3471,"&gt;"&amp;B252),B252)</f>
        <v>45524</v>
      </c>
      <c r="D252" s="3" t="n">
        <f aca="false">COUNTIFS($A$47:$A$790,"&gt;"&amp;A252,$A$47:$A$790,"&lt;="&amp;B252)+IF(B252&gt;$G$5,NETWORKDAYS($G$5+1,B252),0)</f>
        <v>15</v>
      </c>
      <c r="E252" s="3" t="n">
        <f aca="false">SUMIFS('Futures Data'!$E$5:$E$3471,'Futures Data'!$A$5:$A$3471,A252,'Futures Data'!$B$5:$B$3471,C252)</f>
        <v>32560</v>
      </c>
      <c r="F252" s="11" t="n">
        <f aca="false">_xlfn.MINIFS('Futures Data'!$B$5:$B$3471,'Futures Data'!$A$5:$A$3471,A252,'Futures Data'!$B$5:$B$3471,"&gt;"&amp;C252)</f>
        <v>45555</v>
      </c>
      <c r="G252" s="3" t="n">
        <f aca="false">SUMIFS('Futures Data'!$E$5:$E$3471,'Futures Data'!$A$5:$A$3471,A252,'Futures Data'!$B$5:$B$3471,F252)</f>
        <v>11215</v>
      </c>
      <c r="H252" s="9" t="b">
        <f aca="false">G252&gt;E252</f>
        <v>0</v>
      </c>
      <c r="I252" s="9" t="b">
        <f aca="false">C252&lt;&gt;B252</f>
        <v>0</v>
      </c>
      <c r="J252" s="3" t="n">
        <f aca="false">SUMIFS('Futures Data'!$C$5:$C$3471,'Futures Data'!$A$5:$A$3471,A252,'Futures Data'!$B$5:$B$3471,B252)</f>
        <v>6162</v>
      </c>
      <c r="K252" s="3" t="n">
        <f aca="false">SUMIFS('Futures Data'!$C$5:$C$3471,'Futures Data'!$A$5:$A$3471,A252,'Futures Data'!$B$5:$B$3471,C252)</f>
        <v>6162</v>
      </c>
      <c r="L252" s="3" t="n">
        <f aca="false">K252-J252</f>
        <v>0</v>
      </c>
      <c r="M252" s="3" t="n">
        <f aca="false">M253+L252</f>
        <v>1507</v>
      </c>
      <c r="N252" s="3" t="n">
        <f aca="false">J252+M252</f>
        <v>7669</v>
      </c>
      <c r="O252" s="13" t="n">
        <f aca="false">LN(J252/K251)</f>
        <v>0.000162298142042637</v>
      </c>
      <c r="P252" s="13" t="n">
        <f aca="false">LN(N252/N251)</f>
        <v>0.000130403599324224</v>
      </c>
      <c r="Q252" s="3" t="n">
        <f aca="false">SUMIFS('Futures Data'!$D$5:$D$3471,'Futures Data'!$A$5:$A$3471,A252,'Futures Data'!$B$5:$B$3471,B252)</f>
        <v>6775</v>
      </c>
      <c r="R252" s="7" t="n">
        <v>45524</v>
      </c>
      <c r="S252" s="9" t="b">
        <f aca="false">C252=R252</f>
        <v>1</v>
      </c>
      <c r="T252" s="9" t="b">
        <f aca="false">ABS(O252-LN(J252/SUMIFS('Futures Data'!$C$5:$C$3471,'Futures Data'!$A$5:$A$3471,A251,'Futures Data'!$B$5:$B$3471,B252)))&lt;0.000000001</f>
        <v>1</v>
      </c>
    </row>
    <row r="253" customFormat="false" ht="15" hidden="false" customHeight="false" outlineLevel="0" collapsed="false">
      <c r="A253" s="7" t="n">
        <v>45503</v>
      </c>
      <c r="B253" s="11" t="n">
        <f aca="false">C252</f>
        <v>45524</v>
      </c>
      <c r="C253" s="11" t="n">
        <f aca="false">IF(OR(H252,D253&lt;=$G$4),_xlfn.MINIFS('Futures Data'!$B$5:$B$3471,'Futures Data'!$A$5:$A$3471,A253,'Futures Data'!$B$5:$B$3471,"&gt;"&amp;B253),B253)</f>
        <v>45524</v>
      </c>
      <c r="D253" s="3" t="n">
        <f aca="false">COUNTIFS($A$47:$A$790,"&gt;"&amp;A253,$A$47:$A$790,"&lt;="&amp;B253)+IF(B253&gt;$G$5,NETWORKDAYS($G$5+1,B253),0)</f>
        <v>14</v>
      </c>
      <c r="E253" s="3" t="n">
        <f aca="false">SUMIFS('Futures Data'!$E$5:$E$3471,'Futures Data'!$A$5:$A$3471,A253,'Futures Data'!$B$5:$B$3471,C253)</f>
        <v>30335</v>
      </c>
      <c r="F253" s="11" t="n">
        <f aca="false">_xlfn.MINIFS('Futures Data'!$B$5:$B$3471,'Futures Data'!$A$5:$A$3471,A253,'Futures Data'!$B$5:$B$3471,"&gt;"&amp;C253)</f>
        <v>45555</v>
      </c>
      <c r="G253" s="3" t="n">
        <f aca="false">SUMIFS('Futures Data'!$E$5:$E$3471,'Futures Data'!$A$5:$A$3471,A253,'Futures Data'!$B$5:$B$3471,F253)</f>
        <v>13850</v>
      </c>
      <c r="H253" s="9" t="b">
        <f aca="false">G253&gt;E253</f>
        <v>0</v>
      </c>
      <c r="I253" s="9" t="b">
        <f aca="false">C253&lt;&gt;B253</f>
        <v>0</v>
      </c>
      <c r="J253" s="3" t="n">
        <f aca="false">SUMIFS('Futures Data'!$C$5:$C$3471,'Futures Data'!$A$5:$A$3471,A253,'Futures Data'!$B$5:$B$3471,B253)</f>
        <v>6156</v>
      </c>
      <c r="K253" s="3" t="n">
        <f aca="false">SUMIFS('Futures Data'!$C$5:$C$3471,'Futures Data'!$A$5:$A$3471,A253,'Futures Data'!$B$5:$B$3471,C253)</f>
        <v>6156</v>
      </c>
      <c r="L253" s="3" t="n">
        <f aca="false">K253-J253</f>
        <v>0</v>
      </c>
      <c r="M253" s="3" t="n">
        <f aca="false">M254+L253</f>
        <v>1507</v>
      </c>
      <c r="N253" s="3" t="n">
        <f aca="false">J253+M253</f>
        <v>7663</v>
      </c>
      <c r="O253" s="13" t="n">
        <f aca="false">LN(J253/K252)</f>
        <v>-0.000974184197843375</v>
      </c>
      <c r="P253" s="13" t="n">
        <f aca="false">LN(N253/N252)</f>
        <v>-0.000782676794454965</v>
      </c>
      <c r="Q253" s="3" t="n">
        <f aca="false">SUMIFS('Futures Data'!$D$5:$D$3471,'Futures Data'!$A$5:$A$3471,A253,'Futures Data'!$B$5:$B$3471,B253)</f>
        <v>5820</v>
      </c>
      <c r="R253" s="7" t="n">
        <v>45524</v>
      </c>
      <c r="S253" s="9" t="b">
        <f aca="false">C253=R253</f>
        <v>1</v>
      </c>
      <c r="T253" s="9" t="b">
        <f aca="false">ABS(O253-LN(J253/SUMIFS('Futures Data'!$C$5:$C$3471,'Futures Data'!$A$5:$A$3471,A252,'Futures Data'!$B$5:$B$3471,B253)))&lt;0.000000001</f>
        <v>1</v>
      </c>
    </row>
    <row r="254" customFormat="false" ht="15" hidden="false" customHeight="false" outlineLevel="0" collapsed="false">
      <c r="A254" s="7" t="n">
        <v>45504</v>
      </c>
      <c r="B254" s="11" t="n">
        <f aca="false">C253</f>
        <v>45524</v>
      </c>
      <c r="C254" s="11" t="n">
        <f aca="false">IF(OR(H253,D254&lt;=$G$4),_xlfn.MINIFS('Futures Data'!$B$5:$B$3471,'Futures Data'!$A$5:$A$3471,A254,'Futures Data'!$B$5:$B$3471,"&gt;"&amp;B254),B254)</f>
        <v>45524</v>
      </c>
      <c r="D254" s="3" t="n">
        <f aca="false">COUNTIFS($A$47:$A$790,"&gt;"&amp;A254,$A$47:$A$790,"&lt;="&amp;B254)+IF(B254&gt;$G$5,NETWORKDAYS($G$5+1,B254),0)</f>
        <v>13</v>
      </c>
      <c r="E254" s="3" t="n">
        <f aca="false">SUMIFS('Futures Data'!$E$5:$E$3471,'Futures Data'!$A$5:$A$3471,A254,'Futures Data'!$B$5:$B$3471,C254)</f>
        <v>27950</v>
      </c>
      <c r="F254" s="11" t="n">
        <f aca="false">_xlfn.MINIFS('Futures Data'!$B$5:$B$3471,'Futures Data'!$A$5:$A$3471,A254,'Futures Data'!$B$5:$B$3471,"&gt;"&amp;C254)</f>
        <v>45555</v>
      </c>
      <c r="G254" s="3" t="n">
        <f aca="false">SUMIFS('Futures Data'!$E$5:$E$3471,'Futures Data'!$A$5:$A$3471,A254,'Futures Data'!$B$5:$B$3471,F254)</f>
        <v>16850</v>
      </c>
      <c r="H254" s="9" t="b">
        <f aca="false">G254&gt;E254</f>
        <v>0</v>
      </c>
      <c r="I254" s="9" t="b">
        <f aca="false">C254&lt;&gt;B254</f>
        <v>0</v>
      </c>
      <c r="J254" s="3" t="n">
        <f aca="false">SUMIFS('Futures Data'!$C$5:$C$3471,'Futures Data'!$A$5:$A$3471,A254,'Futures Data'!$B$5:$B$3471,B254)</f>
        <v>6167</v>
      </c>
      <c r="K254" s="3" t="n">
        <f aca="false">SUMIFS('Futures Data'!$C$5:$C$3471,'Futures Data'!$A$5:$A$3471,A254,'Futures Data'!$B$5:$B$3471,C254)</f>
        <v>6167</v>
      </c>
      <c r="L254" s="3" t="n">
        <f aca="false">K254-J254</f>
        <v>0</v>
      </c>
      <c r="M254" s="3" t="n">
        <f aca="false">M255+L254</f>
        <v>1507</v>
      </c>
      <c r="N254" s="3" t="n">
        <f aca="false">J254+M254</f>
        <v>7674</v>
      </c>
      <c r="O254" s="13" t="n">
        <f aca="false">LN(J254/K253)</f>
        <v>0.00178528003272287</v>
      </c>
      <c r="P254" s="13" t="n">
        <f aca="false">LN(N254/N253)</f>
        <v>0.00143443983649327</v>
      </c>
      <c r="Q254" s="3" t="n">
        <f aca="false">SUMIFS('Futures Data'!$D$5:$D$3471,'Futures Data'!$A$5:$A$3471,A254,'Futures Data'!$B$5:$B$3471,B254)</f>
        <v>6010</v>
      </c>
      <c r="R254" s="7" t="n">
        <v>45524</v>
      </c>
      <c r="S254" s="9" t="b">
        <f aca="false">C254=R254</f>
        <v>1</v>
      </c>
      <c r="T254" s="9" t="b">
        <f aca="false">ABS(O254-LN(J254/SUMIFS('Futures Data'!$C$5:$C$3471,'Futures Data'!$A$5:$A$3471,A253,'Futures Data'!$B$5:$B$3471,B254)))&lt;0.000000001</f>
        <v>1</v>
      </c>
    </row>
    <row r="255" customFormat="false" ht="15" hidden="false" customHeight="false" outlineLevel="0" collapsed="false">
      <c r="A255" s="7" t="n">
        <v>45505</v>
      </c>
      <c r="B255" s="11" t="n">
        <f aca="false">C254</f>
        <v>45524</v>
      </c>
      <c r="C255" s="11" t="n">
        <f aca="false">IF(OR(H254,D255&lt;=$G$4),_xlfn.MINIFS('Futures Data'!$B$5:$B$3471,'Futures Data'!$A$5:$A$3471,A255,'Futures Data'!$B$5:$B$3471,"&gt;"&amp;B255),B255)</f>
        <v>45524</v>
      </c>
      <c r="D255" s="3" t="n">
        <f aca="false">COUNTIFS($A$47:$A$790,"&gt;"&amp;A255,$A$47:$A$790,"&lt;="&amp;B255)+IF(B255&gt;$G$5,NETWORKDAYS($G$5+1,B255),0)</f>
        <v>12</v>
      </c>
      <c r="E255" s="3" t="n">
        <f aca="false">SUMIFS('Futures Data'!$E$5:$E$3471,'Futures Data'!$A$5:$A$3471,A255,'Futures Data'!$B$5:$B$3471,C255)</f>
        <v>27530</v>
      </c>
      <c r="F255" s="11" t="n">
        <f aca="false">_xlfn.MINIFS('Futures Data'!$B$5:$B$3471,'Futures Data'!$A$5:$A$3471,A255,'Futures Data'!$B$5:$B$3471,"&gt;"&amp;C255)</f>
        <v>45555</v>
      </c>
      <c r="G255" s="3" t="n">
        <f aca="false">SUMIFS('Futures Data'!$E$5:$E$3471,'Futures Data'!$A$5:$A$3471,A255,'Futures Data'!$B$5:$B$3471,F255)</f>
        <v>18425</v>
      </c>
      <c r="H255" s="9" t="b">
        <f aca="false">G255&gt;E255</f>
        <v>0</v>
      </c>
      <c r="I255" s="9" t="b">
        <f aca="false">C255&lt;&gt;B255</f>
        <v>0</v>
      </c>
      <c r="J255" s="3" t="n">
        <f aca="false">SUMIFS('Futures Data'!$C$5:$C$3471,'Futures Data'!$A$5:$A$3471,A255,'Futures Data'!$B$5:$B$3471,B255)</f>
        <v>6194</v>
      </c>
      <c r="K255" s="3" t="n">
        <f aca="false">SUMIFS('Futures Data'!$C$5:$C$3471,'Futures Data'!$A$5:$A$3471,A255,'Futures Data'!$B$5:$B$3471,C255)</f>
        <v>6194</v>
      </c>
      <c r="L255" s="3" t="n">
        <f aca="false">K255-J255</f>
        <v>0</v>
      </c>
      <c r="M255" s="3" t="n">
        <f aca="false">M256+L255</f>
        <v>1507</v>
      </c>
      <c r="N255" s="3" t="n">
        <f aca="false">J255+M255</f>
        <v>7701</v>
      </c>
      <c r="O255" s="13" t="n">
        <f aca="false">LN(J255/K254)</f>
        <v>0.0043685855416554</v>
      </c>
      <c r="P255" s="13" t="n">
        <f aca="false">LN(N255/N254)</f>
        <v>0.00351219873235242</v>
      </c>
      <c r="Q255" s="3" t="n">
        <f aca="false">SUMIFS('Futures Data'!$D$5:$D$3471,'Futures Data'!$A$5:$A$3471,A255,'Futures Data'!$B$5:$B$3471,B255)</f>
        <v>9060</v>
      </c>
      <c r="R255" s="7" t="n">
        <v>45524</v>
      </c>
      <c r="S255" s="9" t="b">
        <f aca="false">C255=R255</f>
        <v>1</v>
      </c>
      <c r="T255" s="9" t="b">
        <f aca="false">ABS(O255-LN(J255/SUMIFS('Futures Data'!$C$5:$C$3471,'Futures Data'!$A$5:$A$3471,A254,'Futures Data'!$B$5:$B$3471,B255)))&lt;0.000000001</f>
        <v>1</v>
      </c>
    </row>
    <row r="256" customFormat="false" ht="15" hidden="false" customHeight="false" outlineLevel="0" collapsed="false">
      <c r="A256" s="7" t="n">
        <v>45506</v>
      </c>
      <c r="B256" s="11" t="n">
        <f aca="false">C255</f>
        <v>45524</v>
      </c>
      <c r="C256" s="11" t="n">
        <f aca="false">IF(OR(H255,D256&lt;=$G$4),_xlfn.MINIFS('Futures Data'!$B$5:$B$3471,'Futures Data'!$A$5:$A$3471,A256,'Futures Data'!$B$5:$B$3471,"&gt;"&amp;B256),B256)</f>
        <v>45524</v>
      </c>
      <c r="D256" s="3" t="n">
        <f aca="false">COUNTIFS($A$47:$A$790,"&gt;"&amp;A256,$A$47:$A$790,"&lt;="&amp;B256)+IF(B256&gt;$G$5,NETWORKDAYS($G$5+1,B256),0)</f>
        <v>11</v>
      </c>
      <c r="E256" s="3" t="n">
        <f aca="false">SUMIFS('Futures Data'!$E$5:$E$3471,'Futures Data'!$A$5:$A$3471,A256,'Futures Data'!$B$5:$B$3471,C256)</f>
        <v>22955</v>
      </c>
      <c r="F256" s="11" t="n">
        <f aca="false">_xlfn.MINIFS('Futures Data'!$B$5:$B$3471,'Futures Data'!$A$5:$A$3471,A256,'Futures Data'!$B$5:$B$3471,"&gt;"&amp;C256)</f>
        <v>45555</v>
      </c>
      <c r="G256" s="3" t="n">
        <f aca="false">SUMIFS('Futures Data'!$E$5:$E$3471,'Futures Data'!$A$5:$A$3471,A256,'Futures Data'!$B$5:$B$3471,F256)</f>
        <v>24380</v>
      </c>
      <c r="H256" s="9" t="b">
        <f aca="false">G256&gt;E256</f>
        <v>1</v>
      </c>
      <c r="I256" s="9" t="b">
        <f aca="false">C256&lt;&gt;B256</f>
        <v>0</v>
      </c>
      <c r="J256" s="3" t="n">
        <f aca="false">SUMIFS('Futures Data'!$C$5:$C$3471,'Futures Data'!$A$5:$A$3471,A256,'Futures Data'!$B$5:$B$3471,B256)</f>
        <v>6193</v>
      </c>
      <c r="K256" s="3" t="n">
        <f aca="false">SUMIFS('Futures Data'!$C$5:$C$3471,'Futures Data'!$A$5:$A$3471,A256,'Futures Data'!$B$5:$B$3471,C256)</f>
        <v>6193</v>
      </c>
      <c r="L256" s="3" t="n">
        <f aca="false">K256-J256</f>
        <v>0</v>
      </c>
      <c r="M256" s="3" t="n">
        <f aca="false">M257+L256</f>
        <v>1507</v>
      </c>
      <c r="N256" s="3" t="n">
        <f aca="false">J256+M256</f>
        <v>7700</v>
      </c>
      <c r="O256" s="13" t="n">
        <f aca="false">LN(J256/K255)</f>
        <v>-0.000161459595087147</v>
      </c>
      <c r="P256" s="13" t="n">
        <f aca="false">LN(N256/N255)</f>
        <v>-0.000129861697474858</v>
      </c>
      <c r="Q256" s="3" t="n">
        <f aca="false">SUMIFS('Futures Data'!$D$5:$D$3471,'Futures Data'!$A$5:$A$3471,A256,'Futures Data'!$B$5:$B$3471,B256)</f>
        <v>10615</v>
      </c>
      <c r="R256" s="7" t="n">
        <v>45524</v>
      </c>
      <c r="S256" s="9" t="b">
        <f aca="false">C256=R256</f>
        <v>1</v>
      </c>
      <c r="T256" s="9" t="b">
        <f aca="false">ABS(O256-LN(J256/SUMIFS('Futures Data'!$C$5:$C$3471,'Futures Data'!$A$5:$A$3471,A255,'Futures Data'!$B$5:$B$3471,B256)))&lt;0.000000001</f>
        <v>1</v>
      </c>
    </row>
    <row r="257" customFormat="false" ht="15" hidden="false" customHeight="false" outlineLevel="0" collapsed="false">
      <c r="A257" s="7" t="n">
        <v>45509</v>
      </c>
      <c r="B257" s="11" t="n">
        <f aca="false">C256</f>
        <v>45524</v>
      </c>
      <c r="C257" s="11" t="n">
        <f aca="false">IF(OR(H256,D257&lt;=$G$4),_xlfn.MINIFS('Futures Data'!$B$5:$B$3471,'Futures Data'!$A$5:$A$3471,A257,'Futures Data'!$B$5:$B$3471,"&gt;"&amp;B257),B257)</f>
        <v>45555</v>
      </c>
      <c r="D257" s="3" t="n">
        <f aca="false">COUNTIFS($A$47:$A$790,"&gt;"&amp;A257,$A$47:$A$790,"&lt;="&amp;B257)+IF(B257&gt;$G$5,NETWORKDAYS($G$5+1,B257),0)</f>
        <v>10</v>
      </c>
      <c r="E257" s="3" t="n">
        <f aca="false">SUMIFS('Futures Data'!$E$5:$E$3471,'Futures Data'!$A$5:$A$3471,A257,'Futures Data'!$B$5:$B$3471,C257)</f>
        <v>28005</v>
      </c>
      <c r="F257" s="11" t="n">
        <f aca="false">_xlfn.MINIFS('Futures Data'!$B$5:$B$3471,'Futures Data'!$A$5:$A$3471,A257,'Futures Data'!$B$5:$B$3471,"&gt;"&amp;C257)</f>
        <v>45583</v>
      </c>
      <c r="G257" s="3" t="n">
        <f aca="false">SUMIFS('Futures Data'!$E$5:$E$3471,'Futures Data'!$A$5:$A$3471,A257,'Futures Data'!$B$5:$B$3471,F257)</f>
        <v>150</v>
      </c>
      <c r="H257" s="9" t="b">
        <f aca="false">G257&gt;E257</f>
        <v>0</v>
      </c>
      <c r="I257" s="9" t="b">
        <f aca="false">C257&lt;&gt;B257</f>
        <v>1</v>
      </c>
      <c r="J257" s="3" t="n">
        <f aca="false">SUMIFS('Futures Data'!$C$5:$C$3471,'Futures Data'!$A$5:$A$3471,A257,'Futures Data'!$B$5:$B$3471,B257)</f>
        <v>6193</v>
      </c>
      <c r="K257" s="3" t="n">
        <f aca="false">SUMIFS('Futures Data'!$C$5:$C$3471,'Futures Data'!$A$5:$A$3471,A257,'Futures Data'!$B$5:$B$3471,C257)</f>
        <v>6260</v>
      </c>
      <c r="L257" s="3" t="n">
        <f aca="false">K257-J257</f>
        <v>67</v>
      </c>
      <c r="M257" s="3" t="n">
        <f aca="false">M258+L257</f>
        <v>1507</v>
      </c>
      <c r="N257" s="3" t="n">
        <f aca="false">J257+M257</f>
        <v>7700</v>
      </c>
      <c r="O257" s="13" t="n">
        <f aca="false">LN(J257/K256)</f>
        <v>0</v>
      </c>
      <c r="P257" s="13" t="n">
        <f aca="false">LN(N257/N256)</f>
        <v>0</v>
      </c>
      <c r="Q257" s="3" t="n">
        <f aca="false">SUMIFS('Futures Data'!$D$5:$D$3471,'Futures Data'!$A$5:$A$3471,A257,'Futures Data'!$B$5:$B$3471,B257)</f>
        <v>8270</v>
      </c>
      <c r="R257" s="7" t="n">
        <v>45555</v>
      </c>
      <c r="S257" s="9" t="b">
        <f aca="false">C257=R257</f>
        <v>1</v>
      </c>
      <c r="T257" s="9" t="b">
        <f aca="false">ABS(O257-LN(J257/SUMIFS('Futures Data'!$C$5:$C$3471,'Futures Data'!$A$5:$A$3471,A256,'Futures Data'!$B$5:$B$3471,B257)))&lt;0.000000001</f>
        <v>1</v>
      </c>
    </row>
    <row r="258" customFormat="false" ht="15" hidden="false" customHeight="false" outlineLevel="0" collapsed="false">
      <c r="A258" s="7" t="n">
        <v>45510</v>
      </c>
      <c r="B258" s="11" t="n">
        <f aca="false">C257</f>
        <v>45555</v>
      </c>
      <c r="C258" s="11" t="n">
        <f aca="false">IF(OR(H257,D258&lt;=$G$4),_xlfn.MINIFS('Futures Data'!$B$5:$B$3471,'Futures Data'!$A$5:$A$3471,A258,'Futures Data'!$B$5:$B$3471,"&gt;"&amp;B258),B258)</f>
        <v>45555</v>
      </c>
      <c r="D258" s="3" t="n">
        <f aca="false">COUNTIFS($A$47:$A$790,"&gt;"&amp;A258,$A$47:$A$790,"&lt;="&amp;B258)+IF(B258&gt;$G$5,NETWORKDAYS($G$5+1,B258),0)</f>
        <v>32</v>
      </c>
      <c r="E258" s="3" t="n">
        <f aca="false">SUMIFS('Futures Data'!$E$5:$E$3471,'Futures Data'!$A$5:$A$3471,A258,'Futures Data'!$B$5:$B$3471,C258)</f>
        <v>29065</v>
      </c>
      <c r="F258" s="11" t="n">
        <f aca="false">_xlfn.MINIFS('Futures Data'!$B$5:$B$3471,'Futures Data'!$A$5:$A$3471,A258,'Futures Data'!$B$5:$B$3471,"&gt;"&amp;C258)</f>
        <v>45583</v>
      </c>
      <c r="G258" s="3" t="n">
        <f aca="false">SUMIFS('Futures Data'!$E$5:$E$3471,'Futures Data'!$A$5:$A$3471,A258,'Futures Data'!$B$5:$B$3471,F258)</f>
        <v>185</v>
      </c>
      <c r="H258" s="9" t="b">
        <f aca="false">G258&gt;E258</f>
        <v>0</v>
      </c>
      <c r="I258" s="9" t="b">
        <f aca="false">C258&lt;&gt;B258</f>
        <v>0</v>
      </c>
      <c r="J258" s="3" t="n">
        <f aca="false">SUMIFS('Futures Data'!$C$5:$C$3471,'Futures Data'!$A$5:$A$3471,A258,'Futures Data'!$B$5:$B$3471,B258)</f>
        <v>6226</v>
      </c>
      <c r="K258" s="3" t="n">
        <f aca="false">SUMIFS('Futures Data'!$C$5:$C$3471,'Futures Data'!$A$5:$A$3471,A258,'Futures Data'!$B$5:$B$3471,C258)</f>
        <v>6226</v>
      </c>
      <c r="L258" s="3" t="n">
        <f aca="false">K258-J258</f>
        <v>0</v>
      </c>
      <c r="M258" s="3" t="n">
        <f aca="false">M259+L258</f>
        <v>1440</v>
      </c>
      <c r="N258" s="3" t="n">
        <f aca="false">J258+M258</f>
        <v>7666</v>
      </c>
      <c r="O258" s="13" t="n">
        <f aca="false">LN(J258/K257)</f>
        <v>-0.00544611309259068</v>
      </c>
      <c r="P258" s="13" t="n">
        <f aca="false">LN(N258/N257)</f>
        <v>-0.00442536190127483</v>
      </c>
      <c r="Q258" s="3" t="n">
        <f aca="false">SUMIFS('Futures Data'!$D$5:$D$3471,'Futures Data'!$A$5:$A$3471,A258,'Futures Data'!$B$5:$B$3471,B258)</f>
        <v>4370</v>
      </c>
      <c r="R258" s="7" t="n">
        <v>45555</v>
      </c>
      <c r="S258" s="9" t="b">
        <f aca="false">C258=R258</f>
        <v>1</v>
      </c>
      <c r="T258" s="9" t="b">
        <f aca="false">ABS(O258-LN(J258/SUMIFS('Futures Data'!$C$5:$C$3471,'Futures Data'!$A$5:$A$3471,A257,'Futures Data'!$B$5:$B$3471,B258)))&lt;0.000000001</f>
        <v>1</v>
      </c>
    </row>
    <row r="259" customFormat="false" ht="15" hidden="false" customHeight="false" outlineLevel="0" collapsed="false">
      <c r="A259" s="7" t="n">
        <v>45511</v>
      </c>
      <c r="B259" s="11" t="n">
        <f aca="false">C258</f>
        <v>45555</v>
      </c>
      <c r="C259" s="11" t="n">
        <f aca="false">IF(OR(H258,D259&lt;=$G$4),_xlfn.MINIFS('Futures Data'!$B$5:$B$3471,'Futures Data'!$A$5:$A$3471,A259,'Futures Data'!$B$5:$B$3471,"&gt;"&amp;B259),B259)</f>
        <v>45555</v>
      </c>
      <c r="D259" s="3" t="n">
        <f aca="false">COUNTIFS($A$47:$A$790,"&gt;"&amp;A259,$A$47:$A$790,"&lt;="&amp;B259)+IF(B259&gt;$G$5,NETWORKDAYS($G$5+1,B259),0)</f>
        <v>31</v>
      </c>
      <c r="E259" s="3" t="n">
        <f aca="false">SUMIFS('Futures Data'!$E$5:$E$3471,'Futures Data'!$A$5:$A$3471,A259,'Futures Data'!$B$5:$B$3471,C259)</f>
        <v>30575</v>
      </c>
      <c r="F259" s="11" t="n">
        <f aca="false">_xlfn.MINIFS('Futures Data'!$B$5:$B$3471,'Futures Data'!$A$5:$A$3471,A259,'Futures Data'!$B$5:$B$3471,"&gt;"&amp;C259)</f>
        <v>45583</v>
      </c>
      <c r="G259" s="3" t="n">
        <f aca="false">SUMIFS('Futures Data'!$E$5:$E$3471,'Futures Data'!$A$5:$A$3471,A259,'Futures Data'!$B$5:$B$3471,F259)</f>
        <v>185</v>
      </c>
      <c r="H259" s="9" t="b">
        <f aca="false">G259&gt;E259</f>
        <v>0</v>
      </c>
      <c r="I259" s="9" t="b">
        <f aca="false">C259&lt;&gt;B259</f>
        <v>0</v>
      </c>
      <c r="J259" s="3" t="n">
        <f aca="false">SUMIFS('Futures Data'!$C$5:$C$3471,'Futures Data'!$A$5:$A$3471,A259,'Futures Data'!$B$5:$B$3471,B259)</f>
        <v>6253</v>
      </c>
      <c r="K259" s="3" t="n">
        <f aca="false">SUMIFS('Futures Data'!$C$5:$C$3471,'Futures Data'!$A$5:$A$3471,A259,'Futures Data'!$B$5:$B$3471,C259)</f>
        <v>6253</v>
      </c>
      <c r="L259" s="3" t="n">
        <f aca="false">K259-J259</f>
        <v>0</v>
      </c>
      <c r="M259" s="3" t="n">
        <f aca="false">M260+L259</f>
        <v>1440</v>
      </c>
      <c r="N259" s="3" t="n">
        <f aca="false">J259+M259</f>
        <v>7693</v>
      </c>
      <c r="O259" s="13" t="n">
        <f aca="false">LN(J259/K258)</f>
        <v>0.00432727656574441</v>
      </c>
      <c r="P259" s="13" t="n">
        <f aca="false">LN(N259/N258)</f>
        <v>0.00351585751843431</v>
      </c>
      <c r="Q259" s="3" t="n">
        <f aca="false">SUMIFS('Futures Data'!$D$5:$D$3471,'Futures Data'!$A$5:$A$3471,A259,'Futures Data'!$B$5:$B$3471,B259)</f>
        <v>4520</v>
      </c>
      <c r="R259" s="7" t="n">
        <v>45555</v>
      </c>
      <c r="S259" s="9" t="b">
        <f aca="false">C259=R259</f>
        <v>1</v>
      </c>
      <c r="T259" s="9" t="b">
        <f aca="false">ABS(O259-LN(J259/SUMIFS('Futures Data'!$C$5:$C$3471,'Futures Data'!$A$5:$A$3471,A258,'Futures Data'!$B$5:$B$3471,B259)))&lt;0.000000001</f>
        <v>1</v>
      </c>
    </row>
    <row r="260" customFormat="false" ht="15" hidden="false" customHeight="false" outlineLevel="0" collapsed="false">
      <c r="A260" s="7" t="n">
        <v>45512</v>
      </c>
      <c r="B260" s="11" t="n">
        <f aca="false">C259</f>
        <v>45555</v>
      </c>
      <c r="C260" s="11" t="n">
        <f aca="false">IF(OR(H259,D260&lt;=$G$4),_xlfn.MINIFS('Futures Data'!$B$5:$B$3471,'Futures Data'!$A$5:$A$3471,A260,'Futures Data'!$B$5:$B$3471,"&gt;"&amp;B260),B260)</f>
        <v>45555</v>
      </c>
      <c r="D260" s="3" t="n">
        <f aca="false">COUNTIFS($A$47:$A$790,"&gt;"&amp;A260,$A$47:$A$790,"&lt;="&amp;B260)+IF(B260&gt;$G$5,NETWORKDAYS($G$5+1,B260),0)</f>
        <v>30</v>
      </c>
      <c r="E260" s="3" t="n">
        <f aca="false">SUMIFS('Futures Data'!$E$5:$E$3471,'Futures Data'!$A$5:$A$3471,A260,'Futures Data'!$B$5:$B$3471,C260)</f>
        <v>33270</v>
      </c>
      <c r="F260" s="11" t="n">
        <f aca="false">_xlfn.MINIFS('Futures Data'!$B$5:$B$3471,'Futures Data'!$A$5:$A$3471,A260,'Futures Data'!$B$5:$B$3471,"&gt;"&amp;C260)</f>
        <v>45583</v>
      </c>
      <c r="G260" s="3" t="n">
        <f aca="false">SUMIFS('Futures Data'!$E$5:$E$3471,'Futures Data'!$A$5:$A$3471,A260,'Futures Data'!$B$5:$B$3471,F260)</f>
        <v>205</v>
      </c>
      <c r="H260" s="9" t="b">
        <f aca="false">G260&gt;E260</f>
        <v>0</v>
      </c>
      <c r="I260" s="9" t="b">
        <f aca="false">C260&lt;&gt;B260</f>
        <v>0</v>
      </c>
      <c r="J260" s="3" t="n">
        <f aca="false">SUMIFS('Futures Data'!$C$5:$C$3471,'Futures Data'!$A$5:$A$3471,A260,'Futures Data'!$B$5:$B$3471,B260)</f>
        <v>6253</v>
      </c>
      <c r="K260" s="3" t="n">
        <f aca="false">SUMIFS('Futures Data'!$C$5:$C$3471,'Futures Data'!$A$5:$A$3471,A260,'Futures Data'!$B$5:$B$3471,C260)</f>
        <v>6253</v>
      </c>
      <c r="L260" s="3" t="n">
        <f aca="false">K260-J260</f>
        <v>0</v>
      </c>
      <c r="M260" s="3" t="n">
        <f aca="false">M261+L260</f>
        <v>1440</v>
      </c>
      <c r="N260" s="3" t="n">
        <f aca="false">J260+M260</f>
        <v>7693</v>
      </c>
      <c r="O260" s="13" t="n">
        <f aca="false">LN(J260/K259)</f>
        <v>0</v>
      </c>
      <c r="P260" s="13" t="n">
        <f aca="false">LN(N260/N259)</f>
        <v>0</v>
      </c>
      <c r="Q260" s="3" t="n">
        <f aca="false">SUMIFS('Futures Data'!$D$5:$D$3471,'Futures Data'!$A$5:$A$3471,A260,'Futures Data'!$B$5:$B$3471,B260)</f>
        <v>6820</v>
      </c>
      <c r="R260" s="7" t="n">
        <v>45555</v>
      </c>
      <c r="S260" s="9" t="b">
        <f aca="false">C260=R260</f>
        <v>1</v>
      </c>
      <c r="T260" s="9" t="b">
        <f aca="false">ABS(O260-LN(J260/SUMIFS('Futures Data'!$C$5:$C$3471,'Futures Data'!$A$5:$A$3471,A259,'Futures Data'!$B$5:$B$3471,B260)))&lt;0.000000001</f>
        <v>1</v>
      </c>
    </row>
    <row r="261" customFormat="false" ht="15" hidden="false" customHeight="false" outlineLevel="0" collapsed="false">
      <c r="A261" s="7" t="n">
        <v>45513</v>
      </c>
      <c r="B261" s="11" t="n">
        <f aca="false">C260</f>
        <v>45555</v>
      </c>
      <c r="C261" s="11" t="n">
        <f aca="false">IF(OR(H260,D261&lt;=$G$4),_xlfn.MINIFS('Futures Data'!$B$5:$B$3471,'Futures Data'!$A$5:$A$3471,A261,'Futures Data'!$B$5:$B$3471,"&gt;"&amp;B261),B261)</f>
        <v>45555</v>
      </c>
      <c r="D261" s="3" t="n">
        <f aca="false">COUNTIFS($A$47:$A$790,"&gt;"&amp;A261,$A$47:$A$790,"&lt;="&amp;B261)+IF(B261&gt;$G$5,NETWORKDAYS($G$5+1,B261),0)</f>
        <v>29</v>
      </c>
      <c r="E261" s="3" t="n">
        <f aca="false">SUMIFS('Futures Data'!$E$5:$E$3471,'Futures Data'!$A$5:$A$3471,A261,'Futures Data'!$B$5:$B$3471,C261)</f>
        <v>37805</v>
      </c>
      <c r="F261" s="11" t="n">
        <f aca="false">_xlfn.MINIFS('Futures Data'!$B$5:$B$3471,'Futures Data'!$A$5:$A$3471,A261,'Futures Data'!$B$5:$B$3471,"&gt;"&amp;C261)</f>
        <v>45583</v>
      </c>
      <c r="G261" s="3" t="n">
        <f aca="false">SUMIFS('Futures Data'!$E$5:$E$3471,'Futures Data'!$A$5:$A$3471,A261,'Futures Data'!$B$5:$B$3471,F261)</f>
        <v>310</v>
      </c>
      <c r="H261" s="9" t="b">
        <f aca="false">G261&gt;E261</f>
        <v>0</v>
      </c>
      <c r="I261" s="9" t="b">
        <f aca="false">C261&lt;&gt;B261</f>
        <v>0</v>
      </c>
      <c r="J261" s="3" t="n">
        <f aca="false">SUMIFS('Futures Data'!$C$5:$C$3471,'Futures Data'!$A$5:$A$3471,A261,'Futures Data'!$B$5:$B$3471,B261)</f>
        <v>6255</v>
      </c>
      <c r="K261" s="3" t="n">
        <f aca="false">SUMIFS('Futures Data'!$C$5:$C$3471,'Futures Data'!$A$5:$A$3471,A261,'Futures Data'!$B$5:$B$3471,C261)</f>
        <v>6255</v>
      </c>
      <c r="L261" s="3" t="n">
        <f aca="false">K261-J261</f>
        <v>0</v>
      </c>
      <c r="M261" s="3" t="n">
        <f aca="false">M262+L261</f>
        <v>1440</v>
      </c>
      <c r="N261" s="3" t="n">
        <f aca="false">J261+M261</f>
        <v>7695</v>
      </c>
      <c r="O261" s="13" t="n">
        <f aca="false">LN(J261/K260)</f>
        <v>0.000319795333713624</v>
      </c>
      <c r="P261" s="13" t="n">
        <f aca="false">LN(N261/N260)</f>
        <v>0.000259942814044982</v>
      </c>
      <c r="Q261" s="3" t="n">
        <f aca="false">SUMIFS('Futures Data'!$D$5:$D$3471,'Futures Data'!$A$5:$A$3471,A261,'Futures Data'!$B$5:$B$3471,B261)</f>
        <v>9125</v>
      </c>
      <c r="R261" s="7" t="n">
        <v>45555</v>
      </c>
      <c r="S261" s="9" t="b">
        <f aca="false">C261=R261</f>
        <v>1</v>
      </c>
      <c r="T261" s="9" t="b">
        <f aca="false">ABS(O261-LN(J261/SUMIFS('Futures Data'!$C$5:$C$3471,'Futures Data'!$A$5:$A$3471,A260,'Futures Data'!$B$5:$B$3471,B261)))&lt;0.000000001</f>
        <v>1</v>
      </c>
    </row>
    <row r="262" customFormat="false" ht="15" hidden="false" customHeight="false" outlineLevel="0" collapsed="false">
      <c r="A262" s="7" t="n">
        <v>45516</v>
      </c>
      <c r="B262" s="11" t="n">
        <f aca="false">C261</f>
        <v>45555</v>
      </c>
      <c r="C262" s="11" t="n">
        <f aca="false">IF(OR(H261,D262&lt;=$G$4),_xlfn.MINIFS('Futures Data'!$B$5:$B$3471,'Futures Data'!$A$5:$A$3471,A262,'Futures Data'!$B$5:$B$3471,"&gt;"&amp;B262),B262)</f>
        <v>45555</v>
      </c>
      <c r="D262" s="3" t="n">
        <f aca="false">COUNTIFS($A$47:$A$790,"&gt;"&amp;A262,$A$47:$A$790,"&lt;="&amp;B262)+IF(B262&gt;$G$5,NETWORKDAYS($G$5+1,B262),0)</f>
        <v>28</v>
      </c>
      <c r="E262" s="3" t="n">
        <f aca="false">SUMIFS('Futures Data'!$E$5:$E$3471,'Futures Data'!$A$5:$A$3471,A262,'Futures Data'!$B$5:$B$3471,C262)</f>
        <v>40470</v>
      </c>
      <c r="F262" s="11" t="n">
        <f aca="false">_xlfn.MINIFS('Futures Data'!$B$5:$B$3471,'Futures Data'!$A$5:$A$3471,A262,'Futures Data'!$B$5:$B$3471,"&gt;"&amp;C262)</f>
        <v>45583</v>
      </c>
      <c r="G262" s="3" t="n">
        <f aca="false">SUMIFS('Futures Data'!$E$5:$E$3471,'Futures Data'!$A$5:$A$3471,A262,'Futures Data'!$B$5:$B$3471,F262)</f>
        <v>310</v>
      </c>
      <c r="H262" s="9" t="b">
        <f aca="false">G262&gt;E262</f>
        <v>0</v>
      </c>
      <c r="I262" s="9" t="b">
        <f aca="false">C262&lt;&gt;B262</f>
        <v>0</v>
      </c>
      <c r="J262" s="3" t="n">
        <f aca="false">SUMIFS('Futures Data'!$C$5:$C$3471,'Futures Data'!$A$5:$A$3471,A262,'Futures Data'!$B$5:$B$3471,B262)</f>
        <v>6295</v>
      </c>
      <c r="K262" s="3" t="n">
        <f aca="false">SUMIFS('Futures Data'!$C$5:$C$3471,'Futures Data'!$A$5:$A$3471,A262,'Futures Data'!$B$5:$B$3471,C262)</f>
        <v>6295</v>
      </c>
      <c r="L262" s="3" t="n">
        <f aca="false">K262-J262</f>
        <v>0</v>
      </c>
      <c r="M262" s="3" t="n">
        <f aca="false">M263+L262</f>
        <v>1440</v>
      </c>
      <c r="N262" s="3" t="n">
        <f aca="false">J262+M262</f>
        <v>7735</v>
      </c>
      <c r="O262" s="13" t="n">
        <f aca="false">LN(J262/K261)</f>
        <v>0.00637452357743613</v>
      </c>
      <c r="P262" s="13" t="n">
        <f aca="false">LN(N262/N261)</f>
        <v>0.0051847167341869</v>
      </c>
      <c r="Q262" s="3" t="n">
        <f aca="false">SUMIFS('Futures Data'!$D$5:$D$3471,'Futures Data'!$A$5:$A$3471,A262,'Futures Data'!$B$5:$B$3471,B262)</f>
        <v>6830</v>
      </c>
      <c r="R262" s="7" t="n">
        <v>45555</v>
      </c>
      <c r="S262" s="9" t="b">
        <f aca="false">C262=R262</f>
        <v>1</v>
      </c>
      <c r="T262" s="9" t="b">
        <f aca="false">ABS(O262-LN(J262/SUMIFS('Futures Data'!$C$5:$C$3471,'Futures Data'!$A$5:$A$3471,A261,'Futures Data'!$B$5:$B$3471,B262)))&lt;0.000000001</f>
        <v>1</v>
      </c>
    </row>
    <row r="263" customFormat="false" ht="15" hidden="false" customHeight="false" outlineLevel="0" collapsed="false">
      <c r="A263" s="7" t="n">
        <v>45517</v>
      </c>
      <c r="B263" s="11" t="n">
        <f aca="false">C262</f>
        <v>45555</v>
      </c>
      <c r="C263" s="11" t="n">
        <f aca="false">IF(OR(H262,D263&lt;=$G$4),_xlfn.MINIFS('Futures Data'!$B$5:$B$3471,'Futures Data'!$A$5:$A$3471,A263,'Futures Data'!$B$5:$B$3471,"&gt;"&amp;B263),B263)</f>
        <v>45555</v>
      </c>
      <c r="D263" s="3" t="n">
        <f aca="false">COUNTIFS($A$47:$A$790,"&gt;"&amp;A263,$A$47:$A$790,"&lt;="&amp;B263)+IF(B263&gt;$G$5,NETWORKDAYS($G$5+1,B263),0)</f>
        <v>27</v>
      </c>
      <c r="E263" s="3" t="n">
        <f aca="false">SUMIFS('Futures Data'!$E$5:$E$3471,'Futures Data'!$A$5:$A$3471,A263,'Futures Data'!$B$5:$B$3471,C263)</f>
        <v>40860</v>
      </c>
      <c r="F263" s="11" t="n">
        <f aca="false">_xlfn.MINIFS('Futures Data'!$B$5:$B$3471,'Futures Data'!$A$5:$A$3471,A263,'Futures Data'!$B$5:$B$3471,"&gt;"&amp;C263)</f>
        <v>45583</v>
      </c>
      <c r="G263" s="3" t="n">
        <f aca="false">SUMIFS('Futures Data'!$E$5:$E$3471,'Futures Data'!$A$5:$A$3471,A263,'Futures Data'!$B$5:$B$3471,F263)</f>
        <v>445</v>
      </c>
      <c r="H263" s="9" t="b">
        <f aca="false">G263&gt;E263</f>
        <v>0</v>
      </c>
      <c r="I263" s="9" t="b">
        <f aca="false">C263&lt;&gt;B263</f>
        <v>0</v>
      </c>
      <c r="J263" s="3" t="n">
        <f aca="false">SUMIFS('Futures Data'!$C$5:$C$3471,'Futures Data'!$A$5:$A$3471,A263,'Futures Data'!$B$5:$B$3471,B263)</f>
        <v>6243</v>
      </c>
      <c r="K263" s="3" t="n">
        <f aca="false">SUMIFS('Futures Data'!$C$5:$C$3471,'Futures Data'!$A$5:$A$3471,A263,'Futures Data'!$B$5:$B$3471,C263)</f>
        <v>6243</v>
      </c>
      <c r="L263" s="3" t="n">
        <f aca="false">K263-J263</f>
        <v>0</v>
      </c>
      <c r="M263" s="3" t="n">
        <f aca="false">M264+L263</f>
        <v>1440</v>
      </c>
      <c r="N263" s="3" t="n">
        <f aca="false">J263+M263</f>
        <v>7683</v>
      </c>
      <c r="O263" s="13" t="n">
        <f aca="false">LN(J263/K262)</f>
        <v>-0.00829483141670345</v>
      </c>
      <c r="P263" s="13" t="n">
        <f aca="false">LN(N263/N262)</f>
        <v>-0.00674538813953154</v>
      </c>
      <c r="Q263" s="3" t="n">
        <f aca="false">SUMIFS('Futures Data'!$D$5:$D$3471,'Futures Data'!$A$5:$A$3471,A263,'Futures Data'!$B$5:$B$3471,B263)</f>
        <v>10485</v>
      </c>
      <c r="R263" s="7" t="n">
        <v>45555</v>
      </c>
      <c r="S263" s="9" t="b">
        <f aca="false">C263=R263</f>
        <v>1</v>
      </c>
      <c r="T263" s="9" t="b">
        <f aca="false">ABS(O263-LN(J263/SUMIFS('Futures Data'!$C$5:$C$3471,'Futures Data'!$A$5:$A$3471,A262,'Futures Data'!$B$5:$B$3471,B263)))&lt;0.000000001</f>
        <v>1</v>
      </c>
    </row>
    <row r="264" customFormat="false" ht="15" hidden="false" customHeight="false" outlineLevel="0" collapsed="false">
      <c r="A264" s="7" t="n">
        <v>45518</v>
      </c>
      <c r="B264" s="11" t="n">
        <f aca="false">C263</f>
        <v>45555</v>
      </c>
      <c r="C264" s="11" t="n">
        <f aca="false">IF(OR(H263,D264&lt;=$G$4),_xlfn.MINIFS('Futures Data'!$B$5:$B$3471,'Futures Data'!$A$5:$A$3471,A264,'Futures Data'!$B$5:$B$3471,"&gt;"&amp;B264),B264)</f>
        <v>45555</v>
      </c>
      <c r="D264" s="3" t="n">
        <f aca="false">COUNTIFS($A$47:$A$790,"&gt;"&amp;A264,$A$47:$A$790,"&lt;="&amp;B264)+IF(B264&gt;$G$5,NETWORKDAYS($G$5+1,B264),0)</f>
        <v>26</v>
      </c>
      <c r="E264" s="3" t="n">
        <f aca="false">SUMIFS('Futures Data'!$E$5:$E$3471,'Futures Data'!$A$5:$A$3471,A264,'Futures Data'!$B$5:$B$3471,C264)</f>
        <v>42200</v>
      </c>
      <c r="F264" s="11" t="n">
        <f aca="false">_xlfn.MINIFS('Futures Data'!$B$5:$B$3471,'Futures Data'!$A$5:$A$3471,A264,'Futures Data'!$B$5:$B$3471,"&gt;"&amp;C264)</f>
        <v>45583</v>
      </c>
      <c r="G264" s="3" t="n">
        <f aca="false">SUMIFS('Futures Data'!$E$5:$E$3471,'Futures Data'!$A$5:$A$3471,A264,'Futures Data'!$B$5:$B$3471,F264)</f>
        <v>470</v>
      </c>
      <c r="H264" s="9" t="b">
        <f aca="false">G264&gt;E264</f>
        <v>0</v>
      </c>
      <c r="I264" s="9" t="b">
        <f aca="false">C264&lt;&gt;B264</f>
        <v>0</v>
      </c>
      <c r="J264" s="3" t="n">
        <f aca="false">SUMIFS('Futures Data'!$C$5:$C$3471,'Futures Data'!$A$5:$A$3471,A264,'Futures Data'!$B$5:$B$3471,B264)</f>
        <v>6241</v>
      </c>
      <c r="K264" s="3" t="n">
        <f aca="false">SUMIFS('Futures Data'!$C$5:$C$3471,'Futures Data'!$A$5:$A$3471,A264,'Futures Data'!$B$5:$B$3471,C264)</f>
        <v>6241</v>
      </c>
      <c r="L264" s="3" t="n">
        <f aca="false">K264-J264</f>
        <v>0</v>
      </c>
      <c r="M264" s="3" t="n">
        <f aca="false">M265+L264</f>
        <v>1440</v>
      </c>
      <c r="N264" s="3" t="n">
        <f aca="false">J264+M264</f>
        <v>7681</v>
      </c>
      <c r="O264" s="13" t="n">
        <f aca="false">LN(J264/K263)</f>
        <v>-0.000320410127701148</v>
      </c>
      <c r="P264" s="13" t="n">
        <f aca="false">LN(N264/N263)</f>
        <v>-0.000260348868953052</v>
      </c>
      <c r="Q264" s="3" t="n">
        <f aca="false">SUMIFS('Futures Data'!$D$5:$D$3471,'Futures Data'!$A$5:$A$3471,A264,'Futures Data'!$B$5:$B$3471,B264)</f>
        <v>4155</v>
      </c>
      <c r="R264" s="7" t="n">
        <v>45555</v>
      </c>
      <c r="S264" s="9" t="b">
        <f aca="false">C264=R264</f>
        <v>1</v>
      </c>
      <c r="T264" s="9" t="b">
        <f aca="false">ABS(O264-LN(J264/SUMIFS('Futures Data'!$C$5:$C$3471,'Futures Data'!$A$5:$A$3471,A263,'Futures Data'!$B$5:$B$3471,B264)))&lt;0.000000001</f>
        <v>1</v>
      </c>
    </row>
    <row r="265" customFormat="false" ht="15" hidden="false" customHeight="false" outlineLevel="0" collapsed="false">
      <c r="A265" s="7" t="n">
        <v>45520</v>
      </c>
      <c r="B265" s="11" t="n">
        <f aca="false">C264</f>
        <v>45555</v>
      </c>
      <c r="C265" s="11" t="n">
        <f aca="false">IF(OR(H264,D265&lt;=$G$4),_xlfn.MINIFS('Futures Data'!$B$5:$B$3471,'Futures Data'!$A$5:$A$3471,A265,'Futures Data'!$B$5:$B$3471,"&gt;"&amp;B265),B265)</f>
        <v>45555</v>
      </c>
      <c r="D265" s="3" t="n">
        <f aca="false">COUNTIFS($A$47:$A$790,"&gt;"&amp;A265,$A$47:$A$790,"&lt;="&amp;B265)+IF(B265&gt;$G$5,NETWORKDAYS($G$5+1,B265),0)</f>
        <v>25</v>
      </c>
      <c r="E265" s="3" t="n">
        <f aca="false">SUMIFS('Futures Data'!$E$5:$E$3471,'Futures Data'!$A$5:$A$3471,A265,'Futures Data'!$B$5:$B$3471,C265)</f>
        <v>44625</v>
      </c>
      <c r="F265" s="11" t="n">
        <f aca="false">_xlfn.MINIFS('Futures Data'!$B$5:$B$3471,'Futures Data'!$A$5:$A$3471,A265,'Futures Data'!$B$5:$B$3471,"&gt;"&amp;C265)</f>
        <v>45583</v>
      </c>
      <c r="G265" s="3" t="n">
        <f aca="false">SUMIFS('Futures Data'!$E$5:$E$3471,'Futures Data'!$A$5:$A$3471,A265,'Futures Data'!$B$5:$B$3471,F265)</f>
        <v>585</v>
      </c>
      <c r="H265" s="9" t="b">
        <f aca="false">G265&gt;E265</f>
        <v>0</v>
      </c>
      <c r="I265" s="9" t="b">
        <f aca="false">C265&lt;&gt;B265</f>
        <v>0</v>
      </c>
      <c r="J265" s="3" t="n">
        <f aca="false">SUMIFS('Futures Data'!$C$5:$C$3471,'Futures Data'!$A$5:$A$3471,A265,'Futures Data'!$B$5:$B$3471,B265)</f>
        <v>6229</v>
      </c>
      <c r="K265" s="3" t="n">
        <f aca="false">SUMIFS('Futures Data'!$C$5:$C$3471,'Futures Data'!$A$5:$A$3471,A265,'Futures Data'!$B$5:$B$3471,C265)</f>
        <v>6229</v>
      </c>
      <c r="L265" s="3" t="n">
        <f aca="false">K265-J265</f>
        <v>0</v>
      </c>
      <c r="M265" s="3" t="n">
        <f aca="false">M266+L265</f>
        <v>1440</v>
      </c>
      <c r="N265" s="3" t="n">
        <f aca="false">J265+M265</f>
        <v>7669</v>
      </c>
      <c r="O265" s="13" t="n">
        <f aca="false">LN(J265/K264)</f>
        <v>-0.00192461967989744</v>
      </c>
      <c r="P265" s="13" t="n">
        <f aca="false">LN(N265/N264)</f>
        <v>-0.00156351823382265</v>
      </c>
      <c r="Q265" s="3" t="n">
        <f aca="false">SUMIFS('Futures Data'!$D$5:$D$3471,'Futures Data'!$A$5:$A$3471,A265,'Futures Data'!$B$5:$B$3471,B265)</f>
        <v>7335</v>
      </c>
      <c r="R265" s="7" t="n">
        <v>45555</v>
      </c>
      <c r="S265" s="9" t="b">
        <f aca="false">C265=R265</f>
        <v>1</v>
      </c>
      <c r="T265" s="9" t="b">
        <f aca="false">ABS(O265-LN(J265/SUMIFS('Futures Data'!$C$5:$C$3471,'Futures Data'!$A$5:$A$3471,A264,'Futures Data'!$B$5:$B$3471,B265)))&lt;0.000000001</f>
        <v>1</v>
      </c>
    </row>
    <row r="266" customFormat="false" ht="15" hidden="false" customHeight="false" outlineLevel="0" collapsed="false">
      <c r="A266" s="7" t="n">
        <v>45523</v>
      </c>
      <c r="B266" s="11" t="n">
        <f aca="false">C265</f>
        <v>45555</v>
      </c>
      <c r="C266" s="11" t="n">
        <f aca="false">IF(OR(H265,D266&lt;=$G$4),_xlfn.MINIFS('Futures Data'!$B$5:$B$3471,'Futures Data'!$A$5:$A$3471,A266,'Futures Data'!$B$5:$B$3471,"&gt;"&amp;B266),B266)</f>
        <v>45555</v>
      </c>
      <c r="D266" s="3" t="n">
        <f aca="false">COUNTIFS($A$47:$A$790,"&gt;"&amp;A266,$A$47:$A$790,"&lt;="&amp;B266)+IF(B266&gt;$G$5,NETWORKDAYS($G$5+1,B266),0)</f>
        <v>24</v>
      </c>
      <c r="E266" s="3" t="n">
        <f aca="false">SUMIFS('Futures Data'!$E$5:$E$3471,'Futures Data'!$A$5:$A$3471,A266,'Futures Data'!$B$5:$B$3471,C266)</f>
        <v>43865</v>
      </c>
      <c r="F266" s="11" t="n">
        <f aca="false">_xlfn.MINIFS('Futures Data'!$B$5:$B$3471,'Futures Data'!$A$5:$A$3471,A266,'Futures Data'!$B$5:$B$3471,"&gt;"&amp;C266)</f>
        <v>45583</v>
      </c>
      <c r="G266" s="3" t="n">
        <f aca="false">SUMIFS('Futures Data'!$E$5:$E$3471,'Futures Data'!$A$5:$A$3471,A266,'Futures Data'!$B$5:$B$3471,F266)</f>
        <v>1290</v>
      </c>
      <c r="H266" s="9" t="b">
        <f aca="false">G266&gt;E266</f>
        <v>0</v>
      </c>
      <c r="I266" s="9" t="b">
        <f aca="false">C266&lt;&gt;B266</f>
        <v>0</v>
      </c>
      <c r="J266" s="3" t="n">
        <f aca="false">SUMIFS('Futures Data'!$C$5:$C$3471,'Futures Data'!$A$5:$A$3471,A266,'Futures Data'!$B$5:$B$3471,B266)</f>
        <v>6215</v>
      </c>
      <c r="K266" s="3" t="n">
        <f aca="false">SUMIFS('Futures Data'!$C$5:$C$3471,'Futures Data'!$A$5:$A$3471,A266,'Futures Data'!$B$5:$B$3471,C266)</f>
        <v>6215</v>
      </c>
      <c r="L266" s="3" t="n">
        <f aca="false">K266-J266</f>
        <v>0</v>
      </c>
      <c r="M266" s="3" t="n">
        <f aca="false">M267+L266</f>
        <v>1440</v>
      </c>
      <c r="N266" s="3" t="n">
        <f aca="false">J266+M266</f>
        <v>7655</v>
      </c>
      <c r="O266" s="13" t="n">
        <f aca="false">LN(J266/K265)</f>
        <v>-0.00225008130933405</v>
      </c>
      <c r="P266" s="13" t="n">
        <f aca="false">LN(N266/N265)</f>
        <v>-0.00182719967307509</v>
      </c>
      <c r="Q266" s="3" t="n">
        <f aca="false">SUMIFS('Futures Data'!$D$5:$D$3471,'Futures Data'!$A$5:$A$3471,A266,'Futures Data'!$B$5:$B$3471,B266)</f>
        <v>1915</v>
      </c>
      <c r="R266" s="7" t="n">
        <v>45555</v>
      </c>
      <c r="S266" s="9" t="b">
        <f aca="false">C266=R266</f>
        <v>1</v>
      </c>
      <c r="T266" s="9" t="b">
        <f aca="false">ABS(O266-LN(J266/SUMIFS('Futures Data'!$C$5:$C$3471,'Futures Data'!$A$5:$A$3471,A265,'Futures Data'!$B$5:$B$3471,B266)))&lt;0.000000001</f>
        <v>1</v>
      </c>
    </row>
    <row r="267" customFormat="false" ht="15" hidden="false" customHeight="false" outlineLevel="0" collapsed="false">
      <c r="A267" s="7" t="n">
        <v>45524</v>
      </c>
      <c r="B267" s="11" t="n">
        <f aca="false">C266</f>
        <v>45555</v>
      </c>
      <c r="C267" s="11" t="n">
        <f aca="false">IF(OR(H266,D267&lt;=$G$4),_xlfn.MINIFS('Futures Data'!$B$5:$B$3471,'Futures Data'!$A$5:$A$3471,A267,'Futures Data'!$B$5:$B$3471,"&gt;"&amp;B267),B267)</f>
        <v>45555</v>
      </c>
      <c r="D267" s="3" t="n">
        <f aca="false">COUNTIFS($A$47:$A$790,"&gt;"&amp;A267,$A$47:$A$790,"&lt;="&amp;B267)+IF(B267&gt;$G$5,NETWORKDAYS($G$5+1,B267),0)</f>
        <v>23</v>
      </c>
      <c r="E267" s="3" t="n">
        <f aca="false">SUMIFS('Futures Data'!$E$5:$E$3471,'Futures Data'!$A$5:$A$3471,A267,'Futures Data'!$B$5:$B$3471,C267)</f>
        <v>42325</v>
      </c>
      <c r="F267" s="11" t="n">
        <f aca="false">_xlfn.MINIFS('Futures Data'!$B$5:$B$3471,'Futures Data'!$A$5:$A$3471,A267,'Futures Data'!$B$5:$B$3471,"&gt;"&amp;C267)</f>
        <v>45583</v>
      </c>
      <c r="G267" s="3" t="n">
        <f aca="false">SUMIFS('Futures Data'!$E$5:$E$3471,'Futures Data'!$A$5:$A$3471,A267,'Futures Data'!$B$5:$B$3471,F267)</f>
        <v>2205</v>
      </c>
      <c r="H267" s="9" t="b">
        <f aca="false">G267&gt;E267</f>
        <v>0</v>
      </c>
      <c r="I267" s="9" t="b">
        <f aca="false">C267&lt;&gt;B267</f>
        <v>0</v>
      </c>
      <c r="J267" s="3" t="n">
        <f aca="false">SUMIFS('Futures Data'!$C$5:$C$3471,'Futures Data'!$A$5:$A$3471,A267,'Futures Data'!$B$5:$B$3471,B267)</f>
        <v>6226</v>
      </c>
      <c r="K267" s="3" t="n">
        <f aca="false">SUMIFS('Futures Data'!$C$5:$C$3471,'Futures Data'!$A$5:$A$3471,A267,'Futures Data'!$B$5:$B$3471,C267)</f>
        <v>6226</v>
      </c>
      <c r="L267" s="3" t="n">
        <f aca="false">K267-J267</f>
        <v>0</v>
      </c>
      <c r="M267" s="3" t="n">
        <f aca="false">M268+L267</f>
        <v>1440</v>
      </c>
      <c r="N267" s="3" t="n">
        <f aca="false">J267+M267</f>
        <v>7666</v>
      </c>
      <c r="O267" s="13" t="n">
        <f aca="false">LN(J267/K266)</f>
        <v>0.00176834705674195</v>
      </c>
      <c r="P267" s="13" t="n">
        <f aca="false">LN(N267/N266)</f>
        <v>0.00143593784871636</v>
      </c>
      <c r="Q267" s="3" t="n">
        <f aca="false">SUMIFS('Futures Data'!$D$5:$D$3471,'Futures Data'!$A$5:$A$3471,A267,'Futures Data'!$B$5:$B$3471,B267)</f>
        <v>5555</v>
      </c>
      <c r="R267" s="7" t="n">
        <v>45555</v>
      </c>
      <c r="S267" s="9" t="b">
        <f aca="false">C267=R267</f>
        <v>1</v>
      </c>
      <c r="T267" s="9" t="b">
        <f aca="false">ABS(O267-LN(J267/SUMIFS('Futures Data'!$C$5:$C$3471,'Futures Data'!$A$5:$A$3471,A266,'Futures Data'!$B$5:$B$3471,B267)))&lt;0.000000001</f>
        <v>1</v>
      </c>
    </row>
    <row r="268" customFormat="false" ht="15" hidden="false" customHeight="false" outlineLevel="0" collapsed="false">
      <c r="A268" s="7" t="n">
        <v>45525</v>
      </c>
      <c r="B268" s="11" t="n">
        <f aca="false">C267</f>
        <v>45555</v>
      </c>
      <c r="C268" s="11" t="n">
        <f aca="false">IF(OR(H267,D268&lt;=$G$4),_xlfn.MINIFS('Futures Data'!$B$5:$B$3471,'Futures Data'!$A$5:$A$3471,A268,'Futures Data'!$B$5:$B$3471,"&gt;"&amp;B268),B268)</f>
        <v>45555</v>
      </c>
      <c r="D268" s="3" t="n">
        <f aca="false">COUNTIFS($A$47:$A$790,"&gt;"&amp;A268,$A$47:$A$790,"&lt;="&amp;B268)+IF(B268&gt;$G$5,NETWORKDAYS($G$5+1,B268),0)</f>
        <v>22</v>
      </c>
      <c r="E268" s="3" t="n">
        <f aca="false">SUMIFS('Futures Data'!$E$5:$E$3471,'Futures Data'!$A$5:$A$3471,A268,'Futures Data'!$B$5:$B$3471,C268)</f>
        <v>37930</v>
      </c>
      <c r="F268" s="11" t="n">
        <f aca="false">_xlfn.MINIFS('Futures Data'!$B$5:$B$3471,'Futures Data'!$A$5:$A$3471,A268,'Futures Data'!$B$5:$B$3471,"&gt;"&amp;C268)</f>
        <v>45583</v>
      </c>
      <c r="G268" s="3" t="n">
        <f aca="false">SUMIFS('Futures Data'!$E$5:$E$3471,'Futures Data'!$A$5:$A$3471,A268,'Futures Data'!$B$5:$B$3471,F268)</f>
        <v>6665</v>
      </c>
      <c r="H268" s="9" t="b">
        <f aca="false">G268&gt;E268</f>
        <v>0</v>
      </c>
      <c r="I268" s="9" t="b">
        <f aca="false">C268&lt;&gt;B268</f>
        <v>0</v>
      </c>
      <c r="J268" s="3" t="n">
        <f aca="false">SUMIFS('Futures Data'!$C$5:$C$3471,'Futures Data'!$A$5:$A$3471,A268,'Futures Data'!$B$5:$B$3471,B268)</f>
        <v>6222</v>
      </c>
      <c r="K268" s="3" t="n">
        <f aca="false">SUMIFS('Futures Data'!$C$5:$C$3471,'Futures Data'!$A$5:$A$3471,A268,'Futures Data'!$B$5:$B$3471,C268)</f>
        <v>6222</v>
      </c>
      <c r="L268" s="3" t="n">
        <f aca="false">K268-J268</f>
        <v>0</v>
      </c>
      <c r="M268" s="3" t="n">
        <f aca="false">M269+L268</f>
        <v>1440</v>
      </c>
      <c r="N268" s="3" t="n">
        <f aca="false">J268+M268</f>
        <v>7662</v>
      </c>
      <c r="O268" s="13" t="n">
        <f aca="false">LN(J268/K267)</f>
        <v>-0.000642673543971193</v>
      </c>
      <c r="P268" s="13" t="n">
        <f aca="false">LN(N268/N267)</f>
        <v>-0.000521920679906068</v>
      </c>
      <c r="Q268" s="3" t="n">
        <f aca="false">SUMIFS('Futures Data'!$D$5:$D$3471,'Futures Data'!$A$5:$A$3471,A268,'Futures Data'!$B$5:$B$3471,B268)</f>
        <v>6790</v>
      </c>
      <c r="R268" s="7" t="n">
        <v>45555</v>
      </c>
      <c r="S268" s="9" t="b">
        <f aca="false">C268=R268</f>
        <v>1</v>
      </c>
      <c r="T268" s="9" t="b">
        <f aca="false">ABS(O268-LN(J268/SUMIFS('Futures Data'!$C$5:$C$3471,'Futures Data'!$A$5:$A$3471,A267,'Futures Data'!$B$5:$B$3471,B268)))&lt;0.000000001</f>
        <v>1</v>
      </c>
    </row>
    <row r="269" customFormat="false" ht="15" hidden="false" customHeight="false" outlineLevel="0" collapsed="false">
      <c r="A269" s="7" t="n">
        <v>45526</v>
      </c>
      <c r="B269" s="11" t="n">
        <f aca="false">C268</f>
        <v>45555</v>
      </c>
      <c r="C269" s="11" t="n">
        <f aca="false">IF(OR(H268,D269&lt;=$G$4),_xlfn.MINIFS('Futures Data'!$B$5:$B$3471,'Futures Data'!$A$5:$A$3471,A269,'Futures Data'!$B$5:$B$3471,"&gt;"&amp;B269),B269)</f>
        <v>45555</v>
      </c>
      <c r="D269" s="3" t="n">
        <f aca="false">COUNTIFS($A$47:$A$790,"&gt;"&amp;A269,$A$47:$A$790,"&lt;="&amp;B269)+IF(B269&gt;$G$5,NETWORKDAYS($G$5+1,B269),0)</f>
        <v>21</v>
      </c>
      <c r="E269" s="3" t="n">
        <f aca="false">SUMIFS('Futures Data'!$E$5:$E$3471,'Futures Data'!$A$5:$A$3471,A269,'Futures Data'!$B$5:$B$3471,C269)</f>
        <v>36670</v>
      </c>
      <c r="F269" s="11" t="n">
        <f aca="false">_xlfn.MINIFS('Futures Data'!$B$5:$B$3471,'Futures Data'!$A$5:$A$3471,A269,'Futures Data'!$B$5:$B$3471,"&gt;"&amp;C269)</f>
        <v>45583</v>
      </c>
      <c r="G269" s="3" t="n">
        <f aca="false">SUMIFS('Futures Data'!$E$5:$E$3471,'Futures Data'!$A$5:$A$3471,A269,'Futures Data'!$B$5:$B$3471,F269)</f>
        <v>7885</v>
      </c>
      <c r="H269" s="9" t="b">
        <f aca="false">G269&gt;E269</f>
        <v>0</v>
      </c>
      <c r="I269" s="9" t="b">
        <f aca="false">C269&lt;&gt;B269</f>
        <v>0</v>
      </c>
      <c r="J269" s="3" t="n">
        <f aca="false">SUMIFS('Futures Data'!$C$5:$C$3471,'Futures Data'!$A$5:$A$3471,A269,'Futures Data'!$B$5:$B$3471,B269)</f>
        <v>6217</v>
      </c>
      <c r="K269" s="3" t="n">
        <f aca="false">SUMIFS('Futures Data'!$C$5:$C$3471,'Futures Data'!$A$5:$A$3471,A269,'Futures Data'!$B$5:$B$3471,C269)</f>
        <v>6217</v>
      </c>
      <c r="L269" s="3" t="n">
        <f aca="false">K269-J269</f>
        <v>0</v>
      </c>
      <c r="M269" s="3" t="n">
        <f aca="false">M270+L269</f>
        <v>1440</v>
      </c>
      <c r="N269" s="3" t="n">
        <f aca="false">J269+M269</f>
        <v>7657</v>
      </c>
      <c r="O269" s="13" t="n">
        <f aca="false">LN(J269/K268)</f>
        <v>-0.000803923188244834</v>
      </c>
      <c r="P269" s="13" t="n">
        <f aca="false">LN(N269/N268)</f>
        <v>-0.00065278414747084</v>
      </c>
      <c r="Q269" s="3" t="n">
        <f aca="false">SUMIFS('Futures Data'!$D$5:$D$3471,'Futures Data'!$A$5:$A$3471,A269,'Futures Data'!$B$5:$B$3471,B269)</f>
        <v>4330</v>
      </c>
      <c r="R269" s="7" t="n">
        <v>45555</v>
      </c>
      <c r="S269" s="9" t="b">
        <f aca="false">C269=R269</f>
        <v>1</v>
      </c>
      <c r="T269" s="9" t="b">
        <f aca="false">ABS(O269-LN(J269/SUMIFS('Futures Data'!$C$5:$C$3471,'Futures Data'!$A$5:$A$3471,A268,'Futures Data'!$B$5:$B$3471,B269)))&lt;0.000000001</f>
        <v>1</v>
      </c>
    </row>
    <row r="270" customFormat="false" ht="15" hidden="false" customHeight="false" outlineLevel="0" collapsed="false">
      <c r="A270" s="7" t="n">
        <v>45527</v>
      </c>
      <c r="B270" s="11" t="n">
        <f aca="false">C269</f>
        <v>45555</v>
      </c>
      <c r="C270" s="11" t="n">
        <f aca="false">IF(OR(H269,D270&lt;=$G$4),_xlfn.MINIFS('Futures Data'!$B$5:$B$3471,'Futures Data'!$A$5:$A$3471,A270,'Futures Data'!$B$5:$B$3471,"&gt;"&amp;B270),B270)</f>
        <v>45555</v>
      </c>
      <c r="D270" s="3" t="n">
        <f aca="false">COUNTIFS($A$47:$A$790,"&gt;"&amp;A270,$A$47:$A$790,"&lt;="&amp;B270)+IF(B270&gt;$G$5,NETWORKDAYS($G$5+1,B270),0)</f>
        <v>20</v>
      </c>
      <c r="E270" s="3" t="n">
        <f aca="false">SUMIFS('Futures Data'!$E$5:$E$3471,'Futures Data'!$A$5:$A$3471,A270,'Futures Data'!$B$5:$B$3471,C270)</f>
        <v>33270</v>
      </c>
      <c r="F270" s="11" t="n">
        <f aca="false">_xlfn.MINIFS('Futures Data'!$B$5:$B$3471,'Futures Data'!$A$5:$A$3471,A270,'Futures Data'!$B$5:$B$3471,"&gt;"&amp;C270)</f>
        <v>45583</v>
      </c>
      <c r="G270" s="3" t="n">
        <f aca="false">SUMIFS('Futures Data'!$E$5:$E$3471,'Futures Data'!$A$5:$A$3471,A270,'Futures Data'!$B$5:$B$3471,F270)</f>
        <v>9595</v>
      </c>
      <c r="H270" s="9" t="b">
        <f aca="false">G270&gt;E270</f>
        <v>0</v>
      </c>
      <c r="I270" s="9" t="b">
        <f aca="false">C270&lt;&gt;B270</f>
        <v>0</v>
      </c>
      <c r="J270" s="3" t="n">
        <f aca="false">SUMIFS('Futures Data'!$C$5:$C$3471,'Futures Data'!$A$5:$A$3471,A270,'Futures Data'!$B$5:$B$3471,B270)</f>
        <v>6156</v>
      </c>
      <c r="K270" s="3" t="n">
        <f aca="false">SUMIFS('Futures Data'!$C$5:$C$3471,'Futures Data'!$A$5:$A$3471,A270,'Futures Data'!$B$5:$B$3471,C270)</f>
        <v>6156</v>
      </c>
      <c r="L270" s="3" t="n">
        <f aca="false">K270-J270</f>
        <v>0</v>
      </c>
      <c r="M270" s="3" t="n">
        <f aca="false">M271+L270</f>
        <v>1440</v>
      </c>
      <c r="N270" s="3" t="n">
        <f aca="false">J270+M270</f>
        <v>7596</v>
      </c>
      <c r="O270" s="13" t="n">
        <f aca="false">LN(J270/K269)</f>
        <v>-0.0098602593105677</v>
      </c>
      <c r="P270" s="13" t="n">
        <f aca="false">LN(N270/N269)</f>
        <v>-0.00799846918094691</v>
      </c>
      <c r="Q270" s="3" t="n">
        <f aca="false">SUMIFS('Futures Data'!$D$5:$D$3471,'Futures Data'!$A$5:$A$3471,A270,'Futures Data'!$B$5:$B$3471,B270)</f>
        <v>9320</v>
      </c>
      <c r="R270" s="7" t="n">
        <v>45555</v>
      </c>
      <c r="S270" s="9" t="b">
        <f aca="false">C270=R270</f>
        <v>1</v>
      </c>
      <c r="T270" s="9" t="b">
        <f aca="false">ABS(O270-LN(J270/SUMIFS('Futures Data'!$C$5:$C$3471,'Futures Data'!$A$5:$A$3471,A269,'Futures Data'!$B$5:$B$3471,B270)))&lt;0.000000001</f>
        <v>1</v>
      </c>
    </row>
    <row r="271" customFormat="false" ht="15" hidden="false" customHeight="false" outlineLevel="0" collapsed="false">
      <c r="A271" s="7" t="n">
        <v>45530</v>
      </c>
      <c r="B271" s="11" t="n">
        <f aca="false">C270</f>
        <v>45555</v>
      </c>
      <c r="C271" s="11" t="n">
        <f aca="false">IF(OR(H270,D271&lt;=$G$4),_xlfn.MINIFS('Futures Data'!$B$5:$B$3471,'Futures Data'!$A$5:$A$3471,A271,'Futures Data'!$B$5:$B$3471,"&gt;"&amp;B271),B271)</f>
        <v>45555</v>
      </c>
      <c r="D271" s="3" t="n">
        <f aca="false">COUNTIFS($A$47:$A$790,"&gt;"&amp;A271,$A$47:$A$790,"&lt;="&amp;B271)+IF(B271&gt;$G$5,NETWORKDAYS($G$5+1,B271),0)</f>
        <v>19</v>
      </c>
      <c r="E271" s="3" t="n">
        <f aca="false">SUMIFS('Futures Data'!$E$5:$E$3471,'Futures Data'!$A$5:$A$3471,A271,'Futures Data'!$B$5:$B$3471,C271)</f>
        <v>32595</v>
      </c>
      <c r="F271" s="11" t="n">
        <f aca="false">_xlfn.MINIFS('Futures Data'!$B$5:$B$3471,'Futures Data'!$A$5:$A$3471,A271,'Futures Data'!$B$5:$B$3471,"&gt;"&amp;C271)</f>
        <v>45583</v>
      </c>
      <c r="G271" s="3" t="n">
        <f aca="false">SUMIFS('Futures Data'!$E$5:$E$3471,'Futures Data'!$A$5:$A$3471,A271,'Futures Data'!$B$5:$B$3471,F271)</f>
        <v>10875</v>
      </c>
      <c r="H271" s="9" t="b">
        <f aca="false">G271&gt;E271</f>
        <v>0</v>
      </c>
      <c r="I271" s="9" t="b">
        <f aca="false">C271&lt;&gt;B271</f>
        <v>0</v>
      </c>
      <c r="J271" s="3" t="n">
        <f aca="false">SUMIFS('Futures Data'!$C$5:$C$3471,'Futures Data'!$A$5:$A$3471,A271,'Futures Data'!$B$5:$B$3471,B271)</f>
        <v>6100</v>
      </c>
      <c r="K271" s="3" t="n">
        <f aca="false">SUMIFS('Futures Data'!$C$5:$C$3471,'Futures Data'!$A$5:$A$3471,A271,'Futures Data'!$B$5:$B$3471,C271)</f>
        <v>6100</v>
      </c>
      <c r="L271" s="3" t="n">
        <f aca="false">K271-J271</f>
        <v>0</v>
      </c>
      <c r="M271" s="3" t="n">
        <f aca="false">M272+L271</f>
        <v>1440</v>
      </c>
      <c r="N271" s="3" t="n">
        <f aca="false">J271+M271</f>
        <v>7540</v>
      </c>
      <c r="O271" s="13" t="n">
        <f aca="false">LN(J271/K270)</f>
        <v>-0.00913844479736723</v>
      </c>
      <c r="P271" s="13" t="n">
        <f aca="false">LN(N271/N270)</f>
        <v>-0.00739961093017469</v>
      </c>
      <c r="Q271" s="3" t="n">
        <f aca="false">SUMIFS('Futures Data'!$D$5:$D$3471,'Futures Data'!$A$5:$A$3471,A271,'Futures Data'!$B$5:$B$3471,B271)</f>
        <v>8810</v>
      </c>
      <c r="R271" s="7" t="n">
        <v>45555</v>
      </c>
      <c r="S271" s="9" t="b">
        <f aca="false">C271=R271</f>
        <v>1</v>
      </c>
      <c r="T271" s="9" t="b">
        <f aca="false">ABS(O271-LN(J271/SUMIFS('Futures Data'!$C$5:$C$3471,'Futures Data'!$A$5:$A$3471,A270,'Futures Data'!$B$5:$B$3471,B271)))&lt;0.000000001</f>
        <v>1</v>
      </c>
    </row>
    <row r="272" customFormat="false" ht="15" hidden="false" customHeight="false" outlineLevel="0" collapsed="false">
      <c r="A272" s="7" t="n">
        <v>45531</v>
      </c>
      <c r="B272" s="11" t="n">
        <f aca="false">C271</f>
        <v>45555</v>
      </c>
      <c r="C272" s="11" t="n">
        <f aca="false">IF(OR(H271,D272&lt;=$G$4),_xlfn.MINIFS('Futures Data'!$B$5:$B$3471,'Futures Data'!$A$5:$A$3471,A272,'Futures Data'!$B$5:$B$3471,"&gt;"&amp;B272),B272)</f>
        <v>45555</v>
      </c>
      <c r="D272" s="3" t="n">
        <f aca="false">COUNTIFS($A$47:$A$790,"&gt;"&amp;A272,$A$47:$A$790,"&lt;="&amp;B272)+IF(B272&gt;$G$5,NETWORKDAYS($G$5+1,B272),0)</f>
        <v>18</v>
      </c>
      <c r="E272" s="3" t="n">
        <f aca="false">SUMIFS('Futures Data'!$E$5:$E$3471,'Futures Data'!$A$5:$A$3471,A272,'Futures Data'!$B$5:$B$3471,C272)</f>
        <v>29825</v>
      </c>
      <c r="F272" s="11" t="n">
        <f aca="false">_xlfn.MINIFS('Futures Data'!$B$5:$B$3471,'Futures Data'!$A$5:$A$3471,A272,'Futures Data'!$B$5:$B$3471,"&gt;"&amp;C272)</f>
        <v>45583</v>
      </c>
      <c r="G272" s="3" t="n">
        <f aca="false">SUMIFS('Futures Data'!$E$5:$E$3471,'Futures Data'!$A$5:$A$3471,A272,'Futures Data'!$B$5:$B$3471,F272)</f>
        <v>12495</v>
      </c>
      <c r="H272" s="9" t="b">
        <f aca="false">G272&gt;E272</f>
        <v>0</v>
      </c>
      <c r="I272" s="9" t="b">
        <f aca="false">C272&lt;&gt;B272</f>
        <v>0</v>
      </c>
      <c r="J272" s="3" t="n">
        <f aca="false">SUMIFS('Futures Data'!$C$5:$C$3471,'Futures Data'!$A$5:$A$3471,A272,'Futures Data'!$B$5:$B$3471,B272)</f>
        <v>6070</v>
      </c>
      <c r="K272" s="3" t="n">
        <f aca="false">SUMIFS('Futures Data'!$C$5:$C$3471,'Futures Data'!$A$5:$A$3471,A272,'Futures Data'!$B$5:$B$3471,C272)</f>
        <v>6070</v>
      </c>
      <c r="L272" s="3" t="n">
        <f aca="false">K272-J272</f>
        <v>0</v>
      </c>
      <c r="M272" s="3" t="n">
        <f aca="false">M273+L272</f>
        <v>1440</v>
      </c>
      <c r="N272" s="3" t="n">
        <f aca="false">J272+M272</f>
        <v>7510</v>
      </c>
      <c r="O272" s="13" t="n">
        <f aca="false">LN(J272/K271)</f>
        <v>-0.00493016610785872</v>
      </c>
      <c r="P272" s="13" t="n">
        <f aca="false">LN(N272/N271)</f>
        <v>-0.00398671624382135</v>
      </c>
      <c r="Q272" s="3" t="n">
        <f aca="false">SUMIFS('Futures Data'!$D$5:$D$3471,'Futures Data'!$A$5:$A$3471,A272,'Futures Data'!$B$5:$B$3471,B272)</f>
        <v>6900</v>
      </c>
      <c r="R272" s="7" t="n">
        <v>45555</v>
      </c>
      <c r="S272" s="9" t="b">
        <f aca="false">C272=R272</f>
        <v>1</v>
      </c>
      <c r="T272" s="9" t="b">
        <f aca="false">ABS(O272-LN(J272/SUMIFS('Futures Data'!$C$5:$C$3471,'Futures Data'!$A$5:$A$3471,A271,'Futures Data'!$B$5:$B$3471,B272)))&lt;0.000000001</f>
        <v>1</v>
      </c>
    </row>
    <row r="273" customFormat="false" ht="15" hidden="false" customHeight="false" outlineLevel="0" collapsed="false">
      <c r="A273" s="7" t="n">
        <v>45532</v>
      </c>
      <c r="B273" s="11" t="n">
        <f aca="false">C272</f>
        <v>45555</v>
      </c>
      <c r="C273" s="11" t="n">
        <f aca="false">IF(OR(H272,D273&lt;=$G$4),_xlfn.MINIFS('Futures Data'!$B$5:$B$3471,'Futures Data'!$A$5:$A$3471,A273,'Futures Data'!$B$5:$B$3471,"&gt;"&amp;B273),B273)</f>
        <v>45555</v>
      </c>
      <c r="D273" s="3" t="n">
        <f aca="false">COUNTIFS($A$47:$A$790,"&gt;"&amp;A273,$A$47:$A$790,"&lt;="&amp;B273)+IF(B273&gt;$G$5,NETWORKDAYS($G$5+1,B273),0)</f>
        <v>17</v>
      </c>
      <c r="E273" s="3" t="n">
        <f aca="false">SUMIFS('Futures Data'!$E$5:$E$3471,'Futures Data'!$A$5:$A$3471,A273,'Futures Data'!$B$5:$B$3471,C273)</f>
        <v>28475</v>
      </c>
      <c r="F273" s="11" t="n">
        <f aca="false">_xlfn.MINIFS('Futures Data'!$B$5:$B$3471,'Futures Data'!$A$5:$A$3471,A273,'Futures Data'!$B$5:$B$3471,"&gt;"&amp;C273)</f>
        <v>45583</v>
      </c>
      <c r="G273" s="3" t="n">
        <f aca="false">SUMIFS('Futures Data'!$E$5:$E$3471,'Futures Data'!$A$5:$A$3471,A273,'Futures Data'!$B$5:$B$3471,F273)</f>
        <v>13935</v>
      </c>
      <c r="H273" s="9" t="b">
        <f aca="false">G273&gt;E273</f>
        <v>0</v>
      </c>
      <c r="I273" s="9" t="b">
        <f aca="false">C273&lt;&gt;B273</f>
        <v>0</v>
      </c>
      <c r="J273" s="3" t="n">
        <f aca="false">SUMIFS('Futures Data'!$C$5:$C$3471,'Futures Data'!$A$5:$A$3471,A273,'Futures Data'!$B$5:$B$3471,B273)</f>
        <v>6086</v>
      </c>
      <c r="K273" s="3" t="n">
        <f aca="false">SUMIFS('Futures Data'!$C$5:$C$3471,'Futures Data'!$A$5:$A$3471,A273,'Futures Data'!$B$5:$B$3471,C273)</f>
        <v>6086</v>
      </c>
      <c r="L273" s="3" t="n">
        <f aca="false">K273-J273</f>
        <v>0</v>
      </c>
      <c r="M273" s="3" t="n">
        <f aca="false">M274+L273</f>
        <v>1440</v>
      </c>
      <c r="N273" s="3" t="n">
        <f aca="false">J273+M273</f>
        <v>7526</v>
      </c>
      <c r="O273" s="13" t="n">
        <f aca="false">LN(J273/K272)</f>
        <v>0.00263244640337235</v>
      </c>
      <c r="P273" s="13" t="n">
        <f aca="false">LN(N273/N272)</f>
        <v>0.00212822639520211</v>
      </c>
      <c r="Q273" s="3" t="n">
        <f aca="false">SUMIFS('Futures Data'!$D$5:$D$3471,'Futures Data'!$A$5:$A$3471,A273,'Futures Data'!$B$5:$B$3471,B273)</f>
        <v>5565</v>
      </c>
      <c r="R273" s="7" t="n">
        <v>45555</v>
      </c>
      <c r="S273" s="9" t="b">
        <f aca="false">C273=R273</f>
        <v>1</v>
      </c>
      <c r="T273" s="9" t="b">
        <f aca="false">ABS(O273-LN(J273/SUMIFS('Futures Data'!$C$5:$C$3471,'Futures Data'!$A$5:$A$3471,A272,'Futures Data'!$B$5:$B$3471,B273)))&lt;0.000000001</f>
        <v>1</v>
      </c>
    </row>
    <row r="274" customFormat="false" ht="15" hidden="false" customHeight="false" outlineLevel="0" collapsed="false">
      <c r="A274" s="7" t="n">
        <v>45533</v>
      </c>
      <c r="B274" s="11" t="n">
        <f aca="false">C273</f>
        <v>45555</v>
      </c>
      <c r="C274" s="11" t="n">
        <f aca="false">IF(OR(H273,D274&lt;=$G$4),_xlfn.MINIFS('Futures Data'!$B$5:$B$3471,'Futures Data'!$A$5:$A$3471,A274,'Futures Data'!$B$5:$B$3471,"&gt;"&amp;B274),B274)</f>
        <v>45555</v>
      </c>
      <c r="D274" s="3" t="n">
        <f aca="false">COUNTIFS($A$47:$A$790,"&gt;"&amp;A274,$A$47:$A$790,"&lt;="&amp;B274)+IF(B274&gt;$G$5,NETWORKDAYS($G$5+1,B274),0)</f>
        <v>16</v>
      </c>
      <c r="E274" s="3" t="n">
        <f aca="false">SUMIFS('Futures Data'!$E$5:$E$3471,'Futures Data'!$A$5:$A$3471,A274,'Futures Data'!$B$5:$B$3471,C274)</f>
        <v>27800</v>
      </c>
      <c r="F274" s="11" t="n">
        <f aca="false">_xlfn.MINIFS('Futures Data'!$B$5:$B$3471,'Futures Data'!$A$5:$A$3471,A274,'Futures Data'!$B$5:$B$3471,"&gt;"&amp;C274)</f>
        <v>45583</v>
      </c>
      <c r="G274" s="3" t="n">
        <f aca="false">SUMIFS('Futures Data'!$E$5:$E$3471,'Futures Data'!$A$5:$A$3471,A274,'Futures Data'!$B$5:$B$3471,F274)</f>
        <v>15725</v>
      </c>
      <c r="H274" s="9" t="b">
        <f aca="false">G274&gt;E274</f>
        <v>0</v>
      </c>
      <c r="I274" s="9" t="b">
        <f aca="false">C274&lt;&gt;B274</f>
        <v>0</v>
      </c>
      <c r="J274" s="3" t="n">
        <f aca="false">SUMIFS('Futures Data'!$C$5:$C$3471,'Futures Data'!$A$5:$A$3471,A274,'Futures Data'!$B$5:$B$3471,B274)</f>
        <v>6118</v>
      </c>
      <c r="K274" s="3" t="n">
        <f aca="false">SUMIFS('Futures Data'!$C$5:$C$3471,'Futures Data'!$A$5:$A$3471,A274,'Futures Data'!$B$5:$B$3471,C274)</f>
        <v>6118</v>
      </c>
      <c r="L274" s="3" t="n">
        <f aca="false">K274-J274</f>
        <v>0</v>
      </c>
      <c r="M274" s="3" t="n">
        <f aca="false">M275+L274</f>
        <v>1440</v>
      </c>
      <c r="N274" s="3" t="n">
        <f aca="false">J274+M274</f>
        <v>7558</v>
      </c>
      <c r="O274" s="13" t="n">
        <f aca="false">LN(J274/K273)</f>
        <v>0.00524419425393234</v>
      </c>
      <c r="P274" s="13" t="n">
        <f aca="false">LN(N274/N273)</f>
        <v>0.0042429127560516</v>
      </c>
      <c r="Q274" s="3" t="n">
        <f aca="false">SUMIFS('Futures Data'!$D$5:$D$3471,'Futures Data'!$A$5:$A$3471,A274,'Futures Data'!$B$5:$B$3471,B274)</f>
        <v>4440</v>
      </c>
      <c r="R274" s="7" t="n">
        <v>45555</v>
      </c>
      <c r="S274" s="9" t="b">
        <f aca="false">C274=R274</f>
        <v>1</v>
      </c>
      <c r="T274" s="9" t="b">
        <f aca="false">ABS(O274-LN(J274/SUMIFS('Futures Data'!$C$5:$C$3471,'Futures Data'!$A$5:$A$3471,A273,'Futures Data'!$B$5:$B$3471,B274)))&lt;0.000000001</f>
        <v>1</v>
      </c>
    </row>
    <row r="275" customFormat="false" ht="15" hidden="false" customHeight="false" outlineLevel="0" collapsed="false">
      <c r="A275" s="7" t="n">
        <v>45534</v>
      </c>
      <c r="B275" s="11" t="n">
        <f aca="false">C274</f>
        <v>45555</v>
      </c>
      <c r="C275" s="11" t="n">
        <f aca="false">IF(OR(H274,D275&lt;=$G$4),_xlfn.MINIFS('Futures Data'!$B$5:$B$3471,'Futures Data'!$A$5:$A$3471,A275,'Futures Data'!$B$5:$B$3471,"&gt;"&amp;B275),B275)</f>
        <v>45555</v>
      </c>
      <c r="D275" s="3" t="n">
        <f aca="false">COUNTIFS($A$47:$A$790,"&gt;"&amp;A275,$A$47:$A$790,"&lt;="&amp;B275)+IF(B275&gt;$G$5,NETWORKDAYS($G$5+1,B275),0)</f>
        <v>15</v>
      </c>
      <c r="E275" s="3" t="n">
        <f aca="false">SUMIFS('Futures Data'!$E$5:$E$3471,'Futures Data'!$A$5:$A$3471,A275,'Futures Data'!$B$5:$B$3471,C275)</f>
        <v>24595</v>
      </c>
      <c r="F275" s="11" t="n">
        <f aca="false">_xlfn.MINIFS('Futures Data'!$B$5:$B$3471,'Futures Data'!$A$5:$A$3471,A275,'Futures Data'!$B$5:$B$3471,"&gt;"&amp;C275)</f>
        <v>45583</v>
      </c>
      <c r="G275" s="3" t="n">
        <f aca="false">SUMIFS('Futures Data'!$E$5:$E$3471,'Futures Data'!$A$5:$A$3471,A275,'Futures Data'!$B$5:$B$3471,F275)</f>
        <v>19465</v>
      </c>
      <c r="H275" s="9" t="b">
        <f aca="false">G275&gt;E275</f>
        <v>0</v>
      </c>
      <c r="I275" s="9" t="b">
        <f aca="false">C275&lt;&gt;B275</f>
        <v>0</v>
      </c>
      <c r="J275" s="3" t="n">
        <f aca="false">SUMIFS('Futures Data'!$C$5:$C$3471,'Futures Data'!$A$5:$A$3471,A275,'Futures Data'!$B$5:$B$3471,B275)</f>
        <v>6157</v>
      </c>
      <c r="K275" s="3" t="n">
        <f aca="false">SUMIFS('Futures Data'!$C$5:$C$3471,'Futures Data'!$A$5:$A$3471,A275,'Futures Data'!$B$5:$B$3471,C275)</f>
        <v>6157</v>
      </c>
      <c r="L275" s="3" t="n">
        <f aca="false">K275-J275</f>
        <v>0</v>
      </c>
      <c r="M275" s="3" t="n">
        <f aca="false">M276+L275</f>
        <v>1440</v>
      </c>
      <c r="N275" s="3" t="n">
        <f aca="false">J275+M275</f>
        <v>7597</v>
      </c>
      <c r="O275" s="13" t="n">
        <f aca="false">LN(J275/K274)</f>
        <v>0.00635440020036137</v>
      </c>
      <c r="P275" s="13" t="n">
        <f aca="false">LN(N275/N274)</f>
        <v>0.00514682759378723</v>
      </c>
      <c r="Q275" s="3" t="n">
        <f aca="false">SUMIFS('Futures Data'!$D$5:$D$3471,'Futures Data'!$A$5:$A$3471,A275,'Futures Data'!$B$5:$B$3471,B275)</f>
        <v>8065</v>
      </c>
      <c r="R275" s="7" t="n">
        <v>45555</v>
      </c>
      <c r="S275" s="9" t="b">
        <f aca="false">C275=R275</f>
        <v>1</v>
      </c>
      <c r="T275" s="9" t="b">
        <f aca="false">ABS(O275-LN(J275/SUMIFS('Futures Data'!$C$5:$C$3471,'Futures Data'!$A$5:$A$3471,A274,'Futures Data'!$B$5:$B$3471,B275)))&lt;0.000000001</f>
        <v>1</v>
      </c>
    </row>
    <row r="276" customFormat="false" ht="15" hidden="false" customHeight="false" outlineLevel="0" collapsed="false">
      <c r="A276" s="7" t="n">
        <v>45537</v>
      </c>
      <c r="B276" s="11" t="n">
        <f aca="false">C275</f>
        <v>45555</v>
      </c>
      <c r="C276" s="11" t="n">
        <f aca="false">IF(OR(H275,D276&lt;=$G$4),_xlfn.MINIFS('Futures Data'!$B$5:$B$3471,'Futures Data'!$A$5:$A$3471,A276,'Futures Data'!$B$5:$B$3471,"&gt;"&amp;B276),B276)</f>
        <v>45555</v>
      </c>
      <c r="D276" s="3" t="n">
        <f aca="false">COUNTIFS($A$47:$A$790,"&gt;"&amp;A276,$A$47:$A$790,"&lt;="&amp;B276)+IF(B276&gt;$G$5,NETWORKDAYS($G$5+1,B276),0)</f>
        <v>14</v>
      </c>
      <c r="E276" s="3" t="n">
        <f aca="false">SUMIFS('Futures Data'!$E$5:$E$3471,'Futures Data'!$A$5:$A$3471,A276,'Futures Data'!$B$5:$B$3471,C276)</f>
        <v>23915</v>
      </c>
      <c r="F276" s="11" t="n">
        <f aca="false">_xlfn.MINIFS('Futures Data'!$B$5:$B$3471,'Futures Data'!$A$5:$A$3471,A276,'Futures Data'!$B$5:$B$3471,"&gt;"&amp;C276)</f>
        <v>45583</v>
      </c>
      <c r="G276" s="3" t="n">
        <f aca="false">SUMIFS('Futures Data'!$E$5:$E$3471,'Futures Data'!$A$5:$A$3471,A276,'Futures Data'!$B$5:$B$3471,F276)</f>
        <v>19855</v>
      </c>
      <c r="H276" s="9" t="b">
        <f aca="false">G276&gt;E276</f>
        <v>0</v>
      </c>
      <c r="I276" s="9" t="b">
        <f aca="false">C276&lt;&gt;B276</f>
        <v>0</v>
      </c>
      <c r="J276" s="3" t="n">
        <f aca="false">SUMIFS('Futures Data'!$C$5:$C$3471,'Futures Data'!$A$5:$A$3471,A276,'Futures Data'!$B$5:$B$3471,B276)</f>
        <v>6117</v>
      </c>
      <c r="K276" s="3" t="n">
        <f aca="false">SUMIFS('Futures Data'!$C$5:$C$3471,'Futures Data'!$A$5:$A$3471,A276,'Futures Data'!$B$5:$B$3471,C276)</f>
        <v>6117</v>
      </c>
      <c r="L276" s="3" t="n">
        <f aca="false">K276-J276</f>
        <v>0</v>
      </c>
      <c r="M276" s="3" t="n">
        <f aca="false">M277+L276</f>
        <v>1440</v>
      </c>
      <c r="N276" s="3" t="n">
        <f aca="false">J276+M276</f>
        <v>7557</v>
      </c>
      <c r="O276" s="13" t="n">
        <f aca="false">LN(J276/K275)</f>
        <v>-0.00651786566864529</v>
      </c>
      <c r="P276" s="13" t="n">
        <f aca="false">LN(N276/N275)</f>
        <v>-0.00527914648250175</v>
      </c>
      <c r="Q276" s="3" t="n">
        <f aca="false">SUMIFS('Futures Data'!$D$5:$D$3471,'Futures Data'!$A$5:$A$3471,A276,'Futures Data'!$B$5:$B$3471,B276)</f>
        <v>3935</v>
      </c>
      <c r="R276" s="7" t="n">
        <v>45555</v>
      </c>
      <c r="S276" s="9" t="b">
        <f aca="false">C276=R276</f>
        <v>1</v>
      </c>
      <c r="T276" s="9" t="b">
        <f aca="false">ABS(O276-LN(J276/SUMIFS('Futures Data'!$C$5:$C$3471,'Futures Data'!$A$5:$A$3471,A275,'Futures Data'!$B$5:$B$3471,B276)))&lt;0.000000001</f>
        <v>1</v>
      </c>
    </row>
    <row r="277" customFormat="false" ht="15" hidden="false" customHeight="false" outlineLevel="0" collapsed="false">
      <c r="A277" s="7" t="n">
        <v>45538</v>
      </c>
      <c r="B277" s="11" t="n">
        <f aca="false">C276</f>
        <v>45555</v>
      </c>
      <c r="C277" s="11" t="n">
        <f aca="false">IF(OR(H276,D277&lt;=$G$4),_xlfn.MINIFS('Futures Data'!$B$5:$B$3471,'Futures Data'!$A$5:$A$3471,A277,'Futures Data'!$B$5:$B$3471,"&gt;"&amp;B277),B277)</f>
        <v>45555</v>
      </c>
      <c r="D277" s="3" t="n">
        <f aca="false">COUNTIFS($A$47:$A$790,"&gt;"&amp;A277,$A$47:$A$790,"&lt;="&amp;B277)+IF(B277&gt;$G$5,NETWORKDAYS($G$5+1,B277),0)</f>
        <v>13</v>
      </c>
      <c r="E277" s="3" t="n">
        <f aca="false">SUMIFS('Futures Data'!$E$5:$E$3471,'Futures Data'!$A$5:$A$3471,A277,'Futures Data'!$B$5:$B$3471,C277)</f>
        <v>21420</v>
      </c>
      <c r="F277" s="11" t="n">
        <f aca="false">_xlfn.MINIFS('Futures Data'!$B$5:$B$3471,'Futures Data'!$A$5:$A$3471,A277,'Futures Data'!$B$5:$B$3471,"&gt;"&amp;C277)</f>
        <v>45583</v>
      </c>
      <c r="G277" s="3" t="n">
        <f aca="false">SUMIFS('Futures Data'!$E$5:$E$3471,'Futures Data'!$A$5:$A$3471,A277,'Futures Data'!$B$5:$B$3471,F277)</f>
        <v>20920</v>
      </c>
      <c r="H277" s="9" t="b">
        <f aca="false">G277&gt;E277</f>
        <v>0</v>
      </c>
      <c r="I277" s="9" t="b">
        <f aca="false">C277&lt;&gt;B277</f>
        <v>0</v>
      </c>
      <c r="J277" s="3" t="n">
        <f aca="false">SUMIFS('Futures Data'!$C$5:$C$3471,'Futures Data'!$A$5:$A$3471,A277,'Futures Data'!$B$5:$B$3471,B277)</f>
        <v>6118</v>
      </c>
      <c r="K277" s="3" t="n">
        <f aca="false">SUMIFS('Futures Data'!$C$5:$C$3471,'Futures Data'!$A$5:$A$3471,A277,'Futures Data'!$B$5:$B$3471,C277)</f>
        <v>6118</v>
      </c>
      <c r="L277" s="3" t="n">
        <f aca="false">K277-J277</f>
        <v>0</v>
      </c>
      <c r="M277" s="3" t="n">
        <f aca="false">M278+L277</f>
        <v>1440</v>
      </c>
      <c r="N277" s="3" t="n">
        <f aca="false">J277+M277</f>
        <v>7558</v>
      </c>
      <c r="O277" s="13" t="n">
        <f aca="false">LN(J277/K276)</f>
        <v>0.000163465468283843</v>
      </c>
      <c r="P277" s="13" t="n">
        <f aca="false">LN(N277/N276)</f>
        <v>0.000132318888714497</v>
      </c>
      <c r="Q277" s="3" t="n">
        <f aca="false">SUMIFS('Futures Data'!$D$5:$D$3471,'Futures Data'!$A$5:$A$3471,A277,'Futures Data'!$B$5:$B$3471,B277)</f>
        <v>7015</v>
      </c>
      <c r="R277" s="7" t="n">
        <v>45555</v>
      </c>
      <c r="S277" s="9" t="b">
        <f aca="false">C277=R277</f>
        <v>1</v>
      </c>
      <c r="T277" s="9" t="b">
        <f aca="false">ABS(O277-LN(J277/SUMIFS('Futures Data'!$C$5:$C$3471,'Futures Data'!$A$5:$A$3471,A276,'Futures Data'!$B$5:$B$3471,B277)))&lt;0.000000001</f>
        <v>1</v>
      </c>
    </row>
    <row r="278" customFormat="false" ht="15" hidden="false" customHeight="false" outlineLevel="0" collapsed="false">
      <c r="A278" s="7" t="n">
        <v>45539</v>
      </c>
      <c r="B278" s="11" t="n">
        <f aca="false">C277</f>
        <v>45555</v>
      </c>
      <c r="C278" s="11" t="n">
        <f aca="false">IF(OR(H277,D278&lt;=$G$4),_xlfn.MINIFS('Futures Data'!$B$5:$B$3471,'Futures Data'!$A$5:$A$3471,A278,'Futures Data'!$B$5:$B$3471,"&gt;"&amp;B278),B278)</f>
        <v>45555</v>
      </c>
      <c r="D278" s="3" t="n">
        <f aca="false">COUNTIFS($A$47:$A$790,"&gt;"&amp;A278,$A$47:$A$790,"&lt;="&amp;B278)+IF(B278&gt;$G$5,NETWORKDAYS($G$5+1,B278),0)</f>
        <v>12</v>
      </c>
      <c r="E278" s="3" t="n">
        <f aca="false">SUMIFS('Futures Data'!$E$5:$E$3471,'Futures Data'!$A$5:$A$3471,A278,'Futures Data'!$B$5:$B$3471,C278)</f>
        <v>17915</v>
      </c>
      <c r="F278" s="11" t="n">
        <f aca="false">_xlfn.MINIFS('Futures Data'!$B$5:$B$3471,'Futures Data'!$A$5:$A$3471,A278,'Futures Data'!$B$5:$B$3471,"&gt;"&amp;C278)</f>
        <v>45583</v>
      </c>
      <c r="G278" s="3" t="n">
        <f aca="false">SUMIFS('Futures Data'!$E$5:$E$3471,'Futures Data'!$A$5:$A$3471,A278,'Futures Data'!$B$5:$B$3471,F278)</f>
        <v>23995</v>
      </c>
      <c r="H278" s="9" t="b">
        <f aca="false">G278&gt;E278</f>
        <v>1</v>
      </c>
      <c r="I278" s="9" t="b">
        <f aca="false">C278&lt;&gt;B278</f>
        <v>0</v>
      </c>
      <c r="J278" s="3" t="n">
        <f aca="false">SUMIFS('Futures Data'!$C$5:$C$3471,'Futures Data'!$A$5:$A$3471,A278,'Futures Data'!$B$5:$B$3471,B278)</f>
        <v>6120</v>
      </c>
      <c r="K278" s="3" t="n">
        <f aca="false">SUMIFS('Futures Data'!$C$5:$C$3471,'Futures Data'!$A$5:$A$3471,A278,'Futures Data'!$B$5:$B$3471,C278)</f>
        <v>6120</v>
      </c>
      <c r="L278" s="3" t="n">
        <f aca="false">K278-J278</f>
        <v>0</v>
      </c>
      <c r="M278" s="3" t="n">
        <f aca="false">M279+L278</f>
        <v>1440</v>
      </c>
      <c r="N278" s="3" t="n">
        <f aca="false">J278+M278</f>
        <v>7560</v>
      </c>
      <c r="O278" s="13" t="n">
        <f aca="false">LN(J278/K277)</f>
        <v>0.000326850795522984</v>
      </c>
      <c r="P278" s="13" t="n">
        <f aca="false">LN(N278/N277)</f>
        <v>0.000264585264144316</v>
      </c>
      <c r="Q278" s="3" t="n">
        <f aca="false">SUMIFS('Futures Data'!$D$5:$D$3471,'Futures Data'!$A$5:$A$3471,A278,'Futures Data'!$B$5:$B$3471,B278)</f>
        <v>5395</v>
      </c>
      <c r="R278" s="7" t="n">
        <v>45555</v>
      </c>
      <c r="S278" s="9" t="b">
        <f aca="false">C278=R278</f>
        <v>1</v>
      </c>
      <c r="T278" s="9" t="b">
        <f aca="false">ABS(O278-LN(J278/SUMIFS('Futures Data'!$C$5:$C$3471,'Futures Data'!$A$5:$A$3471,A277,'Futures Data'!$B$5:$B$3471,B278)))&lt;0.000000001</f>
        <v>1</v>
      </c>
    </row>
    <row r="279" customFormat="false" ht="15" hidden="false" customHeight="false" outlineLevel="0" collapsed="false">
      <c r="A279" s="7" t="n">
        <v>45540</v>
      </c>
      <c r="B279" s="11" t="n">
        <f aca="false">C278</f>
        <v>45555</v>
      </c>
      <c r="C279" s="11" t="n">
        <f aca="false">IF(OR(H278,D279&lt;=$G$4),_xlfn.MINIFS('Futures Data'!$B$5:$B$3471,'Futures Data'!$A$5:$A$3471,A279,'Futures Data'!$B$5:$B$3471,"&gt;"&amp;B279),B279)</f>
        <v>45583</v>
      </c>
      <c r="D279" s="3" t="n">
        <f aca="false">COUNTIFS($A$47:$A$790,"&gt;"&amp;A279,$A$47:$A$790,"&lt;="&amp;B279)+IF(B279&gt;$G$5,NETWORKDAYS($G$5+1,B279),0)</f>
        <v>11</v>
      </c>
      <c r="E279" s="3" t="n">
        <f aca="false">SUMIFS('Futures Data'!$E$5:$E$3471,'Futures Data'!$A$5:$A$3471,A279,'Futures Data'!$B$5:$B$3471,C279)</f>
        <v>25750</v>
      </c>
      <c r="F279" s="11" t="n">
        <f aca="false">_xlfn.MINIFS('Futures Data'!$B$5:$B$3471,'Futures Data'!$A$5:$A$3471,A279,'Futures Data'!$B$5:$B$3471,"&gt;"&amp;C279)</f>
        <v>45616</v>
      </c>
      <c r="G279" s="3" t="n">
        <f aca="false">SUMIFS('Futures Data'!$E$5:$E$3471,'Futures Data'!$A$5:$A$3471,A279,'Futures Data'!$B$5:$B$3471,F279)</f>
        <v>0</v>
      </c>
      <c r="H279" s="9" t="b">
        <f aca="false">G279&gt;E279</f>
        <v>0</v>
      </c>
      <c r="I279" s="9" t="b">
        <f aca="false">C279&lt;&gt;B279</f>
        <v>1</v>
      </c>
      <c r="J279" s="3" t="n">
        <f aca="false">SUMIFS('Futures Data'!$C$5:$C$3471,'Futures Data'!$A$5:$A$3471,A279,'Futures Data'!$B$5:$B$3471,B279)</f>
        <v>6108</v>
      </c>
      <c r="K279" s="3" t="n">
        <f aca="false">SUMIFS('Futures Data'!$C$5:$C$3471,'Futures Data'!$A$5:$A$3471,A279,'Futures Data'!$B$5:$B$3471,C279)</f>
        <v>6193</v>
      </c>
      <c r="L279" s="3" t="n">
        <f aca="false">K279-J279</f>
        <v>85</v>
      </c>
      <c r="M279" s="3" t="n">
        <f aca="false">M280+L279</f>
        <v>1440</v>
      </c>
      <c r="N279" s="3" t="n">
        <f aca="false">J279+M279</f>
        <v>7548</v>
      </c>
      <c r="O279" s="13" t="n">
        <f aca="false">LN(J279/K278)</f>
        <v>-0.00196270916784871</v>
      </c>
      <c r="P279" s="13" t="n">
        <f aca="false">LN(N279/N278)</f>
        <v>-0.00158856268513784</v>
      </c>
      <c r="Q279" s="3" t="n">
        <f aca="false">SUMIFS('Futures Data'!$D$5:$D$3471,'Futures Data'!$A$5:$A$3471,A279,'Futures Data'!$B$5:$B$3471,B279)</f>
        <v>7125</v>
      </c>
      <c r="R279" s="7" t="n">
        <v>45583</v>
      </c>
      <c r="S279" s="9" t="b">
        <f aca="false">C279=R279</f>
        <v>1</v>
      </c>
      <c r="T279" s="9" t="b">
        <f aca="false">ABS(O279-LN(J279/SUMIFS('Futures Data'!$C$5:$C$3471,'Futures Data'!$A$5:$A$3471,A278,'Futures Data'!$B$5:$B$3471,B279)))&lt;0.000000001</f>
        <v>1</v>
      </c>
    </row>
    <row r="280" customFormat="false" ht="15" hidden="false" customHeight="false" outlineLevel="0" collapsed="false">
      <c r="A280" s="7" t="n">
        <v>45541</v>
      </c>
      <c r="B280" s="11" t="n">
        <f aca="false">C279</f>
        <v>45583</v>
      </c>
      <c r="C280" s="11" t="n">
        <f aca="false">IF(OR(H279,D280&lt;=$G$4),_xlfn.MINIFS('Futures Data'!$B$5:$B$3471,'Futures Data'!$A$5:$A$3471,A280,'Futures Data'!$B$5:$B$3471,"&gt;"&amp;B280),B280)</f>
        <v>45583</v>
      </c>
      <c r="D280" s="3" t="n">
        <f aca="false">COUNTIFS($A$47:$A$790,"&gt;"&amp;A280,$A$47:$A$790,"&lt;="&amp;B280)+IF(B280&gt;$G$5,NETWORKDAYS($G$5+1,B280),0)</f>
        <v>29</v>
      </c>
      <c r="E280" s="3" t="n">
        <f aca="false">SUMIFS('Futures Data'!$E$5:$E$3471,'Futures Data'!$A$5:$A$3471,A280,'Futures Data'!$B$5:$B$3471,C280)</f>
        <v>27260</v>
      </c>
      <c r="F280" s="11" t="n">
        <f aca="false">_xlfn.MINIFS('Futures Data'!$B$5:$B$3471,'Futures Data'!$A$5:$A$3471,A280,'Futures Data'!$B$5:$B$3471,"&gt;"&amp;C280)</f>
        <v>45616</v>
      </c>
      <c r="G280" s="3" t="n">
        <f aca="false">SUMIFS('Futures Data'!$E$5:$E$3471,'Futures Data'!$A$5:$A$3471,A280,'Futures Data'!$B$5:$B$3471,F280)</f>
        <v>0</v>
      </c>
      <c r="H280" s="9" t="b">
        <f aca="false">G280&gt;E280</f>
        <v>0</v>
      </c>
      <c r="I280" s="9" t="b">
        <f aca="false">C280&lt;&gt;B280</f>
        <v>0</v>
      </c>
      <c r="J280" s="3" t="n">
        <f aca="false">SUMIFS('Futures Data'!$C$5:$C$3471,'Futures Data'!$A$5:$A$3471,A280,'Futures Data'!$B$5:$B$3471,B280)</f>
        <v>6174</v>
      </c>
      <c r="K280" s="3" t="n">
        <f aca="false">SUMIFS('Futures Data'!$C$5:$C$3471,'Futures Data'!$A$5:$A$3471,A280,'Futures Data'!$B$5:$B$3471,C280)</f>
        <v>6174</v>
      </c>
      <c r="L280" s="3" t="n">
        <f aca="false">K280-J280</f>
        <v>0</v>
      </c>
      <c r="M280" s="3" t="n">
        <f aca="false">M281+L280</f>
        <v>1355</v>
      </c>
      <c r="N280" s="3" t="n">
        <f aca="false">J280+M280</f>
        <v>7529</v>
      </c>
      <c r="O280" s="13" t="n">
        <f aca="false">LN(J280/K279)</f>
        <v>-0.00307269587595632</v>
      </c>
      <c r="P280" s="13" t="n">
        <f aca="false">LN(N280/N279)</f>
        <v>-0.00252039663831858</v>
      </c>
      <c r="Q280" s="3" t="n">
        <f aca="false">SUMIFS('Futures Data'!$D$5:$D$3471,'Futures Data'!$A$5:$A$3471,A280,'Futures Data'!$B$5:$B$3471,B280)</f>
        <v>5160</v>
      </c>
      <c r="R280" s="7" t="n">
        <v>45583</v>
      </c>
      <c r="S280" s="9" t="b">
        <f aca="false">C280=R280</f>
        <v>1</v>
      </c>
      <c r="T280" s="9" t="b">
        <f aca="false">ABS(O280-LN(J280/SUMIFS('Futures Data'!$C$5:$C$3471,'Futures Data'!$A$5:$A$3471,A279,'Futures Data'!$B$5:$B$3471,B280)))&lt;0.000000001</f>
        <v>1</v>
      </c>
    </row>
    <row r="281" customFormat="false" ht="15" hidden="false" customHeight="false" outlineLevel="0" collapsed="false">
      <c r="A281" s="7" t="n">
        <v>45544</v>
      </c>
      <c r="B281" s="11" t="n">
        <f aca="false">C280</f>
        <v>45583</v>
      </c>
      <c r="C281" s="11" t="n">
        <f aca="false">IF(OR(H280,D281&lt;=$G$4),_xlfn.MINIFS('Futures Data'!$B$5:$B$3471,'Futures Data'!$A$5:$A$3471,A281,'Futures Data'!$B$5:$B$3471,"&gt;"&amp;B281),B281)</f>
        <v>45583</v>
      </c>
      <c r="D281" s="3" t="n">
        <f aca="false">COUNTIFS($A$47:$A$790,"&gt;"&amp;A281,$A$47:$A$790,"&lt;="&amp;B281)+IF(B281&gt;$G$5,NETWORKDAYS($G$5+1,B281),0)</f>
        <v>28</v>
      </c>
      <c r="E281" s="3" t="n">
        <f aca="false">SUMIFS('Futures Data'!$E$5:$E$3471,'Futures Data'!$A$5:$A$3471,A281,'Futures Data'!$B$5:$B$3471,C281)</f>
        <v>30725</v>
      </c>
      <c r="F281" s="11" t="n">
        <f aca="false">_xlfn.MINIFS('Futures Data'!$B$5:$B$3471,'Futures Data'!$A$5:$A$3471,A281,'Futures Data'!$B$5:$B$3471,"&gt;"&amp;C281)</f>
        <v>45616</v>
      </c>
      <c r="G281" s="3" t="n">
        <f aca="false">SUMIFS('Futures Data'!$E$5:$E$3471,'Futures Data'!$A$5:$A$3471,A281,'Futures Data'!$B$5:$B$3471,F281)</f>
        <v>10</v>
      </c>
      <c r="H281" s="9" t="b">
        <f aca="false">G281&gt;E281</f>
        <v>0</v>
      </c>
      <c r="I281" s="9" t="b">
        <f aca="false">C281&lt;&gt;B281</f>
        <v>0</v>
      </c>
      <c r="J281" s="3" t="n">
        <f aca="false">SUMIFS('Futures Data'!$C$5:$C$3471,'Futures Data'!$A$5:$A$3471,A281,'Futures Data'!$B$5:$B$3471,B281)</f>
        <v>6131</v>
      </c>
      <c r="K281" s="3" t="n">
        <f aca="false">SUMIFS('Futures Data'!$C$5:$C$3471,'Futures Data'!$A$5:$A$3471,A281,'Futures Data'!$B$5:$B$3471,C281)</f>
        <v>6131</v>
      </c>
      <c r="L281" s="3" t="n">
        <f aca="false">K281-J281</f>
        <v>0</v>
      </c>
      <c r="M281" s="3" t="n">
        <f aca="false">M282+L281</f>
        <v>1355</v>
      </c>
      <c r="N281" s="3" t="n">
        <f aca="false">J281+M281</f>
        <v>7486</v>
      </c>
      <c r="O281" s="13" t="n">
        <f aca="false">LN(J281/K280)</f>
        <v>-0.00698905729941673</v>
      </c>
      <c r="P281" s="13" t="n">
        <f aca="false">LN(N281/N280)</f>
        <v>-0.00572762138574802</v>
      </c>
      <c r="Q281" s="3" t="n">
        <f aca="false">SUMIFS('Futures Data'!$D$5:$D$3471,'Futures Data'!$A$5:$A$3471,A281,'Futures Data'!$B$5:$B$3471,B281)</f>
        <v>8185</v>
      </c>
      <c r="R281" s="7" t="n">
        <v>45583</v>
      </c>
      <c r="S281" s="9" t="b">
        <f aca="false">C281=R281</f>
        <v>1</v>
      </c>
      <c r="T281" s="9" t="b">
        <f aca="false">ABS(O281-LN(J281/SUMIFS('Futures Data'!$C$5:$C$3471,'Futures Data'!$A$5:$A$3471,A280,'Futures Data'!$B$5:$B$3471,B281)))&lt;0.000000001</f>
        <v>1</v>
      </c>
    </row>
    <row r="282" customFormat="false" ht="15" hidden="false" customHeight="false" outlineLevel="0" collapsed="false">
      <c r="A282" s="7" t="n">
        <v>45545</v>
      </c>
      <c r="B282" s="11" t="n">
        <f aca="false">C281</f>
        <v>45583</v>
      </c>
      <c r="C282" s="11" t="n">
        <f aca="false">IF(OR(H281,D282&lt;=$G$4),_xlfn.MINIFS('Futures Data'!$B$5:$B$3471,'Futures Data'!$A$5:$A$3471,A282,'Futures Data'!$B$5:$B$3471,"&gt;"&amp;B282),B282)</f>
        <v>45583</v>
      </c>
      <c r="D282" s="3" t="n">
        <f aca="false">COUNTIFS($A$47:$A$790,"&gt;"&amp;A282,$A$47:$A$790,"&lt;="&amp;B282)+IF(B282&gt;$G$5,NETWORKDAYS($G$5+1,B282),0)</f>
        <v>27</v>
      </c>
      <c r="E282" s="3" t="n">
        <f aca="false">SUMIFS('Futures Data'!$E$5:$E$3471,'Futures Data'!$A$5:$A$3471,A282,'Futures Data'!$B$5:$B$3471,C282)</f>
        <v>32885</v>
      </c>
      <c r="F282" s="11" t="n">
        <f aca="false">_xlfn.MINIFS('Futures Data'!$B$5:$B$3471,'Futures Data'!$A$5:$A$3471,A282,'Futures Data'!$B$5:$B$3471,"&gt;"&amp;C282)</f>
        <v>45616</v>
      </c>
      <c r="G282" s="3" t="n">
        <f aca="false">SUMIFS('Futures Data'!$E$5:$E$3471,'Futures Data'!$A$5:$A$3471,A282,'Futures Data'!$B$5:$B$3471,F282)</f>
        <v>10</v>
      </c>
      <c r="H282" s="9" t="b">
        <f aca="false">G282&gt;E282</f>
        <v>0</v>
      </c>
      <c r="I282" s="9" t="b">
        <f aca="false">C282&lt;&gt;B282</f>
        <v>0</v>
      </c>
      <c r="J282" s="3" t="n">
        <f aca="false">SUMIFS('Futures Data'!$C$5:$C$3471,'Futures Data'!$A$5:$A$3471,A282,'Futures Data'!$B$5:$B$3471,B282)</f>
        <v>6186</v>
      </c>
      <c r="K282" s="3" t="n">
        <f aca="false">SUMIFS('Futures Data'!$C$5:$C$3471,'Futures Data'!$A$5:$A$3471,A282,'Futures Data'!$B$5:$B$3471,C282)</f>
        <v>6186</v>
      </c>
      <c r="L282" s="3" t="n">
        <f aca="false">K282-J282</f>
        <v>0</v>
      </c>
      <c r="M282" s="3" t="n">
        <f aca="false">M283+L282</f>
        <v>1355</v>
      </c>
      <c r="N282" s="3" t="n">
        <f aca="false">J282+M282</f>
        <v>7541</v>
      </c>
      <c r="O282" s="13" t="n">
        <f aca="false">LN(J282/K281)</f>
        <v>0.00893080548232707</v>
      </c>
      <c r="P282" s="13" t="n">
        <f aca="false">LN(N282/N281)</f>
        <v>0.00732018973827265</v>
      </c>
      <c r="Q282" s="3" t="n">
        <f aca="false">SUMIFS('Futures Data'!$D$5:$D$3471,'Futures Data'!$A$5:$A$3471,A282,'Futures Data'!$B$5:$B$3471,B282)</f>
        <v>7815</v>
      </c>
      <c r="R282" s="7" t="n">
        <v>45583</v>
      </c>
      <c r="S282" s="9" t="b">
        <f aca="false">C282=R282</f>
        <v>1</v>
      </c>
      <c r="T282" s="9" t="b">
        <f aca="false">ABS(O282-LN(J282/SUMIFS('Futures Data'!$C$5:$C$3471,'Futures Data'!$A$5:$A$3471,A281,'Futures Data'!$B$5:$B$3471,B282)))&lt;0.000000001</f>
        <v>1</v>
      </c>
    </row>
    <row r="283" customFormat="false" ht="15" hidden="false" customHeight="false" outlineLevel="0" collapsed="false">
      <c r="A283" s="7" t="n">
        <v>45546</v>
      </c>
      <c r="B283" s="11" t="n">
        <f aca="false">C282</f>
        <v>45583</v>
      </c>
      <c r="C283" s="11" t="n">
        <f aca="false">IF(OR(H282,D283&lt;=$G$4),_xlfn.MINIFS('Futures Data'!$B$5:$B$3471,'Futures Data'!$A$5:$A$3471,A283,'Futures Data'!$B$5:$B$3471,"&gt;"&amp;B283),B283)</f>
        <v>45583</v>
      </c>
      <c r="D283" s="3" t="n">
        <f aca="false">COUNTIFS($A$47:$A$790,"&gt;"&amp;A283,$A$47:$A$790,"&lt;="&amp;B283)+IF(B283&gt;$G$5,NETWORKDAYS($G$5+1,B283),0)</f>
        <v>26</v>
      </c>
      <c r="E283" s="3" t="n">
        <f aca="false">SUMIFS('Futures Data'!$E$5:$E$3471,'Futures Data'!$A$5:$A$3471,A283,'Futures Data'!$B$5:$B$3471,C283)</f>
        <v>32730</v>
      </c>
      <c r="F283" s="11" t="n">
        <f aca="false">_xlfn.MINIFS('Futures Data'!$B$5:$B$3471,'Futures Data'!$A$5:$A$3471,A283,'Futures Data'!$B$5:$B$3471,"&gt;"&amp;C283)</f>
        <v>45616</v>
      </c>
      <c r="G283" s="3" t="n">
        <f aca="false">SUMIFS('Futures Data'!$E$5:$E$3471,'Futures Data'!$A$5:$A$3471,A283,'Futures Data'!$B$5:$B$3471,F283)</f>
        <v>10</v>
      </c>
      <c r="H283" s="9" t="b">
        <f aca="false">G283&gt;E283</f>
        <v>0</v>
      </c>
      <c r="I283" s="9" t="b">
        <f aca="false">C283&lt;&gt;B283</f>
        <v>0</v>
      </c>
      <c r="J283" s="3" t="n">
        <f aca="false">SUMIFS('Futures Data'!$C$5:$C$3471,'Futures Data'!$A$5:$A$3471,A283,'Futures Data'!$B$5:$B$3471,B283)</f>
        <v>6186</v>
      </c>
      <c r="K283" s="3" t="n">
        <f aca="false">SUMIFS('Futures Data'!$C$5:$C$3471,'Futures Data'!$A$5:$A$3471,A283,'Futures Data'!$B$5:$B$3471,C283)</f>
        <v>6186</v>
      </c>
      <c r="L283" s="3" t="n">
        <f aca="false">K283-J283</f>
        <v>0</v>
      </c>
      <c r="M283" s="3" t="n">
        <f aca="false">M284+L283</f>
        <v>1355</v>
      </c>
      <c r="N283" s="3" t="n">
        <f aca="false">J283+M283</f>
        <v>7541</v>
      </c>
      <c r="O283" s="13" t="n">
        <f aca="false">LN(J283/K282)</f>
        <v>0</v>
      </c>
      <c r="P283" s="13" t="n">
        <f aca="false">LN(N283/N282)</f>
        <v>0</v>
      </c>
      <c r="Q283" s="3" t="n">
        <f aca="false">SUMIFS('Futures Data'!$D$5:$D$3471,'Futures Data'!$A$5:$A$3471,A283,'Futures Data'!$B$5:$B$3471,B283)</f>
        <v>6525</v>
      </c>
      <c r="R283" s="7" t="n">
        <v>45583</v>
      </c>
      <c r="S283" s="9" t="b">
        <f aca="false">C283=R283</f>
        <v>1</v>
      </c>
      <c r="T283" s="9" t="b">
        <f aca="false">ABS(O283-LN(J283/SUMIFS('Futures Data'!$C$5:$C$3471,'Futures Data'!$A$5:$A$3471,A282,'Futures Data'!$B$5:$B$3471,B283)))&lt;0.000000001</f>
        <v>1</v>
      </c>
    </row>
    <row r="284" customFormat="false" ht="15" hidden="false" customHeight="false" outlineLevel="0" collapsed="false">
      <c r="A284" s="7" t="n">
        <v>45547</v>
      </c>
      <c r="B284" s="11" t="n">
        <f aca="false">C283</f>
        <v>45583</v>
      </c>
      <c r="C284" s="11" t="n">
        <f aca="false">IF(OR(H283,D284&lt;=$G$4),_xlfn.MINIFS('Futures Data'!$B$5:$B$3471,'Futures Data'!$A$5:$A$3471,A284,'Futures Data'!$B$5:$B$3471,"&gt;"&amp;B284),B284)</f>
        <v>45583</v>
      </c>
      <c r="D284" s="3" t="n">
        <f aca="false">COUNTIFS($A$47:$A$790,"&gt;"&amp;A284,$A$47:$A$790,"&lt;="&amp;B284)+IF(B284&gt;$G$5,NETWORKDAYS($G$5+1,B284),0)</f>
        <v>25</v>
      </c>
      <c r="E284" s="3" t="n">
        <f aca="false">SUMIFS('Futures Data'!$E$5:$E$3471,'Futures Data'!$A$5:$A$3471,A284,'Futures Data'!$B$5:$B$3471,C284)</f>
        <v>33135</v>
      </c>
      <c r="F284" s="11" t="n">
        <f aca="false">_xlfn.MINIFS('Futures Data'!$B$5:$B$3471,'Futures Data'!$A$5:$A$3471,A284,'Futures Data'!$B$5:$B$3471,"&gt;"&amp;C284)</f>
        <v>45616</v>
      </c>
      <c r="G284" s="3" t="n">
        <f aca="false">SUMIFS('Futures Data'!$E$5:$E$3471,'Futures Data'!$A$5:$A$3471,A284,'Futures Data'!$B$5:$B$3471,F284)</f>
        <v>140</v>
      </c>
      <c r="H284" s="9" t="b">
        <f aca="false">G284&gt;E284</f>
        <v>0</v>
      </c>
      <c r="I284" s="9" t="b">
        <f aca="false">C284&lt;&gt;B284</f>
        <v>0</v>
      </c>
      <c r="J284" s="3" t="n">
        <f aca="false">SUMIFS('Futures Data'!$C$5:$C$3471,'Futures Data'!$A$5:$A$3471,A284,'Futures Data'!$B$5:$B$3471,B284)</f>
        <v>6199</v>
      </c>
      <c r="K284" s="3" t="n">
        <f aca="false">SUMIFS('Futures Data'!$C$5:$C$3471,'Futures Data'!$A$5:$A$3471,A284,'Futures Data'!$B$5:$B$3471,C284)</f>
        <v>6199</v>
      </c>
      <c r="L284" s="3" t="n">
        <f aca="false">K284-J284</f>
        <v>0</v>
      </c>
      <c r="M284" s="3" t="n">
        <f aca="false">M285+L284</f>
        <v>1355</v>
      </c>
      <c r="N284" s="3" t="n">
        <f aca="false">J284+M284</f>
        <v>7554</v>
      </c>
      <c r="O284" s="13" t="n">
        <f aca="false">LN(J284/K283)</f>
        <v>0.00209931445690439</v>
      </c>
      <c r="P284" s="13" t="n">
        <f aca="false">LN(N284/N283)</f>
        <v>0.00172242506975521</v>
      </c>
      <c r="Q284" s="3" t="n">
        <f aca="false">SUMIFS('Futures Data'!$D$5:$D$3471,'Futures Data'!$A$5:$A$3471,A284,'Futures Data'!$B$5:$B$3471,B284)</f>
        <v>4165</v>
      </c>
      <c r="R284" s="7" t="n">
        <v>45583</v>
      </c>
      <c r="S284" s="9" t="b">
        <f aca="false">C284=R284</f>
        <v>1</v>
      </c>
      <c r="T284" s="9" t="b">
        <f aca="false">ABS(O284-LN(J284/SUMIFS('Futures Data'!$C$5:$C$3471,'Futures Data'!$A$5:$A$3471,A283,'Futures Data'!$B$5:$B$3471,B284)))&lt;0.000000001</f>
        <v>1</v>
      </c>
    </row>
    <row r="285" customFormat="false" ht="15" hidden="false" customHeight="false" outlineLevel="0" collapsed="false">
      <c r="A285" s="7" t="n">
        <v>45548</v>
      </c>
      <c r="B285" s="11" t="n">
        <f aca="false">C284</f>
        <v>45583</v>
      </c>
      <c r="C285" s="11" t="n">
        <f aca="false">IF(OR(H284,D285&lt;=$G$4),_xlfn.MINIFS('Futures Data'!$B$5:$B$3471,'Futures Data'!$A$5:$A$3471,A285,'Futures Data'!$B$5:$B$3471,"&gt;"&amp;B285),B285)</f>
        <v>45583</v>
      </c>
      <c r="D285" s="3" t="n">
        <f aca="false">COUNTIFS($A$47:$A$790,"&gt;"&amp;A285,$A$47:$A$790,"&lt;="&amp;B285)+IF(B285&gt;$G$5,NETWORKDAYS($G$5+1,B285),0)</f>
        <v>24</v>
      </c>
      <c r="E285" s="3" t="n">
        <f aca="false">SUMIFS('Futures Data'!$E$5:$E$3471,'Futures Data'!$A$5:$A$3471,A285,'Futures Data'!$B$5:$B$3471,C285)</f>
        <v>35280</v>
      </c>
      <c r="F285" s="11" t="n">
        <f aca="false">_xlfn.MINIFS('Futures Data'!$B$5:$B$3471,'Futures Data'!$A$5:$A$3471,A285,'Futures Data'!$B$5:$B$3471,"&gt;"&amp;C285)</f>
        <v>45616</v>
      </c>
      <c r="G285" s="3" t="n">
        <f aca="false">SUMIFS('Futures Data'!$E$5:$E$3471,'Futures Data'!$A$5:$A$3471,A285,'Futures Data'!$B$5:$B$3471,F285)</f>
        <v>820</v>
      </c>
      <c r="H285" s="9" t="b">
        <f aca="false">G285&gt;E285</f>
        <v>0</v>
      </c>
      <c r="I285" s="9" t="b">
        <f aca="false">C285&lt;&gt;B285</f>
        <v>0</v>
      </c>
      <c r="J285" s="3" t="n">
        <f aca="false">SUMIFS('Futures Data'!$C$5:$C$3471,'Futures Data'!$A$5:$A$3471,A285,'Futures Data'!$B$5:$B$3471,B285)</f>
        <v>6265</v>
      </c>
      <c r="K285" s="3" t="n">
        <f aca="false">SUMIFS('Futures Data'!$C$5:$C$3471,'Futures Data'!$A$5:$A$3471,A285,'Futures Data'!$B$5:$B$3471,C285)</f>
        <v>6265</v>
      </c>
      <c r="L285" s="3" t="n">
        <f aca="false">K285-J285</f>
        <v>0</v>
      </c>
      <c r="M285" s="3" t="n">
        <f aca="false">M286+L285</f>
        <v>1355</v>
      </c>
      <c r="N285" s="3" t="n">
        <f aca="false">J285+M285</f>
        <v>7620</v>
      </c>
      <c r="O285" s="13" t="n">
        <f aca="false">LN(J285/K284)</f>
        <v>0.0105905996282493</v>
      </c>
      <c r="P285" s="13" t="n">
        <f aca="false">LN(N285/N284)</f>
        <v>0.00869914540828989</v>
      </c>
      <c r="Q285" s="3" t="n">
        <f aca="false">SUMIFS('Futures Data'!$D$5:$D$3471,'Futures Data'!$A$5:$A$3471,A285,'Futures Data'!$B$5:$B$3471,B285)</f>
        <v>11385</v>
      </c>
      <c r="R285" s="7" t="n">
        <v>45583</v>
      </c>
      <c r="S285" s="9" t="b">
        <f aca="false">C285=R285</f>
        <v>1</v>
      </c>
      <c r="T285" s="9" t="b">
        <f aca="false">ABS(O285-LN(J285/SUMIFS('Futures Data'!$C$5:$C$3471,'Futures Data'!$A$5:$A$3471,A284,'Futures Data'!$B$5:$B$3471,B285)))&lt;0.000000001</f>
        <v>1</v>
      </c>
    </row>
    <row r="286" customFormat="false" ht="15" hidden="false" customHeight="false" outlineLevel="0" collapsed="false">
      <c r="A286" s="7" t="n">
        <v>45551</v>
      </c>
      <c r="B286" s="11" t="n">
        <f aca="false">C285</f>
        <v>45583</v>
      </c>
      <c r="C286" s="11" t="n">
        <f aca="false">IF(OR(H285,D286&lt;=$G$4),_xlfn.MINIFS('Futures Data'!$B$5:$B$3471,'Futures Data'!$A$5:$A$3471,A286,'Futures Data'!$B$5:$B$3471,"&gt;"&amp;B286),B286)</f>
        <v>45583</v>
      </c>
      <c r="D286" s="3" t="n">
        <f aca="false">COUNTIFS($A$47:$A$790,"&gt;"&amp;A286,$A$47:$A$790,"&lt;="&amp;B286)+IF(B286&gt;$G$5,NETWORKDAYS($G$5+1,B286),0)</f>
        <v>23</v>
      </c>
      <c r="E286" s="3" t="n">
        <f aca="false">SUMIFS('Futures Data'!$E$5:$E$3471,'Futures Data'!$A$5:$A$3471,A286,'Futures Data'!$B$5:$B$3471,C286)</f>
        <v>37755</v>
      </c>
      <c r="F286" s="11" t="n">
        <f aca="false">_xlfn.MINIFS('Futures Data'!$B$5:$B$3471,'Futures Data'!$A$5:$A$3471,A286,'Futures Data'!$B$5:$B$3471,"&gt;"&amp;C286)</f>
        <v>45616</v>
      </c>
      <c r="G286" s="3" t="n">
        <f aca="false">SUMIFS('Futures Data'!$E$5:$E$3471,'Futures Data'!$A$5:$A$3471,A286,'Futures Data'!$B$5:$B$3471,F286)</f>
        <v>840</v>
      </c>
      <c r="H286" s="9" t="b">
        <f aca="false">G286&gt;E286</f>
        <v>0</v>
      </c>
      <c r="I286" s="9" t="b">
        <f aca="false">C286&lt;&gt;B286</f>
        <v>0</v>
      </c>
      <c r="J286" s="3" t="n">
        <f aca="false">SUMIFS('Futures Data'!$C$5:$C$3471,'Futures Data'!$A$5:$A$3471,A286,'Futures Data'!$B$5:$B$3471,B286)</f>
        <v>6406</v>
      </c>
      <c r="K286" s="3" t="n">
        <f aca="false">SUMIFS('Futures Data'!$C$5:$C$3471,'Futures Data'!$A$5:$A$3471,A286,'Futures Data'!$B$5:$B$3471,C286)</f>
        <v>6406</v>
      </c>
      <c r="L286" s="3" t="n">
        <f aca="false">K286-J286</f>
        <v>0</v>
      </c>
      <c r="M286" s="3" t="n">
        <f aca="false">M287+L286</f>
        <v>1355</v>
      </c>
      <c r="N286" s="3" t="n">
        <f aca="false">J286+M286</f>
        <v>7761</v>
      </c>
      <c r="O286" s="13" t="n">
        <f aca="false">LN(J286/K285)</f>
        <v>0.0222564628389347</v>
      </c>
      <c r="P286" s="13" t="n">
        <f aca="false">LN(N286/N285)</f>
        <v>0.018334822173447</v>
      </c>
      <c r="Q286" s="3" t="n">
        <f aca="false">SUMIFS('Futures Data'!$D$5:$D$3471,'Futures Data'!$A$5:$A$3471,A286,'Futures Data'!$B$5:$B$3471,B286)</f>
        <v>13640</v>
      </c>
      <c r="R286" s="7" t="n">
        <v>45583</v>
      </c>
      <c r="S286" s="9" t="b">
        <f aca="false">C286=R286</f>
        <v>1</v>
      </c>
      <c r="T286" s="9" t="b">
        <f aca="false">ABS(O286-LN(J286/SUMIFS('Futures Data'!$C$5:$C$3471,'Futures Data'!$A$5:$A$3471,A285,'Futures Data'!$B$5:$B$3471,B286)))&lt;0.000000001</f>
        <v>1</v>
      </c>
    </row>
    <row r="287" customFormat="false" ht="15" hidden="false" customHeight="false" outlineLevel="0" collapsed="false">
      <c r="A287" s="7" t="n">
        <v>45552</v>
      </c>
      <c r="B287" s="11" t="n">
        <f aca="false">C286</f>
        <v>45583</v>
      </c>
      <c r="C287" s="11" t="n">
        <f aca="false">IF(OR(H286,D287&lt;=$G$4),_xlfn.MINIFS('Futures Data'!$B$5:$B$3471,'Futures Data'!$A$5:$A$3471,A287,'Futures Data'!$B$5:$B$3471,"&gt;"&amp;B287),B287)</f>
        <v>45583</v>
      </c>
      <c r="D287" s="3" t="n">
        <f aca="false">COUNTIFS($A$47:$A$790,"&gt;"&amp;A287,$A$47:$A$790,"&lt;="&amp;B287)+IF(B287&gt;$G$5,NETWORKDAYS($G$5+1,B287),0)</f>
        <v>22</v>
      </c>
      <c r="E287" s="3" t="n">
        <f aca="false">SUMIFS('Futures Data'!$E$5:$E$3471,'Futures Data'!$A$5:$A$3471,A287,'Futures Data'!$B$5:$B$3471,C287)</f>
        <v>39240</v>
      </c>
      <c r="F287" s="11" t="n">
        <f aca="false">_xlfn.MINIFS('Futures Data'!$B$5:$B$3471,'Futures Data'!$A$5:$A$3471,A287,'Futures Data'!$B$5:$B$3471,"&gt;"&amp;C287)</f>
        <v>45616</v>
      </c>
      <c r="G287" s="3" t="n">
        <f aca="false">SUMIFS('Futures Data'!$E$5:$E$3471,'Futures Data'!$A$5:$A$3471,A287,'Futures Data'!$B$5:$B$3471,F287)</f>
        <v>1765</v>
      </c>
      <c r="H287" s="9" t="b">
        <f aca="false">G287&gt;E287</f>
        <v>0</v>
      </c>
      <c r="I287" s="9" t="b">
        <f aca="false">C287&lt;&gt;B287</f>
        <v>0</v>
      </c>
      <c r="J287" s="3" t="n">
        <f aca="false">SUMIFS('Futures Data'!$C$5:$C$3471,'Futures Data'!$A$5:$A$3471,A287,'Futures Data'!$B$5:$B$3471,B287)</f>
        <v>6471</v>
      </c>
      <c r="K287" s="3" t="n">
        <f aca="false">SUMIFS('Futures Data'!$C$5:$C$3471,'Futures Data'!$A$5:$A$3471,A287,'Futures Data'!$B$5:$B$3471,C287)</f>
        <v>6471</v>
      </c>
      <c r="L287" s="3" t="n">
        <f aca="false">K287-J287</f>
        <v>0</v>
      </c>
      <c r="M287" s="3" t="n">
        <f aca="false">M288+L287</f>
        <v>1355</v>
      </c>
      <c r="N287" s="3" t="n">
        <f aca="false">J287+M287</f>
        <v>7826</v>
      </c>
      <c r="O287" s="13" t="n">
        <f aca="false">LN(J287/K286)</f>
        <v>0.0100956048881626</v>
      </c>
      <c r="P287" s="13" t="n">
        <f aca="false">LN(N287/N286)</f>
        <v>0.00834033191621895</v>
      </c>
      <c r="Q287" s="3" t="n">
        <f aca="false">SUMIFS('Futures Data'!$D$5:$D$3471,'Futures Data'!$A$5:$A$3471,A287,'Futures Data'!$B$5:$B$3471,B287)</f>
        <v>17320</v>
      </c>
      <c r="R287" s="7" t="n">
        <v>45583</v>
      </c>
      <c r="S287" s="9" t="b">
        <f aca="false">C287=R287</f>
        <v>1</v>
      </c>
      <c r="T287" s="9" t="b">
        <f aca="false">ABS(O287-LN(J287/SUMIFS('Futures Data'!$C$5:$C$3471,'Futures Data'!$A$5:$A$3471,A286,'Futures Data'!$B$5:$B$3471,B287)))&lt;0.000000001</f>
        <v>1</v>
      </c>
    </row>
    <row r="288" customFormat="false" ht="15" hidden="false" customHeight="false" outlineLevel="0" collapsed="false">
      <c r="A288" s="7" t="n">
        <v>45553</v>
      </c>
      <c r="B288" s="11" t="n">
        <f aca="false">C287</f>
        <v>45583</v>
      </c>
      <c r="C288" s="11" t="n">
        <f aca="false">IF(OR(H287,D288&lt;=$G$4),_xlfn.MINIFS('Futures Data'!$B$5:$B$3471,'Futures Data'!$A$5:$A$3471,A288,'Futures Data'!$B$5:$B$3471,"&gt;"&amp;B288),B288)</f>
        <v>45583</v>
      </c>
      <c r="D288" s="3" t="n">
        <f aca="false">COUNTIFS($A$47:$A$790,"&gt;"&amp;A288,$A$47:$A$790,"&lt;="&amp;B288)+IF(B288&gt;$G$5,NETWORKDAYS($G$5+1,B288),0)</f>
        <v>21</v>
      </c>
      <c r="E288" s="3" t="n">
        <f aca="false">SUMIFS('Futures Data'!$E$5:$E$3471,'Futures Data'!$A$5:$A$3471,A288,'Futures Data'!$B$5:$B$3471,C288)</f>
        <v>41970</v>
      </c>
      <c r="F288" s="11" t="n">
        <f aca="false">_xlfn.MINIFS('Futures Data'!$B$5:$B$3471,'Futures Data'!$A$5:$A$3471,A288,'Futures Data'!$B$5:$B$3471,"&gt;"&amp;C288)</f>
        <v>45616</v>
      </c>
      <c r="G288" s="3" t="n">
        <f aca="false">SUMIFS('Futures Data'!$E$5:$E$3471,'Futures Data'!$A$5:$A$3471,A288,'Futures Data'!$B$5:$B$3471,F288)</f>
        <v>4195</v>
      </c>
      <c r="H288" s="9" t="b">
        <f aca="false">G288&gt;E288</f>
        <v>0</v>
      </c>
      <c r="I288" s="9" t="b">
        <f aca="false">C288&lt;&gt;B288</f>
        <v>0</v>
      </c>
      <c r="J288" s="3" t="n">
        <f aca="false">SUMIFS('Futures Data'!$C$5:$C$3471,'Futures Data'!$A$5:$A$3471,A288,'Futures Data'!$B$5:$B$3471,B288)</f>
        <v>6582</v>
      </c>
      <c r="K288" s="3" t="n">
        <f aca="false">SUMIFS('Futures Data'!$C$5:$C$3471,'Futures Data'!$A$5:$A$3471,A288,'Futures Data'!$B$5:$B$3471,C288)</f>
        <v>6582</v>
      </c>
      <c r="L288" s="3" t="n">
        <f aca="false">K288-J288</f>
        <v>0</v>
      </c>
      <c r="M288" s="3" t="n">
        <f aca="false">M289+L288</f>
        <v>1355</v>
      </c>
      <c r="N288" s="3" t="n">
        <f aca="false">J288+M288</f>
        <v>7937</v>
      </c>
      <c r="O288" s="13" t="n">
        <f aca="false">LN(J288/K287)</f>
        <v>0.0170079944460192</v>
      </c>
      <c r="P288" s="13" t="n">
        <f aca="false">LN(N288/N287)</f>
        <v>0.0140838463205178</v>
      </c>
      <c r="Q288" s="3" t="n">
        <f aca="false">SUMIFS('Futures Data'!$D$5:$D$3471,'Futures Data'!$A$5:$A$3471,A288,'Futures Data'!$B$5:$B$3471,B288)</f>
        <v>18825</v>
      </c>
      <c r="R288" s="7" t="n">
        <v>45583</v>
      </c>
      <c r="S288" s="9" t="b">
        <f aca="false">C288=R288</f>
        <v>1</v>
      </c>
      <c r="T288" s="9" t="b">
        <f aca="false">ABS(O288-LN(J288/SUMIFS('Futures Data'!$C$5:$C$3471,'Futures Data'!$A$5:$A$3471,A287,'Futures Data'!$B$5:$B$3471,B288)))&lt;0.000000001</f>
        <v>1</v>
      </c>
    </row>
    <row r="289" customFormat="false" ht="15" hidden="false" customHeight="false" outlineLevel="0" collapsed="false">
      <c r="A289" s="7" t="n">
        <v>45554</v>
      </c>
      <c r="B289" s="11" t="n">
        <f aca="false">C288</f>
        <v>45583</v>
      </c>
      <c r="C289" s="11" t="n">
        <f aca="false">IF(OR(H288,D289&lt;=$G$4),_xlfn.MINIFS('Futures Data'!$B$5:$B$3471,'Futures Data'!$A$5:$A$3471,A289,'Futures Data'!$B$5:$B$3471,"&gt;"&amp;B289),B289)</f>
        <v>45583</v>
      </c>
      <c r="D289" s="3" t="n">
        <f aca="false">COUNTIFS($A$47:$A$790,"&gt;"&amp;A289,$A$47:$A$790,"&lt;="&amp;B289)+IF(B289&gt;$G$5,NETWORKDAYS($G$5+1,B289),0)</f>
        <v>20</v>
      </c>
      <c r="E289" s="3" t="n">
        <f aca="false">SUMIFS('Futures Data'!$E$5:$E$3471,'Futures Data'!$A$5:$A$3471,A289,'Futures Data'!$B$5:$B$3471,C289)</f>
        <v>41735</v>
      </c>
      <c r="F289" s="11" t="n">
        <f aca="false">_xlfn.MINIFS('Futures Data'!$B$5:$B$3471,'Futures Data'!$A$5:$A$3471,A289,'Futures Data'!$B$5:$B$3471,"&gt;"&amp;C289)</f>
        <v>45616</v>
      </c>
      <c r="G289" s="3" t="n">
        <f aca="false">SUMIFS('Futures Data'!$E$5:$E$3471,'Futures Data'!$A$5:$A$3471,A289,'Futures Data'!$B$5:$B$3471,F289)</f>
        <v>4630</v>
      </c>
      <c r="H289" s="9" t="b">
        <f aca="false">G289&gt;E289</f>
        <v>0</v>
      </c>
      <c r="I289" s="9" t="b">
        <f aca="false">C289&lt;&gt;B289</f>
        <v>0</v>
      </c>
      <c r="J289" s="3" t="n">
        <f aca="false">SUMIFS('Futures Data'!$C$5:$C$3471,'Futures Data'!$A$5:$A$3471,A289,'Futures Data'!$B$5:$B$3471,B289)</f>
        <v>6511</v>
      </c>
      <c r="K289" s="3" t="n">
        <f aca="false">SUMIFS('Futures Data'!$C$5:$C$3471,'Futures Data'!$A$5:$A$3471,A289,'Futures Data'!$B$5:$B$3471,C289)</f>
        <v>6511</v>
      </c>
      <c r="L289" s="3" t="n">
        <f aca="false">K289-J289</f>
        <v>0</v>
      </c>
      <c r="M289" s="3" t="n">
        <f aca="false">M290+L289</f>
        <v>1355</v>
      </c>
      <c r="N289" s="3" t="n">
        <f aca="false">J289+M289</f>
        <v>7866</v>
      </c>
      <c r="O289" s="13" t="n">
        <f aca="false">LN(J289/K288)</f>
        <v>-0.0108455962664232</v>
      </c>
      <c r="P289" s="13" t="n">
        <f aca="false">LN(N289/N288)</f>
        <v>-0.0089856960991207</v>
      </c>
      <c r="Q289" s="3" t="n">
        <f aca="false">SUMIFS('Futures Data'!$D$5:$D$3471,'Futures Data'!$A$5:$A$3471,A289,'Futures Data'!$B$5:$B$3471,B289)</f>
        <v>15440</v>
      </c>
      <c r="R289" s="7" t="n">
        <v>45583</v>
      </c>
      <c r="S289" s="9" t="b">
        <f aca="false">C289=R289</f>
        <v>1</v>
      </c>
      <c r="T289" s="9" t="b">
        <f aca="false">ABS(O289-LN(J289/SUMIFS('Futures Data'!$C$5:$C$3471,'Futures Data'!$A$5:$A$3471,A288,'Futures Data'!$B$5:$B$3471,B289)))&lt;0.000000001</f>
        <v>1</v>
      </c>
    </row>
    <row r="290" customFormat="false" ht="15" hidden="false" customHeight="false" outlineLevel="0" collapsed="false">
      <c r="A290" s="7" t="n">
        <v>45555</v>
      </c>
      <c r="B290" s="11" t="n">
        <f aca="false">C289</f>
        <v>45583</v>
      </c>
      <c r="C290" s="11" t="n">
        <f aca="false">IF(OR(H289,D290&lt;=$G$4),_xlfn.MINIFS('Futures Data'!$B$5:$B$3471,'Futures Data'!$A$5:$A$3471,A290,'Futures Data'!$B$5:$B$3471,"&gt;"&amp;B290),B290)</f>
        <v>45583</v>
      </c>
      <c r="D290" s="3" t="n">
        <f aca="false">COUNTIFS($A$47:$A$790,"&gt;"&amp;A290,$A$47:$A$790,"&lt;="&amp;B290)+IF(B290&gt;$G$5,NETWORKDAYS($G$5+1,B290),0)</f>
        <v>19</v>
      </c>
      <c r="E290" s="3" t="n">
        <f aca="false">SUMIFS('Futures Data'!$E$5:$E$3471,'Futures Data'!$A$5:$A$3471,A290,'Futures Data'!$B$5:$B$3471,C290)</f>
        <v>41455</v>
      </c>
      <c r="F290" s="11" t="n">
        <f aca="false">_xlfn.MINIFS('Futures Data'!$B$5:$B$3471,'Futures Data'!$A$5:$A$3471,A290,'Futures Data'!$B$5:$B$3471,"&gt;"&amp;C290)</f>
        <v>45616</v>
      </c>
      <c r="G290" s="3" t="n">
        <f aca="false">SUMIFS('Futures Data'!$E$5:$E$3471,'Futures Data'!$A$5:$A$3471,A290,'Futures Data'!$B$5:$B$3471,F290)</f>
        <v>5715</v>
      </c>
      <c r="H290" s="9" t="b">
        <f aca="false">G290&gt;E290</f>
        <v>0</v>
      </c>
      <c r="I290" s="9" t="b">
        <f aca="false">C290&lt;&gt;B290</f>
        <v>0</v>
      </c>
      <c r="J290" s="3" t="n">
        <f aca="false">SUMIFS('Futures Data'!$C$5:$C$3471,'Futures Data'!$A$5:$A$3471,A290,'Futures Data'!$B$5:$B$3471,B290)</f>
        <v>6582</v>
      </c>
      <c r="K290" s="3" t="n">
        <f aca="false">SUMIFS('Futures Data'!$C$5:$C$3471,'Futures Data'!$A$5:$A$3471,A290,'Futures Data'!$B$5:$B$3471,C290)</f>
        <v>6582</v>
      </c>
      <c r="L290" s="3" t="n">
        <f aca="false">K290-J290</f>
        <v>0</v>
      </c>
      <c r="M290" s="3" t="n">
        <f aca="false">M291+L290</f>
        <v>1355</v>
      </c>
      <c r="N290" s="3" t="n">
        <f aca="false">J290+M290</f>
        <v>7937</v>
      </c>
      <c r="O290" s="13" t="n">
        <f aca="false">LN(J290/K289)</f>
        <v>0.0108455962664232</v>
      </c>
      <c r="P290" s="13" t="n">
        <f aca="false">LN(N290/N289)</f>
        <v>0.00898569609912077</v>
      </c>
      <c r="Q290" s="3" t="n">
        <f aca="false">SUMIFS('Futures Data'!$D$5:$D$3471,'Futures Data'!$A$5:$A$3471,A290,'Futures Data'!$B$5:$B$3471,B290)</f>
        <v>6365</v>
      </c>
      <c r="R290" s="7" t="n">
        <v>45583</v>
      </c>
      <c r="S290" s="9" t="b">
        <f aca="false">C290=R290</f>
        <v>1</v>
      </c>
      <c r="T290" s="9" t="b">
        <f aca="false">ABS(O290-LN(J290/SUMIFS('Futures Data'!$C$5:$C$3471,'Futures Data'!$A$5:$A$3471,A289,'Futures Data'!$B$5:$B$3471,B290)))&lt;0.000000001</f>
        <v>1</v>
      </c>
    </row>
    <row r="291" customFormat="false" ht="15" hidden="false" customHeight="false" outlineLevel="0" collapsed="false">
      <c r="A291" s="7" t="n">
        <v>45558</v>
      </c>
      <c r="B291" s="11" t="n">
        <f aca="false">C290</f>
        <v>45583</v>
      </c>
      <c r="C291" s="11" t="n">
        <f aca="false">IF(OR(H290,D291&lt;=$G$4),_xlfn.MINIFS('Futures Data'!$B$5:$B$3471,'Futures Data'!$A$5:$A$3471,A291,'Futures Data'!$B$5:$B$3471,"&gt;"&amp;B291),B291)</f>
        <v>45583</v>
      </c>
      <c r="D291" s="3" t="n">
        <f aca="false">COUNTIFS($A$47:$A$790,"&gt;"&amp;A291,$A$47:$A$790,"&lt;="&amp;B291)+IF(B291&gt;$G$5,NETWORKDAYS($G$5+1,B291),0)</f>
        <v>18</v>
      </c>
      <c r="E291" s="3" t="n">
        <f aca="false">SUMIFS('Futures Data'!$E$5:$E$3471,'Futures Data'!$A$5:$A$3471,A291,'Futures Data'!$B$5:$B$3471,C291)</f>
        <v>39300</v>
      </c>
      <c r="F291" s="11" t="n">
        <f aca="false">_xlfn.MINIFS('Futures Data'!$B$5:$B$3471,'Futures Data'!$A$5:$A$3471,A291,'Futures Data'!$B$5:$B$3471,"&gt;"&amp;C291)</f>
        <v>45616</v>
      </c>
      <c r="G291" s="3" t="n">
        <f aca="false">SUMIFS('Futures Data'!$E$5:$E$3471,'Futures Data'!$A$5:$A$3471,A291,'Futures Data'!$B$5:$B$3471,F291)</f>
        <v>6465</v>
      </c>
      <c r="H291" s="9" t="b">
        <f aca="false">G291&gt;E291</f>
        <v>0</v>
      </c>
      <c r="I291" s="9" t="b">
        <f aca="false">C291&lt;&gt;B291</f>
        <v>0</v>
      </c>
      <c r="J291" s="3" t="n">
        <f aca="false">SUMIFS('Futures Data'!$C$5:$C$3471,'Futures Data'!$A$5:$A$3471,A291,'Futures Data'!$B$5:$B$3471,B291)</f>
        <v>6652</v>
      </c>
      <c r="K291" s="3" t="n">
        <f aca="false">SUMIFS('Futures Data'!$C$5:$C$3471,'Futures Data'!$A$5:$A$3471,A291,'Futures Data'!$B$5:$B$3471,C291)</f>
        <v>6652</v>
      </c>
      <c r="L291" s="3" t="n">
        <f aca="false">K291-J291</f>
        <v>0</v>
      </c>
      <c r="M291" s="3" t="n">
        <f aca="false">M292+L291</f>
        <v>1355</v>
      </c>
      <c r="N291" s="3" t="n">
        <f aca="false">J291+M291</f>
        <v>8007</v>
      </c>
      <c r="O291" s="13" t="n">
        <f aca="false">LN(J291/K290)</f>
        <v>0.010578910809533</v>
      </c>
      <c r="P291" s="13" t="n">
        <f aca="false">LN(N291/N290)</f>
        <v>0.00878078898175818</v>
      </c>
      <c r="Q291" s="3" t="n">
        <f aca="false">SUMIFS('Futures Data'!$D$5:$D$3471,'Futures Data'!$A$5:$A$3471,A291,'Futures Data'!$B$5:$B$3471,B291)</f>
        <v>13860</v>
      </c>
      <c r="R291" s="7" t="n">
        <v>45583</v>
      </c>
      <c r="S291" s="9" t="b">
        <f aca="false">C291=R291</f>
        <v>1</v>
      </c>
      <c r="T291" s="9" t="b">
        <f aca="false">ABS(O291-LN(J291/SUMIFS('Futures Data'!$C$5:$C$3471,'Futures Data'!$A$5:$A$3471,A290,'Futures Data'!$B$5:$B$3471,B291)))&lt;0.000000001</f>
        <v>1</v>
      </c>
    </row>
    <row r="292" customFormat="false" ht="15" hidden="false" customHeight="false" outlineLevel="0" collapsed="false">
      <c r="A292" s="7" t="n">
        <v>45559</v>
      </c>
      <c r="B292" s="11" t="n">
        <f aca="false">C291</f>
        <v>45583</v>
      </c>
      <c r="C292" s="11" t="n">
        <f aca="false">IF(OR(H291,D292&lt;=$G$4),_xlfn.MINIFS('Futures Data'!$B$5:$B$3471,'Futures Data'!$A$5:$A$3471,A292,'Futures Data'!$B$5:$B$3471,"&gt;"&amp;B292),B292)</f>
        <v>45583</v>
      </c>
      <c r="D292" s="3" t="n">
        <f aca="false">COUNTIFS($A$47:$A$790,"&gt;"&amp;A292,$A$47:$A$790,"&lt;="&amp;B292)+IF(B292&gt;$G$5,NETWORKDAYS($G$5+1,B292),0)</f>
        <v>17</v>
      </c>
      <c r="E292" s="3" t="n">
        <f aca="false">SUMIFS('Futures Data'!$E$5:$E$3471,'Futures Data'!$A$5:$A$3471,A292,'Futures Data'!$B$5:$B$3471,C292)</f>
        <v>37395</v>
      </c>
      <c r="F292" s="11" t="n">
        <f aca="false">_xlfn.MINIFS('Futures Data'!$B$5:$B$3471,'Futures Data'!$A$5:$A$3471,A292,'Futures Data'!$B$5:$B$3471,"&gt;"&amp;C292)</f>
        <v>45616</v>
      </c>
      <c r="G292" s="3" t="n">
        <f aca="false">SUMIFS('Futures Data'!$E$5:$E$3471,'Futures Data'!$A$5:$A$3471,A292,'Futures Data'!$B$5:$B$3471,F292)</f>
        <v>9795</v>
      </c>
      <c r="H292" s="9" t="b">
        <f aca="false">G292&gt;E292</f>
        <v>0</v>
      </c>
      <c r="I292" s="9" t="b">
        <f aca="false">C292&lt;&gt;B292</f>
        <v>0</v>
      </c>
      <c r="J292" s="3" t="n">
        <f aca="false">SUMIFS('Futures Data'!$C$5:$C$3471,'Futures Data'!$A$5:$A$3471,A292,'Futures Data'!$B$5:$B$3471,B292)</f>
        <v>6667</v>
      </c>
      <c r="K292" s="3" t="n">
        <f aca="false">SUMIFS('Futures Data'!$C$5:$C$3471,'Futures Data'!$A$5:$A$3471,A292,'Futures Data'!$B$5:$B$3471,C292)</f>
        <v>6667</v>
      </c>
      <c r="L292" s="3" t="n">
        <f aca="false">K292-J292</f>
        <v>0</v>
      </c>
      <c r="M292" s="3" t="n">
        <f aca="false">M293+L292</f>
        <v>1355</v>
      </c>
      <c r="N292" s="3" t="n">
        <f aca="false">J292+M292</f>
        <v>8022</v>
      </c>
      <c r="O292" s="13" t="n">
        <f aca="false">LN(J292/K291)</f>
        <v>0.00225242230524169</v>
      </c>
      <c r="P292" s="13" t="n">
        <f aca="false">LN(N292/N291)</f>
        <v>0.00187160825736427</v>
      </c>
      <c r="Q292" s="3" t="n">
        <f aca="false">SUMIFS('Futures Data'!$D$5:$D$3471,'Futures Data'!$A$5:$A$3471,A292,'Futures Data'!$B$5:$B$3471,B292)</f>
        <v>10460</v>
      </c>
      <c r="R292" s="7" t="n">
        <v>45583</v>
      </c>
      <c r="S292" s="9" t="b">
        <f aca="false">C292=R292</f>
        <v>1</v>
      </c>
      <c r="T292" s="9" t="b">
        <f aca="false">ABS(O292-LN(J292/SUMIFS('Futures Data'!$C$5:$C$3471,'Futures Data'!$A$5:$A$3471,A291,'Futures Data'!$B$5:$B$3471,B292)))&lt;0.000000001</f>
        <v>1</v>
      </c>
    </row>
    <row r="293" customFormat="false" ht="15" hidden="false" customHeight="false" outlineLevel="0" collapsed="false">
      <c r="A293" s="7" t="n">
        <v>45560</v>
      </c>
      <c r="B293" s="11" t="n">
        <f aca="false">C292</f>
        <v>45583</v>
      </c>
      <c r="C293" s="11" t="n">
        <f aca="false">IF(OR(H292,D293&lt;=$G$4),_xlfn.MINIFS('Futures Data'!$B$5:$B$3471,'Futures Data'!$A$5:$A$3471,A293,'Futures Data'!$B$5:$B$3471,"&gt;"&amp;B293),B293)</f>
        <v>45583</v>
      </c>
      <c r="D293" s="3" t="n">
        <f aca="false">COUNTIFS($A$47:$A$790,"&gt;"&amp;A293,$A$47:$A$790,"&lt;="&amp;B293)+IF(B293&gt;$G$5,NETWORKDAYS($G$5+1,B293),0)</f>
        <v>16</v>
      </c>
      <c r="E293" s="3" t="n">
        <f aca="false">SUMIFS('Futures Data'!$E$5:$E$3471,'Futures Data'!$A$5:$A$3471,A293,'Futures Data'!$B$5:$B$3471,C293)</f>
        <v>32765</v>
      </c>
      <c r="F293" s="11" t="n">
        <f aca="false">_xlfn.MINIFS('Futures Data'!$B$5:$B$3471,'Futures Data'!$A$5:$A$3471,A293,'Futures Data'!$B$5:$B$3471,"&gt;"&amp;C293)</f>
        <v>45616</v>
      </c>
      <c r="G293" s="3" t="n">
        <f aca="false">SUMIFS('Futures Data'!$E$5:$E$3471,'Futures Data'!$A$5:$A$3471,A293,'Futures Data'!$B$5:$B$3471,F293)</f>
        <v>15815</v>
      </c>
      <c r="H293" s="9" t="b">
        <f aca="false">G293&gt;E293</f>
        <v>0</v>
      </c>
      <c r="I293" s="9" t="b">
        <f aca="false">C293&lt;&gt;B293</f>
        <v>0</v>
      </c>
      <c r="J293" s="3" t="n">
        <f aca="false">SUMIFS('Futures Data'!$C$5:$C$3471,'Futures Data'!$A$5:$A$3471,A293,'Futures Data'!$B$5:$B$3471,B293)</f>
        <v>6779</v>
      </c>
      <c r="K293" s="3" t="n">
        <f aca="false">SUMIFS('Futures Data'!$C$5:$C$3471,'Futures Data'!$A$5:$A$3471,A293,'Futures Data'!$B$5:$B$3471,C293)</f>
        <v>6779</v>
      </c>
      <c r="L293" s="3" t="n">
        <f aca="false">K293-J293</f>
        <v>0</v>
      </c>
      <c r="M293" s="3" t="n">
        <f aca="false">M294+L293</f>
        <v>1355</v>
      </c>
      <c r="N293" s="3" t="n">
        <f aca="false">J293+M293</f>
        <v>8134</v>
      </c>
      <c r="O293" s="13" t="n">
        <f aca="false">LN(J293/K292)</f>
        <v>0.0166596148129056</v>
      </c>
      <c r="P293" s="13" t="n">
        <f aca="false">LN(N293/N292)</f>
        <v>0.0138650401371718</v>
      </c>
      <c r="Q293" s="3" t="n">
        <f aca="false">SUMIFS('Futures Data'!$D$5:$D$3471,'Futures Data'!$A$5:$A$3471,A293,'Futures Data'!$B$5:$B$3471,B293)</f>
        <v>16005</v>
      </c>
      <c r="R293" s="7" t="n">
        <v>45583</v>
      </c>
      <c r="S293" s="9" t="b">
        <f aca="false">C293=R293</f>
        <v>1</v>
      </c>
      <c r="T293" s="9" t="b">
        <f aca="false">ABS(O293-LN(J293/SUMIFS('Futures Data'!$C$5:$C$3471,'Futures Data'!$A$5:$A$3471,A292,'Futures Data'!$B$5:$B$3471,B293)))&lt;0.000000001</f>
        <v>1</v>
      </c>
    </row>
    <row r="294" customFormat="false" ht="15" hidden="false" customHeight="false" outlineLevel="0" collapsed="false">
      <c r="A294" s="7" t="n">
        <v>45561</v>
      </c>
      <c r="B294" s="11" t="n">
        <f aca="false">C293</f>
        <v>45583</v>
      </c>
      <c r="C294" s="11" t="n">
        <f aca="false">IF(OR(H293,D294&lt;=$G$4),_xlfn.MINIFS('Futures Data'!$B$5:$B$3471,'Futures Data'!$A$5:$A$3471,A294,'Futures Data'!$B$5:$B$3471,"&gt;"&amp;B294),B294)</f>
        <v>45583</v>
      </c>
      <c r="D294" s="3" t="n">
        <f aca="false">COUNTIFS($A$47:$A$790,"&gt;"&amp;A294,$A$47:$A$790,"&lt;="&amp;B294)+IF(B294&gt;$G$5,NETWORKDAYS($G$5+1,B294),0)</f>
        <v>15</v>
      </c>
      <c r="E294" s="3" t="n">
        <f aca="false">SUMIFS('Futures Data'!$E$5:$E$3471,'Futures Data'!$A$5:$A$3471,A294,'Futures Data'!$B$5:$B$3471,C294)</f>
        <v>32565</v>
      </c>
      <c r="F294" s="11" t="n">
        <f aca="false">_xlfn.MINIFS('Futures Data'!$B$5:$B$3471,'Futures Data'!$A$5:$A$3471,A294,'Futures Data'!$B$5:$B$3471,"&gt;"&amp;C294)</f>
        <v>45616</v>
      </c>
      <c r="G294" s="3" t="n">
        <f aca="false">SUMIFS('Futures Data'!$E$5:$E$3471,'Futures Data'!$A$5:$A$3471,A294,'Futures Data'!$B$5:$B$3471,F294)</f>
        <v>17195</v>
      </c>
      <c r="H294" s="9" t="b">
        <f aca="false">G294&gt;E294</f>
        <v>0</v>
      </c>
      <c r="I294" s="9" t="b">
        <f aca="false">C294&lt;&gt;B294</f>
        <v>0</v>
      </c>
      <c r="J294" s="3" t="n">
        <f aca="false">SUMIFS('Futures Data'!$C$5:$C$3471,'Futures Data'!$A$5:$A$3471,A294,'Futures Data'!$B$5:$B$3471,B294)</f>
        <v>6778</v>
      </c>
      <c r="K294" s="3" t="n">
        <f aca="false">SUMIFS('Futures Data'!$C$5:$C$3471,'Futures Data'!$A$5:$A$3471,A294,'Futures Data'!$B$5:$B$3471,C294)</f>
        <v>6778</v>
      </c>
      <c r="L294" s="3" t="n">
        <f aca="false">K294-J294</f>
        <v>0</v>
      </c>
      <c r="M294" s="3" t="n">
        <f aca="false">M295+L294</f>
        <v>1355</v>
      </c>
      <c r="N294" s="3" t="n">
        <f aca="false">J294+M294</f>
        <v>8133</v>
      </c>
      <c r="O294" s="13" t="n">
        <f aca="false">LN(J294/K293)</f>
        <v>-0.000147525263968917</v>
      </c>
      <c r="P294" s="13" t="n">
        <f aca="false">LN(N294/N293)</f>
        <v>-0.00012294830039468</v>
      </c>
      <c r="Q294" s="3" t="n">
        <f aca="false">SUMIFS('Futures Data'!$D$5:$D$3471,'Futures Data'!$A$5:$A$3471,A294,'Futures Data'!$B$5:$B$3471,B294)</f>
        <v>8275</v>
      </c>
      <c r="R294" s="7" t="n">
        <v>45583</v>
      </c>
      <c r="S294" s="9" t="b">
        <f aca="false">C294=R294</f>
        <v>1</v>
      </c>
      <c r="T294" s="9" t="b">
        <f aca="false">ABS(O294-LN(J294/SUMIFS('Futures Data'!$C$5:$C$3471,'Futures Data'!$A$5:$A$3471,A293,'Futures Data'!$B$5:$B$3471,B294)))&lt;0.000000001</f>
        <v>1</v>
      </c>
    </row>
    <row r="295" customFormat="false" ht="15" hidden="false" customHeight="false" outlineLevel="0" collapsed="false">
      <c r="A295" s="7" t="n">
        <v>45562</v>
      </c>
      <c r="B295" s="11" t="n">
        <f aca="false">C294</f>
        <v>45583</v>
      </c>
      <c r="C295" s="11" t="n">
        <f aca="false">IF(OR(H294,D295&lt;=$G$4),_xlfn.MINIFS('Futures Data'!$B$5:$B$3471,'Futures Data'!$A$5:$A$3471,A295,'Futures Data'!$B$5:$B$3471,"&gt;"&amp;B295),B295)</f>
        <v>45583</v>
      </c>
      <c r="D295" s="3" t="n">
        <f aca="false">COUNTIFS($A$47:$A$790,"&gt;"&amp;A295,$A$47:$A$790,"&lt;="&amp;B295)+IF(B295&gt;$G$5,NETWORKDAYS($G$5+1,B295),0)</f>
        <v>14</v>
      </c>
      <c r="E295" s="3" t="n">
        <f aca="false">SUMIFS('Futures Data'!$E$5:$E$3471,'Futures Data'!$A$5:$A$3471,A295,'Futures Data'!$B$5:$B$3471,C295)</f>
        <v>28705</v>
      </c>
      <c r="F295" s="11" t="n">
        <f aca="false">_xlfn.MINIFS('Futures Data'!$B$5:$B$3471,'Futures Data'!$A$5:$A$3471,A295,'Futures Data'!$B$5:$B$3471,"&gt;"&amp;C295)</f>
        <v>45616</v>
      </c>
      <c r="G295" s="3" t="n">
        <f aca="false">SUMIFS('Futures Data'!$E$5:$E$3471,'Futures Data'!$A$5:$A$3471,A295,'Futures Data'!$B$5:$B$3471,F295)</f>
        <v>19490</v>
      </c>
      <c r="H295" s="9" t="b">
        <f aca="false">G295&gt;E295</f>
        <v>0</v>
      </c>
      <c r="I295" s="9" t="b">
        <f aca="false">C295&lt;&gt;B295</f>
        <v>0</v>
      </c>
      <c r="J295" s="3" t="n">
        <f aca="false">SUMIFS('Futures Data'!$C$5:$C$3471,'Futures Data'!$A$5:$A$3471,A295,'Futures Data'!$B$5:$B$3471,B295)</f>
        <v>6853</v>
      </c>
      <c r="K295" s="3" t="n">
        <f aca="false">SUMIFS('Futures Data'!$C$5:$C$3471,'Futures Data'!$A$5:$A$3471,A295,'Futures Data'!$B$5:$B$3471,C295)</f>
        <v>6853</v>
      </c>
      <c r="L295" s="3" t="n">
        <f aca="false">K295-J295</f>
        <v>0</v>
      </c>
      <c r="M295" s="3" t="n">
        <f aca="false">M296+L295</f>
        <v>1355</v>
      </c>
      <c r="N295" s="3" t="n">
        <f aca="false">J295+M295</f>
        <v>8208</v>
      </c>
      <c r="O295" s="13" t="n">
        <f aca="false">LN(J295/K294)</f>
        <v>0.0110044394188271</v>
      </c>
      <c r="P295" s="13" t="n">
        <f aca="false">LN(N295/N294)</f>
        <v>0.00917942924377566</v>
      </c>
      <c r="Q295" s="3" t="n">
        <f aca="false">SUMIFS('Futures Data'!$D$5:$D$3471,'Futures Data'!$A$5:$A$3471,A295,'Futures Data'!$B$5:$B$3471,B295)</f>
        <v>13540</v>
      </c>
      <c r="R295" s="7" t="n">
        <v>45583</v>
      </c>
      <c r="S295" s="9" t="b">
        <f aca="false">C295=R295</f>
        <v>1</v>
      </c>
      <c r="T295" s="9" t="b">
        <f aca="false">ABS(O295-LN(J295/SUMIFS('Futures Data'!$C$5:$C$3471,'Futures Data'!$A$5:$A$3471,A294,'Futures Data'!$B$5:$B$3471,B295)))&lt;0.000000001</f>
        <v>1</v>
      </c>
    </row>
    <row r="296" customFormat="false" ht="15" hidden="false" customHeight="false" outlineLevel="0" collapsed="false">
      <c r="A296" s="7" t="n">
        <v>45565</v>
      </c>
      <c r="B296" s="11" t="n">
        <f aca="false">C295</f>
        <v>45583</v>
      </c>
      <c r="C296" s="11" t="n">
        <f aca="false">IF(OR(H295,D296&lt;=$G$4),_xlfn.MINIFS('Futures Data'!$B$5:$B$3471,'Futures Data'!$A$5:$A$3471,A296,'Futures Data'!$B$5:$B$3471,"&gt;"&amp;B296),B296)</f>
        <v>45583</v>
      </c>
      <c r="D296" s="3" t="n">
        <f aca="false">COUNTIFS($A$47:$A$790,"&gt;"&amp;A296,$A$47:$A$790,"&lt;="&amp;B296)+IF(B296&gt;$G$5,NETWORKDAYS($G$5+1,B296),0)</f>
        <v>13</v>
      </c>
      <c r="E296" s="3" t="n">
        <f aca="false">SUMIFS('Futures Data'!$E$5:$E$3471,'Futures Data'!$A$5:$A$3471,A296,'Futures Data'!$B$5:$B$3471,C296)</f>
        <v>26200</v>
      </c>
      <c r="F296" s="11" t="n">
        <f aca="false">_xlfn.MINIFS('Futures Data'!$B$5:$B$3471,'Futures Data'!$A$5:$A$3471,A296,'Futures Data'!$B$5:$B$3471,"&gt;"&amp;C296)</f>
        <v>45616</v>
      </c>
      <c r="G296" s="3" t="n">
        <f aca="false">SUMIFS('Futures Data'!$E$5:$E$3471,'Futures Data'!$A$5:$A$3471,A296,'Futures Data'!$B$5:$B$3471,F296)</f>
        <v>21500</v>
      </c>
      <c r="H296" s="9" t="b">
        <f aca="false">G296&gt;E296</f>
        <v>0</v>
      </c>
      <c r="I296" s="9" t="b">
        <f aca="false">C296&lt;&gt;B296</f>
        <v>0</v>
      </c>
      <c r="J296" s="3" t="n">
        <f aca="false">SUMIFS('Futures Data'!$C$5:$C$3471,'Futures Data'!$A$5:$A$3471,A296,'Futures Data'!$B$5:$B$3471,B296)</f>
        <v>6927</v>
      </c>
      <c r="K296" s="3" t="n">
        <f aca="false">SUMIFS('Futures Data'!$C$5:$C$3471,'Futures Data'!$A$5:$A$3471,A296,'Futures Data'!$B$5:$B$3471,C296)</f>
        <v>6927</v>
      </c>
      <c r="L296" s="3" t="n">
        <f aca="false">K296-J296</f>
        <v>0</v>
      </c>
      <c r="M296" s="3" t="n">
        <f aca="false">M297+L296</f>
        <v>1355</v>
      </c>
      <c r="N296" s="3" t="n">
        <f aca="false">J296+M296</f>
        <v>8282</v>
      </c>
      <c r="O296" s="13" t="n">
        <f aca="false">LN(J296/K295)</f>
        <v>0.0107403064367814</v>
      </c>
      <c r="P296" s="13" t="n">
        <f aca="false">LN(N296/N295)</f>
        <v>0.00897519669496183</v>
      </c>
      <c r="Q296" s="3" t="n">
        <f aca="false">SUMIFS('Futures Data'!$D$5:$D$3471,'Futures Data'!$A$5:$A$3471,A296,'Futures Data'!$B$5:$B$3471,B296)</f>
        <v>15475</v>
      </c>
      <c r="R296" s="7" t="n">
        <v>45583</v>
      </c>
      <c r="S296" s="9" t="b">
        <f aca="false">C296=R296</f>
        <v>1</v>
      </c>
      <c r="T296" s="9" t="b">
        <f aca="false">ABS(O296-LN(J296/SUMIFS('Futures Data'!$C$5:$C$3471,'Futures Data'!$A$5:$A$3471,A295,'Futures Data'!$B$5:$B$3471,B296)))&lt;0.000000001</f>
        <v>1</v>
      </c>
    </row>
    <row r="297" customFormat="false" ht="15" hidden="false" customHeight="false" outlineLevel="0" collapsed="false">
      <c r="A297" s="7" t="n">
        <v>45566</v>
      </c>
      <c r="B297" s="11" t="n">
        <f aca="false">C296</f>
        <v>45583</v>
      </c>
      <c r="C297" s="11" t="n">
        <f aca="false">IF(OR(H296,D297&lt;=$G$4),_xlfn.MINIFS('Futures Data'!$B$5:$B$3471,'Futures Data'!$A$5:$A$3471,A297,'Futures Data'!$B$5:$B$3471,"&gt;"&amp;B297),B297)</f>
        <v>45583</v>
      </c>
      <c r="D297" s="3" t="n">
        <f aca="false">COUNTIFS($A$47:$A$790,"&gt;"&amp;A297,$A$47:$A$790,"&lt;="&amp;B297)+IF(B297&gt;$G$5,NETWORKDAYS($G$5+1,B297),0)</f>
        <v>12</v>
      </c>
      <c r="E297" s="3" t="n">
        <f aca="false">SUMIFS('Futures Data'!$E$5:$E$3471,'Futures Data'!$A$5:$A$3471,A297,'Futures Data'!$B$5:$B$3471,C297)</f>
        <v>25095</v>
      </c>
      <c r="F297" s="11" t="n">
        <f aca="false">_xlfn.MINIFS('Futures Data'!$B$5:$B$3471,'Futures Data'!$A$5:$A$3471,A297,'Futures Data'!$B$5:$B$3471,"&gt;"&amp;C297)</f>
        <v>45616</v>
      </c>
      <c r="G297" s="3" t="n">
        <f aca="false">SUMIFS('Futures Data'!$E$5:$E$3471,'Futures Data'!$A$5:$A$3471,A297,'Futures Data'!$B$5:$B$3471,F297)</f>
        <v>23425</v>
      </c>
      <c r="H297" s="9" t="b">
        <f aca="false">G297&gt;E297</f>
        <v>0</v>
      </c>
      <c r="I297" s="9" t="b">
        <f aca="false">C297&lt;&gt;B297</f>
        <v>0</v>
      </c>
      <c r="J297" s="3" t="n">
        <f aca="false">SUMIFS('Futures Data'!$C$5:$C$3471,'Futures Data'!$A$5:$A$3471,A297,'Futures Data'!$B$5:$B$3471,B297)</f>
        <v>6910</v>
      </c>
      <c r="K297" s="3" t="n">
        <f aca="false">SUMIFS('Futures Data'!$C$5:$C$3471,'Futures Data'!$A$5:$A$3471,A297,'Futures Data'!$B$5:$B$3471,C297)</f>
        <v>6910</v>
      </c>
      <c r="L297" s="3" t="n">
        <f aca="false">K297-J297</f>
        <v>0</v>
      </c>
      <c r="M297" s="3" t="n">
        <f aca="false">M298+L297</f>
        <v>1355</v>
      </c>
      <c r="N297" s="3" t="n">
        <f aca="false">J297+M297</f>
        <v>8265</v>
      </c>
      <c r="O297" s="13" t="n">
        <f aca="false">LN(J297/K296)</f>
        <v>-0.00245718126088947</v>
      </c>
      <c r="P297" s="13" t="n">
        <f aca="false">LN(N297/N296)</f>
        <v>-0.00205475385038801</v>
      </c>
      <c r="Q297" s="3" t="n">
        <f aca="false">SUMIFS('Futures Data'!$D$5:$D$3471,'Futures Data'!$A$5:$A$3471,A297,'Futures Data'!$B$5:$B$3471,B297)</f>
        <v>19520</v>
      </c>
      <c r="R297" s="7" t="n">
        <v>45583</v>
      </c>
      <c r="S297" s="9" t="b">
        <f aca="false">C297=R297</f>
        <v>1</v>
      </c>
      <c r="T297" s="9" t="b">
        <f aca="false">ABS(O297-LN(J297/SUMIFS('Futures Data'!$C$5:$C$3471,'Futures Data'!$A$5:$A$3471,A296,'Futures Data'!$B$5:$B$3471,B297)))&lt;0.000000001</f>
        <v>1</v>
      </c>
    </row>
    <row r="298" customFormat="false" ht="15" hidden="false" customHeight="false" outlineLevel="0" collapsed="false">
      <c r="A298" s="7" t="n">
        <v>45568</v>
      </c>
      <c r="B298" s="11" t="n">
        <f aca="false">C297</f>
        <v>45583</v>
      </c>
      <c r="C298" s="11" t="n">
        <f aca="false">IF(OR(H297,D298&lt;=$G$4),_xlfn.MINIFS('Futures Data'!$B$5:$B$3471,'Futures Data'!$A$5:$A$3471,A298,'Futures Data'!$B$5:$B$3471,"&gt;"&amp;B298),B298)</f>
        <v>45583</v>
      </c>
      <c r="D298" s="3" t="n">
        <f aca="false">COUNTIFS($A$47:$A$790,"&gt;"&amp;A298,$A$47:$A$790,"&lt;="&amp;B298)+IF(B298&gt;$G$5,NETWORKDAYS($G$5+1,B298),0)</f>
        <v>11</v>
      </c>
      <c r="E298" s="3" t="n">
        <f aca="false">SUMIFS('Futures Data'!$E$5:$E$3471,'Futures Data'!$A$5:$A$3471,A298,'Futures Data'!$B$5:$B$3471,C298)</f>
        <v>22525</v>
      </c>
      <c r="F298" s="11" t="n">
        <f aca="false">_xlfn.MINIFS('Futures Data'!$B$5:$B$3471,'Futures Data'!$A$5:$A$3471,A298,'Futures Data'!$B$5:$B$3471,"&gt;"&amp;C298)</f>
        <v>45616</v>
      </c>
      <c r="G298" s="3" t="n">
        <f aca="false">SUMIFS('Futures Data'!$E$5:$E$3471,'Futures Data'!$A$5:$A$3471,A298,'Futures Data'!$B$5:$B$3471,F298)</f>
        <v>28215</v>
      </c>
      <c r="H298" s="9" t="b">
        <f aca="false">G298&gt;E298</f>
        <v>1</v>
      </c>
      <c r="I298" s="9" t="b">
        <f aca="false">C298&lt;&gt;B298</f>
        <v>0</v>
      </c>
      <c r="J298" s="3" t="n">
        <f aca="false">SUMIFS('Futures Data'!$C$5:$C$3471,'Futures Data'!$A$5:$A$3471,A298,'Futures Data'!$B$5:$B$3471,B298)</f>
        <v>6891</v>
      </c>
      <c r="K298" s="3" t="n">
        <f aca="false">SUMIFS('Futures Data'!$C$5:$C$3471,'Futures Data'!$A$5:$A$3471,A298,'Futures Data'!$B$5:$B$3471,C298)</f>
        <v>6891</v>
      </c>
      <c r="L298" s="3" t="n">
        <f aca="false">K298-J298</f>
        <v>0</v>
      </c>
      <c r="M298" s="3" t="n">
        <f aca="false">M299+L298</f>
        <v>1355</v>
      </c>
      <c r="N298" s="3" t="n">
        <f aca="false">J298+M298</f>
        <v>8246</v>
      </c>
      <c r="O298" s="13" t="n">
        <f aca="false">LN(J298/K297)</f>
        <v>-0.00275342540450759</v>
      </c>
      <c r="P298" s="13" t="n">
        <f aca="false">LN(N298/N297)</f>
        <v>-0.00230149698827927</v>
      </c>
      <c r="Q298" s="3" t="n">
        <f aca="false">SUMIFS('Futures Data'!$D$5:$D$3471,'Futures Data'!$A$5:$A$3471,A298,'Futures Data'!$B$5:$B$3471,B298)</f>
        <v>13470</v>
      </c>
      <c r="R298" s="7" t="n">
        <v>45583</v>
      </c>
      <c r="S298" s="9" t="b">
        <f aca="false">C298=R298</f>
        <v>1</v>
      </c>
      <c r="T298" s="9" t="b">
        <f aca="false">ABS(O298-LN(J298/SUMIFS('Futures Data'!$C$5:$C$3471,'Futures Data'!$A$5:$A$3471,A297,'Futures Data'!$B$5:$B$3471,B298)))&lt;0.000000001</f>
        <v>1</v>
      </c>
    </row>
    <row r="299" customFormat="false" ht="15" hidden="false" customHeight="false" outlineLevel="0" collapsed="false">
      <c r="A299" s="7" t="n">
        <v>45569</v>
      </c>
      <c r="B299" s="11" t="n">
        <f aca="false">C298</f>
        <v>45583</v>
      </c>
      <c r="C299" s="11" t="n">
        <f aca="false">IF(OR(H298,D299&lt;=$G$4),_xlfn.MINIFS('Futures Data'!$B$5:$B$3471,'Futures Data'!$A$5:$A$3471,A299,'Futures Data'!$B$5:$B$3471,"&gt;"&amp;B299),B299)</f>
        <v>45616</v>
      </c>
      <c r="D299" s="3" t="n">
        <f aca="false">COUNTIFS($A$47:$A$790,"&gt;"&amp;A299,$A$47:$A$790,"&lt;="&amp;B299)+IF(B299&gt;$G$5,NETWORKDAYS($G$5+1,B299),0)</f>
        <v>10</v>
      </c>
      <c r="E299" s="3" t="n">
        <f aca="false">SUMIFS('Futures Data'!$E$5:$E$3471,'Futures Data'!$A$5:$A$3471,A299,'Futures Data'!$B$5:$B$3471,C299)</f>
        <v>29315</v>
      </c>
      <c r="F299" s="11" t="n">
        <f aca="false">_xlfn.MINIFS('Futures Data'!$B$5:$B$3471,'Futures Data'!$A$5:$A$3471,A299,'Futures Data'!$B$5:$B$3471,"&gt;"&amp;C299)</f>
        <v>45646</v>
      </c>
      <c r="G299" s="3" t="n">
        <f aca="false">SUMIFS('Futures Data'!$E$5:$E$3471,'Futures Data'!$A$5:$A$3471,A299,'Futures Data'!$B$5:$B$3471,F299)</f>
        <v>2330</v>
      </c>
      <c r="H299" s="9" t="b">
        <f aca="false">G299&gt;E299</f>
        <v>0</v>
      </c>
      <c r="I299" s="9" t="b">
        <f aca="false">C299&lt;&gt;B299</f>
        <v>1</v>
      </c>
      <c r="J299" s="3" t="n">
        <f aca="false">SUMIFS('Futures Data'!$C$5:$C$3471,'Futures Data'!$A$5:$A$3471,A299,'Futures Data'!$B$5:$B$3471,B299)</f>
        <v>6819</v>
      </c>
      <c r="K299" s="3" t="n">
        <f aca="false">SUMIFS('Futures Data'!$C$5:$C$3471,'Futures Data'!$A$5:$A$3471,A299,'Futures Data'!$B$5:$B$3471,C299)</f>
        <v>6889</v>
      </c>
      <c r="L299" s="3" t="n">
        <f aca="false">K299-J299</f>
        <v>70</v>
      </c>
      <c r="M299" s="3" t="n">
        <f aca="false">M300+L299</f>
        <v>1355</v>
      </c>
      <c r="N299" s="3" t="n">
        <f aca="false">J299+M299</f>
        <v>8174</v>
      </c>
      <c r="O299" s="13" t="n">
        <f aca="false">LN(J299/K298)</f>
        <v>-0.010503378836555</v>
      </c>
      <c r="P299" s="13" t="n">
        <f aca="false">LN(N299/N298)</f>
        <v>-0.00876984914262271</v>
      </c>
      <c r="Q299" s="3" t="n">
        <f aca="false">SUMIFS('Futures Data'!$D$5:$D$3471,'Futures Data'!$A$5:$A$3471,A299,'Futures Data'!$B$5:$B$3471,B299)</f>
        <v>14315</v>
      </c>
      <c r="R299" s="7" t="n">
        <v>45616</v>
      </c>
      <c r="S299" s="9" t="b">
        <f aca="false">C299=R299</f>
        <v>1</v>
      </c>
      <c r="T299" s="9" t="b">
        <f aca="false">ABS(O299-LN(J299/SUMIFS('Futures Data'!$C$5:$C$3471,'Futures Data'!$A$5:$A$3471,A298,'Futures Data'!$B$5:$B$3471,B299)))&lt;0.000000001</f>
        <v>1</v>
      </c>
    </row>
    <row r="300" customFormat="false" ht="15" hidden="false" customHeight="false" outlineLevel="0" collapsed="false">
      <c r="A300" s="7" t="n">
        <v>45572</v>
      </c>
      <c r="B300" s="11" t="n">
        <f aca="false">C299</f>
        <v>45616</v>
      </c>
      <c r="C300" s="11" t="n">
        <f aca="false">IF(OR(H299,D300&lt;=$G$4),_xlfn.MINIFS('Futures Data'!$B$5:$B$3471,'Futures Data'!$A$5:$A$3471,A300,'Futures Data'!$B$5:$B$3471,"&gt;"&amp;B300),B300)</f>
        <v>45616</v>
      </c>
      <c r="D300" s="3" t="n">
        <f aca="false">COUNTIFS($A$47:$A$790,"&gt;"&amp;A300,$A$47:$A$790,"&lt;="&amp;B300)+IF(B300&gt;$G$5,NETWORKDAYS($G$5+1,B300),0)</f>
        <v>30</v>
      </c>
      <c r="E300" s="3" t="n">
        <f aca="false">SUMIFS('Futures Data'!$E$5:$E$3471,'Futures Data'!$A$5:$A$3471,A300,'Futures Data'!$B$5:$B$3471,C300)</f>
        <v>34110</v>
      </c>
      <c r="F300" s="11" t="n">
        <f aca="false">_xlfn.MINIFS('Futures Data'!$B$5:$B$3471,'Futures Data'!$A$5:$A$3471,A300,'Futures Data'!$B$5:$B$3471,"&gt;"&amp;C300)</f>
        <v>45646</v>
      </c>
      <c r="G300" s="3" t="n">
        <f aca="false">SUMIFS('Futures Data'!$E$5:$E$3471,'Futures Data'!$A$5:$A$3471,A300,'Futures Data'!$B$5:$B$3471,F300)</f>
        <v>2895</v>
      </c>
      <c r="H300" s="9" t="b">
        <f aca="false">G300&gt;E300</f>
        <v>0</v>
      </c>
      <c r="I300" s="9" t="b">
        <f aca="false">C300&lt;&gt;B300</f>
        <v>0</v>
      </c>
      <c r="J300" s="3" t="n">
        <f aca="false">SUMIFS('Futures Data'!$C$5:$C$3471,'Futures Data'!$A$5:$A$3471,A300,'Futures Data'!$B$5:$B$3471,B300)</f>
        <v>6835</v>
      </c>
      <c r="K300" s="3" t="n">
        <f aca="false">SUMIFS('Futures Data'!$C$5:$C$3471,'Futures Data'!$A$5:$A$3471,A300,'Futures Data'!$B$5:$B$3471,C300)</f>
        <v>6835</v>
      </c>
      <c r="L300" s="3" t="n">
        <f aca="false">K300-J300</f>
        <v>0</v>
      </c>
      <c r="M300" s="3" t="n">
        <f aca="false">M301+L300</f>
        <v>1285</v>
      </c>
      <c r="N300" s="3" t="n">
        <f aca="false">J300+M300</f>
        <v>8120</v>
      </c>
      <c r="O300" s="13" t="n">
        <f aca="false">LN(J300/K299)</f>
        <v>-0.0078694664351459</v>
      </c>
      <c r="P300" s="13" t="n">
        <f aca="false">LN(N300/N299)</f>
        <v>-0.00662823096849898</v>
      </c>
      <c r="Q300" s="3" t="n">
        <f aca="false">SUMIFS('Futures Data'!$D$5:$D$3471,'Futures Data'!$A$5:$A$3471,A300,'Futures Data'!$B$5:$B$3471,B300)</f>
        <v>15045</v>
      </c>
      <c r="R300" s="7" t="n">
        <v>45616</v>
      </c>
      <c r="S300" s="9" t="b">
        <f aca="false">C300=R300</f>
        <v>1</v>
      </c>
      <c r="T300" s="9" t="b">
        <f aca="false">ABS(O300-LN(J300/SUMIFS('Futures Data'!$C$5:$C$3471,'Futures Data'!$A$5:$A$3471,A299,'Futures Data'!$B$5:$B$3471,B300)))&lt;0.000000001</f>
        <v>1</v>
      </c>
    </row>
    <row r="301" customFormat="false" ht="15" hidden="false" customHeight="false" outlineLevel="0" collapsed="false">
      <c r="A301" s="7" t="n">
        <v>45573</v>
      </c>
      <c r="B301" s="11" t="n">
        <f aca="false">C300</f>
        <v>45616</v>
      </c>
      <c r="C301" s="11" t="n">
        <f aca="false">IF(OR(H300,D301&lt;=$G$4),_xlfn.MINIFS('Futures Data'!$B$5:$B$3471,'Futures Data'!$A$5:$A$3471,A301,'Futures Data'!$B$5:$B$3471,"&gt;"&amp;B301),B301)</f>
        <v>45616</v>
      </c>
      <c r="D301" s="3" t="n">
        <f aca="false">COUNTIFS($A$47:$A$790,"&gt;"&amp;A301,$A$47:$A$790,"&lt;="&amp;B301)+IF(B301&gt;$G$5,NETWORKDAYS($G$5+1,B301),0)</f>
        <v>29</v>
      </c>
      <c r="E301" s="3" t="n">
        <f aca="false">SUMIFS('Futures Data'!$E$5:$E$3471,'Futures Data'!$A$5:$A$3471,A301,'Futures Data'!$B$5:$B$3471,C301)</f>
        <v>36725</v>
      </c>
      <c r="F301" s="11" t="n">
        <f aca="false">_xlfn.MINIFS('Futures Data'!$B$5:$B$3471,'Futures Data'!$A$5:$A$3471,A301,'Futures Data'!$B$5:$B$3471,"&gt;"&amp;C301)</f>
        <v>45646</v>
      </c>
      <c r="G301" s="3" t="n">
        <f aca="false">SUMIFS('Futures Data'!$E$5:$E$3471,'Futures Data'!$A$5:$A$3471,A301,'Futures Data'!$B$5:$B$3471,F301)</f>
        <v>3310</v>
      </c>
      <c r="H301" s="9" t="b">
        <f aca="false">G301&gt;E301</f>
        <v>0</v>
      </c>
      <c r="I301" s="9" t="b">
        <f aca="false">C301&lt;&gt;B301</f>
        <v>0</v>
      </c>
      <c r="J301" s="3" t="n">
        <f aca="false">SUMIFS('Futures Data'!$C$5:$C$3471,'Futures Data'!$A$5:$A$3471,A301,'Futures Data'!$B$5:$B$3471,B301)</f>
        <v>6870</v>
      </c>
      <c r="K301" s="3" t="n">
        <f aca="false">SUMIFS('Futures Data'!$C$5:$C$3471,'Futures Data'!$A$5:$A$3471,A301,'Futures Data'!$B$5:$B$3471,C301)</f>
        <v>6870</v>
      </c>
      <c r="L301" s="3" t="n">
        <f aca="false">K301-J301</f>
        <v>0</v>
      </c>
      <c r="M301" s="3" t="n">
        <f aca="false">M302+L301</f>
        <v>1285</v>
      </c>
      <c r="N301" s="3" t="n">
        <f aca="false">J301+M301</f>
        <v>8155</v>
      </c>
      <c r="O301" s="13" t="n">
        <f aca="false">LN(J301/K300)</f>
        <v>0.00510763605834504</v>
      </c>
      <c r="P301" s="13" t="n">
        <f aca="false">LN(N301/N300)</f>
        <v>0.0043010818993907</v>
      </c>
      <c r="Q301" s="3" t="n">
        <f aca="false">SUMIFS('Futures Data'!$D$5:$D$3471,'Futures Data'!$A$5:$A$3471,A301,'Futures Data'!$B$5:$B$3471,B301)</f>
        <v>9965</v>
      </c>
      <c r="R301" s="7" t="n">
        <v>45616</v>
      </c>
      <c r="S301" s="9" t="b">
        <f aca="false">C301=R301</f>
        <v>1</v>
      </c>
      <c r="T301" s="9" t="b">
        <f aca="false">ABS(O301-LN(J301/SUMIFS('Futures Data'!$C$5:$C$3471,'Futures Data'!$A$5:$A$3471,A300,'Futures Data'!$B$5:$B$3471,B301)))&lt;0.000000001</f>
        <v>1</v>
      </c>
    </row>
    <row r="302" customFormat="false" ht="15" hidden="false" customHeight="false" outlineLevel="0" collapsed="false">
      <c r="A302" s="7" t="n">
        <v>45574</v>
      </c>
      <c r="B302" s="11" t="n">
        <f aca="false">C301</f>
        <v>45616</v>
      </c>
      <c r="C302" s="11" t="n">
        <f aca="false">IF(OR(H301,D302&lt;=$G$4),_xlfn.MINIFS('Futures Data'!$B$5:$B$3471,'Futures Data'!$A$5:$A$3471,A302,'Futures Data'!$B$5:$B$3471,"&gt;"&amp;B302),B302)</f>
        <v>45616</v>
      </c>
      <c r="D302" s="3" t="n">
        <f aca="false">COUNTIFS($A$47:$A$790,"&gt;"&amp;A302,$A$47:$A$790,"&lt;="&amp;B302)+IF(B302&gt;$G$5,NETWORKDAYS($G$5+1,B302),0)</f>
        <v>28</v>
      </c>
      <c r="E302" s="3" t="n">
        <f aca="false">SUMIFS('Futures Data'!$E$5:$E$3471,'Futures Data'!$A$5:$A$3471,A302,'Futures Data'!$B$5:$B$3471,C302)</f>
        <v>38225</v>
      </c>
      <c r="F302" s="11" t="n">
        <f aca="false">_xlfn.MINIFS('Futures Data'!$B$5:$B$3471,'Futures Data'!$A$5:$A$3471,A302,'Futures Data'!$B$5:$B$3471,"&gt;"&amp;C302)</f>
        <v>45646</v>
      </c>
      <c r="G302" s="3" t="n">
        <f aca="false">SUMIFS('Futures Data'!$E$5:$E$3471,'Futures Data'!$A$5:$A$3471,A302,'Futures Data'!$B$5:$B$3471,F302)</f>
        <v>3460</v>
      </c>
      <c r="H302" s="9" t="b">
        <f aca="false">G302&gt;E302</f>
        <v>0</v>
      </c>
      <c r="I302" s="9" t="b">
        <f aca="false">C302&lt;&gt;B302</f>
        <v>0</v>
      </c>
      <c r="J302" s="3" t="n">
        <f aca="false">SUMIFS('Futures Data'!$C$5:$C$3471,'Futures Data'!$A$5:$A$3471,A302,'Futures Data'!$B$5:$B$3471,B302)</f>
        <v>6908</v>
      </c>
      <c r="K302" s="3" t="n">
        <f aca="false">SUMIFS('Futures Data'!$C$5:$C$3471,'Futures Data'!$A$5:$A$3471,A302,'Futures Data'!$B$5:$B$3471,C302)</f>
        <v>6908</v>
      </c>
      <c r="L302" s="3" t="n">
        <f aca="false">K302-J302</f>
        <v>0</v>
      </c>
      <c r="M302" s="3" t="n">
        <f aca="false">M303+L302</f>
        <v>1285</v>
      </c>
      <c r="N302" s="3" t="n">
        <f aca="false">J302+M302</f>
        <v>8193</v>
      </c>
      <c r="O302" s="13" t="n">
        <f aca="false">LN(J302/K301)</f>
        <v>0.00551605405017426</v>
      </c>
      <c r="P302" s="13" t="n">
        <f aca="false">LN(N302/N301)</f>
        <v>0.00464889508670044</v>
      </c>
      <c r="Q302" s="3" t="n">
        <f aca="false">SUMIFS('Futures Data'!$D$5:$D$3471,'Futures Data'!$A$5:$A$3471,A302,'Futures Data'!$B$5:$B$3471,B302)</f>
        <v>9445</v>
      </c>
      <c r="R302" s="7" t="n">
        <v>45616</v>
      </c>
      <c r="S302" s="9" t="b">
        <f aca="false">C302=R302</f>
        <v>1</v>
      </c>
      <c r="T302" s="9" t="b">
        <f aca="false">ABS(O302-LN(J302/SUMIFS('Futures Data'!$C$5:$C$3471,'Futures Data'!$A$5:$A$3471,A301,'Futures Data'!$B$5:$B$3471,B302)))&lt;0.000000001</f>
        <v>1</v>
      </c>
    </row>
    <row r="303" customFormat="false" ht="15" hidden="false" customHeight="false" outlineLevel="0" collapsed="false">
      <c r="A303" s="7" t="n">
        <v>45575</v>
      </c>
      <c r="B303" s="11" t="n">
        <f aca="false">C302</f>
        <v>45616</v>
      </c>
      <c r="C303" s="11" t="n">
        <f aca="false">IF(OR(H302,D303&lt;=$G$4),_xlfn.MINIFS('Futures Data'!$B$5:$B$3471,'Futures Data'!$A$5:$A$3471,A303,'Futures Data'!$B$5:$B$3471,"&gt;"&amp;B303),B303)</f>
        <v>45616</v>
      </c>
      <c r="D303" s="3" t="n">
        <f aca="false">COUNTIFS($A$47:$A$790,"&gt;"&amp;A303,$A$47:$A$790,"&lt;="&amp;B303)+IF(B303&gt;$G$5,NETWORKDAYS($G$5+1,B303),0)</f>
        <v>27</v>
      </c>
      <c r="E303" s="3" t="n">
        <f aca="false">SUMIFS('Futures Data'!$E$5:$E$3471,'Futures Data'!$A$5:$A$3471,A303,'Futures Data'!$B$5:$B$3471,C303)</f>
        <v>39690</v>
      </c>
      <c r="F303" s="11" t="n">
        <f aca="false">_xlfn.MINIFS('Futures Data'!$B$5:$B$3471,'Futures Data'!$A$5:$A$3471,A303,'Futures Data'!$B$5:$B$3471,"&gt;"&amp;C303)</f>
        <v>45646</v>
      </c>
      <c r="G303" s="3" t="n">
        <f aca="false">SUMIFS('Futures Data'!$E$5:$E$3471,'Futures Data'!$A$5:$A$3471,A303,'Futures Data'!$B$5:$B$3471,F303)</f>
        <v>3460</v>
      </c>
      <c r="H303" s="9" t="b">
        <f aca="false">G303&gt;E303</f>
        <v>0</v>
      </c>
      <c r="I303" s="9" t="b">
        <f aca="false">C303&lt;&gt;B303</f>
        <v>0</v>
      </c>
      <c r="J303" s="3" t="n">
        <f aca="false">SUMIFS('Futures Data'!$C$5:$C$3471,'Futures Data'!$A$5:$A$3471,A303,'Futures Data'!$B$5:$B$3471,B303)</f>
        <v>6862</v>
      </c>
      <c r="K303" s="3" t="n">
        <f aca="false">SUMIFS('Futures Data'!$C$5:$C$3471,'Futures Data'!$A$5:$A$3471,A303,'Futures Data'!$B$5:$B$3471,C303)</f>
        <v>6862</v>
      </c>
      <c r="L303" s="3" t="n">
        <f aca="false">K303-J303</f>
        <v>0</v>
      </c>
      <c r="M303" s="3" t="n">
        <f aca="false">M304+L303</f>
        <v>1285</v>
      </c>
      <c r="N303" s="3" t="n">
        <f aca="false">J303+M303</f>
        <v>8147</v>
      </c>
      <c r="O303" s="13" t="n">
        <f aca="false">LN(J303/K302)</f>
        <v>-0.00668121584817418</v>
      </c>
      <c r="P303" s="13" t="n">
        <f aca="false">LN(N303/N302)</f>
        <v>-0.00563036983117292</v>
      </c>
      <c r="Q303" s="3" t="n">
        <f aca="false">SUMIFS('Futures Data'!$D$5:$D$3471,'Futures Data'!$A$5:$A$3471,A303,'Futures Data'!$B$5:$B$3471,B303)</f>
        <v>5865</v>
      </c>
      <c r="R303" s="7" t="n">
        <v>45616</v>
      </c>
      <c r="S303" s="9" t="b">
        <f aca="false">C303=R303</f>
        <v>1</v>
      </c>
      <c r="T303" s="9" t="b">
        <f aca="false">ABS(O303-LN(J303/SUMIFS('Futures Data'!$C$5:$C$3471,'Futures Data'!$A$5:$A$3471,A302,'Futures Data'!$B$5:$B$3471,B303)))&lt;0.000000001</f>
        <v>1</v>
      </c>
    </row>
    <row r="304" customFormat="false" ht="15" hidden="false" customHeight="false" outlineLevel="0" collapsed="false">
      <c r="A304" s="7" t="n">
        <v>45576</v>
      </c>
      <c r="B304" s="11" t="n">
        <f aca="false">C303</f>
        <v>45616</v>
      </c>
      <c r="C304" s="11" t="n">
        <f aca="false">IF(OR(H303,D304&lt;=$G$4),_xlfn.MINIFS('Futures Data'!$B$5:$B$3471,'Futures Data'!$A$5:$A$3471,A304,'Futures Data'!$B$5:$B$3471,"&gt;"&amp;B304),B304)</f>
        <v>45616</v>
      </c>
      <c r="D304" s="3" t="n">
        <f aca="false">COUNTIFS($A$47:$A$790,"&gt;"&amp;A304,$A$47:$A$790,"&lt;="&amp;B304)+IF(B304&gt;$G$5,NETWORKDAYS($G$5+1,B304),0)</f>
        <v>26</v>
      </c>
      <c r="E304" s="3" t="n">
        <f aca="false">SUMIFS('Futures Data'!$E$5:$E$3471,'Futures Data'!$A$5:$A$3471,A304,'Futures Data'!$B$5:$B$3471,C304)</f>
        <v>40475</v>
      </c>
      <c r="F304" s="11" t="n">
        <f aca="false">_xlfn.MINIFS('Futures Data'!$B$5:$B$3471,'Futures Data'!$A$5:$A$3471,A304,'Futures Data'!$B$5:$B$3471,"&gt;"&amp;C304)</f>
        <v>45646</v>
      </c>
      <c r="G304" s="3" t="n">
        <f aca="false">SUMIFS('Futures Data'!$E$5:$E$3471,'Futures Data'!$A$5:$A$3471,A304,'Futures Data'!$B$5:$B$3471,F304)</f>
        <v>3505</v>
      </c>
      <c r="H304" s="9" t="b">
        <f aca="false">G304&gt;E304</f>
        <v>0</v>
      </c>
      <c r="I304" s="9" t="b">
        <f aca="false">C304&lt;&gt;B304</f>
        <v>0</v>
      </c>
      <c r="J304" s="3" t="n">
        <f aca="false">SUMIFS('Futures Data'!$C$5:$C$3471,'Futures Data'!$A$5:$A$3471,A304,'Futures Data'!$B$5:$B$3471,B304)</f>
        <v>6864</v>
      </c>
      <c r="K304" s="3" t="n">
        <f aca="false">SUMIFS('Futures Data'!$C$5:$C$3471,'Futures Data'!$A$5:$A$3471,A304,'Futures Data'!$B$5:$B$3471,C304)</f>
        <v>6864</v>
      </c>
      <c r="L304" s="3" t="n">
        <f aca="false">K304-J304</f>
        <v>0</v>
      </c>
      <c r="M304" s="3" t="n">
        <f aca="false">M305+L304</f>
        <v>1285</v>
      </c>
      <c r="N304" s="3" t="n">
        <f aca="false">J304+M304</f>
        <v>8149</v>
      </c>
      <c r="O304" s="13" t="n">
        <f aca="false">LN(J304/K303)</f>
        <v>0.000291417749403119</v>
      </c>
      <c r="P304" s="13" t="n">
        <f aca="false">LN(N304/N303)</f>
        <v>0.000245459009578093</v>
      </c>
      <c r="Q304" s="3" t="n">
        <f aca="false">SUMIFS('Futures Data'!$D$5:$D$3471,'Futures Data'!$A$5:$A$3471,A304,'Futures Data'!$B$5:$B$3471,B304)</f>
        <v>6065</v>
      </c>
      <c r="R304" s="7" t="n">
        <v>45616</v>
      </c>
      <c r="S304" s="9" t="b">
        <f aca="false">C304=R304</f>
        <v>1</v>
      </c>
      <c r="T304" s="9" t="b">
        <f aca="false">ABS(O304-LN(J304/SUMIFS('Futures Data'!$C$5:$C$3471,'Futures Data'!$A$5:$A$3471,A303,'Futures Data'!$B$5:$B$3471,B304)))&lt;0.000000001</f>
        <v>1</v>
      </c>
    </row>
    <row r="305" customFormat="false" ht="15" hidden="false" customHeight="false" outlineLevel="0" collapsed="false">
      <c r="A305" s="7" t="n">
        <v>45579</v>
      </c>
      <c r="B305" s="11" t="n">
        <f aca="false">C304</f>
        <v>45616</v>
      </c>
      <c r="C305" s="11" t="n">
        <f aca="false">IF(OR(H304,D305&lt;=$G$4),_xlfn.MINIFS('Futures Data'!$B$5:$B$3471,'Futures Data'!$A$5:$A$3471,A305,'Futures Data'!$B$5:$B$3471,"&gt;"&amp;B305),B305)</f>
        <v>45616</v>
      </c>
      <c r="D305" s="3" t="n">
        <f aca="false">COUNTIFS($A$47:$A$790,"&gt;"&amp;A305,$A$47:$A$790,"&lt;="&amp;B305)+IF(B305&gt;$G$5,NETWORKDAYS($G$5+1,B305),0)</f>
        <v>25</v>
      </c>
      <c r="E305" s="3" t="n">
        <f aca="false">SUMIFS('Futures Data'!$E$5:$E$3471,'Futures Data'!$A$5:$A$3471,A305,'Futures Data'!$B$5:$B$3471,C305)</f>
        <v>40835</v>
      </c>
      <c r="F305" s="11" t="n">
        <f aca="false">_xlfn.MINIFS('Futures Data'!$B$5:$B$3471,'Futures Data'!$A$5:$A$3471,A305,'Futures Data'!$B$5:$B$3471,"&gt;"&amp;C305)</f>
        <v>45646</v>
      </c>
      <c r="G305" s="3" t="n">
        <f aca="false">SUMIFS('Futures Data'!$E$5:$E$3471,'Futures Data'!$A$5:$A$3471,A305,'Futures Data'!$B$5:$B$3471,F305)</f>
        <v>3535</v>
      </c>
      <c r="H305" s="9" t="b">
        <f aca="false">G305&gt;E305</f>
        <v>0</v>
      </c>
      <c r="I305" s="9" t="b">
        <f aca="false">C305&lt;&gt;B305</f>
        <v>0</v>
      </c>
      <c r="J305" s="3" t="n">
        <f aca="false">SUMIFS('Futures Data'!$C$5:$C$3471,'Futures Data'!$A$5:$A$3471,A305,'Futures Data'!$B$5:$B$3471,B305)</f>
        <v>6854</v>
      </c>
      <c r="K305" s="3" t="n">
        <f aca="false">SUMIFS('Futures Data'!$C$5:$C$3471,'Futures Data'!$A$5:$A$3471,A305,'Futures Data'!$B$5:$B$3471,C305)</f>
        <v>6854</v>
      </c>
      <c r="L305" s="3" t="n">
        <f aca="false">K305-J305</f>
        <v>0</v>
      </c>
      <c r="M305" s="3" t="n">
        <f aca="false">M306+L305</f>
        <v>1285</v>
      </c>
      <c r="N305" s="3" t="n">
        <f aca="false">J305+M305</f>
        <v>8139</v>
      </c>
      <c r="O305" s="13" t="n">
        <f aca="false">LN(J305/K304)</f>
        <v>-0.00145793873324403</v>
      </c>
      <c r="P305" s="13" t="n">
        <f aca="false">LN(N305/N304)</f>
        <v>-0.00122789799317839</v>
      </c>
      <c r="Q305" s="3" t="n">
        <f aca="false">SUMIFS('Futures Data'!$D$5:$D$3471,'Futures Data'!$A$5:$A$3471,A305,'Futures Data'!$B$5:$B$3471,B305)</f>
        <v>5695</v>
      </c>
      <c r="R305" s="7" t="n">
        <v>45616</v>
      </c>
      <c r="S305" s="9" t="b">
        <f aca="false">C305=R305</f>
        <v>1</v>
      </c>
      <c r="T305" s="9" t="b">
        <f aca="false">ABS(O305-LN(J305/SUMIFS('Futures Data'!$C$5:$C$3471,'Futures Data'!$A$5:$A$3471,A304,'Futures Data'!$B$5:$B$3471,B305)))&lt;0.000000001</f>
        <v>1</v>
      </c>
    </row>
    <row r="306" customFormat="false" ht="15" hidden="false" customHeight="false" outlineLevel="0" collapsed="false">
      <c r="A306" s="7" t="n">
        <v>45580</v>
      </c>
      <c r="B306" s="11" t="n">
        <f aca="false">C305</f>
        <v>45616</v>
      </c>
      <c r="C306" s="11" t="n">
        <f aca="false">IF(OR(H305,D306&lt;=$G$4),_xlfn.MINIFS('Futures Data'!$B$5:$B$3471,'Futures Data'!$A$5:$A$3471,A306,'Futures Data'!$B$5:$B$3471,"&gt;"&amp;B306),B306)</f>
        <v>45616</v>
      </c>
      <c r="D306" s="3" t="n">
        <f aca="false">COUNTIFS($A$47:$A$790,"&gt;"&amp;A306,$A$47:$A$790,"&lt;="&amp;B306)+IF(B306&gt;$G$5,NETWORKDAYS($G$5+1,B306),0)</f>
        <v>24</v>
      </c>
      <c r="E306" s="3" t="n">
        <f aca="false">SUMIFS('Futures Data'!$E$5:$E$3471,'Futures Data'!$A$5:$A$3471,A306,'Futures Data'!$B$5:$B$3471,C306)</f>
        <v>42870</v>
      </c>
      <c r="F306" s="11" t="n">
        <f aca="false">_xlfn.MINIFS('Futures Data'!$B$5:$B$3471,'Futures Data'!$A$5:$A$3471,A306,'Futures Data'!$B$5:$B$3471,"&gt;"&amp;C306)</f>
        <v>45646</v>
      </c>
      <c r="G306" s="3" t="n">
        <f aca="false">SUMIFS('Futures Data'!$E$5:$E$3471,'Futures Data'!$A$5:$A$3471,A306,'Futures Data'!$B$5:$B$3471,F306)</f>
        <v>3610</v>
      </c>
      <c r="H306" s="9" t="b">
        <f aca="false">G306&gt;E306</f>
        <v>0</v>
      </c>
      <c r="I306" s="9" t="b">
        <f aca="false">C306&lt;&gt;B306</f>
        <v>0</v>
      </c>
      <c r="J306" s="3" t="n">
        <f aca="false">SUMIFS('Futures Data'!$C$5:$C$3471,'Futures Data'!$A$5:$A$3471,A306,'Futures Data'!$B$5:$B$3471,B306)</f>
        <v>6884</v>
      </c>
      <c r="K306" s="3" t="n">
        <f aca="false">SUMIFS('Futures Data'!$C$5:$C$3471,'Futures Data'!$A$5:$A$3471,A306,'Futures Data'!$B$5:$B$3471,C306)</f>
        <v>6884</v>
      </c>
      <c r="L306" s="3" t="n">
        <f aca="false">K306-J306</f>
        <v>0</v>
      </c>
      <c r="M306" s="3" t="n">
        <f aca="false">M307+L306</f>
        <v>1285</v>
      </c>
      <c r="N306" s="3" t="n">
        <f aca="false">J306+M306</f>
        <v>8169</v>
      </c>
      <c r="O306" s="13" t="n">
        <f aca="false">LN(J306/K305)</f>
        <v>0.00436745489687588</v>
      </c>
      <c r="P306" s="13" t="n">
        <f aca="false">LN(N306/N305)</f>
        <v>0.00367918001482786</v>
      </c>
      <c r="Q306" s="3" t="n">
        <f aca="false">SUMIFS('Futures Data'!$D$5:$D$3471,'Futures Data'!$A$5:$A$3471,A306,'Futures Data'!$B$5:$B$3471,B306)</f>
        <v>11900</v>
      </c>
      <c r="R306" s="7" t="n">
        <v>45616</v>
      </c>
      <c r="S306" s="9" t="b">
        <f aca="false">C306=R306</f>
        <v>1</v>
      </c>
      <c r="T306" s="9" t="b">
        <f aca="false">ABS(O306-LN(J306/SUMIFS('Futures Data'!$C$5:$C$3471,'Futures Data'!$A$5:$A$3471,A305,'Futures Data'!$B$5:$B$3471,B306)))&lt;0.000000001</f>
        <v>1</v>
      </c>
    </row>
    <row r="307" customFormat="false" ht="15" hidden="false" customHeight="false" outlineLevel="0" collapsed="false">
      <c r="A307" s="7" t="n">
        <v>45581</v>
      </c>
      <c r="B307" s="11" t="n">
        <f aca="false">C306</f>
        <v>45616</v>
      </c>
      <c r="C307" s="11" t="n">
        <f aca="false">IF(OR(H306,D307&lt;=$G$4),_xlfn.MINIFS('Futures Data'!$B$5:$B$3471,'Futures Data'!$A$5:$A$3471,A307,'Futures Data'!$B$5:$B$3471,"&gt;"&amp;B307),B307)</f>
        <v>45616</v>
      </c>
      <c r="D307" s="3" t="n">
        <f aca="false">COUNTIFS($A$47:$A$790,"&gt;"&amp;A307,$A$47:$A$790,"&lt;="&amp;B307)+IF(B307&gt;$G$5,NETWORKDAYS($G$5+1,B307),0)</f>
        <v>23</v>
      </c>
      <c r="E307" s="3" t="n">
        <f aca="false">SUMIFS('Futures Data'!$E$5:$E$3471,'Futures Data'!$A$5:$A$3471,A307,'Futures Data'!$B$5:$B$3471,C307)</f>
        <v>41025</v>
      </c>
      <c r="F307" s="11" t="n">
        <f aca="false">_xlfn.MINIFS('Futures Data'!$B$5:$B$3471,'Futures Data'!$A$5:$A$3471,A307,'Futures Data'!$B$5:$B$3471,"&gt;"&amp;C307)</f>
        <v>45646</v>
      </c>
      <c r="G307" s="3" t="n">
        <f aca="false">SUMIFS('Futures Data'!$E$5:$E$3471,'Futures Data'!$A$5:$A$3471,A307,'Futures Data'!$B$5:$B$3471,F307)</f>
        <v>5050</v>
      </c>
      <c r="H307" s="9" t="b">
        <f aca="false">G307&gt;E307</f>
        <v>0</v>
      </c>
      <c r="I307" s="9" t="b">
        <f aca="false">C307&lt;&gt;B307</f>
        <v>0</v>
      </c>
      <c r="J307" s="3" t="n">
        <f aca="false">SUMIFS('Futures Data'!$C$5:$C$3471,'Futures Data'!$A$5:$A$3471,A307,'Futures Data'!$B$5:$B$3471,B307)</f>
        <v>6884</v>
      </c>
      <c r="K307" s="3" t="n">
        <f aca="false">SUMIFS('Futures Data'!$C$5:$C$3471,'Futures Data'!$A$5:$A$3471,A307,'Futures Data'!$B$5:$B$3471,C307)</f>
        <v>6884</v>
      </c>
      <c r="L307" s="3" t="n">
        <f aca="false">K307-J307</f>
        <v>0</v>
      </c>
      <c r="M307" s="3" t="n">
        <f aca="false">M308+L307</f>
        <v>1285</v>
      </c>
      <c r="N307" s="3" t="n">
        <f aca="false">J307+M307</f>
        <v>8169</v>
      </c>
      <c r="O307" s="13" t="n">
        <f aca="false">LN(J307/K306)</f>
        <v>0</v>
      </c>
      <c r="P307" s="13" t="n">
        <f aca="false">LN(N307/N306)</f>
        <v>0</v>
      </c>
      <c r="Q307" s="3" t="n">
        <f aca="false">SUMIFS('Futures Data'!$D$5:$D$3471,'Futures Data'!$A$5:$A$3471,A307,'Futures Data'!$B$5:$B$3471,B307)</f>
        <v>9095</v>
      </c>
      <c r="R307" s="7" t="n">
        <v>45616</v>
      </c>
      <c r="S307" s="9" t="b">
        <f aca="false">C307=R307</f>
        <v>1</v>
      </c>
      <c r="T307" s="9" t="b">
        <f aca="false">ABS(O307-LN(J307/SUMIFS('Futures Data'!$C$5:$C$3471,'Futures Data'!$A$5:$A$3471,A306,'Futures Data'!$B$5:$B$3471,B307)))&lt;0.000000001</f>
        <v>1</v>
      </c>
    </row>
    <row r="308" customFormat="false" ht="15" hidden="false" customHeight="false" outlineLevel="0" collapsed="false">
      <c r="A308" s="7" t="n">
        <v>45582</v>
      </c>
      <c r="B308" s="11" t="n">
        <f aca="false">C307</f>
        <v>45616</v>
      </c>
      <c r="C308" s="11" t="n">
        <f aca="false">IF(OR(H307,D308&lt;=$G$4),_xlfn.MINIFS('Futures Data'!$B$5:$B$3471,'Futures Data'!$A$5:$A$3471,A308,'Futures Data'!$B$5:$B$3471,"&gt;"&amp;B308),B308)</f>
        <v>45616</v>
      </c>
      <c r="D308" s="3" t="n">
        <f aca="false">COUNTIFS($A$47:$A$790,"&gt;"&amp;A308,$A$47:$A$790,"&lt;="&amp;B308)+IF(B308&gt;$G$5,NETWORKDAYS($G$5+1,B308),0)</f>
        <v>22</v>
      </c>
      <c r="E308" s="3" t="n">
        <f aca="false">SUMIFS('Futures Data'!$E$5:$E$3471,'Futures Data'!$A$5:$A$3471,A308,'Futures Data'!$B$5:$B$3471,C308)</f>
        <v>40440</v>
      </c>
      <c r="F308" s="11" t="n">
        <f aca="false">_xlfn.MINIFS('Futures Data'!$B$5:$B$3471,'Futures Data'!$A$5:$A$3471,A308,'Futures Data'!$B$5:$B$3471,"&gt;"&amp;C308)</f>
        <v>45646</v>
      </c>
      <c r="G308" s="3" t="n">
        <f aca="false">SUMIFS('Futures Data'!$E$5:$E$3471,'Futures Data'!$A$5:$A$3471,A308,'Futures Data'!$B$5:$B$3471,F308)</f>
        <v>5475</v>
      </c>
      <c r="H308" s="9" t="b">
        <f aca="false">G308&gt;E308</f>
        <v>0</v>
      </c>
      <c r="I308" s="9" t="b">
        <f aca="false">C308&lt;&gt;B308</f>
        <v>0</v>
      </c>
      <c r="J308" s="3" t="n">
        <f aca="false">SUMIFS('Futures Data'!$C$5:$C$3471,'Futures Data'!$A$5:$A$3471,A308,'Futures Data'!$B$5:$B$3471,B308)</f>
        <v>6857</v>
      </c>
      <c r="K308" s="3" t="n">
        <f aca="false">SUMIFS('Futures Data'!$C$5:$C$3471,'Futures Data'!$A$5:$A$3471,A308,'Futures Data'!$B$5:$B$3471,C308)</f>
        <v>6857</v>
      </c>
      <c r="L308" s="3" t="n">
        <f aca="false">K308-J308</f>
        <v>0</v>
      </c>
      <c r="M308" s="3" t="n">
        <f aca="false">M309+L308</f>
        <v>1285</v>
      </c>
      <c r="N308" s="3" t="n">
        <f aca="false">J308+M308</f>
        <v>8142</v>
      </c>
      <c r="O308" s="13" t="n">
        <f aca="false">LN(J308/K307)</f>
        <v>-0.00392985004706558</v>
      </c>
      <c r="P308" s="13" t="n">
        <f aca="false">LN(N308/N307)</f>
        <v>-0.00331065227894516</v>
      </c>
      <c r="Q308" s="3" t="n">
        <f aca="false">SUMIFS('Futures Data'!$D$5:$D$3471,'Futures Data'!$A$5:$A$3471,A308,'Futures Data'!$B$5:$B$3471,B308)</f>
        <v>3025</v>
      </c>
      <c r="R308" s="7" t="n">
        <v>45616</v>
      </c>
      <c r="S308" s="9" t="b">
        <f aca="false">C308=R308</f>
        <v>1</v>
      </c>
      <c r="T308" s="9" t="b">
        <f aca="false">ABS(O308-LN(J308/SUMIFS('Futures Data'!$C$5:$C$3471,'Futures Data'!$A$5:$A$3471,A307,'Futures Data'!$B$5:$B$3471,B308)))&lt;0.000000001</f>
        <v>1</v>
      </c>
    </row>
    <row r="309" customFormat="false" ht="15" hidden="false" customHeight="false" outlineLevel="0" collapsed="false">
      <c r="A309" s="7" t="n">
        <v>45583</v>
      </c>
      <c r="B309" s="11" t="n">
        <f aca="false">C308</f>
        <v>45616</v>
      </c>
      <c r="C309" s="11" t="n">
        <f aca="false">IF(OR(H308,D309&lt;=$G$4),_xlfn.MINIFS('Futures Data'!$B$5:$B$3471,'Futures Data'!$A$5:$A$3471,A309,'Futures Data'!$B$5:$B$3471,"&gt;"&amp;B309),B309)</f>
        <v>45616</v>
      </c>
      <c r="D309" s="3" t="n">
        <f aca="false">COUNTIFS($A$47:$A$790,"&gt;"&amp;A309,$A$47:$A$790,"&lt;="&amp;B309)+IF(B309&gt;$G$5,NETWORKDAYS($G$5+1,B309),0)</f>
        <v>21</v>
      </c>
      <c r="E309" s="3" t="n">
        <f aca="false">SUMIFS('Futures Data'!$E$5:$E$3471,'Futures Data'!$A$5:$A$3471,A309,'Futures Data'!$B$5:$B$3471,C309)</f>
        <v>40615</v>
      </c>
      <c r="F309" s="11" t="n">
        <f aca="false">_xlfn.MINIFS('Futures Data'!$B$5:$B$3471,'Futures Data'!$A$5:$A$3471,A309,'Futures Data'!$B$5:$B$3471,"&gt;"&amp;C309)</f>
        <v>45646</v>
      </c>
      <c r="G309" s="3" t="n">
        <f aca="false">SUMIFS('Futures Data'!$E$5:$E$3471,'Futures Data'!$A$5:$A$3471,A309,'Futures Data'!$B$5:$B$3471,F309)</f>
        <v>6240</v>
      </c>
      <c r="H309" s="9" t="b">
        <f aca="false">G309&gt;E309</f>
        <v>0</v>
      </c>
      <c r="I309" s="9" t="b">
        <f aca="false">C309&lt;&gt;B309</f>
        <v>0</v>
      </c>
      <c r="J309" s="3" t="n">
        <f aca="false">SUMIFS('Futures Data'!$C$5:$C$3471,'Futures Data'!$A$5:$A$3471,A309,'Futures Data'!$B$5:$B$3471,B309)</f>
        <v>6800</v>
      </c>
      <c r="K309" s="3" t="n">
        <f aca="false">SUMIFS('Futures Data'!$C$5:$C$3471,'Futures Data'!$A$5:$A$3471,A309,'Futures Data'!$B$5:$B$3471,C309)</f>
        <v>6800</v>
      </c>
      <c r="L309" s="3" t="n">
        <f aca="false">K309-J309</f>
        <v>0</v>
      </c>
      <c r="M309" s="3" t="n">
        <f aca="false">M310+L309</f>
        <v>1285</v>
      </c>
      <c r="N309" s="3" t="n">
        <f aca="false">J309+M309</f>
        <v>8085</v>
      </c>
      <c r="O309" s="13" t="n">
        <f aca="false">LN(J309/K308)</f>
        <v>-0.0083474161201664</v>
      </c>
      <c r="P309" s="13" t="n">
        <f aca="false">LN(N309/N308)</f>
        <v>-0.0070253570517169</v>
      </c>
      <c r="Q309" s="3" t="n">
        <f aca="false">SUMIFS('Futures Data'!$D$5:$D$3471,'Futures Data'!$A$5:$A$3471,A309,'Futures Data'!$B$5:$B$3471,B309)</f>
        <v>8260</v>
      </c>
      <c r="R309" s="7" t="n">
        <v>45616</v>
      </c>
      <c r="S309" s="9" t="b">
        <f aca="false">C309=R309</f>
        <v>1</v>
      </c>
      <c r="T309" s="9" t="b">
        <f aca="false">ABS(O309-LN(J309/SUMIFS('Futures Data'!$C$5:$C$3471,'Futures Data'!$A$5:$A$3471,A308,'Futures Data'!$B$5:$B$3471,B309)))&lt;0.000000001</f>
        <v>1</v>
      </c>
    </row>
    <row r="310" customFormat="false" ht="15" hidden="false" customHeight="false" outlineLevel="0" collapsed="false">
      <c r="A310" s="7" t="n">
        <v>45586</v>
      </c>
      <c r="B310" s="11" t="n">
        <f aca="false">C309</f>
        <v>45616</v>
      </c>
      <c r="C310" s="11" t="n">
        <f aca="false">IF(OR(H309,D310&lt;=$G$4),_xlfn.MINIFS('Futures Data'!$B$5:$B$3471,'Futures Data'!$A$5:$A$3471,A310,'Futures Data'!$B$5:$B$3471,"&gt;"&amp;B310),B310)</f>
        <v>45616</v>
      </c>
      <c r="D310" s="3" t="n">
        <f aca="false">COUNTIFS($A$47:$A$790,"&gt;"&amp;A310,$A$47:$A$790,"&lt;="&amp;B310)+IF(B310&gt;$G$5,NETWORKDAYS($G$5+1,B310),0)</f>
        <v>20</v>
      </c>
      <c r="E310" s="3" t="n">
        <f aca="false">SUMIFS('Futures Data'!$E$5:$E$3471,'Futures Data'!$A$5:$A$3471,A310,'Futures Data'!$B$5:$B$3471,C310)</f>
        <v>32515</v>
      </c>
      <c r="F310" s="11" t="n">
        <f aca="false">_xlfn.MINIFS('Futures Data'!$B$5:$B$3471,'Futures Data'!$A$5:$A$3471,A310,'Futures Data'!$B$5:$B$3471,"&gt;"&amp;C310)</f>
        <v>45646</v>
      </c>
      <c r="G310" s="3" t="n">
        <f aca="false">SUMIFS('Futures Data'!$E$5:$E$3471,'Futures Data'!$A$5:$A$3471,A310,'Futures Data'!$B$5:$B$3471,F310)</f>
        <v>11395</v>
      </c>
      <c r="H310" s="9" t="b">
        <f aca="false">G310&gt;E310</f>
        <v>0</v>
      </c>
      <c r="I310" s="9" t="b">
        <f aca="false">C310&lt;&gt;B310</f>
        <v>0</v>
      </c>
      <c r="J310" s="3" t="n">
        <f aca="false">SUMIFS('Futures Data'!$C$5:$C$3471,'Futures Data'!$A$5:$A$3471,A310,'Futures Data'!$B$5:$B$3471,B310)</f>
        <v>6775</v>
      </c>
      <c r="K310" s="3" t="n">
        <f aca="false">SUMIFS('Futures Data'!$C$5:$C$3471,'Futures Data'!$A$5:$A$3471,A310,'Futures Data'!$B$5:$B$3471,C310)</f>
        <v>6775</v>
      </c>
      <c r="L310" s="3" t="n">
        <f aca="false">K310-J310</f>
        <v>0</v>
      </c>
      <c r="M310" s="3" t="n">
        <f aca="false">M311+L310</f>
        <v>1285</v>
      </c>
      <c r="N310" s="3" t="n">
        <f aca="false">J310+M310</f>
        <v>8060</v>
      </c>
      <c r="O310" s="13" t="n">
        <f aca="false">LN(J310/K309)</f>
        <v>-0.00368324541629641</v>
      </c>
      <c r="P310" s="13" t="n">
        <f aca="false">LN(N310/N309)</f>
        <v>-0.0030969365105333</v>
      </c>
      <c r="Q310" s="3" t="n">
        <f aca="false">SUMIFS('Futures Data'!$D$5:$D$3471,'Futures Data'!$A$5:$A$3471,A310,'Futures Data'!$B$5:$B$3471,B310)</f>
        <v>17075</v>
      </c>
      <c r="R310" s="7" t="n">
        <v>45616</v>
      </c>
      <c r="S310" s="9" t="b">
        <f aca="false">C310=R310</f>
        <v>1</v>
      </c>
      <c r="T310" s="9" t="b">
        <f aca="false">ABS(O310-LN(J310/SUMIFS('Futures Data'!$C$5:$C$3471,'Futures Data'!$A$5:$A$3471,A309,'Futures Data'!$B$5:$B$3471,B310)))&lt;0.000000001</f>
        <v>1</v>
      </c>
    </row>
    <row r="311" customFormat="false" ht="15" hidden="false" customHeight="false" outlineLevel="0" collapsed="false">
      <c r="A311" s="7" t="n">
        <v>45587</v>
      </c>
      <c r="B311" s="11" t="n">
        <f aca="false">C310</f>
        <v>45616</v>
      </c>
      <c r="C311" s="11" t="n">
        <f aca="false">IF(OR(H310,D311&lt;=$G$4),_xlfn.MINIFS('Futures Data'!$B$5:$B$3471,'Futures Data'!$A$5:$A$3471,A311,'Futures Data'!$B$5:$B$3471,"&gt;"&amp;B311),B311)</f>
        <v>45616</v>
      </c>
      <c r="D311" s="3" t="n">
        <f aca="false">COUNTIFS($A$47:$A$790,"&gt;"&amp;A311,$A$47:$A$790,"&lt;="&amp;B311)+IF(B311&gt;$G$5,NETWORKDAYS($G$5+1,B311),0)</f>
        <v>19</v>
      </c>
      <c r="E311" s="3" t="n">
        <f aca="false">SUMIFS('Futures Data'!$E$5:$E$3471,'Futures Data'!$A$5:$A$3471,A311,'Futures Data'!$B$5:$B$3471,C311)</f>
        <v>29075</v>
      </c>
      <c r="F311" s="11" t="n">
        <f aca="false">_xlfn.MINIFS('Futures Data'!$B$5:$B$3471,'Futures Data'!$A$5:$A$3471,A311,'Futures Data'!$B$5:$B$3471,"&gt;"&amp;C311)</f>
        <v>45646</v>
      </c>
      <c r="G311" s="3" t="n">
        <f aca="false">SUMIFS('Futures Data'!$E$5:$E$3471,'Futures Data'!$A$5:$A$3471,A311,'Futures Data'!$B$5:$B$3471,F311)</f>
        <v>13165</v>
      </c>
      <c r="H311" s="9" t="b">
        <f aca="false">G311&gt;E311</f>
        <v>0</v>
      </c>
      <c r="I311" s="9" t="b">
        <f aca="false">C311&lt;&gt;B311</f>
        <v>0</v>
      </c>
      <c r="J311" s="3" t="n">
        <f aca="false">SUMIFS('Futures Data'!$C$5:$C$3471,'Futures Data'!$A$5:$A$3471,A311,'Futures Data'!$B$5:$B$3471,B311)</f>
        <v>6739</v>
      </c>
      <c r="K311" s="3" t="n">
        <f aca="false">SUMIFS('Futures Data'!$C$5:$C$3471,'Futures Data'!$A$5:$A$3471,A311,'Futures Data'!$B$5:$B$3471,C311)</f>
        <v>6739</v>
      </c>
      <c r="L311" s="3" t="n">
        <f aca="false">K311-J311</f>
        <v>0</v>
      </c>
      <c r="M311" s="3" t="n">
        <f aca="false">M312+L311</f>
        <v>1285</v>
      </c>
      <c r="N311" s="3" t="n">
        <f aca="false">J311+M311</f>
        <v>8024</v>
      </c>
      <c r="O311" s="13" t="n">
        <f aca="false">LN(J311/K310)</f>
        <v>-0.0053278208016846</v>
      </c>
      <c r="P311" s="13" t="n">
        <f aca="false">LN(N311/N310)</f>
        <v>-0.00447650585890254</v>
      </c>
      <c r="Q311" s="3" t="n">
        <f aca="false">SUMIFS('Futures Data'!$D$5:$D$3471,'Futures Data'!$A$5:$A$3471,A311,'Futures Data'!$B$5:$B$3471,B311)</f>
        <v>9750</v>
      </c>
      <c r="R311" s="7" t="n">
        <v>45616</v>
      </c>
      <c r="S311" s="9" t="b">
        <f aca="false">C311=R311</f>
        <v>1</v>
      </c>
      <c r="T311" s="9" t="b">
        <f aca="false">ABS(O311-LN(J311/SUMIFS('Futures Data'!$C$5:$C$3471,'Futures Data'!$A$5:$A$3471,A310,'Futures Data'!$B$5:$B$3471,B311)))&lt;0.000000001</f>
        <v>1</v>
      </c>
    </row>
    <row r="312" customFormat="false" ht="15" hidden="false" customHeight="false" outlineLevel="0" collapsed="false">
      <c r="A312" s="7" t="n">
        <v>45588</v>
      </c>
      <c r="B312" s="11" t="n">
        <f aca="false">C311</f>
        <v>45616</v>
      </c>
      <c r="C312" s="11" t="n">
        <f aca="false">IF(OR(H311,D312&lt;=$G$4),_xlfn.MINIFS('Futures Data'!$B$5:$B$3471,'Futures Data'!$A$5:$A$3471,A312,'Futures Data'!$B$5:$B$3471,"&gt;"&amp;B312),B312)</f>
        <v>45616</v>
      </c>
      <c r="D312" s="3" t="n">
        <f aca="false">COUNTIFS($A$47:$A$790,"&gt;"&amp;A312,$A$47:$A$790,"&lt;="&amp;B312)+IF(B312&gt;$G$5,NETWORKDAYS($G$5+1,B312),0)</f>
        <v>18</v>
      </c>
      <c r="E312" s="3" t="n">
        <f aca="false">SUMIFS('Futures Data'!$E$5:$E$3471,'Futures Data'!$A$5:$A$3471,A312,'Futures Data'!$B$5:$B$3471,C312)</f>
        <v>26875</v>
      </c>
      <c r="F312" s="11" t="n">
        <f aca="false">_xlfn.MINIFS('Futures Data'!$B$5:$B$3471,'Futures Data'!$A$5:$A$3471,A312,'Futures Data'!$B$5:$B$3471,"&gt;"&amp;C312)</f>
        <v>45646</v>
      </c>
      <c r="G312" s="3" t="n">
        <f aca="false">SUMIFS('Futures Data'!$E$5:$E$3471,'Futures Data'!$A$5:$A$3471,A312,'Futures Data'!$B$5:$B$3471,F312)</f>
        <v>14000</v>
      </c>
      <c r="H312" s="9" t="b">
        <f aca="false">G312&gt;E312</f>
        <v>0</v>
      </c>
      <c r="I312" s="9" t="b">
        <f aca="false">C312&lt;&gt;B312</f>
        <v>0</v>
      </c>
      <c r="J312" s="3" t="n">
        <f aca="false">SUMIFS('Futures Data'!$C$5:$C$3471,'Futures Data'!$A$5:$A$3471,A312,'Futures Data'!$B$5:$B$3471,B312)</f>
        <v>6697</v>
      </c>
      <c r="K312" s="3" t="n">
        <f aca="false">SUMIFS('Futures Data'!$C$5:$C$3471,'Futures Data'!$A$5:$A$3471,A312,'Futures Data'!$B$5:$B$3471,C312)</f>
        <v>6697</v>
      </c>
      <c r="L312" s="3" t="n">
        <f aca="false">K312-J312</f>
        <v>0</v>
      </c>
      <c r="M312" s="3" t="n">
        <f aca="false">M313+L312</f>
        <v>1285</v>
      </c>
      <c r="N312" s="3" t="n">
        <f aca="false">J312+M312</f>
        <v>7982</v>
      </c>
      <c r="O312" s="13" t="n">
        <f aca="false">LN(J312/K311)</f>
        <v>-0.00625188103616686</v>
      </c>
      <c r="P312" s="13" t="n">
        <f aca="false">LN(N312/N311)</f>
        <v>-0.00524804403309224</v>
      </c>
      <c r="Q312" s="3" t="n">
        <f aca="false">SUMIFS('Futures Data'!$D$5:$D$3471,'Futures Data'!$A$5:$A$3471,A312,'Futures Data'!$B$5:$B$3471,B312)</f>
        <v>6685</v>
      </c>
      <c r="R312" s="7" t="n">
        <v>45616</v>
      </c>
      <c r="S312" s="9" t="b">
        <f aca="false">C312=R312</f>
        <v>1</v>
      </c>
      <c r="T312" s="9" t="b">
        <f aca="false">ABS(O312-LN(J312/SUMIFS('Futures Data'!$C$5:$C$3471,'Futures Data'!$A$5:$A$3471,A311,'Futures Data'!$B$5:$B$3471,B312)))&lt;0.000000001</f>
        <v>1</v>
      </c>
    </row>
    <row r="313" customFormat="false" ht="15" hidden="false" customHeight="false" outlineLevel="0" collapsed="false">
      <c r="A313" s="7" t="n">
        <v>45589</v>
      </c>
      <c r="B313" s="11" t="n">
        <f aca="false">C312</f>
        <v>45616</v>
      </c>
      <c r="C313" s="11" t="n">
        <f aca="false">IF(OR(H312,D313&lt;=$G$4),_xlfn.MINIFS('Futures Data'!$B$5:$B$3471,'Futures Data'!$A$5:$A$3471,A313,'Futures Data'!$B$5:$B$3471,"&gt;"&amp;B313),B313)</f>
        <v>45616</v>
      </c>
      <c r="D313" s="3" t="n">
        <f aca="false">COUNTIFS($A$47:$A$790,"&gt;"&amp;A313,$A$47:$A$790,"&lt;="&amp;B313)+IF(B313&gt;$G$5,NETWORKDAYS($G$5+1,B313),0)</f>
        <v>17</v>
      </c>
      <c r="E313" s="3" t="n">
        <f aca="false">SUMIFS('Futures Data'!$E$5:$E$3471,'Futures Data'!$A$5:$A$3471,A313,'Futures Data'!$B$5:$B$3471,C313)</f>
        <v>25150</v>
      </c>
      <c r="F313" s="11" t="n">
        <f aca="false">_xlfn.MINIFS('Futures Data'!$B$5:$B$3471,'Futures Data'!$A$5:$A$3471,A313,'Futures Data'!$B$5:$B$3471,"&gt;"&amp;C313)</f>
        <v>45646</v>
      </c>
      <c r="G313" s="3" t="n">
        <f aca="false">SUMIFS('Futures Data'!$E$5:$E$3471,'Futures Data'!$A$5:$A$3471,A313,'Futures Data'!$B$5:$B$3471,F313)</f>
        <v>14395</v>
      </c>
      <c r="H313" s="9" t="b">
        <f aca="false">G313&gt;E313</f>
        <v>0</v>
      </c>
      <c r="I313" s="9" t="b">
        <f aca="false">C313&lt;&gt;B313</f>
        <v>0</v>
      </c>
      <c r="J313" s="3" t="n">
        <f aca="false">SUMIFS('Futures Data'!$C$5:$C$3471,'Futures Data'!$A$5:$A$3471,A313,'Futures Data'!$B$5:$B$3471,B313)</f>
        <v>6682</v>
      </c>
      <c r="K313" s="3" t="n">
        <f aca="false">SUMIFS('Futures Data'!$C$5:$C$3471,'Futures Data'!$A$5:$A$3471,A313,'Futures Data'!$B$5:$B$3471,C313)</f>
        <v>6682</v>
      </c>
      <c r="L313" s="3" t="n">
        <f aca="false">K313-J313</f>
        <v>0</v>
      </c>
      <c r="M313" s="3" t="n">
        <f aca="false">M314+L313</f>
        <v>1285</v>
      </c>
      <c r="N313" s="3" t="n">
        <f aca="false">J313+M313</f>
        <v>7967</v>
      </c>
      <c r="O313" s="13" t="n">
        <f aca="false">LN(J313/K312)</f>
        <v>-0.00224232099334837</v>
      </c>
      <c r="P313" s="13" t="n">
        <f aca="false">LN(N313/N312)</f>
        <v>-0.00188099622831317</v>
      </c>
      <c r="Q313" s="3" t="n">
        <f aca="false">SUMIFS('Futures Data'!$D$5:$D$3471,'Futures Data'!$A$5:$A$3471,A313,'Futures Data'!$B$5:$B$3471,B313)</f>
        <v>14040</v>
      </c>
      <c r="R313" s="7" t="n">
        <v>45616</v>
      </c>
      <c r="S313" s="9" t="b">
        <f aca="false">C313=R313</f>
        <v>1</v>
      </c>
      <c r="T313" s="9" t="b">
        <f aca="false">ABS(O313-LN(J313/SUMIFS('Futures Data'!$C$5:$C$3471,'Futures Data'!$A$5:$A$3471,A312,'Futures Data'!$B$5:$B$3471,B313)))&lt;0.000000001</f>
        <v>1</v>
      </c>
    </row>
    <row r="314" customFormat="false" ht="15" hidden="false" customHeight="false" outlineLevel="0" collapsed="false">
      <c r="A314" s="7" t="n">
        <v>45590</v>
      </c>
      <c r="B314" s="11" t="n">
        <f aca="false">C313</f>
        <v>45616</v>
      </c>
      <c r="C314" s="11" t="n">
        <f aca="false">IF(OR(H313,D314&lt;=$G$4),_xlfn.MINIFS('Futures Data'!$B$5:$B$3471,'Futures Data'!$A$5:$A$3471,A314,'Futures Data'!$B$5:$B$3471,"&gt;"&amp;B314),B314)</f>
        <v>45616</v>
      </c>
      <c r="D314" s="3" t="n">
        <f aca="false">COUNTIFS($A$47:$A$790,"&gt;"&amp;A314,$A$47:$A$790,"&lt;="&amp;B314)+IF(B314&gt;$G$5,NETWORKDAYS($G$5+1,B314),0)</f>
        <v>16</v>
      </c>
      <c r="E314" s="3" t="n">
        <f aca="false">SUMIFS('Futures Data'!$E$5:$E$3471,'Futures Data'!$A$5:$A$3471,A314,'Futures Data'!$B$5:$B$3471,C314)</f>
        <v>24060</v>
      </c>
      <c r="F314" s="11" t="n">
        <f aca="false">_xlfn.MINIFS('Futures Data'!$B$5:$B$3471,'Futures Data'!$A$5:$A$3471,A314,'Futures Data'!$B$5:$B$3471,"&gt;"&amp;C314)</f>
        <v>45646</v>
      </c>
      <c r="G314" s="3" t="n">
        <f aca="false">SUMIFS('Futures Data'!$E$5:$E$3471,'Futures Data'!$A$5:$A$3471,A314,'Futures Data'!$B$5:$B$3471,F314)</f>
        <v>15460</v>
      </c>
      <c r="H314" s="9" t="b">
        <f aca="false">G314&gt;E314</f>
        <v>0</v>
      </c>
      <c r="I314" s="9" t="b">
        <f aca="false">C314&lt;&gt;B314</f>
        <v>0</v>
      </c>
      <c r="J314" s="3" t="n">
        <f aca="false">SUMIFS('Futures Data'!$C$5:$C$3471,'Futures Data'!$A$5:$A$3471,A314,'Futures Data'!$B$5:$B$3471,B314)</f>
        <v>6667</v>
      </c>
      <c r="K314" s="3" t="n">
        <f aca="false">SUMIFS('Futures Data'!$C$5:$C$3471,'Futures Data'!$A$5:$A$3471,A314,'Futures Data'!$B$5:$B$3471,C314)</f>
        <v>6667</v>
      </c>
      <c r="L314" s="3" t="n">
        <f aca="false">K314-J314</f>
        <v>0</v>
      </c>
      <c r="M314" s="3" t="n">
        <f aca="false">M315+L314</f>
        <v>1285</v>
      </c>
      <c r="N314" s="3" t="n">
        <f aca="false">J314+M314</f>
        <v>7952</v>
      </c>
      <c r="O314" s="13" t="n">
        <f aca="false">LN(J314/K313)</f>
        <v>-0.00224736029864182</v>
      </c>
      <c r="P314" s="13" t="n">
        <f aca="false">LN(N314/N313)</f>
        <v>-0.00188454104395611</v>
      </c>
      <c r="Q314" s="3" t="n">
        <f aca="false">SUMIFS('Futures Data'!$D$5:$D$3471,'Futures Data'!$A$5:$A$3471,A314,'Futures Data'!$B$5:$B$3471,B314)</f>
        <v>4500</v>
      </c>
      <c r="R314" s="7" t="n">
        <v>45616</v>
      </c>
      <c r="S314" s="9" t="b">
        <f aca="false">C314=R314</f>
        <v>1</v>
      </c>
      <c r="T314" s="9" t="b">
        <f aca="false">ABS(O314-LN(J314/SUMIFS('Futures Data'!$C$5:$C$3471,'Futures Data'!$A$5:$A$3471,A313,'Futures Data'!$B$5:$B$3471,B314)))&lt;0.000000001</f>
        <v>1</v>
      </c>
    </row>
    <row r="315" customFormat="false" ht="15" hidden="false" customHeight="false" outlineLevel="0" collapsed="false">
      <c r="A315" s="7" t="n">
        <v>45593</v>
      </c>
      <c r="B315" s="11" t="n">
        <f aca="false">C314</f>
        <v>45616</v>
      </c>
      <c r="C315" s="11" t="n">
        <f aca="false">IF(OR(H314,D315&lt;=$G$4),_xlfn.MINIFS('Futures Data'!$B$5:$B$3471,'Futures Data'!$A$5:$A$3471,A315,'Futures Data'!$B$5:$B$3471,"&gt;"&amp;B315),B315)</f>
        <v>45616</v>
      </c>
      <c r="D315" s="3" t="n">
        <f aca="false">COUNTIFS($A$47:$A$790,"&gt;"&amp;A315,$A$47:$A$790,"&lt;="&amp;B315)+IF(B315&gt;$G$5,NETWORKDAYS($G$5+1,B315),0)</f>
        <v>15</v>
      </c>
      <c r="E315" s="3" t="n">
        <f aca="false">SUMIFS('Futures Data'!$E$5:$E$3471,'Futures Data'!$A$5:$A$3471,A315,'Futures Data'!$B$5:$B$3471,C315)</f>
        <v>22510</v>
      </c>
      <c r="F315" s="11" t="n">
        <f aca="false">_xlfn.MINIFS('Futures Data'!$B$5:$B$3471,'Futures Data'!$A$5:$A$3471,A315,'Futures Data'!$B$5:$B$3471,"&gt;"&amp;C315)</f>
        <v>45646</v>
      </c>
      <c r="G315" s="3" t="n">
        <f aca="false">SUMIFS('Futures Data'!$E$5:$E$3471,'Futures Data'!$A$5:$A$3471,A315,'Futures Data'!$B$5:$B$3471,F315)</f>
        <v>18040</v>
      </c>
      <c r="H315" s="9" t="b">
        <f aca="false">G315&gt;E315</f>
        <v>0</v>
      </c>
      <c r="I315" s="9" t="b">
        <f aca="false">C315&lt;&gt;B315</f>
        <v>0</v>
      </c>
      <c r="J315" s="3" t="n">
        <f aca="false">SUMIFS('Futures Data'!$C$5:$C$3471,'Futures Data'!$A$5:$A$3471,A315,'Futures Data'!$B$5:$B$3471,B315)</f>
        <v>6622</v>
      </c>
      <c r="K315" s="3" t="n">
        <f aca="false">SUMIFS('Futures Data'!$C$5:$C$3471,'Futures Data'!$A$5:$A$3471,A315,'Futures Data'!$B$5:$B$3471,C315)</f>
        <v>6622</v>
      </c>
      <c r="L315" s="3" t="n">
        <f aca="false">K315-J315</f>
        <v>0</v>
      </c>
      <c r="M315" s="3" t="n">
        <f aca="false">M316+L315</f>
        <v>1285</v>
      </c>
      <c r="N315" s="3" t="n">
        <f aca="false">J315+M315</f>
        <v>7907</v>
      </c>
      <c r="O315" s="13" t="n">
        <f aca="false">LN(J315/K314)</f>
        <v>-0.00677254451086843</v>
      </c>
      <c r="P315" s="13" t="n">
        <f aca="false">LN(N315/N314)</f>
        <v>-0.00567502626548297</v>
      </c>
      <c r="Q315" s="3" t="n">
        <f aca="false">SUMIFS('Futures Data'!$D$5:$D$3471,'Futures Data'!$A$5:$A$3471,A315,'Futures Data'!$B$5:$B$3471,B315)</f>
        <v>8960</v>
      </c>
      <c r="R315" s="7" t="n">
        <v>45616</v>
      </c>
      <c r="S315" s="9" t="b">
        <f aca="false">C315=R315</f>
        <v>1</v>
      </c>
      <c r="T315" s="9" t="b">
        <f aca="false">ABS(O315-LN(J315/SUMIFS('Futures Data'!$C$5:$C$3471,'Futures Data'!$A$5:$A$3471,A314,'Futures Data'!$B$5:$B$3471,B315)))&lt;0.000000001</f>
        <v>1</v>
      </c>
    </row>
    <row r="316" customFormat="false" ht="15" hidden="false" customHeight="false" outlineLevel="0" collapsed="false">
      <c r="A316" s="7" t="n">
        <v>45594</v>
      </c>
      <c r="B316" s="11" t="n">
        <f aca="false">C315</f>
        <v>45616</v>
      </c>
      <c r="C316" s="11" t="n">
        <f aca="false">IF(OR(H315,D316&lt;=$G$4),_xlfn.MINIFS('Futures Data'!$B$5:$B$3471,'Futures Data'!$A$5:$A$3471,A316,'Futures Data'!$B$5:$B$3471,"&gt;"&amp;B316),B316)</f>
        <v>45616</v>
      </c>
      <c r="D316" s="3" t="n">
        <f aca="false">COUNTIFS($A$47:$A$790,"&gt;"&amp;A316,$A$47:$A$790,"&lt;="&amp;B316)+IF(B316&gt;$G$5,NETWORKDAYS($G$5+1,B316),0)</f>
        <v>14</v>
      </c>
      <c r="E316" s="3" t="n">
        <f aca="false">SUMIFS('Futures Data'!$E$5:$E$3471,'Futures Data'!$A$5:$A$3471,A316,'Futures Data'!$B$5:$B$3471,C316)</f>
        <v>20480</v>
      </c>
      <c r="F316" s="11" t="n">
        <f aca="false">_xlfn.MINIFS('Futures Data'!$B$5:$B$3471,'Futures Data'!$A$5:$A$3471,A316,'Futures Data'!$B$5:$B$3471,"&gt;"&amp;C316)</f>
        <v>45646</v>
      </c>
      <c r="G316" s="3" t="n">
        <f aca="false">SUMIFS('Futures Data'!$E$5:$E$3471,'Futures Data'!$A$5:$A$3471,A316,'Futures Data'!$B$5:$B$3471,F316)</f>
        <v>19355</v>
      </c>
      <c r="H316" s="9" t="b">
        <f aca="false">G316&gt;E316</f>
        <v>0</v>
      </c>
      <c r="I316" s="9" t="b">
        <f aca="false">C316&lt;&gt;B316</f>
        <v>0</v>
      </c>
      <c r="J316" s="3" t="n">
        <f aca="false">SUMIFS('Futures Data'!$C$5:$C$3471,'Futures Data'!$A$5:$A$3471,A316,'Futures Data'!$B$5:$B$3471,B316)</f>
        <v>6565</v>
      </c>
      <c r="K316" s="3" t="n">
        <f aca="false">SUMIFS('Futures Data'!$C$5:$C$3471,'Futures Data'!$A$5:$A$3471,A316,'Futures Data'!$B$5:$B$3471,C316)</f>
        <v>6565</v>
      </c>
      <c r="L316" s="3" t="n">
        <f aca="false">K316-J316</f>
        <v>0</v>
      </c>
      <c r="M316" s="3" t="n">
        <f aca="false">M317+L316</f>
        <v>1285</v>
      </c>
      <c r="N316" s="3" t="n">
        <f aca="false">J316+M316</f>
        <v>7850</v>
      </c>
      <c r="O316" s="13" t="n">
        <f aca="false">LN(J316/K315)</f>
        <v>-0.00864493137029499</v>
      </c>
      <c r="P316" s="13" t="n">
        <f aca="false">LN(N316/N315)</f>
        <v>-0.00723491129447296</v>
      </c>
      <c r="Q316" s="3" t="n">
        <f aca="false">SUMIFS('Futures Data'!$D$5:$D$3471,'Futures Data'!$A$5:$A$3471,A316,'Futures Data'!$B$5:$B$3471,B316)</f>
        <v>6850</v>
      </c>
      <c r="R316" s="7" t="n">
        <v>45616</v>
      </c>
      <c r="S316" s="9" t="b">
        <f aca="false">C316=R316</f>
        <v>1</v>
      </c>
      <c r="T316" s="9" t="b">
        <f aca="false">ABS(O316-LN(J316/SUMIFS('Futures Data'!$C$5:$C$3471,'Futures Data'!$A$5:$A$3471,A315,'Futures Data'!$B$5:$B$3471,B316)))&lt;0.000000001</f>
        <v>1</v>
      </c>
    </row>
    <row r="317" customFormat="false" ht="15" hidden="false" customHeight="false" outlineLevel="0" collapsed="false">
      <c r="A317" s="7" t="n">
        <v>45595</v>
      </c>
      <c r="B317" s="11" t="n">
        <f aca="false">C316</f>
        <v>45616</v>
      </c>
      <c r="C317" s="11" t="n">
        <f aca="false">IF(OR(H316,D317&lt;=$G$4),_xlfn.MINIFS('Futures Data'!$B$5:$B$3471,'Futures Data'!$A$5:$A$3471,A317,'Futures Data'!$B$5:$B$3471,"&gt;"&amp;B317),B317)</f>
        <v>45616</v>
      </c>
      <c r="D317" s="3" t="n">
        <f aca="false">COUNTIFS($A$47:$A$790,"&gt;"&amp;A317,$A$47:$A$790,"&lt;="&amp;B317)+IF(B317&gt;$G$5,NETWORKDAYS($G$5+1,B317),0)</f>
        <v>13</v>
      </c>
      <c r="E317" s="3" t="n">
        <f aca="false">SUMIFS('Futures Data'!$E$5:$E$3471,'Futures Data'!$A$5:$A$3471,A317,'Futures Data'!$B$5:$B$3471,C317)</f>
        <v>18835</v>
      </c>
      <c r="F317" s="11" t="n">
        <f aca="false">_xlfn.MINIFS('Futures Data'!$B$5:$B$3471,'Futures Data'!$A$5:$A$3471,A317,'Futures Data'!$B$5:$B$3471,"&gt;"&amp;C317)</f>
        <v>45646</v>
      </c>
      <c r="G317" s="3" t="n">
        <f aca="false">SUMIFS('Futures Data'!$E$5:$E$3471,'Futures Data'!$A$5:$A$3471,A317,'Futures Data'!$B$5:$B$3471,F317)</f>
        <v>20575</v>
      </c>
      <c r="H317" s="9" t="b">
        <f aca="false">G317&gt;E317</f>
        <v>1</v>
      </c>
      <c r="I317" s="9" t="b">
        <f aca="false">C317&lt;&gt;B317</f>
        <v>0</v>
      </c>
      <c r="J317" s="3" t="n">
        <f aca="false">SUMIFS('Futures Data'!$C$5:$C$3471,'Futures Data'!$A$5:$A$3471,A317,'Futures Data'!$B$5:$B$3471,B317)</f>
        <v>6592</v>
      </c>
      <c r="K317" s="3" t="n">
        <f aca="false">SUMIFS('Futures Data'!$C$5:$C$3471,'Futures Data'!$A$5:$A$3471,A317,'Futures Data'!$B$5:$B$3471,C317)</f>
        <v>6592</v>
      </c>
      <c r="L317" s="3" t="n">
        <f aca="false">K317-J317</f>
        <v>0</v>
      </c>
      <c r="M317" s="3" t="n">
        <f aca="false">M318+L317</f>
        <v>1285</v>
      </c>
      <c r="N317" s="3" t="n">
        <f aca="false">J317+M317</f>
        <v>7877</v>
      </c>
      <c r="O317" s="13" t="n">
        <f aca="false">LN(J317/K316)</f>
        <v>0.00410428485241102</v>
      </c>
      <c r="P317" s="13" t="n">
        <f aca="false">LN(N317/N316)</f>
        <v>0.00343358892687023</v>
      </c>
      <c r="Q317" s="3" t="n">
        <f aca="false">SUMIFS('Futures Data'!$D$5:$D$3471,'Futures Data'!$A$5:$A$3471,A317,'Futures Data'!$B$5:$B$3471,B317)</f>
        <v>5005</v>
      </c>
      <c r="R317" s="7" t="n">
        <v>45616</v>
      </c>
      <c r="S317" s="9" t="b">
        <f aca="false">C317=R317</f>
        <v>1</v>
      </c>
      <c r="T317" s="9" t="b">
        <f aca="false">ABS(O317-LN(J317/SUMIFS('Futures Data'!$C$5:$C$3471,'Futures Data'!$A$5:$A$3471,A316,'Futures Data'!$B$5:$B$3471,B317)))&lt;0.000000001</f>
        <v>1</v>
      </c>
    </row>
    <row r="318" customFormat="false" ht="15" hidden="false" customHeight="false" outlineLevel="0" collapsed="false">
      <c r="A318" s="7" t="n">
        <v>45596</v>
      </c>
      <c r="B318" s="11" t="n">
        <f aca="false">C317</f>
        <v>45616</v>
      </c>
      <c r="C318" s="11" t="n">
        <f aca="false">IF(OR(H317,D318&lt;=$G$4),_xlfn.MINIFS('Futures Data'!$B$5:$B$3471,'Futures Data'!$A$5:$A$3471,A318,'Futures Data'!$B$5:$B$3471,"&gt;"&amp;B318),B318)</f>
        <v>45646</v>
      </c>
      <c r="D318" s="3" t="n">
        <f aca="false">COUNTIFS($A$47:$A$790,"&gt;"&amp;A318,$A$47:$A$790,"&lt;="&amp;B318)+IF(B318&gt;$G$5,NETWORKDAYS($G$5+1,B318),0)</f>
        <v>12</v>
      </c>
      <c r="E318" s="3" t="n">
        <f aca="false">SUMIFS('Futures Data'!$E$5:$E$3471,'Futures Data'!$A$5:$A$3471,A318,'Futures Data'!$B$5:$B$3471,C318)</f>
        <v>21185</v>
      </c>
      <c r="F318" s="11" t="n">
        <f aca="false">_xlfn.MINIFS('Futures Data'!$B$5:$B$3471,'Futures Data'!$A$5:$A$3471,A318,'Futures Data'!$B$5:$B$3471,"&gt;"&amp;C318)</f>
        <v>45677</v>
      </c>
      <c r="G318" s="3" t="n">
        <f aca="false">SUMIFS('Futures Data'!$E$5:$E$3471,'Futures Data'!$A$5:$A$3471,A318,'Futures Data'!$B$5:$B$3471,F318)</f>
        <v>620</v>
      </c>
      <c r="H318" s="9" t="b">
        <f aca="false">G318&gt;E318</f>
        <v>0</v>
      </c>
      <c r="I318" s="9" t="b">
        <f aca="false">C318&lt;&gt;B318</f>
        <v>1</v>
      </c>
      <c r="J318" s="3" t="n">
        <f aca="false">SUMIFS('Futures Data'!$C$5:$C$3471,'Futures Data'!$A$5:$A$3471,A318,'Futures Data'!$B$5:$B$3471,B318)</f>
        <v>6603</v>
      </c>
      <c r="K318" s="3" t="n">
        <f aca="false">SUMIFS('Futures Data'!$C$5:$C$3471,'Futures Data'!$A$5:$A$3471,A318,'Futures Data'!$B$5:$B$3471,C318)</f>
        <v>6724</v>
      </c>
      <c r="L318" s="3" t="n">
        <f aca="false">K318-J318</f>
        <v>121</v>
      </c>
      <c r="M318" s="3" t="n">
        <f aca="false">M319+L318</f>
        <v>1285</v>
      </c>
      <c r="N318" s="3" t="n">
        <f aca="false">J318+M318</f>
        <v>7888</v>
      </c>
      <c r="O318" s="13" t="n">
        <f aca="false">LN(J318/K317)</f>
        <v>0.00166729860526371</v>
      </c>
      <c r="P318" s="13" t="n">
        <f aca="false">LN(N318/N317)</f>
        <v>0.00139549657914699</v>
      </c>
      <c r="Q318" s="3" t="n">
        <f aca="false">SUMIFS('Futures Data'!$D$5:$D$3471,'Futures Data'!$A$5:$A$3471,A318,'Futures Data'!$B$5:$B$3471,B318)</f>
        <v>2975</v>
      </c>
      <c r="R318" s="7" t="n">
        <v>45646</v>
      </c>
      <c r="S318" s="9" t="b">
        <f aca="false">C318=R318</f>
        <v>1</v>
      </c>
      <c r="T318" s="9" t="b">
        <f aca="false">ABS(O318-LN(J318/SUMIFS('Futures Data'!$C$5:$C$3471,'Futures Data'!$A$5:$A$3471,A317,'Futures Data'!$B$5:$B$3471,B318)))&lt;0.000000001</f>
        <v>1</v>
      </c>
    </row>
    <row r="319" customFormat="false" ht="15" hidden="false" customHeight="false" outlineLevel="0" collapsed="false">
      <c r="A319" s="7" t="n">
        <v>45597</v>
      </c>
      <c r="B319" s="11" t="n">
        <f aca="false">C318</f>
        <v>45646</v>
      </c>
      <c r="C319" s="11" t="n">
        <f aca="false">IF(OR(H318,D319&lt;=$G$4),_xlfn.MINIFS('Futures Data'!$B$5:$B$3471,'Futures Data'!$A$5:$A$3471,A319,'Futures Data'!$B$5:$B$3471,"&gt;"&amp;B319),B319)</f>
        <v>45646</v>
      </c>
      <c r="D319" s="3" t="n">
        <f aca="false">COUNTIFS($A$47:$A$790,"&gt;"&amp;A319,$A$47:$A$790,"&lt;="&amp;B319)+IF(B319&gt;$G$5,NETWORKDAYS($G$5+1,B319),0)</f>
        <v>33</v>
      </c>
      <c r="E319" s="3" t="n">
        <f aca="false">SUMIFS('Futures Data'!$E$5:$E$3471,'Futures Data'!$A$5:$A$3471,A319,'Futures Data'!$B$5:$B$3471,C319)</f>
        <v>21805</v>
      </c>
      <c r="F319" s="11" t="n">
        <f aca="false">_xlfn.MINIFS('Futures Data'!$B$5:$B$3471,'Futures Data'!$A$5:$A$3471,A319,'Futures Data'!$B$5:$B$3471,"&gt;"&amp;C319)</f>
        <v>45677</v>
      </c>
      <c r="G319" s="3" t="n">
        <f aca="false">SUMIFS('Futures Data'!$E$5:$E$3471,'Futures Data'!$A$5:$A$3471,A319,'Futures Data'!$B$5:$B$3471,F319)</f>
        <v>695</v>
      </c>
      <c r="H319" s="9" t="b">
        <f aca="false">G319&gt;E319</f>
        <v>0</v>
      </c>
      <c r="I319" s="9" t="b">
        <f aca="false">C319&lt;&gt;B319</f>
        <v>0</v>
      </c>
      <c r="J319" s="3" t="n">
        <f aca="false">SUMIFS('Futures Data'!$C$5:$C$3471,'Futures Data'!$A$5:$A$3471,A319,'Futures Data'!$B$5:$B$3471,B319)</f>
        <v>6739</v>
      </c>
      <c r="K319" s="3" t="n">
        <f aca="false">SUMIFS('Futures Data'!$C$5:$C$3471,'Futures Data'!$A$5:$A$3471,A319,'Futures Data'!$B$5:$B$3471,C319)</f>
        <v>6739</v>
      </c>
      <c r="L319" s="3" t="n">
        <f aca="false">K319-J319</f>
        <v>0</v>
      </c>
      <c r="M319" s="3" t="n">
        <f aca="false">M320+L319</f>
        <v>1164</v>
      </c>
      <c r="N319" s="3" t="n">
        <f aca="false">J319+M319</f>
        <v>7903</v>
      </c>
      <c r="O319" s="13" t="n">
        <f aca="false">LN(J319/K318)</f>
        <v>0.00222833041771083</v>
      </c>
      <c r="P319" s="13" t="n">
        <f aca="false">LN(N319/N318)</f>
        <v>0.00189981692250407</v>
      </c>
      <c r="Q319" s="3" t="n">
        <f aca="false">SUMIFS('Futures Data'!$D$5:$D$3471,'Futures Data'!$A$5:$A$3471,A319,'Futures Data'!$B$5:$B$3471,B319)</f>
        <v>2705</v>
      </c>
      <c r="R319" s="7" t="n">
        <v>45646</v>
      </c>
      <c r="S319" s="9" t="b">
        <f aca="false">C319=R319</f>
        <v>1</v>
      </c>
      <c r="T319" s="9" t="b">
        <f aca="false">ABS(O319-LN(J319/SUMIFS('Futures Data'!$C$5:$C$3471,'Futures Data'!$A$5:$A$3471,A318,'Futures Data'!$B$5:$B$3471,B319)))&lt;0.000000001</f>
        <v>1</v>
      </c>
    </row>
    <row r="320" customFormat="false" ht="15" hidden="false" customHeight="false" outlineLevel="0" collapsed="false">
      <c r="A320" s="7" t="n">
        <v>45600</v>
      </c>
      <c r="B320" s="11" t="n">
        <f aca="false">C319</f>
        <v>45646</v>
      </c>
      <c r="C320" s="11" t="n">
        <f aca="false">IF(OR(H319,D320&lt;=$G$4),_xlfn.MINIFS('Futures Data'!$B$5:$B$3471,'Futures Data'!$A$5:$A$3471,A320,'Futures Data'!$B$5:$B$3471,"&gt;"&amp;B320),B320)</f>
        <v>45646</v>
      </c>
      <c r="D320" s="3" t="n">
        <f aca="false">COUNTIFS($A$47:$A$790,"&gt;"&amp;A320,$A$47:$A$790,"&lt;="&amp;B320)+IF(B320&gt;$G$5,NETWORKDAYS($G$5+1,B320),0)</f>
        <v>32</v>
      </c>
      <c r="E320" s="3" t="n">
        <f aca="false">SUMIFS('Futures Data'!$E$5:$E$3471,'Futures Data'!$A$5:$A$3471,A320,'Futures Data'!$B$5:$B$3471,C320)</f>
        <v>23370</v>
      </c>
      <c r="F320" s="11" t="n">
        <f aca="false">_xlfn.MINIFS('Futures Data'!$B$5:$B$3471,'Futures Data'!$A$5:$A$3471,A320,'Futures Data'!$B$5:$B$3471,"&gt;"&amp;C320)</f>
        <v>45677</v>
      </c>
      <c r="G320" s="3" t="n">
        <f aca="false">SUMIFS('Futures Data'!$E$5:$E$3471,'Futures Data'!$A$5:$A$3471,A320,'Futures Data'!$B$5:$B$3471,F320)</f>
        <v>695</v>
      </c>
      <c r="H320" s="9" t="b">
        <f aca="false">G320&gt;E320</f>
        <v>0</v>
      </c>
      <c r="I320" s="9" t="b">
        <f aca="false">C320&lt;&gt;B320</f>
        <v>0</v>
      </c>
      <c r="J320" s="3" t="n">
        <f aca="false">SUMIFS('Futures Data'!$C$5:$C$3471,'Futures Data'!$A$5:$A$3471,A320,'Futures Data'!$B$5:$B$3471,B320)</f>
        <v>6671</v>
      </c>
      <c r="K320" s="3" t="n">
        <f aca="false">SUMIFS('Futures Data'!$C$5:$C$3471,'Futures Data'!$A$5:$A$3471,A320,'Futures Data'!$B$5:$B$3471,C320)</f>
        <v>6671</v>
      </c>
      <c r="L320" s="3" t="n">
        <f aca="false">K320-J320</f>
        <v>0</v>
      </c>
      <c r="M320" s="3" t="n">
        <f aca="false">M321+L320</f>
        <v>1164</v>
      </c>
      <c r="N320" s="3" t="n">
        <f aca="false">J320+M320</f>
        <v>7835</v>
      </c>
      <c r="O320" s="13" t="n">
        <f aca="false">LN(J320/K319)</f>
        <v>-0.0101417722367016</v>
      </c>
      <c r="P320" s="13" t="n">
        <f aca="false">LN(N320/N319)</f>
        <v>-0.00864155841485415</v>
      </c>
      <c r="Q320" s="3" t="n">
        <f aca="false">SUMIFS('Futures Data'!$D$5:$D$3471,'Futures Data'!$A$5:$A$3471,A320,'Futures Data'!$B$5:$B$3471,B320)</f>
        <v>5185</v>
      </c>
      <c r="R320" s="7" t="n">
        <v>45646</v>
      </c>
      <c r="S320" s="9" t="b">
        <f aca="false">C320=R320</f>
        <v>1</v>
      </c>
      <c r="T320" s="9" t="b">
        <f aca="false">ABS(O320-LN(J320/SUMIFS('Futures Data'!$C$5:$C$3471,'Futures Data'!$A$5:$A$3471,A319,'Futures Data'!$B$5:$B$3471,B320)))&lt;0.000000001</f>
        <v>1</v>
      </c>
    </row>
    <row r="321" customFormat="false" ht="15" hidden="false" customHeight="false" outlineLevel="0" collapsed="false">
      <c r="A321" s="7" t="n">
        <v>45601</v>
      </c>
      <c r="B321" s="11" t="n">
        <f aca="false">C320</f>
        <v>45646</v>
      </c>
      <c r="C321" s="11" t="n">
        <f aca="false">IF(OR(H320,D321&lt;=$G$4),_xlfn.MINIFS('Futures Data'!$B$5:$B$3471,'Futures Data'!$A$5:$A$3471,A321,'Futures Data'!$B$5:$B$3471,"&gt;"&amp;B321),B321)</f>
        <v>45646</v>
      </c>
      <c r="D321" s="3" t="n">
        <f aca="false">COUNTIFS($A$47:$A$790,"&gt;"&amp;A321,$A$47:$A$790,"&lt;="&amp;B321)+IF(B321&gt;$G$5,NETWORKDAYS($G$5+1,B321),0)</f>
        <v>31</v>
      </c>
      <c r="E321" s="3" t="n">
        <f aca="false">SUMIFS('Futures Data'!$E$5:$E$3471,'Futures Data'!$A$5:$A$3471,A321,'Futures Data'!$B$5:$B$3471,C321)</f>
        <v>24165</v>
      </c>
      <c r="F321" s="11" t="n">
        <f aca="false">_xlfn.MINIFS('Futures Data'!$B$5:$B$3471,'Futures Data'!$A$5:$A$3471,A321,'Futures Data'!$B$5:$B$3471,"&gt;"&amp;C321)</f>
        <v>45677</v>
      </c>
      <c r="G321" s="3" t="n">
        <f aca="false">SUMIFS('Futures Data'!$E$5:$E$3471,'Futures Data'!$A$5:$A$3471,A321,'Futures Data'!$B$5:$B$3471,F321)</f>
        <v>700</v>
      </c>
      <c r="H321" s="9" t="b">
        <f aca="false">G321&gt;E321</f>
        <v>0</v>
      </c>
      <c r="I321" s="9" t="b">
        <f aca="false">C321&lt;&gt;B321</f>
        <v>0</v>
      </c>
      <c r="J321" s="3" t="n">
        <f aca="false">SUMIFS('Futures Data'!$C$5:$C$3471,'Futures Data'!$A$5:$A$3471,A321,'Futures Data'!$B$5:$B$3471,B321)</f>
        <v>6661</v>
      </c>
      <c r="K321" s="3" t="n">
        <f aca="false">SUMIFS('Futures Data'!$C$5:$C$3471,'Futures Data'!$A$5:$A$3471,A321,'Futures Data'!$B$5:$B$3471,C321)</f>
        <v>6661</v>
      </c>
      <c r="L321" s="3" t="n">
        <f aca="false">K321-J321</f>
        <v>0</v>
      </c>
      <c r="M321" s="3" t="n">
        <f aca="false">M322+L321</f>
        <v>1164</v>
      </c>
      <c r="N321" s="3" t="n">
        <f aca="false">J321+M321</f>
        <v>7825</v>
      </c>
      <c r="O321" s="13" t="n">
        <f aca="false">LN(J321/K320)</f>
        <v>-0.00150015029633603</v>
      </c>
      <c r="P321" s="13" t="n">
        <f aca="false">LN(N321/N320)</f>
        <v>-0.00127713938176729</v>
      </c>
      <c r="Q321" s="3" t="n">
        <f aca="false">SUMIFS('Futures Data'!$D$5:$D$3471,'Futures Data'!$A$5:$A$3471,A321,'Futures Data'!$B$5:$B$3471,B321)</f>
        <v>3200</v>
      </c>
      <c r="R321" s="7" t="n">
        <v>45646</v>
      </c>
      <c r="S321" s="9" t="b">
        <f aca="false">C321=R321</f>
        <v>1</v>
      </c>
      <c r="T321" s="9" t="b">
        <f aca="false">ABS(O321-LN(J321/SUMIFS('Futures Data'!$C$5:$C$3471,'Futures Data'!$A$5:$A$3471,A320,'Futures Data'!$B$5:$B$3471,B321)))&lt;0.000000001</f>
        <v>1</v>
      </c>
    </row>
    <row r="322" customFormat="false" ht="15" hidden="false" customHeight="false" outlineLevel="0" collapsed="false">
      <c r="A322" s="7" t="n">
        <v>45602</v>
      </c>
      <c r="B322" s="11" t="n">
        <f aca="false">C321</f>
        <v>45646</v>
      </c>
      <c r="C322" s="11" t="n">
        <f aca="false">IF(OR(H321,D322&lt;=$G$4),_xlfn.MINIFS('Futures Data'!$B$5:$B$3471,'Futures Data'!$A$5:$A$3471,A322,'Futures Data'!$B$5:$B$3471,"&gt;"&amp;B322),B322)</f>
        <v>45646</v>
      </c>
      <c r="D322" s="3" t="n">
        <f aca="false">COUNTIFS($A$47:$A$790,"&gt;"&amp;A322,$A$47:$A$790,"&lt;="&amp;B322)+IF(B322&gt;$G$5,NETWORKDAYS($G$5+1,B322),0)</f>
        <v>30</v>
      </c>
      <c r="E322" s="3" t="n">
        <f aca="false">SUMIFS('Futures Data'!$E$5:$E$3471,'Futures Data'!$A$5:$A$3471,A322,'Futures Data'!$B$5:$B$3471,C322)</f>
        <v>26195</v>
      </c>
      <c r="F322" s="11" t="n">
        <f aca="false">_xlfn.MINIFS('Futures Data'!$B$5:$B$3471,'Futures Data'!$A$5:$A$3471,A322,'Futures Data'!$B$5:$B$3471,"&gt;"&amp;C322)</f>
        <v>45677</v>
      </c>
      <c r="G322" s="3" t="n">
        <f aca="false">SUMIFS('Futures Data'!$E$5:$E$3471,'Futures Data'!$A$5:$A$3471,A322,'Futures Data'!$B$5:$B$3471,F322)</f>
        <v>710</v>
      </c>
      <c r="H322" s="9" t="b">
        <f aca="false">G322&gt;E322</f>
        <v>0</v>
      </c>
      <c r="I322" s="9" t="b">
        <f aca="false">C322&lt;&gt;B322</f>
        <v>0</v>
      </c>
      <c r="J322" s="3" t="n">
        <f aca="false">SUMIFS('Futures Data'!$C$5:$C$3471,'Futures Data'!$A$5:$A$3471,A322,'Futures Data'!$B$5:$B$3471,B322)</f>
        <v>6731</v>
      </c>
      <c r="K322" s="3" t="n">
        <f aca="false">SUMIFS('Futures Data'!$C$5:$C$3471,'Futures Data'!$A$5:$A$3471,A322,'Futures Data'!$B$5:$B$3471,C322)</f>
        <v>6731</v>
      </c>
      <c r="L322" s="3" t="n">
        <f aca="false">K322-J322</f>
        <v>0</v>
      </c>
      <c r="M322" s="3" t="n">
        <f aca="false">M323+L322</f>
        <v>1164</v>
      </c>
      <c r="N322" s="3" t="n">
        <f aca="false">J322+M322</f>
        <v>7895</v>
      </c>
      <c r="O322" s="13" t="n">
        <f aca="false">LN(J322/K321)</f>
        <v>0.0104540975975336</v>
      </c>
      <c r="P322" s="13" t="n">
        <f aca="false">LN(N322/N321)</f>
        <v>0.00890591128138857</v>
      </c>
      <c r="Q322" s="3" t="n">
        <f aca="false">SUMIFS('Futures Data'!$D$5:$D$3471,'Futures Data'!$A$5:$A$3471,A322,'Futures Data'!$B$5:$B$3471,B322)</f>
        <v>5245</v>
      </c>
      <c r="R322" s="7" t="n">
        <v>45646</v>
      </c>
      <c r="S322" s="9" t="b">
        <f aca="false">C322=R322</f>
        <v>1</v>
      </c>
      <c r="T322" s="9" t="b">
        <f aca="false">ABS(O322-LN(J322/SUMIFS('Futures Data'!$C$5:$C$3471,'Futures Data'!$A$5:$A$3471,A321,'Futures Data'!$B$5:$B$3471,B322)))&lt;0.000000001</f>
        <v>1</v>
      </c>
    </row>
    <row r="323" customFormat="false" ht="15" hidden="false" customHeight="false" outlineLevel="0" collapsed="false">
      <c r="A323" s="7" t="n">
        <v>45603</v>
      </c>
      <c r="B323" s="11" t="n">
        <f aca="false">C322</f>
        <v>45646</v>
      </c>
      <c r="C323" s="11" t="n">
        <f aca="false">IF(OR(H322,D323&lt;=$G$4),_xlfn.MINIFS('Futures Data'!$B$5:$B$3471,'Futures Data'!$A$5:$A$3471,A323,'Futures Data'!$B$5:$B$3471,"&gt;"&amp;B323),B323)</f>
        <v>45646</v>
      </c>
      <c r="D323" s="3" t="n">
        <f aca="false">COUNTIFS($A$47:$A$790,"&gt;"&amp;A323,$A$47:$A$790,"&lt;="&amp;B323)+IF(B323&gt;$G$5,NETWORKDAYS($G$5+1,B323),0)</f>
        <v>29</v>
      </c>
      <c r="E323" s="3" t="n">
        <f aca="false">SUMIFS('Futures Data'!$E$5:$E$3471,'Futures Data'!$A$5:$A$3471,A323,'Futures Data'!$B$5:$B$3471,C323)</f>
        <v>26310</v>
      </c>
      <c r="F323" s="11" t="n">
        <f aca="false">_xlfn.MINIFS('Futures Data'!$B$5:$B$3471,'Futures Data'!$A$5:$A$3471,A323,'Futures Data'!$B$5:$B$3471,"&gt;"&amp;C323)</f>
        <v>45677</v>
      </c>
      <c r="G323" s="3" t="n">
        <f aca="false">SUMIFS('Futures Data'!$E$5:$E$3471,'Futures Data'!$A$5:$A$3471,A323,'Futures Data'!$B$5:$B$3471,F323)</f>
        <v>980</v>
      </c>
      <c r="H323" s="9" t="b">
        <f aca="false">G323&gt;E323</f>
        <v>0</v>
      </c>
      <c r="I323" s="9" t="b">
        <f aca="false">C323&lt;&gt;B323</f>
        <v>0</v>
      </c>
      <c r="J323" s="3" t="n">
        <f aca="false">SUMIFS('Futures Data'!$C$5:$C$3471,'Futures Data'!$A$5:$A$3471,A323,'Futures Data'!$B$5:$B$3471,B323)</f>
        <v>6751</v>
      </c>
      <c r="K323" s="3" t="n">
        <f aca="false">SUMIFS('Futures Data'!$C$5:$C$3471,'Futures Data'!$A$5:$A$3471,A323,'Futures Data'!$B$5:$B$3471,C323)</f>
        <v>6751</v>
      </c>
      <c r="L323" s="3" t="n">
        <f aca="false">K323-J323</f>
        <v>0</v>
      </c>
      <c r="M323" s="3" t="n">
        <f aca="false">M324+L323</f>
        <v>1164</v>
      </c>
      <c r="N323" s="3" t="n">
        <f aca="false">J323+M323</f>
        <v>7915</v>
      </c>
      <c r="O323" s="13" t="n">
        <f aca="false">LN(J323/K322)</f>
        <v>0.00296692103115732</v>
      </c>
      <c r="P323" s="13" t="n">
        <f aca="false">LN(N323/N322)</f>
        <v>0.00253004562537004</v>
      </c>
      <c r="Q323" s="3" t="n">
        <f aca="false">SUMIFS('Futures Data'!$D$5:$D$3471,'Futures Data'!$A$5:$A$3471,A323,'Futures Data'!$B$5:$B$3471,B323)</f>
        <v>7245</v>
      </c>
      <c r="R323" s="7" t="n">
        <v>45646</v>
      </c>
      <c r="S323" s="9" t="b">
        <f aca="false">C323=R323</f>
        <v>1</v>
      </c>
      <c r="T323" s="9" t="b">
        <f aca="false">ABS(O323-LN(J323/SUMIFS('Futures Data'!$C$5:$C$3471,'Futures Data'!$A$5:$A$3471,A322,'Futures Data'!$B$5:$B$3471,B323)))&lt;0.000000001</f>
        <v>1</v>
      </c>
    </row>
    <row r="324" customFormat="false" ht="15" hidden="false" customHeight="false" outlineLevel="0" collapsed="false">
      <c r="A324" s="7" t="n">
        <v>45604</v>
      </c>
      <c r="B324" s="11" t="n">
        <f aca="false">C323</f>
        <v>45646</v>
      </c>
      <c r="C324" s="11" t="n">
        <f aca="false">IF(OR(H323,D324&lt;=$G$4),_xlfn.MINIFS('Futures Data'!$B$5:$B$3471,'Futures Data'!$A$5:$A$3471,A324,'Futures Data'!$B$5:$B$3471,"&gt;"&amp;B324),B324)</f>
        <v>45646</v>
      </c>
      <c r="D324" s="3" t="n">
        <f aca="false">COUNTIFS($A$47:$A$790,"&gt;"&amp;A324,$A$47:$A$790,"&lt;="&amp;B324)+IF(B324&gt;$G$5,NETWORKDAYS($G$5+1,B324),0)</f>
        <v>28</v>
      </c>
      <c r="E324" s="3" t="n">
        <f aca="false">SUMIFS('Futures Data'!$E$5:$E$3471,'Futures Data'!$A$5:$A$3471,A324,'Futures Data'!$B$5:$B$3471,C324)</f>
        <v>26995</v>
      </c>
      <c r="F324" s="11" t="n">
        <f aca="false">_xlfn.MINIFS('Futures Data'!$B$5:$B$3471,'Futures Data'!$A$5:$A$3471,A324,'Futures Data'!$B$5:$B$3471,"&gt;"&amp;C324)</f>
        <v>45677</v>
      </c>
      <c r="G324" s="3" t="n">
        <f aca="false">SUMIFS('Futures Data'!$E$5:$E$3471,'Futures Data'!$A$5:$A$3471,A324,'Futures Data'!$B$5:$B$3471,F324)</f>
        <v>1095</v>
      </c>
      <c r="H324" s="9" t="b">
        <f aca="false">G324&gt;E324</f>
        <v>0</v>
      </c>
      <c r="I324" s="9" t="b">
        <f aca="false">C324&lt;&gt;B324</f>
        <v>0</v>
      </c>
      <c r="J324" s="3" t="n">
        <f aca="false">SUMIFS('Futures Data'!$C$5:$C$3471,'Futures Data'!$A$5:$A$3471,A324,'Futures Data'!$B$5:$B$3471,B324)</f>
        <v>6712</v>
      </c>
      <c r="K324" s="3" t="n">
        <f aca="false">SUMIFS('Futures Data'!$C$5:$C$3471,'Futures Data'!$A$5:$A$3471,A324,'Futures Data'!$B$5:$B$3471,C324)</f>
        <v>6712</v>
      </c>
      <c r="L324" s="3" t="n">
        <f aca="false">K324-J324</f>
        <v>0</v>
      </c>
      <c r="M324" s="3" t="n">
        <f aca="false">M325+L324</f>
        <v>1164</v>
      </c>
      <c r="N324" s="3" t="n">
        <f aca="false">J324+M324</f>
        <v>7876</v>
      </c>
      <c r="O324" s="13" t="n">
        <f aca="false">LN(J324/K323)</f>
        <v>-0.00579367289482832</v>
      </c>
      <c r="P324" s="13" t="n">
        <f aca="false">LN(N324/N323)</f>
        <v>-0.00493953255609639</v>
      </c>
      <c r="Q324" s="3" t="n">
        <f aca="false">SUMIFS('Futures Data'!$D$5:$D$3471,'Futures Data'!$A$5:$A$3471,A324,'Futures Data'!$B$5:$B$3471,B324)</f>
        <v>6875</v>
      </c>
      <c r="R324" s="7" t="n">
        <v>45646</v>
      </c>
      <c r="S324" s="9" t="b">
        <f aca="false">C324=R324</f>
        <v>1</v>
      </c>
      <c r="T324" s="9" t="b">
        <f aca="false">ABS(O324-LN(J324/SUMIFS('Futures Data'!$C$5:$C$3471,'Futures Data'!$A$5:$A$3471,A323,'Futures Data'!$B$5:$B$3471,B324)))&lt;0.000000001</f>
        <v>1</v>
      </c>
    </row>
    <row r="325" customFormat="false" ht="15" hidden="false" customHeight="false" outlineLevel="0" collapsed="false">
      <c r="A325" s="7" t="n">
        <v>45607</v>
      </c>
      <c r="B325" s="11" t="n">
        <f aca="false">C324</f>
        <v>45646</v>
      </c>
      <c r="C325" s="11" t="n">
        <f aca="false">IF(OR(H324,D325&lt;=$G$4),_xlfn.MINIFS('Futures Data'!$B$5:$B$3471,'Futures Data'!$A$5:$A$3471,A325,'Futures Data'!$B$5:$B$3471,"&gt;"&amp;B325),B325)</f>
        <v>45646</v>
      </c>
      <c r="D325" s="3" t="n">
        <f aca="false">COUNTIFS($A$47:$A$790,"&gt;"&amp;A325,$A$47:$A$790,"&lt;="&amp;B325)+IF(B325&gt;$G$5,NETWORKDAYS($G$5+1,B325),0)</f>
        <v>27</v>
      </c>
      <c r="E325" s="3" t="n">
        <f aca="false">SUMIFS('Futures Data'!$E$5:$E$3471,'Futures Data'!$A$5:$A$3471,A325,'Futures Data'!$B$5:$B$3471,C325)</f>
        <v>26995</v>
      </c>
      <c r="F325" s="11" t="n">
        <f aca="false">_xlfn.MINIFS('Futures Data'!$B$5:$B$3471,'Futures Data'!$A$5:$A$3471,A325,'Futures Data'!$B$5:$B$3471,"&gt;"&amp;C325)</f>
        <v>45677</v>
      </c>
      <c r="G325" s="3" t="n">
        <f aca="false">SUMIFS('Futures Data'!$E$5:$E$3471,'Futures Data'!$A$5:$A$3471,A325,'Futures Data'!$B$5:$B$3471,F325)</f>
        <v>2790</v>
      </c>
      <c r="H325" s="9" t="b">
        <f aca="false">G325&gt;E325</f>
        <v>0</v>
      </c>
      <c r="I325" s="9" t="b">
        <f aca="false">C325&lt;&gt;B325</f>
        <v>0</v>
      </c>
      <c r="J325" s="3" t="n">
        <f aca="false">SUMIFS('Futures Data'!$C$5:$C$3471,'Futures Data'!$A$5:$A$3471,A325,'Futures Data'!$B$5:$B$3471,B325)</f>
        <v>6691</v>
      </c>
      <c r="K325" s="3" t="n">
        <f aca="false">SUMIFS('Futures Data'!$C$5:$C$3471,'Futures Data'!$A$5:$A$3471,A325,'Futures Data'!$B$5:$B$3471,C325)</f>
        <v>6691</v>
      </c>
      <c r="L325" s="3" t="n">
        <f aca="false">K325-J325</f>
        <v>0</v>
      </c>
      <c r="M325" s="3" t="n">
        <f aca="false">M326+L325</f>
        <v>1164</v>
      </c>
      <c r="N325" s="3" t="n">
        <f aca="false">J325+M325</f>
        <v>7855</v>
      </c>
      <c r="O325" s="13" t="n">
        <f aca="false">LN(J325/K324)</f>
        <v>-0.00313362936422512</v>
      </c>
      <c r="P325" s="13" t="n">
        <f aca="false">LN(N325/N324)</f>
        <v>-0.00266988906929465</v>
      </c>
      <c r="Q325" s="3" t="n">
        <f aca="false">SUMIFS('Futures Data'!$D$5:$D$3471,'Futures Data'!$A$5:$A$3471,A325,'Futures Data'!$B$5:$B$3471,B325)</f>
        <v>5890</v>
      </c>
      <c r="R325" s="7" t="n">
        <v>45646</v>
      </c>
      <c r="S325" s="9" t="b">
        <f aca="false">C325=R325</f>
        <v>1</v>
      </c>
      <c r="T325" s="9" t="b">
        <f aca="false">ABS(O325-LN(J325/SUMIFS('Futures Data'!$C$5:$C$3471,'Futures Data'!$A$5:$A$3471,A324,'Futures Data'!$B$5:$B$3471,B325)))&lt;0.000000001</f>
        <v>1</v>
      </c>
    </row>
    <row r="326" customFormat="false" ht="15" hidden="false" customHeight="false" outlineLevel="0" collapsed="false">
      <c r="A326" s="7" t="n">
        <v>45608</v>
      </c>
      <c r="B326" s="11" t="n">
        <f aca="false">C325</f>
        <v>45646</v>
      </c>
      <c r="C326" s="11" t="n">
        <f aca="false">IF(OR(H325,D326&lt;=$G$4),_xlfn.MINIFS('Futures Data'!$B$5:$B$3471,'Futures Data'!$A$5:$A$3471,A326,'Futures Data'!$B$5:$B$3471,"&gt;"&amp;B326),B326)</f>
        <v>45646</v>
      </c>
      <c r="D326" s="3" t="n">
        <f aca="false">COUNTIFS($A$47:$A$790,"&gt;"&amp;A326,$A$47:$A$790,"&lt;="&amp;B326)+IF(B326&gt;$G$5,NETWORKDAYS($G$5+1,B326),0)</f>
        <v>26</v>
      </c>
      <c r="E326" s="3" t="n">
        <f aca="false">SUMIFS('Futures Data'!$E$5:$E$3471,'Futures Data'!$A$5:$A$3471,A326,'Futures Data'!$B$5:$B$3471,C326)</f>
        <v>26325</v>
      </c>
      <c r="F326" s="11" t="n">
        <f aca="false">_xlfn.MINIFS('Futures Data'!$B$5:$B$3471,'Futures Data'!$A$5:$A$3471,A326,'Futures Data'!$B$5:$B$3471,"&gt;"&amp;C326)</f>
        <v>45677</v>
      </c>
      <c r="G326" s="3" t="n">
        <f aca="false">SUMIFS('Futures Data'!$E$5:$E$3471,'Futures Data'!$A$5:$A$3471,A326,'Futures Data'!$B$5:$B$3471,F326)</f>
        <v>3140</v>
      </c>
      <c r="H326" s="9" t="b">
        <f aca="false">G326&gt;E326</f>
        <v>0</v>
      </c>
      <c r="I326" s="9" t="b">
        <f aca="false">C326&lt;&gt;B326</f>
        <v>0</v>
      </c>
      <c r="J326" s="3" t="n">
        <f aca="false">SUMIFS('Futures Data'!$C$5:$C$3471,'Futures Data'!$A$5:$A$3471,A326,'Futures Data'!$B$5:$B$3471,B326)</f>
        <v>6670</v>
      </c>
      <c r="K326" s="3" t="n">
        <f aca="false">SUMIFS('Futures Data'!$C$5:$C$3471,'Futures Data'!$A$5:$A$3471,A326,'Futures Data'!$B$5:$B$3471,C326)</f>
        <v>6670</v>
      </c>
      <c r="L326" s="3" t="n">
        <f aca="false">K326-J326</f>
        <v>0</v>
      </c>
      <c r="M326" s="3" t="n">
        <f aca="false">M327+L326</f>
        <v>1164</v>
      </c>
      <c r="N326" s="3" t="n">
        <f aca="false">J326+M326</f>
        <v>7834</v>
      </c>
      <c r="O326" s="13" t="n">
        <f aca="false">LN(J326/K325)</f>
        <v>-0.00314347987314759</v>
      </c>
      <c r="P326" s="13" t="n">
        <f aca="false">LN(N326/N325)</f>
        <v>-0.00267703646394486</v>
      </c>
      <c r="Q326" s="3" t="n">
        <f aca="false">SUMIFS('Futures Data'!$D$5:$D$3471,'Futures Data'!$A$5:$A$3471,A326,'Futures Data'!$B$5:$B$3471,B326)</f>
        <v>5220</v>
      </c>
      <c r="R326" s="7" t="n">
        <v>45646</v>
      </c>
      <c r="S326" s="9" t="b">
        <f aca="false">C326=R326</f>
        <v>1</v>
      </c>
      <c r="T326" s="9" t="b">
        <f aca="false">ABS(O326-LN(J326/SUMIFS('Futures Data'!$C$5:$C$3471,'Futures Data'!$A$5:$A$3471,A325,'Futures Data'!$B$5:$B$3471,B326)))&lt;0.000000001</f>
        <v>1</v>
      </c>
    </row>
    <row r="327" customFormat="false" ht="15" hidden="false" customHeight="false" outlineLevel="0" collapsed="false">
      <c r="A327" s="7" t="n">
        <v>45609</v>
      </c>
      <c r="B327" s="11" t="n">
        <f aca="false">C326</f>
        <v>45646</v>
      </c>
      <c r="C327" s="11" t="n">
        <f aca="false">IF(OR(H326,D327&lt;=$G$4),_xlfn.MINIFS('Futures Data'!$B$5:$B$3471,'Futures Data'!$A$5:$A$3471,A327,'Futures Data'!$B$5:$B$3471,"&gt;"&amp;B327),B327)</f>
        <v>45646</v>
      </c>
      <c r="D327" s="3" t="n">
        <f aca="false">COUNTIFS($A$47:$A$790,"&gt;"&amp;A327,$A$47:$A$790,"&lt;="&amp;B327)+IF(B327&gt;$G$5,NETWORKDAYS($G$5+1,B327),0)</f>
        <v>25</v>
      </c>
      <c r="E327" s="3" t="n">
        <f aca="false">SUMIFS('Futures Data'!$E$5:$E$3471,'Futures Data'!$A$5:$A$3471,A327,'Futures Data'!$B$5:$B$3471,C327)</f>
        <v>25075</v>
      </c>
      <c r="F327" s="11" t="n">
        <f aca="false">_xlfn.MINIFS('Futures Data'!$B$5:$B$3471,'Futures Data'!$A$5:$A$3471,A327,'Futures Data'!$B$5:$B$3471,"&gt;"&amp;C327)</f>
        <v>45677</v>
      </c>
      <c r="G327" s="3" t="n">
        <f aca="false">SUMIFS('Futures Data'!$E$5:$E$3471,'Futures Data'!$A$5:$A$3471,A327,'Futures Data'!$B$5:$B$3471,F327)</f>
        <v>3425</v>
      </c>
      <c r="H327" s="9" t="b">
        <f aca="false">G327&gt;E327</f>
        <v>0</v>
      </c>
      <c r="I327" s="9" t="b">
        <f aca="false">C327&lt;&gt;B327</f>
        <v>0</v>
      </c>
      <c r="J327" s="3" t="n">
        <f aca="false">SUMIFS('Futures Data'!$C$5:$C$3471,'Futures Data'!$A$5:$A$3471,A327,'Futures Data'!$B$5:$B$3471,B327)</f>
        <v>6714</v>
      </c>
      <c r="K327" s="3" t="n">
        <f aca="false">SUMIFS('Futures Data'!$C$5:$C$3471,'Futures Data'!$A$5:$A$3471,A327,'Futures Data'!$B$5:$B$3471,C327)</f>
        <v>6714</v>
      </c>
      <c r="L327" s="3" t="n">
        <f aca="false">K327-J327</f>
        <v>0</v>
      </c>
      <c r="M327" s="3" t="n">
        <f aca="false">M328+L327</f>
        <v>1164</v>
      </c>
      <c r="N327" s="3" t="n">
        <f aca="false">J327+M327</f>
        <v>7878</v>
      </c>
      <c r="O327" s="13" t="n">
        <f aca="false">LN(J327/K326)</f>
        <v>0.00657503863031089</v>
      </c>
      <c r="P327" s="13" t="n">
        <f aca="false">LN(N327/N326)</f>
        <v>0.00560082930507457</v>
      </c>
      <c r="Q327" s="3" t="n">
        <f aca="false">SUMIFS('Futures Data'!$D$5:$D$3471,'Futures Data'!$A$5:$A$3471,A327,'Futures Data'!$B$5:$B$3471,B327)</f>
        <v>10945</v>
      </c>
      <c r="R327" s="7" t="n">
        <v>45646</v>
      </c>
      <c r="S327" s="9" t="b">
        <f aca="false">C327=R327</f>
        <v>1</v>
      </c>
      <c r="T327" s="9" t="b">
        <f aca="false">ABS(O327-LN(J327/SUMIFS('Futures Data'!$C$5:$C$3471,'Futures Data'!$A$5:$A$3471,A326,'Futures Data'!$B$5:$B$3471,B327)))&lt;0.000000001</f>
        <v>1</v>
      </c>
    </row>
    <row r="328" customFormat="false" ht="15" hidden="false" customHeight="false" outlineLevel="0" collapsed="false">
      <c r="A328" s="7" t="n">
        <v>45610</v>
      </c>
      <c r="B328" s="11" t="n">
        <f aca="false">C327</f>
        <v>45646</v>
      </c>
      <c r="C328" s="11" t="n">
        <f aca="false">IF(OR(H327,D328&lt;=$G$4),_xlfn.MINIFS('Futures Data'!$B$5:$B$3471,'Futures Data'!$A$5:$A$3471,A328,'Futures Data'!$B$5:$B$3471,"&gt;"&amp;B328),B328)</f>
        <v>45646</v>
      </c>
      <c r="D328" s="3" t="n">
        <f aca="false">COUNTIFS($A$47:$A$790,"&gt;"&amp;A328,$A$47:$A$790,"&lt;="&amp;B328)+IF(B328&gt;$G$5,NETWORKDAYS($G$5+1,B328),0)</f>
        <v>24</v>
      </c>
      <c r="E328" s="3" t="n">
        <f aca="false">SUMIFS('Futures Data'!$E$5:$E$3471,'Futures Data'!$A$5:$A$3471,A328,'Futures Data'!$B$5:$B$3471,C328)</f>
        <v>27010</v>
      </c>
      <c r="F328" s="11" t="n">
        <f aca="false">_xlfn.MINIFS('Futures Data'!$B$5:$B$3471,'Futures Data'!$A$5:$A$3471,A328,'Futures Data'!$B$5:$B$3471,"&gt;"&amp;C328)</f>
        <v>45677</v>
      </c>
      <c r="G328" s="3" t="n">
        <f aca="false">SUMIFS('Futures Data'!$E$5:$E$3471,'Futures Data'!$A$5:$A$3471,A328,'Futures Data'!$B$5:$B$3471,F328)</f>
        <v>3570</v>
      </c>
      <c r="H328" s="9" t="b">
        <f aca="false">G328&gt;E328</f>
        <v>0</v>
      </c>
      <c r="I328" s="9" t="b">
        <f aca="false">C328&lt;&gt;B328</f>
        <v>0</v>
      </c>
      <c r="J328" s="3" t="n">
        <f aca="false">SUMIFS('Futures Data'!$C$5:$C$3471,'Futures Data'!$A$5:$A$3471,A328,'Futures Data'!$B$5:$B$3471,B328)</f>
        <v>6691</v>
      </c>
      <c r="K328" s="3" t="n">
        <f aca="false">SUMIFS('Futures Data'!$C$5:$C$3471,'Futures Data'!$A$5:$A$3471,A328,'Futures Data'!$B$5:$B$3471,C328)</f>
        <v>6691</v>
      </c>
      <c r="L328" s="3" t="n">
        <f aca="false">K328-J328</f>
        <v>0</v>
      </c>
      <c r="M328" s="3" t="n">
        <f aca="false">M329+L328</f>
        <v>1164</v>
      </c>
      <c r="N328" s="3" t="n">
        <f aca="false">J328+M328</f>
        <v>7855</v>
      </c>
      <c r="O328" s="13" t="n">
        <f aca="false">LN(J328/K327)</f>
        <v>-0.00343155875716331</v>
      </c>
      <c r="P328" s="13" t="n">
        <f aca="false">LN(N328/N327)</f>
        <v>-0.0029237928411296</v>
      </c>
      <c r="Q328" s="3" t="n">
        <f aca="false">SUMIFS('Futures Data'!$D$5:$D$3471,'Futures Data'!$A$5:$A$3471,A328,'Futures Data'!$B$5:$B$3471,B328)</f>
        <v>6480</v>
      </c>
      <c r="R328" s="7" t="n">
        <v>45646</v>
      </c>
      <c r="S328" s="9" t="b">
        <f aca="false">C328=R328</f>
        <v>1</v>
      </c>
      <c r="T328" s="9" t="b">
        <f aca="false">ABS(O328-LN(J328/SUMIFS('Futures Data'!$C$5:$C$3471,'Futures Data'!$A$5:$A$3471,A327,'Futures Data'!$B$5:$B$3471,B328)))&lt;0.000000001</f>
        <v>1</v>
      </c>
    </row>
    <row r="329" customFormat="false" ht="15" hidden="false" customHeight="false" outlineLevel="0" collapsed="false">
      <c r="A329" s="7" t="n">
        <v>45614</v>
      </c>
      <c r="B329" s="11" t="n">
        <f aca="false">C328</f>
        <v>45646</v>
      </c>
      <c r="C329" s="11" t="n">
        <f aca="false">IF(OR(H328,D329&lt;=$G$4),_xlfn.MINIFS('Futures Data'!$B$5:$B$3471,'Futures Data'!$A$5:$A$3471,A329,'Futures Data'!$B$5:$B$3471,"&gt;"&amp;B329),B329)</f>
        <v>45646</v>
      </c>
      <c r="D329" s="3" t="n">
        <f aca="false">COUNTIFS($A$47:$A$790,"&gt;"&amp;A329,$A$47:$A$790,"&lt;="&amp;B329)+IF(B329&gt;$G$5,NETWORKDAYS($G$5+1,B329),0)</f>
        <v>23</v>
      </c>
      <c r="E329" s="3" t="n">
        <f aca="false">SUMIFS('Futures Data'!$E$5:$E$3471,'Futures Data'!$A$5:$A$3471,A329,'Futures Data'!$B$5:$B$3471,C329)</f>
        <v>26645</v>
      </c>
      <c r="F329" s="11" t="n">
        <f aca="false">_xlfn.MINIFS('Futures Data'!$B$5:$B$3471,'Futures Data'!$A$5:$A$3471,A329,'Futures Data'!$B$5:$B$3471,"&gt;"&amp;C329)</f>
        <v>45677</v>
      </c>
      <c r="G329" s="3" t="n">
        <f aca="false">SUMIFS('Futures Data'!$E$5:$E$3471,'Futures Data'!$A$5:$A$3471,A329,'Futures Data'!$B$5:$B$3471,F329)</f>
        <v>3640</v>
      </c>
      <c r="H329" s="9" t="b">
        <f aca="false">G329&gt;E329</f>
        <v>0</v>
      </c>
      <c r="I329" s="9" t="b">
        <f aca="false">C329&lt;&gt;B329</f>
        <v>0</v>
      </c>
      <c r="J329" s="3" t="n">
        <f aca="false">SUMIFS('Futures Data'!$C$5:$C$3471,'Futures Data'!$A$5:$A$3471,A329,'Futures Data'!$B$5:$B$3471,B329)</f>
        <v>6658</v>
      </c>
      <c r="K329" s="3" t="n">
        <f aca="false">SUMIFS('Futures Data'!$C$5:$C$3471,'Futures Data'!$A$5:$A$3471,A329,'Futures Data'!$B$5:$B$3471,C329)</f>
        <v>6658</v>
      </c>
      <c r="L329" s="3" t="n">
        <f aca="false">K329-J329</f>
        <v>0</v>
      </c>
      <c r="M329" s="3" t="n">
        <f aca="false">M330+L329</f>
        <v>1164</v>
      </c>
      <c r="N329" s="3" t="n">
        <f aca="false">J329+M329</f>
        <v>7822</v>
      </c>
      <c r="O329" s="13" t="n">
        <f aca="false">LN(J329/K328)</f>
        <v>-0.00494420064784669</v>
      </c>
      <c r="P329" s="13" t="n">
        <f aca="false">LN(N329/N328)</f>
        <v>-0.00420999537426208</v>
      </c>
      <c r="Q329" s="3" t="n">
        <f aca="false">SUMIFS('Futures Data'!$D$5:$D$3471,'Futures Data'!$A$5:$A$3471,A329,'Futures Data'!$B$5:$B$3471,B329)</f>
        <v>1625</v>
      </c>
      <c r="R329" s="7" t="n">
        <v>45646</v>
      </c>
      <c r="S329" s="9" t="b">
        <f aca="false">C329=R329</f>
        <v>1</v>
      </c>
      <c r="T329" s="9" t="b">
        <f aca="false">ABS(O329-LN(J329/SUMIFS('Futures Data'!$C$5:$C$3471,'Futures Data'!$A$5:$A$3471,A328,'Futures Data'!$B$5:$B$3471,B329)))&lt;0.000000001</f>
        <v>1</v>
      </c>
    </row>
    <row r="330" customFormat="false" ht="15" hidden="false" customHeight="false" outlineLevel="0" collapsed="false">
      <c r="A330" s="7" t="n">
        <v>45615</v>
      </c>
      <c r="B330" s="11" t="n">
        <f aca="false">C329</f>
        <v>45646</v>
      </c>
      <c r="C330" s="11" t="n">
        <f aca="false">IF(OR(H329,D330&lt;=$G$4),_xlfn.MINIFS('Futures Data'!$B$5:$B$3471,'Futures Data'!$A$5:$A$3471,A330,'Futures Data'!$B$5:$B$3471,"&gt;"&amp;B330),B330)</f>
        <v>45646</v>
      </c>
      <c r="D330" s="3" t="n">
        <f aca="false">COUNTIFS($A$47:$A$790,"&gt;"&amp;A330,$A$47:$A$790,"&lt;="&amp;B330)+IF(B330&gt;$G$5,NETWORKDAYS($G$5+1,B330),0)</f>
        <v>22</v>
      </c>
      <c r="E330" s="3" t="n">
        <f aca="false">SUMIFS('Futures Data'!$E$5:$E$3471,'Futures Data'!$A$5:$A$3471,A330,'Futures Data'!$B$5:$B$3471,C330)</f>
        <v>26530</v>
      </c>
      <c r="F330" s="11" t="n">
        <f aca="false">_xlfn.MINIFS('Futures Data'!$B$5:$B$3471,'Futures Data'!$A$5:$A$3471,A330,'Futures Data'!$B$5:$B$3471,"&gt;"&amp;C330)</f>
        <v>45677</v>
      </c>
      <c r="G330" s="3" t="n">
        <f aca="false">SUMIFS('Futures Data'!$E$5:$E$3471,'Futures Data'!$A$5:$A$3471,A330,'Futures Data'!$B$5:$B$3471,F330)</f>
        <v>3660</v>
      </c>
      <c r="H330" s="9" t="b">
        <f aca="false">G330&gt;E330</f>
        <v>0</v>
      </c>
      <c r="I330" s="9" t="b">
        <f aca="false">C330&lt;&gt;B330</f>
        <v>0</v>
      </c>
      <c r="J330" s="3" t="n">
        <f aca="false">SUMIFS('Futures Data'!$C$5:$C$3471,'Futures Data'!$A$5:$A$3471,A330,'Futures Data'!$B$5:$B$3471,B330)</f>
        <v>6626</v>
      </c>
      <c r="K330" s="3" t="n">
        <f aca="false">SUMIFS('Futures Data'!$C$5:$C$3471,'Futures Data'!$A$5:$A$3471,A330,'Futures Data'!$B$5:$B$3471,C330)</f>
        <v>6626</v>
      </c>
      <c r="L330" s="3" t="n">
        <f aca="false">K330-J330</f>
        <v>0</v>
      </c>
      <c r="M330" s="3" t="n">
        <f aca="false">M331+L330</f>
        <v>1164</v>
      </c>
      <c r="N330" s="3" t="n">
        <f aca="false">J330+M330</f>
        <v>7790</v>
      </c>
      <c r="O330" s="13" t="n">
        <f aca="false">LN(J330/K329)</f>
        <v>-0.00481783527512912</v>
      </c>
      <c r="P330" s="13" t="n">
        <f aca="false">LN(N330/N329)</f>
        <v>-0.0040994164506655</v>
      </c>
      <c r="Q330" s="3" t="n">
        <f aca="false">SUMIFS('Futures Data'!$D$5:$D$3471,'Futures Data'!$A$5:$A$3471,A330,'Futures Data'!$B$5:$B$3471,B330)</f>
        <v>3125</v>
      </c>
      <c r="R330" s="7" t="n">
        <v>45646</v>
      </c>
      <c r="S330" s="9" t="b">
        <f aca="false">C330=R330</f>
        <v>1</v>
      </c>
      <c r="T330" s="9" t="b">
        <f aca="false">ABS(O330-LN(J330/SUMIFS('Futures Data'!$C$5:$C$3471,'Futures Data'!$A$5:$A$3471,A329,'Futures Data'!$B$5:$B$3471,B330)))&lt;0.000000001</f>
        <v>1</v>
      </c>
    </row>
    <row r="331" customFormat="false" ht="15" hidden="false" customHeight="false" outlineLevel="0" collapsed="false">
      <c r="A331" s="7" t="n">
        <v>45617</v>
      </c>
      <c r="B331" s="11" t="n">
        <f aca="false">C330</f>
        <v>45646</v>
      </c>
      <c r="C331" s="11" t="n">
        <f aca="false">IF(OR(H330,D331&lt;=$G$4),_xlfn.MINIFS('Futures Data'!$B$5:$B$3471,'Futures Data'!$A$5:$A$3471,A331,'Futures Data'!$B$5:$B$3471,"&gt;"&amp;B331),B331)</f>
        <v>45646</v>
      </c>
      <c r="D331" s="3" t="n">
        <f aca="false">COUNTIFS($A$47:$A$790,"&gt;"&amp;A331,$A$47:$A$790,"&lt;="&amp;B331)+IF(B331&gt;$G$5,NETWORKDAYS($G$5+1,B331),0)</f>
        <v>21</v>
      </c>
      <c r="E331" s="3" t="n">
        <f aca="false">SUMIFS('Futures Data'!$E$5:$E$3471,'Futures Data'!$A$5:$A$3471,A331,'Futures Data'!$B$5:$B$3471,C331)</f>
        <v>26945</v>
      </c>
      <c r="F331" s="11" t="n">
        <f aca="false">_xlfn.MINIFS('Futures Data'!$B$5:$B$3471,'Futures Data'!$A$5:$A$3471,A331,'Futures Data'!$B$5:$B$3471,"&gt;"&amp;C331)</f>
        <v>45677</v>
      </c>
      <c r="G331" s="3" t="n">
        <f aca="false">SUMIFS('Futures Data'!$E$5:$E$3471,'Futures Data'!$A$5:$A$3471,A331,'Futures Data'!$B$5:$B$3471,F331)</f>
        <v>3770</v>
      </c>
      <c r="H331" s="9" t="b">
        <f aca="false">G331&gt;E331</f>
        <v>0</v>
      </c>
      <c r="I331" s="9" t="b">
        <f aca="false">C331&lt;&gt;B331</f>
        <v>0</v>
      </c>
      <c r="J331" s="3" t="n">
        <f aca="false">SUMIFS('Futures Data'!$C$5:$C$3471,'Futures Data'!$A$5:$A$3471,A331,'Futures Data'!$B$5:$B$3471,B331)</f>
        <v>6590</v>
      </c>
      <c r="K331" s="3" t="n">
        <f aca="false">SUMIFS('Futures Data'!$C$5:$C$3471,'Futures Data'!$A$5:$A$3471,A331,'Futures Data'!$B$5:$B$3471,C331)</f>
        <v>6590</v>
      </c>
      <c r="L331" s="3" t="n">
        <f aca="false">K331-J331</f>
        <v>0</v>
      </c>
      <c r="M331" s="3" t="n">
        <f aca="false">M332+L331</f>
        <v>1164</v>
      </c>
      <c r="N331" s="3" t="n">
        <f aca="false">J331+M331</f>
        <v>7754</v>
      </c>
      <c r="O331" s="13" t="n">
        <f aca="false">LN(J331/K330)</f>
        <v>-0.00544795536328824</v>
      </c>
      <c r="P331" s="13" t="n">
        <f aca="false">LN(N331/N330)</f>
        <v>-0.00463202063391955</v>
      </c>
      <c r="Q331" s="3" t="n">
        <f aca="false">SUMIFS('Futures Data'!$D$5:$D$3471,'Futures Data'!$A$5:$A$3471,A331,'Futures Data'!$B$5:$B$3471,B331)</f>
        <v>3790</v>
      </c>
      <c r="R331" s="7" t="n">
        <v>45646</v>
      </c>
      <c r="S331" s="9" t="b">
        <f aca="false">C331=R331</f>
        <v>1</v>
      </c>
      <c r="T331" s="9" t="b">
        <f aca="false">ABS(O331-LN(J331/SUMIFS('Futures Data'!$C$5:$C$3471,'Futures Data'!$A$5:$A$3471,A330,'Futures Data'!$B$5:$B$3471,B331)))&lt;0.000000001</f>
        <v>1</v>
      </c>
    </row>
    <row r="332" customFormat="false" ht="15" hidden="false" customHeight="false" outlineLevel="0" collapsed="false">
      <c r="A332" s="7" t="n">
        <v>45618</v>
      </c>
      <c r="B332" s="11" t="n">
        <f aca="false">C331</f>
        <v>45646</v>
      </c>
      <c r="C332" s="11" t="n">
        <f aca="false">IF(OR(H331,D332&lt;=$G$4),_xlfn.MINIFS('Futures Data'!$B$5:$B$3471,'Futures Data'!$A$5:$A$3471,A332,'Futures Data'!$B$5:$B$3471,"&gt;"&amp;B332),B332)</f>
        <v>45646</v>
      </c>
      <c r="D332" s="3" t="n">
        <f aca="false">COUNTIFS($A$47:$A$790,"&gt;"&amp;A332,$A$47:$A$790,"&lt;="&amp;B332)+IF(B332&gt;$G$5,NETWORKDAYS($G$5+1,B332),0)</f>
        <v>20</v>
      </c>
      <c r="E332" s="3" t="n">
        <f aca="false">SUMIFS('Futures Data'!$E$5:$E$3471,'Futures Data'!$A$5:$A$3471,A332,'Futures Data'!$B$5:$B$3471,C332)</f>
        <v>26390</v>
      </c>
      <c r="F332" s="11" t="n">
        <f aca="false">_xlfn.MINIFS('Futures Data'!$B$5:$B$3471,'Futures Data'!$A$5:$A$3471,A332,'Futures Data'!$B$5:$B$3471,"&gt;"&amp;C332)</f>
        <v>45677</v>
      </c>
      <c r="G332" s="3" t="n">
        <f aca="false">SUMIFS('Futures Data'!$E$5:$E$3471,'Futures Data'!$A$5:$A$3471,A332,'Futures Data'!$B$5:$B$3471,F332)</f>
        <v>4070</v>
      </c>
      <c r="H332" s="9" t="b">
        <f aca="false">G332&gt;E332</f>
        <v>0</v>
      </c>
      <c r="I332" s="9" t="b">
        <f aca="false">C332&lt;&gt;B332</f>
        <v>0</v>
      </c>
      <c r="J332" s="3" t="n">
        <f aca="false">SUMIFS('Futures Data'!$C$5:$C$3471,'Futures Data'!$A$5:$A$3471,A332,'Futures Data'!$B$5:$B$3471,B332)</f>
        <v>6526</v>
      </c>
      <c r="K332" s="3" t="n">
        <f aca="false">SUMIFS('Futures Data'!$C$5:$C$3471,'Futures Data'!$A$5:$A$3471,A332,'Futures Data'!$B$5:$B$3471,C332)</f>
        <v>6526</v>
      </c>
      <c r="L332" s="3" t="n">
        <f aca="false">K332-J332</f>
        <v>0</v>
      </c>
      <c r="M332" s="3" t="n">
        <f aca="false">M333+L332</f>
        <v>1164</v>
      </c>
      <c r="N332" s="3" t="n">
        <f aca="false">J332+M332</f>
        <v>7690</v>
      </c>
      <c r="O332" s="13" t="n">
        <f aca="false">LN(J332/K331)</f>
        <v>-0.00975915034328694</v>
      </c>
      <c r="P332" s="13" t="n">
        <f aca="false">LN(N332/N331)</f>
        <v>-0.00828805573118475</v>
      </c>
      <c r="Q332" s="3" t="n">
        <f aca="false">SUMIFS('Futures Data'!$D$5:$D$3471,'Futures Data'!$A$5:$A$3471,A332,'Futures Data'!$B$5:$B$3471,B332)</f>
        <v>3625</v>
      </c>
      <c r="R332" s="7" t="n">
        <v>45646</v>
      </c>
      <c r="S332" s="9" t="b">
        <f aca="false">C332=R332</f>
        <v>1</v>
      </c>
      <c r="T332" s="9" t="b">
        <f aca="false">ABS(O332-LN(J332/SUMIFS('Futures Data'!$C$5:$C$3471,'Futures Data'!$A$5:$A$3471,A331,'Futures Data'!$B$5:$B$3471,B332)))&lt;0.000000001</f>
        <v>1</v>
      </c>
    </row>
    <row r="333" customFormat="false" ht="15" hidden="false" customHeight="false" outlineLevel="0" collapsed="false">
      <c r="A333" s="7" t="n">
        <v>45621</v>
      </c>
      <c r="B333" s="11" t="n">
        <f aca="false">C332</f>
        <v>45646</v>
      </c>
      <c r="C333" s="11" t="n">
        <f aca="false">IF(OR(H332,D333&lt;=$G$4),_xlfn.MINIFS('Futures Data'!$B$5:$B$3471,'Futures Data'!$A$5:$A$3471,A333,'Futures Data'!$B$5:$B$3471,"&gt;"&amp;B333),B333)</f>
        <v>45646</v>
      </c>
      <c r="D333" s="3" t="n">
        <f aca="false">COUNTIFS($A$47:$A$790,"&gt;"&amp;A333,$A$47:$A$790,"&lt;="&amp;B333)+IF(B333&gt;$G$5,NETWORKDAYS($G$5+1,B333),0)</f>
        <v>19</v>
      </c>
      <c r="E333" s="3" t="n">
        <f aca="false">SUMIFS('Futures Data'!$E$5:$E$3471,'Futures Data'!$A$5:$A$3471,A333,'Futures Data'!$B$5:$B$3471,C333)</f>
        <v>26675</v>
      </c>
      <c r="F333" s="11" t="n">
        <f aca="false">_xlfn.MINIFS('Futures Data'!$B$5:$B$3471,'Futures Data'!$A$5:$A$3471,A333,'Futures Data'!$B$5:$B$3471,"&gt;"&amp;C333)</f>
        <v>45677</v>
      </c>
      <c r="G333" s="3" t="n">
        <f aca="false">SUMIFS('Futures Data'!$E$5:$E$3471,'Futures Data'!$A$5:$A$3471,A333,'Futures Data'!$B$5:$B$3471,F333)</f>
        <v>4110</v>
      </c>
      <c r="H333" s="9" t="b">
        <f aca="false">G333&gt;E333</f>
        <v>0</v>
      </c>
      <c r="I333" s="9" t="b">
        <f aca="false">C333&lt;&gt;B333</f>
        <v>0</v>
      </c>
      <c r="J333" s="3" t="n">
        <f aca="false">SUMIFS('Futures Data'!$C$5:$C$3471,'Futures Data'!$A$5:$A$3471,A333,'Futures Data'!$B$5:$B$3471,B333)</f>
        <v>6528</v>
      </c>
      <c r="K333" s="3" t="n">
        <f aca="false">SUMIFS('Futures Data'!$C$5:$C$3471,'Futures Data'!$A$5:$A$3471,A333,'Futures Data'!$B$5:$B$3471,C333)</f>
        <v>6528</v>
      </c>
      <c r="L333" s="3" t="n">
        <f aca="false">K333-J333</f>
        <v>0</v>
      </c>
      <c r="M333" s="3" t="n">
        <f aca="false">M334+L333</f>
        <v>1164</v>
      </c>
      <c r="N333" s="3" t="n">
        <f aca="false">J333+M333</f>
        <v>7692</v>
      </c>
      <c r="O333" s="13" t="n">
        <f aca="false">LN(J333/K332)</f>
        <v>0.000306419490676954</v>
      </c>
      <c r="P333" s="13" t="n">
        <f aca="false">LN(N333/N332)</f>
        <v>0.000260044208980665</v>
      </c>
      <c r="Q333" s="3" t="n">
        <f aca="false">SUMIFS('Futures Data'!$D$5:$D$3471,'Futures Data'!$A$5:$A$3471,A333,'Futures Data'!$B$5:$B$3471,B333)</f>
        <v>3685</v>
      </c>
      <c r="R333" s="7" t="n">
        <v>45646</v>
      </c>
      <c r="S333" s="9" t="b">
        <f aca="false">C333=R333</f>
        <v>1</v>
      </c>
      <c r="T333" s="9" t="b">
        <f aca="false">ABS(O333-LN(J333/SUMIFS('Futures Data'!$C$5:$C$3471,'Futures Data'!$A$5:$A$3471,A332,'Futures Data'!$B$5:$B$3471,B333)))&lt;0.000000001</f>
        <v>1</v>
      </c>
    </row>
    <row r="334" customFormat="false" ht="15" hidden="false" customHeight="false" outlineLevel="0" collapsed="false">
      <c r="A334" s="7" t="n">
        <v>45622</v>
      </c>
      <c r="B334" s="11" t="n">
        <f aca="false">C333</f>
        <v>45646</v>
      </c>
      <c r="C334" s="11" t="n">
        <f aca="false">IF(OR(H333,D334&lt;=$G$4),_xlfn.MINIFS('Futures Data'!$B$5:$B$3471,'Futures Data'!$A$5:$A$3471,A334,'Futures Data'!$B$5:$B$3471,"&gt;"&amp;B334),B334)</f>
        <v>45646</v>
      </c>
      <c r="D334" s="3" t="n">
        <f aca="false">COUNTIFS($A$47:$A$790,"&gt;"&amp;A334,$A$47:$A$790,"&lt;="&amp;B334)+IF(B334&gt;$G$5,NETWORKDAYS($G$5+1,B334),0)</f>
        <v>18</v>
      </c>
      <c r="E334" s="3" t="n">
        <f aca="false">SUMIFS('Futures Data'!$E$5:$E$3471,'Futures Data'!$A$5:$A$3471,A334,'Futures Data'!$B$5:$B$3471,C334)</f>
        <v>25615</v>
      </c>
      <c r="F334" s="11" t="n">
        <f aca="false">_xlfn.MINIFS('Futures Data'!$B$5:$B$3471,'Futures Data'!$A$5:$A$3471,A334,'Futures Data'!$B$5:$B$3471,"&gt;"&amp;C334)</f>
        <v>45677</v>
      </c>
      <c r="G334" s="3" t="n">
        <f aca="false">SUMIFS('Futures Data'!$E$5:$E$3471,'Futures Data'!$A$5:$A$3471,A334,'Futures Data'!$B$5:$B$3471,F334)</f>
        <v>5145</v>
      </c>
      <c r="H334" s="9" t="b">
        <f aca="false">G334&gt;E334</f>
        <v>0</v>
      </c>
      <c r="I334" s="9" t="b">
        <f aca="false">C334&lt;&gt;B334</f>
        <v>0</v>
      </c>
      <c r="J334" s="3" t="n">
        <f aca="false">SUMIFS('Futures Data'!$C$5:$C$3471,'Futures Data'!$A$5:$A$3471,A334,'Futures Data'!$B$5:$B$3471,B334)</f>
        <v>6521</v>
      </c>
      <c r="K334" s="3" t="n">
        <f aca="false">SUMIFS('Futures Data'!$C$5:$C$3471,'Futures Data'!$A$5:$A$3471,A334,'Futures Data'!$B$5:$B$3471,C334)</f>
        <v>6521</v>
      </c>
      <c r="L334" s="3" t="n">
        <f aca="false">K334-J334</f>
        <v>0</v>
      </c>
      <c r="M334" s="3" t="n">
        <f aca="false">M335+L334</f>
        <v>1164</v>
      </c>
      <c r="N334" s="3" t="n">
        <f aca="false">J334+M334</f>
        <v>7685</v>
      </c>
      <c r="O334" s="13" t="n">
        <f aca="false">LN(J334/K333)</f>
        <v>-0.00107287925074068</v>
      </c>
      <c r="P334" s="13" t="n">
        <f aca="false">LN(N334/N333)</f>
        <v>-0.000910450735974094</v>
      </c>
      <c r="Q334" s="3" t="n">
        <f aca="false">SUMIFS('Futures Data'!$D$5:$D$3471,'Futures Data'!$A$5:$A$3471,A334,'Futures Data'!$B$5:$B$3471,B334)</f>
        <v>2800</v>
      </c>
      <c r="R334" s="7" t="n">
        <v>45646</v>
      </c>
      <c r="S334" s="9" t="b">
        <f aca="false">C334=R334</f>
        <v>1</v>
      </c>
      <c r="T334" s="9" t="b">
        <f aca="false">ABS(O334-LN(J334/SUMIFS('Futures Data'!$C$5:$C$3471,'Futures Data'!$A$5:$A$3471,A333,'Futures Data'!$B$5:$B$3471,B334)))&lt;0.000000001</f>
        <v>1</v>
      </c>
    </row>
    <row r="335" customFormat="false" ht="15" hidden="false" customHeight="false" outlineLevel="0" collapsed="false">
      <c r="A335" s="7" t="n">
        <v>45623</v>
      </c>
      <c r="B335" s="11" t="n">
        <f aca="false">C334</f>
        <v>45646</v>
      </c>
      <c r="C335" s="11" t="n">
        <f aca="false">IF(OR(H334,D335&lt;=$G$4),_xlfn.MINIFS('Futures Data'!$B$5:$B$3471,'Futures Data'!$A$5:$A$3471,A335,'Futures Data'!$B$5:$B$3471,"&gt;"&amp;B335),B335)</f>
        <v>45646</v>
      </c>
      <c r="D335" s="3" t="n">
        <f aca="false">COUNTIFS($A$47:$A$790,"&gt;"&amp;A335,$A$47:$A$790,"&lt;="&amp;B335)+IF(B335&gt;$G$5,NETWORKDAYS($G$5+1,B335),0)</f>
        <v>17</v>
      </c>
      <c r="E335" s="3" t="n">
        <f aca="false">SUMIFS('Futures Data'!$E$5:$E$3471,'Futures Data'!$A$5:$A$3471,A335,'Futures Data'!$B$5:$B$3471,C335)</f>
        <v>24765</v>
      </c>
      <c r="F335" s="11" t="n">
        <f aca="false">_xlfn.MINIFS('Futures Data'!$B$5:$B$3471,'Futures Data'!$A$5:$A$3471,A335,'Futures Data'!$B$5:$B$3471,"&gt;"&amp;C335)</f>
        <v>45677</v>
      </c>
      <c r="G335" s="3" t="n">
        <f aca="false">SUMIFS('Futures Data'!$E$5:$E$3471,'Futures Data'!$A$5:$A$3471,A335,'Futures Data'!$B$5:$B$3471,F335)</f>
        <v>5945</v>
      </c>
      <c r="H335" s="9" t="b">
        <f aca="false">G335&gt;E335</f>
        <v>0</v>
      </c>
      <c r="I335" s="9" t="b">
        <f aca="false">C335&lt;&gt;B335</f>
        <v>0</v>
      </c>
      <c r="J335" s="3" t="n">
        <f aca="false">SUMIFS('Futures Data'!$C$5:$C$3471,'Futures Data'!$A$5:$A$3471,A335,'Futures Data'!$B$5:$B$3471,B335)</f>
        <v>6469</v>
      </c>
      <c r="K335" s="3" t="n">
        <f aca="false">SUMIFS('Futures Data'!$C$5:$C$3471,'Futures Data'!$A$5:$A$3471,A335,'Futures Data'!$B$5:$B$3471,C335)</f>
        <v>6469</v>
      </c>
      <c r="L335" s="3" t="n">
        <f aca="false">K335-J335</f>
        <v>0</v>
      </c>
      <c r="M335" s="3" t="n">
        <f aca="false">M336+L335</f>
        <v>1164</v>
      </c>
      <c r="N335" s="3" t="n">
        <f aca="false">J335+M335</f>
        <v>7633</v>
      </c>
      <c r="O335" s="13" t="n">
        <f aca="false">LN(J335/K334)</f>
        <v>-0.00800620134921682</v>
      </c>
      <c r="P335" s="13" t="n">
        <f aca="false">LN(N335/N334)</f>
        <v>-0.00678942417422586</v>
      </c>
      <c r="Q335" s="3" t="n">
        <f aca="false">SUMIFS('Futures Data'!$D$5:$D$3471,'Futures Data'!$A$5:$A$3471,A335,'Futures Data'!$B$5:$B$3471,B335)</f>
        <v>5290</v>
      </c>
      <c r="R335" s="7" t="n">
        <v>45646</v>
      </c>
      <c r="S335" s="9" t="b">
        <f aca="false">C335=R335</f>
        <v>1</v>
      </c>
      <c r="T335" s="9" t="b">
        <f aca="false">ABS(O335-LN(J335/SUMIFS('Futures Data'!$C$5:$C$3471,'Futures Data'!$A$5:$A$3471,A334,'Futures Data'!$B$5:$B$3471,B335)))&lt;0.000000001</f>
        <v>1</v>
      </c>
    </row>
    <row r="336" customFormat="false" ht="15" hidden="false" customHeight="false" outlineLevel="0" collapsed="false">
      <c r="A336" s="7" t="n">
        <v>45624</v>
      </c>
      <c r="B336" s="11" t="n">
        <f aca="false">C335</f>
        <v>45646</v>
      </c>
      <c r="C336" s="11" t="n">
        <f aca="false">IF(OR(H335,D336&lt;=$G$4),_xlfn.MINIFS('Futures Data'!$B$5:$B$3471,'Futures Data'!$A$5:$A$3471,A336,'Futures Data'!$B$5:$B$3471,"&gt;"&amp;B336),B336)</f>
        <v>45646</v>
      </c>
      <c r="D336" s="3" t="n">
        <f aca="false">COUNTIFS($A$47:$A$790,"&gt;"&amp;A336,$A$47:$A$790,"&lt;="&amp;B336)+IF(B336&gt;$G$5,NETWORKDAYS($G$5+1,B336),0)</f>
        <v>16</v>
      </c>
      <c r="E336" s="3" t="n">
        <f aca="false">SUMIFS('Futures Data'!$E$5:$E$3471,'Futures Data'!$A$5:$A$3471,A336,'Futures Data'!$B$5:$B$3471,C336)</f>
        <v>24540</v>
      </c>
      <c r="F336" s="11" t="n">
        <f aca="false">_xlfn.MINIFS('Futures Data'!$B$5:$B$3471,'Futures Data'!$A$5:$A$3471,A336,'Futures Data'!$B$5:$B$3471,"&gt;"&amp;C336)</f>
        <v>45677</v>
      </c>
      <c r="G336" s="3" t="n">
        <f aca="false">SUMIFS('Futures Data'!$E$5:$E$3471,'Futures Data'!$A$5:$A$3471,A336,'Futures Data'!$B$5:$B$3471,F336)</f>
        <v>6185</v>
      </c>
      <c r="H336" s="9" t="b">
        <f aca="false">G336&gt;E336</f>
        <v>0</v>
      </c>
      <c r="I336" s="9" t="b">
        <f aca="false">C336&lt;&gt;B336</f>
        <v>0</v>
      </c>
      <c r="J336" s="3" t="n">
        <f aca="false">SUMIFS('Futures Data'!$C$5:$C$3471,'Futures Data'!$A$5:$A$3471,A336,'Futures Data'!$B$5:$B$3471,B336)</f>
        <v>6473</v>
      </c>
      <c r="K336" s="3" t="n">
        <f aca="false">SUMIFS('Futures Data'!$C$5:$C$3471,'Futures Data'!$A$5:$A$3471,A336,'Futures Data'!$B$5:$B$3471,C336)</f>
        <v>6473</v>
      </c>
      <c r="L336" s="3" t="n">
        <f aca="false">K336-J336</f>
        <v>0</v>
      </c>
      <c r="M336" s="3" t="n">
        <f aca="false">M337+L336</f>
        <v>1164</v>
      </c>
      <c r="N336" s="3" t="n">
        <f aca="false">J336+M336</f>
        <v>7637</v>
      </c>
      <c r="O336" s="13" t="n">
        <f aca="false">LN(J336/K335)</f>
        <v>0.000618142501524838</v>
      </c>
      <c r="P336" s="13" t="n">
        <f aca="false">LN(N336/N335)</f>
        <v>0.000523903089913806</v>
      </c>
      <c r="Q336" s="3" t="n">
        <f aca="false">SUMIFS('Futures Data'!$D$5:$D$3471,'Futures Data'!$A$5:$A$3471,A336,'Futures Data'!$B$5:$B$3471,B336)</f>
        <v>2775</v>
      </c>
      <c r="R336" s="7" t="n">
        <v>45646</v>
      </c>
      <c r="S336" s="9" t="b">
        <f aca="false">C336=R336</f>
        <v>1</v>
      </c>
      <c r="T336" s="9" t="b">
        <f aca="false">ABS(O336-LN(J336/SUMIFS('Futures Data'!$C$5:$C$3471,'Futures Data'!$A$5:$A$3471,A335,'Futures Data'!$B$5:$B$3471,B336)))&lt;0.000000001</f>
        <v>1</v>
      </c>
    </row>
    <row r="337" customFormat="false" ht="15" hidden="false" customHeight="false" outlineLevel="0" collapsed="false">
      <c r="A337" s="7" t="n">
        <v>45625</v>
      </c>
      <c r="B337" s="11" t="n">
        <f aca="false">C336</f>
        <v>45646</v>
      </c>
      <c r="C337" s="11" t="n">
        <f aca="false">IF(OR(H336,D337&lt;=$G$4),_xlfn.MINIFS('Futures Data'!$B$5:$B$3471,'Futures Data'!$A$5:$A$3471,A337,'Futures Data'!$B$5:$B$3471,"&gt;"&amp;B337),B337)</f>
        <v>45646</v>
      </c>
      <c r="D337" s="3" t="n">
        <f aca="false">COUNTIFS($A$47:$A$790,"&gt;"&amp;A337,$A$47:$A$790,"&lt;="&amp;B337)+IF(B337&gt;$G$5,NETWORKDAYS($G$5+1,B337),0)</f>
        <v>15</v>
      </c>
      <c r="E337" s="3" t="n">
        <f aca="false">SUMIFS('Futures Data'!$E$5:$E$3471,'Futures Data'!$A$5:$A$3471,A337,'Futures Data'!$B$5:$B$3471,C337)</f>
        <v>24620</v>
      </c>
      <c r="F337" s="11" t="n">
        <f aca="false">_xlfn.MINIFS('Futures Data'!$B$5:$B$3471,'Futures Data'!$A$5:$A$3471,A337,'Futures Data'!$B$5:$B$3471,"&gt;"&amp;C337)</f>
        <v>45677</v>
      </c>
      <c r="G337" s="3" t="n">
        <f aca="false">SUMIFS('Futures Data'!$E$5:$E$3471,'Futures Data'!$A$5:$A$3471,A337,'Futures Data'!$B$5:$B$3471,F337)</f>
        <v>6690</v>
      </c>
      <c r="H337" s="9" t="b">
        <f aca="false">G337&gt;E337</f>
        <v>0</v>
      </c>
      <c r="I337" s="9" t="b">
        <f aca="false">C337&lt;&gt;B337</f>
        <v>0</v>
      </c>
      <c r="J337" s="3" t="n">
        <f aca="false">SUMIFS('Futures Data'!$C$5:$C$3471,'Futures Data'!$A$5:$A$3471,A337,'Futures Data'!$B$5:$B$3471,B337)</f>
        <v>6494</v>
      </c>
      <c r="K337" s="3" t="n">
        <f aca="false">SUMIFS('Futures Data'!$C$5:$C$3471,'Futures Data'!$A$5:$A$3471,A337,'Futures Data'!$B$5:$B$3471,C337)</f>
        <v>6494</v>
      </c>
      <c r="L337" s="3" t="n">
        <f aca="false">K337-J337</f>
        <v>0</v>
      </c>
      <c r="M337" s="3" t="n">
        <f aca="false">M338+L337</f>
        <v>1164</v>
      </c>
      <c r="N337" s="3" t="n">
        <f aca="false">J337+M337</f>
        <v>7658</v>
      </c>
      <c r="O337" s="13" t="n">
        <f aca="false">LN(J337/K336)</f>
        <v>0.00323899411728106</v>
      </c>
      <c r="P337" s="13" t="n">
        <f aca="false">LN(N337/N336)</f>
        <v>0.00274599714885562</v>
      </c>
      <c r="Q337" s="3" t="n">
        <f aca="false">SUMIFS('Futures Data'!$D$5:$D$3471,'Futures Data'!$A$5:$A$3471,A337,'Futures Data'!$B$5:$B$3471,B337)</f>
        <v>2550</v>
      </c>
      <c r="R337" s="7" t="n">
        <v>45646</v>
      </c>
      <c r="S337" s="9" t="b">
        <f aca="false">C337=R337</f>
        <v>1</v>
      </c>
      <c r="T337" s="9" t="b">
        <f aca="false">ABS(O337-LN(J337/SUMIFS('Futures Data'!$C$5:$C$3471,'Futures Data'!$A$5:$A$3471,A336,'Futures Data'!$B$5:$B$3471,B337)))&lt;0.000000001</f>
        <v>1</v>
      </c>
    </row>
    <row r="338" customFormat="false" ht="15" hidden="false" customHeight="false" outlineLevel="0" collapsed="false">
      <c r="A338" s="7" t="n">
        <v>45628</v>
      </c>
      <c r="B338" s="11" t="n">
        <f aca="false">C337</f>
        <v>45646</v>
      </c>
      <c r="C338" s="11" t="n">
        <f aca="false">IF(OR(H337,D338&lt;=$G$4),_xlfn.MINIFS('Futures Data'!$B$5:$B$3471,'Futures Data'!$A$5:$A$3471,A338,'Futures Data'!$B$5:$B$3471,"&gt;"&amp;B338),B338)</f>
        <v>45646</v>
      </c>
      <c r="D338" s="3" t="n">
        <f aca="false">COUNTIFS($A$47:$A$790,"&gt;"&amp;A338,$A$47:$A$790,"&lt;="&amp;B338)+IF(B338&gt;$G$5,NETWORKDAYS($G$5+1,B338),0)</f>
        <v>14</v>
      </c>
      <c r="E338" s="3" t="n">
        <f aca="false">SUMIFS('Futures Data'!$E$5:$E$3471,'Futures Data'!$A$5:$A$3471,A338,'Futures Data'!$B$5:$B$3471,C338)</f>
        <v>22520</v>
      </c>
      <c r="F338" s="11" t="n">
        <f aca="false">_xlfn.MINIFS('Futures Data'!$B$5:$B$3471,'Futures Data'!$A$5:$A$3471,A338,'Futures Data'!$B$5:$B$3471,"&gt;"&amp;C338)</f>
        <v>45677</v>
      </c>
      <c r="G338" s="3" t="n">
        <f aca="false">SUMIFS('Futures Data'!$E$5:$E$3471,'Futures Data'!$A$5:$A$3471,A338,'Futures Data'!$B$5:$B$3471,F338)</f>
        <v>8515</v>
      </c>
      <c r="H338" s="9" t="b">
        <f aca="false">G338&gt;E338</f>
        <v>0</v>
      </c>
      <c r="I338" s="9" t="b">
        <f aca="false">C338&lt;&gt;B338</f>
        <v>0</v>
      </c>
      <c r="J338" s="3" t="n">
        <f aca="false">SUMIFS('Futures Data'!$C$5:$C$3471,'Futures Data'!$A$5:$A$3471,A338,'Futures Data'!$B$5:$B$3471,B338)</f>
        <v>6520</v>
      </c>
      <c r="K338" s="3" t="n">
        <f aca="false">SUMIFS('Futures Data'!$C$5:$C$3471,'Futures Data'!$A$5:$A$3471,A338,'Futures Data'!$B$5:$B$3471,C338)</f>
        <v>6520</v>
      </c>
      <c r="L338" s="3" t="n">
        <f aca="false">K338-J338</f>
        <v>0</v>
      </c>
      <c r="M338" s="3" t="n">
        <f aca="false">M339+L338</f>
        <v>1164</v>
      </c>
      <c r="N338" s="3" t="n">
        <f aca="false">J338+M338</f>
        <v>7684</v>
      </c>
      <c r="O338" s="13" t="n">
        <f aca="false">LN(J338/K337)</f>
        <v>0.00399570225790743</v>
      </c>
      <c r="P338" s="13" t="n">
        <f aca="false">LN(N338/N337)</f>
        <v>0.00338939185120749</v>
      </c>
      <c r="Q338" s="3" t="n">
        <f aca="false">SUMIFS('Futures Data'!$D$5:$D$3471,'Futures Data'!$A$5:$A$3471,A338,'Futures Data'!$B$5:$B$3471,B338)</f>
        <v>4005</v>
      </c>
      <c r="R338" s="7" t="n">
        <v>45646</v>
      </c>
      <c r="S338" s="9" t="b">
        <f aca="false">C338=R338</f>
        <v>1</v>
      </c>
      <c r="T338" s="9" t="b">
        <f aca="false">ABS(O338-LN(J338/SUMIFS('Futures Data'!$C$5:$C$3471,'Futures Data'!$A$5:$A$3471,A337,'Futures Data'!$B$5:$B$3471,B338)))&lt;0.000000001</f>
        <v>1</v>
      </c>
    </row>
    <row r="339" customFormat="false" ht="15" hidden="false" customHeight="false" outlineLevel="0" collapsed="false">
      <c r="A339" s="7" t="n">
        <v>45629</v>
      </c>
      <c r="B339" s="11" t="n">
        <f aca="false">C338</f>
        <v>45646</v>
      </c>
      <c r="C339" s="11" t="n">
        <f aca="false">IF(OR(H338,D339&lt;=$G$4),_xlfn.MINIFS('Futures Data'!$B$5:$B$3471,'Futures Data'!$A$5:$A$3471,A339,'Futures Data'!$B$5:$B$3471,"&gt;"&amp;B339),B339)</f>
        <v>45646</v>
      </c>
      <c r="D339" s="3" t="n">
        <f aca="false">COUNTIFS($A$47:$A$790,"&gt;"&amp;A339,$A$47:$A$790,"&lt;="&amp;B339)+IF(B339&gt;$G$5,NETWORKDAYS($G$5+1,B339),0)</f>
        <v>13</v>
      </c>
      <c r="E339" s="3" t="n">
        <f aca="false">SUMIFS('Futures Data'!$E$5:$E$3471,'Futures Data'!$A$5:$A$3471,A339,'Futures Data'!$B$5:$B$3471,C339)</f>
        <v>22115</v>
      </c>
      <c r="F339" s="11" t="n">
        <f aca="false">_xlfn.MINIFS('Futures Data'!$B$5:$B$3471,'Futures Data'!$A$5:$A$3471,A339,'Futures Data'!$B$5:$B$3471,"&gt;"&amp;C339)</f>
        <v>45677</v>
      </c>
      <c r="G339" s="3" t="n">
        <f aca="false">SUMIFS('Futures Data'!$E$5:$E$3471,'Futures Data'!$A$5:$A$3471,A339,'Futures Data'!$B$5:$B$3471,F339)</f>
        <v>9185</v>
      </c>
      <c r="H339" s="9" t="b">
        <f aca="false">G339&gt;E339</f>
        <v>0</v>
      </c>
      <c r="I339" s="9" t="b">
        <f aca="false">C339&lt;&gt;B339</f>
        <v>0</v>
      </c>
      <c r="J339" s="3" t="n">
        <f aca="false">SUMIFS('Futures Data'!$C$5:$C$3471,'Futures Data'!$A$5:$A$3471,A339,'Futures Data'!$B$5:$B$3471,B339)</f>
        <v>6505</v>
      </c>
      <c r="K339" s="3" t="n">
        <f aca="false">SUMIFS('Futures Data'!$C$5:$C$3471,'Futures Data'!$A$5:$A$3471,A339,'Futures Data'!$B$5:$B$3471,C339)</f>
        <v>6505</v>
      </c>
      <c r="L339" s="3" t="n">
        <f aca="false">K339-J339</f>
        <v>0</v>
      </c>
      <c r="M339" s="3" t="n">
        <f aca="false">M340+L339</f>
        <v>1164</v>
      </c>
      <c r="N339" s="3" t="n">
        <f aca="false">J339+M339</f>
        <v>7669</v>
      </c>
      <c r="O339" s="13" t="n">
        <f aca="false">LN(J339/K338)</f>
        <v>-0.00230326397409303</v>
      </c>
      <c r="P339" s="13" t="n">
        <f aca="false">LN(N339/N338)</f>
        <v>-0.00195401612358808</v>
      </c>
      <c r="Q339" s="3" t="n">
        <f aca="false">SUMIFS('Futures Data'!$D$5:$D$3471,'Futures Data'!$A$5:$A$3471,A339,'Futures Data'!$B$5:$B$3471,B339)</f>
        <v>3435</v>
      </c>
      <c r="R339" s="7" t="n">
        <v>45646</v>
      </c>
      <c r="S339" s="9" t="b">
        <f aca="false">C339=R339</f>
        <v>1</v>
      </c>
      <c r="T339" s="9" t="b">
        <f aca="false">ABS(O339-LN(J339/SUMIFS('Futures Data'!$C$5:$C$3471,'Futures Data'!$A$5:$A$3471,A338,'Futures Data'!$B$5:$B$3471,B339)))&lt;0.000000001</f>
        <v>1</v>
      </c>
    </row>
    <row r="340" customFormat="false" ht="15" hidden="false" customHeight="false" outlineLevel="0" collapsed="false">
      <c r="A340" s="7" t="n">
        <v>45630</v>
      </c>
      <c r="B340" s="11" t="n">
        <f aca="false">C339</f>
        <v>45646</v>
      </c>
      <c r="C340" s="11" t="n">
        <f aca="false">IF(OR(H339,D340&lt;=$G$4),_xlfn.MINIFS('Futures Data'!$B$5:$B$3471,'Futures Data'!$A$5:$A$3471,A340,'Futures Data'!$B$5:$B$3471,"&gt;"&amp;B340),B340)</f>
        <v>45646</v>
      </c>
      <c r="D340" s="3" t="n">
        <f aca="false">COUNTIFS($A$47:$A$790,"&gt;"&amp;A340,$A$47:$A$790,"&lt;="&amp;B340)+IF(B340&gt;$G$5,NETWORKDAYS($G$5+1,B340),0)</f>
        <v>12</v>
      </c>
      <c r="E340" s="3" t="n">
        <f aca="false">SUMIFS('Futures Data'!$E$5:$E$3471,'Futures Data'!$A$5:$A$3471,A340,'Futures Data'!$B$5:$B$3471,C340)</f>
        <v>19500</v>
      </c>
      <c r="F340" s="11" t="n">
        <f aca="false">_xlfn.MINIFS('Futures Data'!$B$5:$B$3471,'Futures Data'!$A$5:$A$3471,A340,'Futures Data'!$B$5:$B$3471,"&gt;"&amp;C340)</f>
        <v>45677</v>
      </c>
      <c r="G340" s="3" t="n">
        <f aca="false">SUMIFS('Futures Data'!$E$5:$E$3471,'Futures Data'!$A$5:$A$3471,A340,'Futures Data'!$B$5:$B$3471,F340)</f>
        <v>10930</v>
      </c>
      <c r="H340" s="9" t="b">
        <f aca="false">G340&gt;E340</f>
        <v>0</v>
      </c>
      <c r="I340" s="9" t="b">
        <f aca="false">C340&lt;&gt;B340</f>
        <v>0</v>
      </c>
      <c r="J340" s="3" t="n">
        <f aca="false">SUMIFS('Futures Data'!$C$5:$C$3471,'Futures Data'!$A$5:$A$3471,A340,'Futures Data'!$B$5:$B$3471,B340)</f>
        <v>6479</v>
      </c>
      <c r="K340" s="3" t="n">
        <f aca="false">SUMIFS('Futures Data'!$C$5:$C$3471,'Futures Data'!$A$5:$A$3471,A340,'Futures Data'!$B$5:$B$3471,C340)</f>
        <v>6479</v>
      </c>
      <c r="L340" s="3" t="n">
        <f aca="false">K340-J340</f>
        <v>0</v>
      </c>
      <c r="M340" s="3" t="n">
        <f aca="false">M341+L340</f>
        <v>1164</v>
      </c>
      <c r="N340" s="3" t="n">
        <f aca="false">J340+M340</f>
        <v>7643</v>
      </c>
      <c r="O340" s="13" t="n">
        <f aca="false">LN(J340/K339)</f>
        <v>-0.00400493449664841</v>
      </c>
      <c r="P340" s="13" t="n">
        <f aca="false">LN(N340/N339)</f>
        <v>-0.0033960325219752</v>
      </c>
      <c r="Q340" s="3" t="n">
        <f aca="false">SUMIFS('Futures Data'!$D$5:$D$3471,'Futures Data'!$A$5:$A$3471,A340,'Futures Data'!$B$5:$B$3471,B340)</f>
        <v>6425</v>
      </c>
      <c r="R340" s="7" t="n">
        <v>45646</v>
      </c>
      <c r="S340" s="9" t="b">
        <f aca="false">C340=R340</f>
        <v>1</v>
      </c>
      <c r="T340" s="9" t="b">
        <f aca="false">ABS(O340-LN(J340/SUMIFS('Futures Data'!$C$5:$C$3471,'Futures Data'!$A$5:$A$3471,A339,'Futures Data'!$B$5:$B$3471,B340)))&lt;0.000000001</f>
        <v>1</v>
      </c>
    </row>
    <row r="341" customFormat="false" ht="15" hidden="false" customHeight="false" outlineLevel="0" collapsed="false">
      <c r="A341" s="7" t="n">
        <v>45631</v>
      </c>
      <c r="B341" s="11" t="n">
        <f aca="false">C340</f>
        <v>45646</v>
      </c>
      <c r="C341" s="11" t="n">
        <f aca="false">IF(OR(H340,D341&lt;=$G$4),_xlfn.MINIFS('Futures Data'!$B$5:$B$3471,'Futures Data'!$A$5:$A$3471,A341,'Futures Data'!$B$5:$B$3471,"&gt;"&amp;B341),B341)</f>
        <v>45646</v>
      </c>
      <c r="D341" s="3" t="n">
        <f aca="false">COUNTIFS($A$47:$A$790,"&gt;"&amp;A341,$A$47:$A$790,"&lt;="&amp;B341)+IF(B341&gt;$G$5,NETWORKDAYS($G$5+1,B341),0)</f>
        <v>11</v>
      </c>
      <c r="E341" s="3" t="n">
        <f aca="false">SUMIFS('Futures Data'!$E$5:$E$3471,'Futures Data'!$A$5:$A$3471,A341,'Futures Data'!$B$5:$B$3471,C341)</f>
        <v>17660</v>
      </c>
      <c r="F341" s="11" t="n">
        <f aca="false">_xlfn.MINIFS('Futures Data'!$B$5:$B$3471,'Futures Data'!$A$5:$A$3471,A341,'Futures Data'!$B$5:$B$3471,"&gt;"&amp;C341)</f>
        <v>45677</v>
      </c>
      <c r="G341" s="3" t="n">
        <f aca="false">SUMIFS('Futures Data'!$E$5:$E$3471,'Futures Data'!$A$5:$A$3471,A341,'Futures Data'!$B$5:$B$3471,F341)</f>
        <v>13165</v>
      </c>
      <c r="H341" s="9" t="b">
        <f aca="false">G341&gt;E341</f>
        <v>0</v>
      </c>
      <c r="I341" s="9" t="b">
        <f aca="false">C341&lt;&gt;B341</f>
        <v>0</v>
      </c>
      <c r="J341" s="3" t="n">
        <f aca="false">SUMIFS('Futures Data'!$C$5:$C$3471,'Futures Data'!$A$5:$A$3471,A341,'Futures Data'!$B$5:$B$3471,B341)</f>
        <v>6390</v>
      </c>
      <c r="K341" s="3" t="n">
        <f aca="false">SUMIFS('Futures Data'!$C$5:$C$3471,'Futures Data'!$A$5:$A$3471,A341,'Futures Data'!$B$5:$B$3471,C341)</f>
        <v>6390</v>
      </c>
      <c r="L341" s="3" t="n">
        <f aca="false">K341-J341</f>
        <v>0</v>
      </c>
      <c r="M341" s="3" t="n">
        <f aca="false">M342+L341</f>
        <v>1164</v>
      </c>
      <c r="N341" s="3" t="n">
        <f aca="false">J341+M341</f>
        <v>7554</v>
      </c>
      <c r="O341" s="13" t="n">
        <f aca="false">LN(J341/K340)</f>
        <v>-0.0138319090783768</v>
      </c>
      <c r="P341" s="13" t="n">
        <f aca="false">LN(N341/N340)</f>
        <v>-0.011712971970482</v>
      </c>
      <c r="Q341" s="3" t="n">
        <f aca="false">SUMIFS('Futures Data'!$D$5:$D$3471,'Futures Data'!$A$5:$A$3471,A341,'Futures Data'!$B$5:$B$3471,B341)</f>
        <v>4780</v>
      </c>
      <c r="R341" s="7" t="n">
        <v>45646</v>
      </c>
      <c r="S341" s="9" t="b">
        <f aca="false">C341=R341</f>
        <v>1</v>
      </c>
      <c r="T341" s="9" t="b">
        <f aca="false">ABS(O341-LN(J341/SUMIFS('Futures Data'!$C$5:$C$3471,'Futures Data'!$A$5:$A$3471,A340,'Futures Data'!$B$5:$B$3471,B341)))&lt;0.000000001</f>
        <v>1</v>
      </c>
    </row>
    <row r="342" customFormat="false" ht="15" hidden="false" customHeight="false" outlineLevel="0" collapsed="false">
      <c r="A342" s="7" t="n">
        <v>45632</v>
      </c>
      <c r="B342" s="11" t="n">
        <f aca="false">C341</f>
        <v>45646</v>
      </c>
      <c r="C342" s="11" t="n">
        <f aca="false">IF(OR(H341,D342&lt;=$G$4),_xlfn.MINIFS('Futures Data'!$B$5:$B$3471,'Futures Data'!$A$5:$A$3471,A342,'Futures Data'!$B$5:$B$3471,"&gt;"&amp;B342),B342)</f>
        <v>45646</v>
      </c>
      <c r="D342" s="3" t="n">
        <f aca="false">COUNTIFS($A$47:$A$790,"&gt;"&amp;A342,$A$47:$A$790,"&lt;="&amp;B342)+IF(B342&gt;$G$5,NETWORKDAYS($G$5+1,B342),0)</f>
        <v>10</v>
      </c>
      <c r="E342" s="3" t="n">
        <f aca="false">SUMIFS('Futures Data'!$E$5:$E$3471,'Futures Data'!$A$5:$A$3471,A342,'Futures Data'!$B$5:$B$3471,C342)</f>
        <v>15685</v>
      </c>
      <c r="F342" s="11" t="n">
        <f aca="false">_xlfn.MINIFS('Futures Data'!$B$5:$B$3471,'Futures Data'!$A$5:$A$3471,A342,'Futures Data'!$B$5:$B$3471,"&gt;"&amp;C342)</f>
        <v>45677</v>
      </c>
      <c r="G342" s="3" t="n">
        <f aca="false">SUMIFS('Futures Data'!$E$5:$E$3471,'Futures Data'!$A$5:$A$3471,A342,'Futures Data'!$B$5:$B$3471,F342)</f>
        <v>14630</v>
      </c>
      <c r="H342" s="9" t="b">
        <f aca="false">G342&gt;E342</f>
        <v>0</v>
      </c>
      <c r="I342" s="9" t="b">
        <f aca="false">C342&lt;&gt;B342</f>
        <v>0</v>
      </c>
      <c r="J342" s="3" t="n">
        <f aca="false">SUMIFS('Futures Data'!$C$5:$C$3471,'Futures Data'!$A$5:$A$3471,A342,'Futures Data'!$B$5:$B$3471,B342)</f>
        <v>6417</v>
      </c>
      <c r="K342" s="3" t="n">
        <f aca="false">SUMIFS('Futures Data'!$C$5:$C$3471,'Futures Data'!$A$5:$A$3471,A342,'Futures Data'!$B$5:$B$3471,C342)</f>
        <v>6417</v>
      </c>
      <c r="L342" s="3" t="n">
        <f aca="false">K342-J342</f>
        <v>0</v>
      </c>
      <c r="M342" s="3" t="n">
        <f aca="false">M343+L342</f>
        <v>1164</v>
      </c>
      <c r="N342" s="3" t="n">
        <f aca="false">J342+M342</f>
        <v>7581</v>
      </c>
      <c r="O342" s="13" t="n">
        <f aca="false">LN(J342/K341)</f>
        <v>0.00421645037893483</v>
      </c>
      <c r="P342" s="13" t="n">
        <f aca="false">LN(N342/N341)</f>
        <v>0.00356789278390179</v>
      </c>
      <c r="Q342" s="3" t="n">
        <f aca="false">SUMIFS('Futures Data'!$D$5:$D$3471,'Futures Data'!$A$5:$A$3471,A342,'Futures Data'!$B$5:$B$3471,B342)</f>
        <v>3415</v>
      </c>
      <c r="R342" s="7" t="n">
        <v>45646</v>
      </c>
      <c r="S342" s="9" t="b">
        <f aca="false">C342=R342</f>
        <v>1</v>
      </c>
      <c r="T342" s="9" t="b">
        <f aca="false">ABS(O342-LN(J342/SUMIFS('Futures Data'!$C$5:$C$3471,'Futures Data'!$A$5:$A$3471,A341,'Futures Data'!$B$5:$B$3471,B342)))&lt;0.000000001</f>
        <v>1</v>
      </c>
    </row>
    <row r="343" customFormat="false" ht="15" hidden="false" customHeight="false" outlineLevel="0" collapsed="false">
      <c r="A343" s="7" t="n">
        <v>45635</v>
      </c>
      <c r="B343" s="11" t="n">
        <f aca="false">C342</f>
        <v>45646</v>
      </c>
      <c r="C343" s="11" t="n">
        <f aca="false">IF(OR(H342,D343&lt;=$G$4),_xlfn.MINIFS('Futures Data'!$B$5:$B$3471,'Futures Data'!$A$5:$A$3471,A343,'Futures Data'!$B$5:$B$3471,"&gt;"&amp;B343),B343)</f>
        <v>45646</v>
      </c>
      <c r="D343" s="3" t="n">
        <f aca="false">COUNTIFS($A$47:$A$790,"&gt;"&amp;A343,$A$47:$A$790,"&lt;="&amp;B343)+IF(B343&gt;$G$5,NETWORKDAYS($G$5+1,B343),0)</f>
        <v>9</v>
      </c>
      <c r="E343" s="3" t="n">
        <f aca="false">SUMIFS('Futures Data'!$E$5:$E$3471,'Futures Data'!$A$5:$A$3471,A343,'Futures Data'!$B$5:$B$3471,C343)</f>
        <v>13170</v>
      </c>
      <c r="F343" s="11" t="n">
        <f aca="false">_xlfn.MINIFS('Futures Data'!$B$5:$B$3471,'Futures Data'!$A$5:$A$3471,A343,'Futures Data'!$B$5:$B$3471,"&gt;"&amp;C343)</f>
        <v>45677</v>
      </c>
      <c r="G343" s="3" t="n">
        <f aca="false">SUMIFS('Futures Data'!$E$5:$E$3471,'Futures Data'!$A$5:$A$3471,A343,'Futures Data'!$B$5:$B$3471,F343)</f>
        <v>16915</v>
      </c>
      <c r="H343" s="9" t="b">
        <f aca="false">G343&gt;E343</f>
        <v>1</v>
      </c>
      <c r="I343" s="9" t="b">
        <f aca="false">C343&lt;&gt;B343</f>
        <v>0</v>
      </c>
      <c r="J343" s="3" t="n">
        <f aca="false">SUMIFS('Futures Data'!$C$5:$C$3471,'Futures Data'!$A$5:$A$3471,A343,'Futures Data'!$B$5:$B$3471,B343)</f>
        <v>6383</v>
      </c>
      <c r="K343" s="3" t="n">
        <f aca="false">SUMIFS('Futures Data'!$C$5:$C$3471,'Futures Data'!$A$5:$A$3471,A343,'Futures Data'!$B$5:$B$3471,C343)</f>
        <v>6383</v>
      </c>
      <c r="L343" s="3" t="n">
        <f aca="false">K343-J343</f>
        <v>0</v>
      </c>
      <c r="M343" s="3" t="n">
        <f aca="false">M344+L343</f>
        <v>1164</v>
      </c>
      <c r="N343" s="3" t="n">
        <f aca="false">J343+M343</f>
        <v>7547</v>
      </c>
      <c r="O343" s="13" t="n">
        <f aca="false">LN(J343/K342)</f>
        <v>-0.00531251249445804</v>
      </c>
      <c r="P343" s="13" t="n">
        <f aca="false">LN(N343/N342)</f>
        <v>-0.00449498377143556</v>
      </c>
      <c r="Q343" s="3" t="n">
        <f aca="false">SUMIFS('Futures Data'!$D$5:$D$3471,'Futures Data'!$A$5:$A$3471,A343,'Futures Data'!$B$5:$B$3471,B343)</f>
        <v>4395</v>
      </c>
      <c r="R343" s="7" t="n">
        <v>45646</v>
      </c>
      <c r="S343" s="9" t="b">
        <f aca="false">C343=R343</f>
        <v>1</v>
      </c>
      <c r="T343" s="9" t="b">
        <f aca="false">ABS(O343-LN(J343/SUMIFS('Futures Data'!$C$5:$C$3471,'Futures Data'!$A$5:$A$3471,A342,'Futures Data'!$B$5:$B$3471,B343)))&lt;0.000000001</f>
        <v>1</v>
      </c>
    </row>
    <row r="344" customFormat="false" ht="15" hidden="false" customHeight="false" outlineLevel="0" collapsed="false">
      <c r="A344" s="7" t="n">
        <v>45636</v>
      </c>
      <c r="B344" s="11" t="n">
        <f aca="false">C343</f>
        <v>45646</v>
      </c>
      <c r="C344" s="11" t="n">
        <f aca="false">IF(OR(H343,D344&lt;=$G$4),_xlfn.MINIFS('Futures Data'!$B$5:$B$3471,'Futures Data'!$A$5:$A$3471,A344,'Futures Data'!$B$5:$B$3471,"&gt;"&amp;B344),B344)</f>
        <v>45677</v>
      </c>
      <c r="D344" s="3" t="n">
        <f aca="false">COUNTIFS($A$47:$A$790,"&gt;"&amp;A344,$A$47:$A$790,"&lt;="&amp;B344)+IF(B344&gt;$G$5,NETWORKDAYS($G$5+1,B344),0)</f>
        <v>8</v>
      </c>
      <c r="E344" s="3" t="n">
        <f aca="false">SUMIFS('Futures Data'!$E$5:$E$3471,'Futures Data'!$A$5:$A$3471,A344,'Futures Data'!$B$5:$B$3471,C344)</f>
        <v>18540</v>
      </c>
      <c r="F344" s="11" t="n">
        <f aca="false">_xlfn.MINIFS('Futures Data'!$B$5:$B$3471,'Futures Data'!$A$5:$A$3471,A344,'Futures Data'!$B$5:$B$3471,"&gt;"&amp;C344)</f>
        <v>45708</v>
      </c>
      <c r="G344" s="3" t="n">
        <f aca="false">SUMIFS('Futures Data'!$E$5:$E$3471,'Futures Data'!$A$5:$A$3471,A344,'Futures Data'!$B$5:$B$3471,F344)</f>
        <v>545</v>
      </c>
      <c r="H344" s="9" t="b">
        <f aca="false">G344&gt;E344</f>
        <v>0</v>
      </c>
      <c r="I344" s="9" t="b">
        <f aca="false">C344&lt;&gt;B344</f>
        <v>1</v>
      </c>
      <c r="J344" s="3" t="n">
        <f aca="false">SUMIFS('Futures Data'!$C$5:$C$3471,'Futures Data'!$A$5:$A$3471,A344,'Futures Data'!$B$5:$B$3471,B344)</f>
        <v>6294</v>
      </c>
      <c r="K344" s="3" t="n">
        <f aca="false">SUMIFS('Futures Data'!$C$5:$C$3471,'Futures Data'!$A$5:$A$3471,A344,'Futures Data'!$B$5:$B$3471,C344)</f>
        <v>6368</v>
      </c>
      <c r="L344" s="3" t="n">
        <f aca="false">K344-J344</f>
        <v>74</v>
      </c>
      <c r="M344" s="3" t="n">
        <f aca="false">M345+L344</f>
        <v>1164</v>
      </c>
      <c r="N344" s="3" t="n">
        <f aca="false">J344+M344</f>
        <v>7458</v>
      </c>
      <c r="O344" s="13" t="n">
        <f aca="false">LN(J344/K343)</f>
        <v>-0.0140414076317051</v>
      </c>
      <c r="P344" s="13" t="n">
        <f aca="false">LN(N344/N343)</f>
        <v>-0.0118628515461023</v>
      </c>
      <c r="Q344" s="3" t="n">
        <f aca="false">SUMIFS('Futures Data'!$D$5:$D$3471,'Futures Data'!$A$5:$A$3471,A344,'Futures Data'!$B$5:$B$3471,B344)</f>
        <v>4685</v>
      </c>
      <c r="R344" s="7" t="n">
        <v>45677</v>
      </c>
      <c r="S344" s="9" t="b">
        <f aca="false">C344=R344</f>
        <v>1</v>
      </c>
      <c r="T344" s="9" t="b">
        <f aca="false">ABS(O344-LN(J344/SUMIFS('Futures Data'!$C$5:$C$3471,'Futures Data'!$A$5:$A$3471,A343,'Futures Data'!$B$5:$B$3471,B344)))&lt;0.000000001</f>
        <v>1</v>
      </c>
    </row>
    <row r="345" customFormat="false" ht="15" hidden="false" customHeight="false" outlineLevel="0" collapsed="false">
      <c r="A345" s="7" t="n">
        <v>45637</v>
      </c>
      <c r="B345" s="11" t="n">
        <f aca="false">C344</f>
        <v>45677</v>
      </c>
      <c r="C345" s="11" t="n">
        <f aca="false">IF(OR(H344,D345&lt;=$G$4),_xlfn.MINIFS('Futures Data'!$B$5:$B$3471,'Futures Data'!$A$5:$A$3471,A345,'Futures Data'!$B$5:$B$3471,"&gt;"&amp;B345),B345)</f>
        <v>45677</v>
      </c>
      <c r="D345" s="3" t="n">
        <f aca="false">COUNTIFS($A$47:$A$790,"&gt;"&amp;A345,$A$47:$A$790,"&lt;="&amp;B345)+IF(B345&gt;$G$5,NETWORKDAYS($G$5+1,B345),0)</f>
        <v>27</v>
      </c>
      <c r="E345" s="3" t="n">
        <f aca="false">SUMIFS('Futures Data'!$E$5:$E$3471,'Futures Data'!$A$5:$A$3471,A345,'Futures Data'!$B$5:$B$3471,C345)</f>
        <v>19375</v>
      </c>
      <c r="F345" s="11" t="n">
        <f aca="false">_xlfn.MINIFS('Futures Data'!$B$5:$B$3471,'Futures Data'!$A$5:$A$3471,A345,'Futures Data'!$B$5:$B$3471,"&gt;"&amp;C345)</f>
        <v>45708</v>
      </c>
      <c r="G345" s="3" t="n">
        <f aca="false">SUMIFS('Futures Data'!$E$5:$E$3471,'Futures Data'!$A$5:$A$3471,A345,'Futures Data'!$B$5:$B$3471,F345)</f>
        <v>740</v>
      </c>
      <c r="H345" s="9" t="b">
        <f aca="false">G345&gt;E345</f>
        <v>0</v>
      </c>
      <c r="I345" s="9" t="b">
        <f aca="false">C345&lt;&gt;B345</f>
        <v>0</v>
      </c>
      <c r="J345" s="3" t="n">
        <f aca="false">SUMIFS('Futures Data'!$C$5:$C$3471,'Futures Data'!$A$5:$A$3471,A345,'Futures Data'!$B$5:$B$3471,B345)</f>
        <v>6346</v>
      </c>
      <c r="K345" s="3" t="n">
        <f aca="false">SUMIFS('Futures Data'!$C$5:$C$3471,'Futures Data'!$A$5:$A$3471,A345,'Futures Data'!$B$5:$B$3471,C345)</f>
        <v>6346</v>
      </c>
      <c r="L345" s="3" t="n">
        <f aca="false">K345-J345</f>
        <v>0</v>
      </c>
      <c r="M345" s="3" t="n">
        <f aca="false">M346+L345</f>
        <v>1090</v>
      </c>
      <c r="N345" s="3" t="n">
        <f aca="false">J345+M345</f>
        <v>7436</v>
      </c>
      <c r="O345" s="13" t="n">
        <f aca="false">LN(J345/K344)</f>
        <v>-0.00346075538107812</v>
      </c>
      <c r="P345" s="13" t="n">
        <f aca="false">LN(N345/N344)</f>
        <v>-0.00295421189743152</v>
      </c>
      <c r="Q345" s="3" t="n">
        <f aca="false">SUMIFS('Futures Data'!$D$5:$D$3471,'Futures Data'!$A$5:$A$3471,A345,'Futures Data'!$B$5:$B$3471,B345)</f>
        <v>4750</v>
      </c>
      <c r="R345" s="7" t="n">
        <v>45677</v>
      </c>
      <c r="S345" s="9" t="b">
        <f aca="false">C345=R345</f>
        <v>1</v>
      </c>
      <c r="T345" s="9" t="b">
        <f aca="false">ABS(O345-LN(J345/SUMIFS('Futures Data'!$C$5:$C$3471,'Futures Data'!$A$5:$A$3471,A344,'Futures Data'!$B$5:$B$3471,B345)))&lt;0.000000001</f>
        <v>1</v>
      </c>
    </row>
    <row r="346" customFormat="false" ht="15" hidden="false" customHeight="false" outlineLevel="0" collapsed="false">
      <c r="A346" s="7" t="n">
        <v>45638</v>
      </c>
      <c r="B346" s="11" t="n">
        <f aca="false">C345</f>
        <v>45677</v>
      </c>
      <c r="C346" s="11" t="n">
        <f aca="false">IF(OR(H345,D346&lt;=$G$4),_xlfn.MINIFS('Futures Data'!$B$5:$B$3471,'Futures Data'!$A$5:$A$3471,A346,'Futures Data'!$B$5:$B$3471,"&gt;"&amp;B346),B346)</f>
        <v>45677</v>
      </c>
      <c r="D346" s="3" t="n">
        <f aca="false">COUNTIFS($A$47:$A$790,"&gt;"&amp;A346,$A$47:$A$790,"&lt;="&amp;B346)+IF(B346&gt;$G$5,NETWORKDAYS($G$5+1,B346),0)</f>
        <v>26</v>
      </c>
      <c r="E346" s="3" t="n">
        <f aca="false">SUMIFS('Futures Data'!$E$5:$E$3471,'Futures Data'!$A$5:$A$3471,A346,'Futures Data'!$B$5:$B$3471,C346)</f>
        <v>20025</v>
      </c>
      <c r="F346" s="11" t="n">
        <f aca="false">_xlfn.MINIFS('Futures Data'!$B$5:$B$3471,'Futures Data'!$A$5:$A$3471,A346,'Futures Data'!$B$5:$B$3471,"&gt;"&amp;C346)</f>
        <v>45708</v>
      </c>
      <c r="G346" s="3" t="n">
        <f aca="false">SUMIFS('Futures Data'!$E$5:$E$3471,'Futures Data'!$A$5:$A$3471,A346,'Futures Data'!$B$5:$B$3471,F346)</f>
        <v>750</v>
      </c>
      <c r="H346" s="9" t="b">
        <f aca="false">G346&gt;E346</f>
        <v>0</v>
      </c>
      <c r="I346" s="9" t="b">
        <f aca="false">C346&lt;&gt;B346</f>
        <v>0</v>
      </c>
      <c r="J346" s="3" t="n">
        <f aca="false">SUMIFS('Futures Data'!$C$5:$C$3471,'Futures Data'!$A$5:$A$3471,A346,'Futures Data'!$B$5:$B$3471,B346)</f>
        <v>6372</v>
      </c>
      <c r="K346" s="3" t="n">
        <f aca="false">SUMIFS('Futures Data'!$C$5:$C$3471,'Futures Data'!$A$5:$A$3471,A346,'Futures Data'!$B$5:$B$3471,C346)</f>
        <v>6372</v>
      </c>
      <c r="L346" s="3" t="n">
        <f aca="false">K346-J346</f>
        <v>0</v>
      </c>
      <c r="M346" s="3" t="n">
        <f aca="false">M347+L346</f>
        <v>1090</v>
      </c>
      <c r="N346" s="3" t="n">
        <f aca="false">J346+M346</f>
        <v>7462</v>
      </c>
      <c r="O346" s="13" t="n">
        <f aca="false">LN(J346/K345)</f>
        <v>0.0040886988867982</v>
      </c>
      <c r="P346" s="13" t="n">
        <f aca="false">LN(N346/N345)</f>
        <v>0.00349040493976857</v>
      </c>
      <c r="Q346" s="3" t="n">
        <f aca="false">SUMIFS('Futures Data'!$D$5:$D$3471,'Futures Data'!$A$5:$A$3471,A346,'Futures Data'!$B$5:$B$3471,B346)</f>
        <v>2300</v>
      </c>
      <c r="R346" s="7" t="n">
        <v>45677</v>
      </c>
      <c r="S346" s="9" t="b">
        <f aca="false">C346=R346</f>
        <v>1</v>
      </c>
      <c r="T346" s="9" t="b">
        <f aca="false">ABS(O346-LN(J346/SUMIFS('Futures Data'!$C$5:$C$3471,'Futures Data'!$A$5:$A$3471,A345,'Futures Data'!$B$5:$B$3471,B346)))&lt;0.000000001</f>
        <v>1</v>
      </c>
    </row>
    <row r="347" customFormat="false" ht="15" hidden="false" customHeight="false" outlineLevel="0" collapsed="false">
      <c r="A347" s="7" t="n">
        <v>45639</v>
      </c>
      <c r="B347" s="11" t="n">
        <f aca="false">C346</f>
        <v>45677</v>
      </c>
      <c r="C347" s="11" t="n">
        <f aca="false">IF(OR(H346,D347&lt;=$G$4),_xlfn.MINIFS('Futures Data'!$B$5:$B$3471,'Futures Data'!$A$5:$A$3471,A347,'Futures Data'!$B$5:$B$3471,"&gt;"&amp;B347),B347)</f>
        <v>45677</v>
      </c>
      <c r="D347" s="3" t="n">
        <f aca="false">COUNTIFS($A$47:$A$790,"&gt;"&amp;A347,$A$47:$A$790,"&lt;="&amp;B347)+IF(B347&gt;$G$5,NETWORKDAYS($G$5+1,B347),0)</f>
        <v>25</v>
      </c>
      <c r="E347" s="3" t="n">
        <f aca="false">SUMIFS('Futures Data'!$E$5:$E$3471,'Futures Data'!$A$5:$A$3471,A347,'Futures Data'!$B$5:$B$3471,C347)</f>
        <v>22030</v>
      </c>
      <c r="F347" s="11" t="n">
        <f aca="false">_xlfn.MINIFS('Futures Data'!$B$5:$B$3471,'Futures Data'!$A$5:$A$3471,A347,'Futures Data'!$B$5:$B$3471,"&gt;"&amp;C347)</f>
        <v>45708</v>
      </c>
      <c r="G347" s="3" t="n">
        <f aca="false">SUMIFS('Futures Data'!$E$5:$E$3471,'Futures Data'!$A$5:$A$3471,A347,'Futures Data'!$B$5:$B$3471,F347)</f>
        <v>755</v>
      </c>
      <c r="H347" s="9" t="b">
        <f aca="false">G347&gt;E347</f>
        <v>0</v>
      </c>
      <c r="I347" s="9" t="b">
        <f aca="false">C347&lt;&gt;B347</f>
        <v>0</v>
      </c>
      <c r="J347" s="3" t="n">
        <f aca="false">SUMIFS('Futures Data'!$C$5:$C$3471,'Futures Data'!$A$5:$A$3471,A347,'Futures Data'!$B$5:$B$3471,B347)</f>
        <v>6347</v>
      </c>
      <c r="K347" s="3" t="n">
        <f aca="false">SUMIFS('Futures Data'!$C$5:$C$3471,'Futures Data'!$A$5:$A$3471,A347,'Futures Data'!$B$5:$B$3471,C347)</f>
        <v>6347</v>
      </c>
      <c r="L347" s="3" t="n">
        <f aca="false">K347-J347</f>
        <v>0</v>
      </c>
      <c r="M347" s="3" t="n">
        <f aca="false">M348+L347</f>
        <v>1090</v>
      </c>
      <c r="N347" s="3" t="n">
        <f aca="false">J347+M347</f>
        <v>7437</v>
      </c>
      <c r="O347" s="13" t="n">
        <f aca="false">LN(J347/K346)</f>
        <v>-0.00393113172346902</v>
      </c>
      <c r="P347" s="13" t="n">
        <f aca="false">LN(N347/N346)</f>
        <v>-0.00335593307780297</v>
      </c>
      <c r="Q347" s="3" t="n">
        <f aca="false">SUMIFS('Futures Data'!$D$5:$D$3471,'Futures Data'!$A$5:$A$3471,A347,'Futures Data'!$B$5:$B$3471,B347)</f>
        <v>3650</v>
      </c>
      <c r="R347" s="7" t="n">
        <v>45677</v>
      </c>
      <c r="S347" s="9" t="b">
        <f aca="false">C347=R347</f>
        <v>1</v>
      </c>
      <c r="T347" s="9" t="b">
        <f aca="false">ABS(O347-LN(J347/SUMIFS('Futures Data'!$C$5:$C$3471,'Futures Data'!$A$5:$A$3471,A346,'Futures Data'!$B$5:$B$3471,B347)))&lt;0.000000001</f>
        <v>1</v>
      </c>
    </row>
    <row r="348" customFormat="false" ht="15" hidden="false" customHeight="false" outlineLevel="0" collapsed="false">
      <c r="A348" s="7" t="n">
        <v>45642</v>
      </c>
      <c r="B348" s="11" t="n">
        <f aca="false">C347</f>
        <v>45677</v>
      </c>
      <c r="C348" s="11" t="n">
        <f aca="false">IF(OR(H347,D348&lt;=$G$4),_xlfn.MINIFS('Futures Data'!$B$5:$B$3471,'Futures Data'!$A$5:$A$3471,A348,'Futures Data'!$B$5:$B$3471,"&gt;"&amp;B348),B348)</f>
        <v>45677</v>
      </c>
      <c r="D348" s="3" t="n">
        <f aca="false">COUNTIFS($A$47:$A$790,"&gt;"&amp;A348,$A$47:$A$790,"&lt;="&amp;B348)+IF(B348&gt;$G$5,NETWORKDAYS($G$5+1,B348),0)</f>
        <v>24</v>
      </c>
      <c r="E348" s="3" t="n">
        <f aca="false">SUMIFS('Futures Data'!$E$5:$E$3471,'Futures Data'!$A$5:$A$3471,A348,'Futures Data'!$B$5:$B$3471,C348)</f>
        <v>23530</v>
      </c>
      <c r="F348" s="11" t="n">
        <f aca="false">_xlfn.MINIFS('Futures Data'!$B$5:$B$3471,'Futures Data'!$A$5:$A$3471,A348,'Futures Data'!$B$5:$B$3471,"&gt;"&amp;C348)</f>
        <v>45708</v>
      </c>
      <c r="G348" s="3" t="n">
        <f aca="false">SUMIFS('Futures Data'!$E$5:$E$3471,'Futures Data'!$A$5:$A$3471,A348,'Futures Data'!$B$5:$B$3471,F348)</f>
        <v>825</v>
      </c>
      <c r="H348" s="9" t="b">
        <f aca="false">G348&gt;E348</f>
        <v>0</v>
      </c>
      <c r="I348" s="9" t="b">
        <f aca="false">C348&lt;&gt;B348</f>
        <v>0</v>
      </c>
      <c r="J348" s="3" t="n">
        <f aca="false">SUMIFS('Futures Data'!$C$5:$C$3471,'Futures Data'!$A$5:$A$3471,A348,'Futures Data'!$B$5:$B$3471,B348)</f>
        <v>6265</v>
      </c>
      <c r="K348" s="3" t="n">
        <f aca="false">SUMIFS('Futures Data'!$C$5:$C$3471,'Futures Data'!$A$5:$A$3471,A348,'Futures Data'!$B$5:$B$3471,C348)</f>
        <v>6265</v>
      </c>
      <c r="L348" s="3" t="n">
        <f aca="false">K348-J348</f>
        <v>0</v>
      </c>
      <c r="M348" s="3" t="n">
        <f aca="false">M349+L348</f>
        <v>1090</v>
      </c>
      <c r="N348" s="3" t="n">
        <f aca="false">J348+M348</f>
        <v>7355</v>
      </c>
      <c r="O348" s="13" t="n">
        <f aca="false">LN(J348/K347)</f>
        <v>-0.0130036719763015</v>
      </c>
      <c r="P348" s="13" t="n">
        <f aca="false">LN(N348/N347)</f>
        <v>-0.0110871876677623</v>
      </c>
      <c r="Q348" s="3" t="n">
        <f aca="false">SUMIFS('Futures Data'!$D$5:$D$3471,'Futures Data'!$A$5:$A$3471,A348,'Futures Data'!$B$5:$B$3471,B348)</f>
        <v>5380</v>
      </c>
      <c r="R348" s="7" t="n">
        <v>45677</v>
      </c>
      <c r="S348" s="9" t="b">
        <f aca="false">C348=R348</f>
        <v>1</v>
      </c>
      <c r="T348" s="9" t="b">
        <f aca="false">ABS(O348-LN(J348/SUMIFS('Futures Data'!$C$5:$C$3471,'Futures Data'!$A$5:$A$3471,A347,'Futures Data'!$B$5:$B$3471,B348)))&lt;0.000000001</f>
        <v>1</v>
      </c>
    </row>
    <row r="349" customFormat="false" ht="15" hidden="false" customHeight="false" outlineLevel="0" collapsed="false">
      <c r="A349" s="7" t="n">
        <v>45643</v>
      </c>
      <c r="B349" s="11" t="n">
        <f aca="false">C348</f>
        <v>45677</v>
      </c>
      <c r="C349" s="11" t="n">
        <f aca="false">IF(OR(H348,D349&lt;=$G$4),_xlfn.MINIFS('Futures Data'!$B$5:$B$3471,'Futures Data'!$A$5:$A$3471,A349,'Futures Data'!$B$5:$B$3471,"&gt;"&amp;B349),B349)</f>
        <v>45677</v>
      </c>
      <c r="D349" s="3" t="n">
        <f aca="false">COUNTIFS($A$47:$A$790,"&gt;"&amp;A349,$A$47:$A$790,"&lt;="&amp;B349)+IF(B349&gt;$G$5,NETWORKDAYS($G$5+1,B349),0)</f>
        <v>23</v>
      </c>
      <c r="E349" s="3" t="n">
        <f aca="false">SUMIFS('Futures Data'!$E$5:$E$3471,'Futures Data'!$A$5:$A$3471,A349,'Futures Data'!$B$5:$B$3471,C349)</f>
        <v>24125</v>
      </c>
      <c r="F349" s="11" t="n">
        <f aca="false">_xlfn.MINIFS('Futures Data'!$B$5:$B$3471,'Futures Data'!$A$5:$A$3471,A349,'Futures Data'!$B$5:$B$3471,"&gt;"&amp;C349)</f>
        <v>45708</v>
      </c>
      <c r="G349" s="3" t="n">
        <f aca="false">SUMIFS('Futures Data'!$E$5:$E$3471,'Futures Data'!$A$5:$A$3471,A349,'Futures Data'!$B$5:$B$3471,F349)</f>
        <v>835</v>
      </c>
      <c r="H349" s="9" t="b">
        <f aca="false">G349&gt;E349</f>
        <v>0</v>
      </c>
      <c r="I349" s="9" t="b">
        <f aca="false">C349&lt;&gt;B349</f>
        <v>0</v>
      </c>
      <c r="J349" s="3" t="n">
        <f aca="false">SUMIFS('Futures Data'!$C$5:$C$3471,'Futures Data'!$A$5:$A$3471,A349,'Futures Data'!$B$5:$B$3471,B349)</f>
        <v>6246</v>
      </c>
      <c r="K349" s="3" t="n">
        <f aca="false">SUMIFS('Futures Data'!$C$5:$C$3471,'Futures Data'!$A$5:$A$3471,A349,'Futures Data'!$B$5:$B$3471,C349)</f>
        <v>6246</v>
      </c>
      <c r="L349" s="3" t="n">
        <f aca="false">K349-J349</f>
        <v>0</v>
      </c>
      <c r="M349" s="3" t="n">
        <f aca="false">M350+L349</f>
        <v>1090</v>
      </c>
      <c r="N349" s="3" t="n">
        <f aca="false">J349+M349</f>
        <v>7336</v>
      </c>
      <c r="O349" s="13" t="n">
        <f aca="false">LN(J349/K348)</f>
        <v>-0.0030373294871448</v>
      </c>
      <c r="P349" s="13" t="n">
        <f aca="false">LN(N349/N348)</f>
        <v>-0.00258661909923711</v>
      </c>
      <c r="Q349" s="3" t="n">
        <f aca="false">SUMIFS('Futures Data'!$D$5:$D$3471,'Futures Data'!$A$5:$A$3471,A349,'Futures Data'!$B$5:$B$3471,B349)</f>
        <v>4560</v>
      </c>
      <c r="R349" s="7" t="n">
        <v>45677</v>
      </c>
      <c r="S349" s="9" t="b">
        <f aca="false">C349=R349</f>
        <v>1</v>
      </c>
      <c r="T349" s="9" t="b">
        <f aca="false">ABS(O349-LN(J349/SUMIFS('Futures Data'!$C$5:$C$3471,'Futures Data'!$A$5:$A$3471,A348,'Futures Data'!$B$5:$B$3471,B349)))&lt;0.000000001</f>
        <v>1</v>
      </c>
    </row>
    <row r="350" customFormat="false" ht="15" hidden="false" customHeight="false" outlineLevel="0" collapsed="false">
      <c r="A350" s="7" t="n">
        <v>45644</v>
      </c>
      <c r="B350" s="11" t="n">
        <f aca="false">C349</f>
        <v>45677</v>
      </c>
      <c r="C350" s="11" t="n">
        <f aca="false">IF(OR(H349,D350&lt;=$G$4),_xlfn.MINIFS('Futures Data'!$B$5:$B$3471,'Futures Data'!$A$5:$A$3471,A350,'Futures Data'!$B$5:$B$3471,"&gt;"&amp;B350),B350)</f>
        <v>45677</v>
      </c>
      <c r="D350" s="3" t="n">
        <f aca="false">COUNTIFS($A$47:$A$790,"&gt;"&amp;A350,$A$47:$A$790,"&lt;="&amp;B350)+IF(B350&gt;$G$5,NETWORKDAYS($G$5+1,B350),0)</f>
        <v>22</v>
      </c>
      <c r="E350" s="3" t="n">
        <f aca="false">SUMIFS('Futures Data'!$E$5:$E$3471,'Futures Data'!$A$5:$A$3471,A350,'Futures Data'!$B$5:$B$3471,C350)</f>
        <v>23870</v>
      </c>
      <c r="F350" s="11" t="n">
        <f aca="false">_xlfn.MINIFS('Futures Data'!$B$5:$B$3471,'Futures Data'!$A$5:$A$3471,A350,'Futures Data'!$B$5:$B$3471,"&gt;"&amp;C350)</f>
        <v>45708</v>
      </c>
      <c r="G350" s="3" t="n">
        <f aca="false">SUMIFS('Futures Data'!$E$5:$E$3471,'Futures Data'!$A$5:$A$3471,A350,'Futures Data'!$B$5:$B$3471,F350)</f>
        <v>1120</v>
      </c>
      <c r="H350" s="9" t="b">
        <f aca="false">G350&gt;E350</f>
        <v>0</v>
      </c>
      <c r="I350" s="9" t="b">
        <f aca="false">C350&lt;&gt;B350</f>
        <v>0</v>
      </c>
      <c r="J350" s="3" t="n">
        <f aca="false">SUMIFS('Futures Data'!$C$5:$C$3471,'Futures Data'!$A$5:$A$3471,A350,'Futures Data'!$B$5:$B$3471,B350)</f>
        <v>6313</v>
      </c>
      <c r="K350" s="3" t="n">
        <f aca="false">SUMIFS('Futures Data'!$C$5:$C$3471,'Futures Data'!$A$5:$A$3471,A350,'Futures Data'!$B$5:$B$3471,C350)</f>
        <v>6313</v>
      </c>
      <c r="L350" s="3" t="n">
        <f aca="false">K350-J350</f>
        <v>0</v>
      </c>
      <c r="M350" s="3" t="n">
        <f aca="false">M351+L350</f>
        <v>1090</v>
      </c>
      <c r="N350" s="3" t="n">
        <f aca="false">J350+M350</f>
        <v>7403</v>
      </c>
      <c r="O350" s="13" t="n">
        <f aca="false">LN(J350/K349)</f>
        <v>0.0106697405246018</v>
      </c>
      <c r="P350" s="13" t="n">
        <f aca="false">LN(N350/N349)</f>
        <v>0.00909158850679762</v>
      </c>
      <c r="Q350" s="3" t="n">
        <f aca="false">SUMIFS('Futures Data'!$D$5:$D$3471,'Futures Data'!$A$5:$A$3471,A350,'Futures Data'!$B$5:$B$3471,B350)</f>
        <v>4810</v>
      </c>
      <c r="R350" s="7" t="n">
        <v>45677</v>
      </c>
      <c r="S350" s="9" t="b">
        <f aca="false">C350=R350</f>
        <v>1</v>
      </c>
      <c r="T350" s="9" t="b">
        <f aca="false">ABS(O350-LN(J350/SUMIFS('Futures Data'!$C$5:$C$3471,'Futures Data'!$A$5:$A$3471,A349,'Futures Data'!$B$5:$B$3471,B350)))&lt;0.000000001</f>
        <v>1</v>
      </c>
    </row>
    <row r="351" customFormat="false" ht="15" hidden="false" customHeight="false" outlineLevel="0" collapsed="false">
      <c r="A351" s="7" t="n">
        <v>45645</v>
      </c>
      <c r="B351" s="11" t="n">
        <f aca="false">C350</f>
        <v>45677</v>
      </c>
      <c r="C351" s="11" t="n">
        <f aca="false">IF(OR(H350,D351&lt;=$G$4),_xlfn.MINIFS('Futures Data'!$B$5:$B$3471,'Futures Data'!$A$5:$A$3471,A351,'Futures Data'!$B$5:$B$3471,"&gt;"&amp;B351),B351)</f>
        <v>45677</v>
      </c>
      <c r="D351" s="3" t="n">
        <f aca="false">COUNTIFS($A$47:$A$790,"&gt;"&amp;A351,$A$47:$A$790,"&lt;="&amp;B351)+IF(B351&gt;$G$5,NETWORKDAYS($G$5+1,B351),0)</f>
        <v>21</v>
      </c>
      <c r="E351" s="3" t="n">
        <f aca="false">SUMIFS('Futures Data'!$E$5:$E$3471,'Futures Data'!$A$5:$A$3471,A351,'Futures Data'!$B$5:$B$3471,C351)</f>
        <v>24170</v>
      </c>
      <c r="F351" s="11" t="n">
        <f aca="false">_xlfn.MINIFS('Futures Data'!$B$5:$B$3471,'Futures Data'!$A$5:$A$3471,A351,'Futures Data'!$B$5:$B$3471,"&gt;"&amp;C351)</f>
        <v>45708</v>
      </c>
      <c r="G351" s="3" t="n">
        <f aca="false">SUMIFS('Futures Data'!$E$5:$E$3471,'Futures Data'!$A$5:$A$3471,A351,'Futures Data'!$B$5:$B$3471,F351)</f>
        <v>1390</v>
      </c>
      <c r="H351" s="9" t="b">
        <f aca="false">G351&gt;E351</f>
        <v>0</v>
      </c>
      <c r="I351" s="9" t="b">
        <f aca="false">C351&lt;&gt;B351</f>
        <v>0</v>
      </c>
      <c r="J351" s="3" t="n">
        <f aca="false">SUMIFS('Futures Data'!$C$5:$C$3471,'Futures Data'!$A$5:$A$3471,A351,'Futures Data'!$B$5:$B$3471,B351)</f>
        <v>6328</v>
      </c>
      <c r="K351" s="3" t="n">
        <f aca="false">SUMIFS('Futures Data'!$C$5:$C$3471,'Futures Data'!$A$5:$A$3471,A351,'Futures Data'!$B$5:$B$3471,C351)</f>
        <v>6328</v>
      </c>
      <c r="L351" s="3" t="n">
        <f aca="false">K351-J351</f>
        <v>0</v>
      </c>
      <c r="M351" s="3" t="n">
        <f aca="false">M352+L351</f>
        <v>1090</v>
      </c>
      <c r="N351" s="3" t="n">
        <f aca="false">J351+M351</f>
        <v>7418</v>
      </c>
      <c r="O351" s="13" t="n">
        <f aca="false">LN(J351/K350)</f>
        <v>0.0023732310798641</v>
      </c>
      <c r="P351" s="13" t="n">
        <f aca="false">LN(N351/N350)</f>
        <v>0.0020241556064378</v>
      </c>
      <c r="Q351" s="3" t="n">
        <f aca="false">SUMIFS('Futures Data'!$D$5:$D$3471,'Futures Data'!$A$5:$A$3471,A351,'Futures Data'!$B$5:$B$3471,B351)</f>
        <v>3225</v>
      </c>
      <c r="R351" s="7" t="n">
        <v>45677</v>
      </c>
      <c r="S351" s="9" t="b">
        <f aca="false">C351=R351</f>
        <v>1</v>
      </c>
      <c r="T351" s="9" t="b">
        <f aca="false">ABS(O351-LN(J351/SUMIFS('Futures Data'!$C$5:$C$3471,'Futures Data'!$A$5:$A$3471,A350,'Futures Data'!$B$5:$B$3471,B351)))&lt;0.000000001</f>
        <v>1</v>
      </c>
    </row>
    <row r="352" customFormat="false" ht="15" hidden="false" customHeight="false" outlineLevel="0" collapsed="false">
      <c r="A352" s="7" t="n">
        <v>45646</v>
      </c>
      <c r="B352" s="11" t="n">
        <f aca="false">C351</f>
        <v>45677</v>
      </c>
      <c r="C352" s="11" t="n">
        <f aca="false">IF(OR(H351,D352&lt;=$G$4),_xlfn.MINIFS('Futures Data'!$B$5:$B$3471,'Futures Data'!$A$5:$A$3471,A352,'Futures Data'!$B$5:$B$3471,"&gt;"&amp;B352),B352)</f>
        <v>45677</v>
      </c>
      <c r="D352" s="3" t="n">
        <f aca="false">COUNTIFS($A$47:$A$790,"&gt;"&amp;A352,$A$47:$A$790,"&lt;="&amp;B352)+IF(B352&gt;$G$5,NETWORKDAYS($G$5+1,B352),0)</f>
        <v>20</v>
      </c>
      <c r="E352" s="3" t="n">
        <f aca="false">SUMIFS('Futures Data'!$E$5:$E$3471,'Futures Data'!$A$5:$A$3471,A352,'Futures Data'!$B$5:$B$3471,C352)</f>
        <v>24335</v>
      </c>
      <c r="F352" s="11" t="n">
        <f aca="false">_xlfn.MINIFS('Futures Data'!$B$5:$B$3471,'Futures Data'!$A$5:$A$3471,A352,'Futures Data'!$B$5:$B$3471,"&gt;"&amp;C352)</f>
        <v>45708</v>
      </c>
      <c r="G352" s="3" t="n">
        <f aca="false">SUMIFS('Futures Data'!$E$5:$E$3471,'Futures Data'!$A$5:$A$3471,A352,'Futures Data'!$B$5:$B$3471,F352)</f>
        <v>2035</v>
      </c>
      <c r="H352" s="9" t="b">
        <f aca="false">G352&gt;E352</f>
        <v>0</v>
      </c>
      <c r="I352" s="9" t="b">
        <f aca="false">C352&lt;&gt;B352</f>
        <v>0</v>
      </c>
      <c r="J352" s="3" t="n">
        <f aca="false">SUMIFS('Futures Data'!$C$5:$C$3471,'Futures Data'!$A$5:$A$3471,A352,'Futures Data'!$B$5:$B$3471,B352)</f>
        <v>6376</v>
      </c>
      <c r="K352" s="3" t="n">
        <f aca="false">SUMIFS('Futures Data'!$C$5:$C$3471,'Futures Data'!$A$5:$A$3471,A352,'Futures Data'!$B$5:$B$3471,C352)</f>
        <v>6376</v>
      </c>
      <c r="L352" s="3" t="n">
        <f aca="false">K352-J352</f>
        <v>0</v>
      </c>
      <c r="M352" s="3" t="n">
        <f aca="false">M353+L352</f>
        <v>1090</v>
      </c>
      <c r="N352" s="3" t="n">
        <f aca="false">J352+M352</f>
        <v>7466</v>
      </c>
      <c r="O352" s="13" t="n">
        <f aca="false">LN(J352/K351)</f>
        <v>0.00755671102256124</v>
      </c>
      <c r="P352" s="13" t="n">
        <f aca="false">LN(N352/N351)</f>
        <v>0.00644990142499304</v>
      </c>
      <c r="Q352" s="3" t="n">
        <f aca="false">SUMIFS('Futures Data'!$D$5:$D$3471,'Futures Data'!$A$5:$A$3471,A352,'Futures Data'!$B$5:$B$3471,B352)</f>
        <v>5005</v>
      </c>
      <c r="R352" s="7" t="n">
        <v>45677</v>
      </c>
      <c r="S352" s="9" t="b">
        <f aca="false">C352=R352</f>
        <v>1</v>
      </c>
      <c r="T352" s="9" t="b">
        <f aca="false">ABS(O352-LN(J352/SUMIFS('Futures Data'!$C$5:$C$3471,'Futures Data'!$A$5:$A$3471,A351,'Futures Data'!$B$5:$B$3471,B352)))&lt;0.000000001</f>
        <v>1</v>
      </c>
    </row>
    <row r="353" customFormat="false" ht="15" hidden="false" customHeight="false" outlineLevel="0" collapsed="false">
      <c r="A353" s="7" t="n">
        <v>45649</v>
      </c>
      <c r="B353" s="11" t="n">
        <f aca="false">C352</f>
        <v>45677</v>
      </c>
      <c r="C353" s="11" t="n">
        <f aca="false">IF(OR(H352,D353&lt;=$G$4),_xlfn.MINIFS('Futures Data'!$B$5:$B$3471,'Futures Data'!$A$5:$A$3471,A353,'Futures Data'!$B$5:$B$3471,"&gt;"&amp;B353),B353)</f>
        <v>45677</v>
      </c>
      <c r="D353" s="3" t="n">
        <f aca="false">COUNTIFS($A$47:$A$790,"&gt;"&amp;A353,$A$47:$A$790,"&lt;="&amp;B353)+IF(B353&gt;$G$5,NETWORKDAYS($G$5+1,B353),0)</f>
        <v>19</v>
      </c>
      <c r="E353" s="3" t="n">
        <f aca="false">SUMIFS('Futures Data'!$E$5:$E$3471,'Futures Data'!$A$5:$A$3471,A353,'Futures Data'!$B$5:$B$3471,C353)</f>
        <v>23470</v>
      </c>
      <c r="F353" s="11" t="n">
        <f aca="false">_xlfn.MINIFS('Futures Data'!$B$5:$B$3471,'Futures Data'!$A$5:$A$3471,A353,'Futures Data'!$B$5:$B$3471,"&gt;"&amp;C353)</f>
        <v>45708</v>
      </c>
      <c r="G353" s="3" t="n">
        <f aca="false">SUMIFS('Futures Data'!$E$5:$E$3471,'Futures Data'!$A$5:$A$3471,A353,'Futures Data'!$B$5:$B$3471,F353)</f>
        <v>2700</v>
      </c>
      <c r="H353" s="9" t="b">
        <f aca="false">G353&gt;E353</f>
        <v>0</v>
      </c>
      <c r="I353" s="9" t="b">
        <f aca="false">C353&lt;&gt;B353</f>
        <v>0</v>
      </c>
      <c r="J353" s="3" t="n">
        <f aca="false">SUMIFS('Futures Data'!$C$5:$C$3471,'Futures Data'!$A$5:$A$3471,A353,'Futures Data'!$B$5:$B$3471,B353)</f>
        <v>6438</v>
      </c>
      <c r="K353" s="3" t="n">
        <f aca="false">SUMIFS('Futures Data'!$C$5:$C$3471,'Futures Data'!$A$5:$A$3471,A353,'Futures Data'!$B$5:$B$3471,C353)</f>
        <v>6438</v>
      </c>
      <c r="L353" s="3" t="n">
        <f aca="false">K353-J353</f>
        <v>0</v>
      </c>
      <c r="M353" s="3" t="n">
        <f aca="false">M354+L353</f>
        <v>1090</v>
      </c>
      <c r="N353" s="3" t="n">
        <f aca="false">J353+M353</f>
        <v>7528</v>
      </c>
      <c r="O353" s="13" t="n">
        <f aca="false">LN(J353/K352)</f>
        <v>0.00967699138870243</v>
      </c>
      <c r="P353" s="13" t="n">
        <f aca="false">LN(N353/N352)</f>
        <v>0.00827002179068643</v>
      </c>
      <c r="Q353" s="3" t="n">
        <f aca="false">SUMIFS('Futures Data'!$D$5:$D$3471,'Futures Data'!$A$5:$A$3471,A353,'Futures Data'!$B$5:$B$3471,B353)</f>
        <v>5190</v>
      </c>
      <c r="R353" s="7" t="n">
        <v>45677</v>
      </c>
      <c r="S353" s="9" t="b">
        <f aca="false">C353=R353</f>
        <v>1</v>
      </c>
      <c r="T353" s="9" t="b">
        <f aca="false">ABS(O353-LN(J353/SUMIFS('Futures Data'!$C$5:$C$3471,'Futures Data'!$A$5:$A$3471,A352,'Futures Data'!$B$5:$B$3471,B353)))&lt;0.000000001</f>
        <v>1</v>
      </c>
    </row>
    <row r="354" customFormat="false" ht="15" hidden="false" customHeight="false" outlineLevel="0" collapsed="false">
      <c r="A354" s="7" t="n">
        <v>45650</v>
      </c>
      <c r="B354" s="11" t="n">
        <f aca="false">C353</f>
        <v>45677</v>
      </c>
      <c r="C354" s="11" t="n">
        <f aca="false">IF(OR(H353,D354&lt;=$G$4),_xlfn.MINIFS('Futures Data'!$B$5:$B$3471,'Futures Data'!$A$5:$A$3471,A354,'Futures Data'!$B$5:$B$3471,"&gt;"&amp;B354),B354)</f>
        <v>45677</v>
      </c>
      <c r="D354" s="3" t="n">
        <f aca="false">COUNTIFS($A$47:$A$790,"&gt;"&amp;A354,$A$47:$A$790,"&lt;="&amp;B354)+IF(B354&gt;$G$5,NETWORKDAYS($G$5+1,B354),0)</f>
        <v>18</v>
      </c>
      <c r="E354" s="3" t="n">
        <f aca="false">SUMIFS('Futures Data'!$E$5:$E$3471,'Futures Data'!$A$5:$A$3471,A354,'Futures Data'!$B$5:$B$3471,C354)</f>
        <v>23080</v>
      </c>
      <c r="F354" s="11" t="n">
        <f aca="false">_xlfn.MINIFS('Futures Data'!$B$5:$B$3471,'Futures Data'!$A$5:$A$3471,A354,'Futures Data'!$B$5:$B$3471,"&gt;"&amp;C354)</f>
        <v>45708</v>
      </c>
      <c r="G354" s="3" t="n">
        <f aca="false">SUMIFS('Futures Data'!$E$5:$E$3471,'Futures Data'!$A$5:$A$3471,A354,'Futures Data'!$B$5:$B$3471,F354)</f>
        <v>2805</v>
      </c>
      <c r="H354" s="9" t="b">
        <f aca="false">G354&gt;E354</f>
        <v>0</v>
      </c>
      <c r="I354" s="9" t="b">
        <f aca="false">C354&lt;&gt;B354</f>
        <v>0</v>
      </c>
      <c r="J354" s="3" t="n">
        <f aca="false">SUMIFS('Futures Data'!$C$5:$C$3471,'Futures Data'!$A$5:$A$3471,A354,'Futures Data'!$B$5:$B$3471,B354)</f>
        <v>6363</v>
      </c>
      <c r="K354" s="3" t="n">
        <f aca="false">SUMIFS('Futures Data'!$C$5:$C$3471,'Futures Data'!$A$5:$A$3471,A354,'Futures Data'!$B$5:$B$3471,C354)</f>
        <v>6363</v>
      </c>
      <c r="L354" s="3" t="n">
        <f aca="false">K354-J354</f>
        <v>0</v>
      </c>
      <c r="M354" s="3" t="n">
        <f aca="false">M355+L354</f>
        <v>1090</v>
      </c>
      <c r="N354" s="3" t="n">
        <f aca="false">J354+M354</f>
        <v>7453</v>
      </c>
      <c r="O354" s="13" t="n">
        <f aca="false">LN(J354/K353)</f>
        <v>-0.0117179686259614</v>
      </c>
      <c r="P354" s="13" t="n">
        <f aca="false">LN(N354/N353)</f>
        <v>-0.0100127663835217</v>
      </c>
      <c r="Q354" s="3" t="n">
        <f aca="false">SUMIFS('Futures Data'!$D$5:$D$3471,'Futures Data'!$A$5:$A$3471,A354,'Futures Data'!$B$5:$B$3471,B354)</f>
        <v>5270</v>
      </c>
      <c r="R354" s="7" t="n">
        <v>45677</v>
      </c>
      <c r="S354" s="9" t="b">
        <f aca="false">C354=R354</f>
        <v>1</v>
      </c>
      <c r="T354" s="9" t="b">
        <f aca="false">ABS(O354-LN(J354/SUMIFS('Futures Data'!$C$5:$C$3471,'Futures Data'!$A$5:$A$3471,A353,'Futures Data'!$B$5:$B$3471,B354)))&lt;0.000000001</f>
        <v>1</v>
      </c>
    </row>
    <row r="355" customFormat="false" ht="15" hidden="false" customHeight="false" outlineLevel="0" collapsed="false">
      <c r="A355" s="7" t="n">
        <v>45652</v>
      </c>
      <c r="B355" s="11" t="n">
        <f aca="false">C354</f>
        <v>45677</v>
      </c>
      <c r="C355" s="11" t="n">
        <f aca="false">IF(OR(H354,D355&lt;=$G$4),_xlfn.MINIFS('Futures Data'!$B$5:$B$3471,'Futures Data'!$A$5:$A$3471,A355,'Futures Data'!$B$5:$B$3471,"&gt;"&amp;B355),B355)</f>
        <v>45677</v>
      </c>
      <c r="D355" s="3" t="n">
        <f aca="false">COUNTIFS($A$47:$A$790,"&gt;"&amp;A355,$A$47:$A$790,"&lt;="&amp;B355)+IF(B355&gt;$G$5,NETWORKDAYS($G$5+1,B355),0)</f>
        <v>17</v>
      </c>
      <c r="E355" s="3" t="n">
        <f aca="false">SUMIFS('Futures Data'!$E$5:$E$3471,'Futures Data'!$A$5:$A$3471,A355,'Futures Data'!$B$5:$B$3471,C355)</f>
        <v>22780</v>
      </c>
      <c r="F355" s="11" t="n">
        <f aca="false">_xlfn.MINIFS('Futures Data'!$B$5:$B$3471,'Futures Data'!$A$5:$A$3471,A355,'Futures Data'!$B$5:$B$3471,"&gt;"&amp;C355)</f>
        <v>45708</v>
      </c>
      <c r="G355" s="3" t="n">
        <f aca="false">SUMIFS('Futures Data'!$E$5:$E$3471,'Futures Data'!$A$5:$A$3471,A355,'Futures Data'!$B$5:$B$3471,F355)</f>
        <v>3060</v>
      </c>
      <c r="H355" s="9" t="b">
        <f aca="false">G355&gt;E355</f>
        <v>0</v>
      </c>
      <c r="I355" s="9" t="b">
        <f aca="false">C355&lt;&gt;B355</f>
        <v>0</v>
      </c>
      <c r="J355" s="3" t="n">
        <f aca="false">SUMIFS('Futures Data'!$C$5:$C$3471,'Futures Data'!$A$5:$A$3471,A355,'Futures Data'!$B$5:$B$3471,B355)</f>
        <v>6373</v>
      </c>
      <c r="K355" s="3" t="n">
        <f aca="false">SUMIFS('Futures Data'!$C$5:$C$3471,'Futures Data'!$A$5:$A$3471,A355,'Futures Data'!$B$5:$B$3471,C355)</f>
        <v>6373</v>
      </c>
      <c r="L355" s="3" t="n">
        <f aca="false">K355-J355</f>
        <v>0</v>
      </c>
      <c r="M355" s="3" t="n">
        <f aca="false">M356+L355</f>
        <v>1090</v>
      </c>
      <c r="N355" s="3" t="n">
        <f aca="false">J355+M355</f>
        <v>7463</v>
      </c>
      <c r="O355" s="13" t="n">
        <f aca="false">LN(J355/K354)</f>
        <v>0.00157035208150201</v>
      </c>
      <c r="P355" s="13" t="n">
        <f aca="false">LN(N355/N354)</f>
        <v>0.00134084224969368</v>
      </c>
      <c r="Q355" s="3" t="n">
        <f aca="false">SUMIFS('Futures Data'!$D$5:$D$3471,'Futures Data'!$A$5:$A$3471,A355,'Futures Data'!$B$5:$B$3471,B355)</f>
        <v>2610</v>
      </c>
      <c r="R355" s="7" t="n">
        <v>45677</v>
      </c>
      <c r="S355" s="9" t="b">
        <f aca="false">C355=R355</f>
        <v>1</v>
      </c>
      <c r="T355" s="9" t="b">
        <f aca="false">ABS(O355-LN(J355/SUMIFS('Futures Data'!$C$5:$C$3471,'Futures Data'!$A$5:$A$3471,A354,'Futures Data'!$B$5:$B$3471,B355)))&lt;0.000000001</f>
        <v>1</v>
      </c>
    </row>
    <row r="356" customFormat="false" ht="15" hidden="false" customHeight="false" outlineLevel="0" collapsed="false">
      <c r="A356" s="7" t="n">
        <v>45653</v>
      </c>
      <c r="B356" s="11" t="n">
        <f aca="false">C355</f>
        <v>45677</v>
      </c>
      <c r="C356" s="11" t="n">
        <f aca="false">IF(OR(H355,D356&lt;=$G$4),_xlfn.MINIFS('Futures Data'!$B$5:$B$3471,'Futures Data'!$A$5:$A$3471,A356,'Futures Data'!$B$5:$B$3471,"&gt;"&amp;B356),B356)</f>
        <v>45677</v>
      </c>
      <c r="D356" s="3" t="n">
        <f aca="false">COUNTIFS($A$47:$A$790,"&gt;"&amp;A356,$A$47:$A$790,"&lt;="&amp;B356)+IF(B356&gt;$G$5,NETWORKDAYS($G$5+1,B356),0)</f>
        <v>16</v>
      </c>
      <c r="E356" s="3" t="n">
        <f aca="false">SUMIFS('Futures Data'!$E$5:$E$3471,'Futures Data'!$A$5:$A$3471,A356,'Futures Data'!$B$5:$B$3471,C356)</f>
        <v>22655</v>
      </c>
      <c r="F356" s="11" t="n">
        <f aca="false">_xlfn.MINIFS('Futures Data'!$B$5:$B$3471,'Futures Data'!$A$5:$A$3471,A356,'Futures Data'!$B$5:$B$3471,"&gt;"&amp;C356)</f>
        <v>45708</v>
      </c>
      <c r="G356" s="3" t="n">
        <f aca="false">SUMIFS('Futures Data'!$E$5:$E$3471,'Futures Data'!$A$5:$A$3471,A356,'Futures Data'!$B$5:$B$3471,F356)</f>
        <v>3230</v>
      </c>
      <c r="H356" s="9" t="b">
        <f aca="false">G356&gt;E356</f>
        <v>0</v>
      </c>
      <c r="I356" s="9" t="b">
        <f aca="false">C356&lt;&gt;B356</f>
        <v>0</v>
      </c>
      <c r="J356" s="3" t="n">
        <f aca="false">SUMIFS('Futures Data'!$C$5:$C$3471,'Futures Data'!$A$5:$A$3471,A356,'Futures Data'!$B$5:$B$3471,B356)</f>
        <v>6371</v>
      </c>
      <c r="K356" s="3" t="n">
        <f aca="false">SUMIFS('Futures Data'!$C$5:$C$3471,'Futures Data'!$A$5:$A$3471,A356,'Futures Data'!$B$5:$B$3471,C356)</f>
        <v>6371</v>
      </c>
      <c r="L356" s="3" t="n">
        <f aca="false">K356-J356</f>
        <v>0</v>
      </c>
      <c r="M356" s="3" t="n">
        <f aca="false">M357+L356</f>
        <v>1090</v>
      </c>
      <c r="N356" s="3" t="n">
        <f aca="false">J356+M356</f>
        <v>7461</v>
      </c>
      <c r="O356" s="13" t="n">
        <f aca="false">LN(J356/K355)</f>
        <v>-0.000313873197805924</v>
      </c>
      <c r="P356" s="13" t="n">
        <f aca="false">LN(N356/N355)</f>
        <v>-0.000268024659873099</v>
      </c>
      <c r="Q356" s="3" t="n">
        <f aca="false">SUMIFS('Futures Data'!$D$5:$D$3471,'Futures Data'!$A$5:$A$3471,A356,'Futures Data'!$B$5:$B$3471,B356)</f>
        <v>1515</v>
      </c>
      <c r="R356" s="7" t="n">
        <v>45677</v>
      </c>
      <c r="S356" s="9" t="b">
        <f aca="false">C356=R356</f>
        <v>1</v>
      </c>
      <c r="T356" s="9" t="b">
        <f aca="false">ABS(O356-LN(J356/SUMIFS('Futures Data'!$C$5:$C$3471,'Futures Data'!$A$5:$A$3471,A355,'Futures Data'!$B$5:$B$3471,B356)))&lt;0.000000001</f>
        <v>1</v>
      </c>
    </row>
    <row r="357" customFormat="false" ht="15" hidden="false" customHeight="false" outlineLevel="0" collapsed="false">
      <c r="A357" s="7" t="n">
        <v>45656</v>
      </c>
      <c r="B357" s="11" t="n">
        <f aca="false">C356</f>
        <v>45677</v>
      </c>
      <c r="C357" s="11" t="n">
        <f aca="false">IF(OR(H356,D357&lt;=$G$4),_xlfn.MINIFS('Futures Data'!$B$5:$B$3471,'Futures Data'!$A$5:$A$3471,A357,'Futures Data'!$B$5:$B$3471,"&gt;"&amp;B357),B357)</f>
        <v>45677</v>
      </c>
      <c r="D357" s="3" t="n">
        <f aca="false">COUNTIFS($A$47:$A$790,"&gt;"&amp;A357,$A$47:$A$790,"&lt;="&amp;B357)+IF(B357&gt;$G$5,NETWORKDAYS($G$5+1,B357),0)</f>
        <v>15</v>
      </c>
      <c r="E357" s="3" t="n">
        <f aca="false">SUMIFS('Futures Data'!$E$5:$E$3471,'Futures Data'!$A$5:$A$3471,A357,'Futures Data'!$B$5:$B$3471,C357)</f>
        <v>22805</v>
      </c>
      <c r="F357" s="11" t="n">
        <f aca="false">_xlfn.MINIFS('Futures Data'!$B$5:$B$3471,'Futures Data'!$A$5:$A$3471,A357,'Futures Data'!$B$5:$B$3471,"&gt;"&amp;C357)</f>
        <v>45708</v>
      </c>
      <c r="G357" s="3" t="n">
        <f aca="false">SUMIFS('Futures Data'!$E$5:$E$3471,'Futures Data'!$A$5:$A$3471,A357,'Futures Data'!$B$5:$B$3471,F357)</f>
        <v>4630</v>
      </c>
      <c r="H357" s="9" t="b">
        <f aca="false">G357&gt;E357</f>
        <v>0</v>
      </c>
      <c r="I357" s="9" t="b">
        <f aca="false">C357&lt;&gt;B357</f>
        <v>0</v>
      </c>
      <c r="J357" s="3" t="n">
        <f aca="false">SUMIFS('Futures Data'!$C$5:$C$3471,'Futures Data'!$A$5:$A$3471,A357,'Futures Data'!$B$5:$B$3471,B357)</f>
        <v>6435</v>
      </c>
      <c r="K357" s="3" t="n">
        <f aca="false">SUMIFS('Futures Data'!$C$5:$C$3471,'Futures Data'!$A$5:$A$3471,A357,'Futures Data'!$B$5:$B$3471,C357)</f>
        <v>6435</v>
      </c>
      <c r="L357" s="3" t="n">
        <f aca="false">K357-J357</f>
        <v>0</v>
      </c>
      <c r="M357" s="3" t="n">
        <f aca="false">M358+L357</f>
        <v>1090</v>
      </c>
      <c r="N357" s="3" t="n">
        <f aca="false">J357+M357</f>
        <v>7525</v>
      </c>
      <c r="O357" s="13" t="n">
        <f aca="false">LN(J357/K356)</f>
        <v>0.00999539791373889</v>
      </c>
      <c r="P357" s="13" t="n">
        <f aca="false">LN(N357/N356)</f>
        <v>0.00854135714556203</v>
      </c>
      <c r="Q357" s="3" t="n">
        <f aca="false">SUMIFS('Futures Data'!$D$5:$D$3471,'Futures Data'!$A$5:$A$3471,A357,'Futures Data'!$B$5:$B$3471,B357)</f>
        <v>4950</v>
      </c>
      <c r="R357" s="7" t="n">
        <v>45677</v>
      </c>
      <c r="S357" s="9" t="b">
        <f aca="false">C357=R357</f>
        <v>1</v>
      </c>
      <c r="T357" s="9" t="b">
        <f aca="false">ABS(O357-LN(J357/SUMIFS('Futures Data'!$C$5:$C$3471,'Futures Data'!$A$5:$A$3471,A356,'Futures Data'!$B$5:$B$3471,B357)))&lt;0.000000001</f>
        <v>1</v>
      </c>
    </row>
    <row r="358" customFormat="false" ht="15" hidden="false" customHeight="false" outlineLevel="0" collapsed="false">
      <c r="A358" s="7" t="n">
        <v>45657</v>
      </c>
      <c r="B358" s="11" t="n">
        <f aca="false">C357</f>
        <v>45677</v>
      </c>
      <c r="C358" s="11" t="n">
        <f aca="false">IF(OR(H357,D358&lt;=$G$4),_xlfn.MINIFS('Futures Data'!$B$5:$B$3471,'Futures Data'!$A$5:$A$3471,A358,'Futures Data'!$B$5:$B$3471,"&gt;"&amp;B358),B358)</f>
        <v>45677</v>
      </c>
      <c r="D358" s="3" t="n">
        <f aca="false">COUNTIFS($A$47:$A$790,"&gt;"&amp;A358,$A$47:$A$790,"&lt;="&amp;B358)+IF(B358&gt;$G$5,NETWORKDAYS($G$5+1,B358),0)</f>
        <v>14</v>
      </c>
      <c r="E358" s="3" t="n">
        <f aca="false">SUMIFS('Futures Data'!$E$5:$E$3471,'Futures Data'!$A$5:$A$3471,A358,'Futures Data'!$B$5:$B$3471,C358)</f>
        <v>22225</v>
      </c>
      <c r="F358" s="11" t="n">
        <f aca="false">_xlfn.MINIFS('Futures Data'!$B$5:$B$3471,'Futures Data'!$A$5:$A$3471,A358,'Futures Data'!$B$5:$B$3471,"&gt;"&amp;C358)</f>
        <v>45708</v>
      </c>
      <c r="G358" s="3" t="n">
        <f aca="false">SUMIFS('Futures Data'!$E$5:$E$3471,'Futures Data'!$A$5:$A$3471,A358,'Futures Data'!$B$5:$B$3471,F358)</f>
        <v>6800</v>
      </c>
      <c r="H358" s="9" t="b">
        <f aca="false">G358&gt;E358</f>
        <v>0</v>
      </c>
      <c r="I358" s="9" t="b">
        <f aca="false">C358&lt;&gt;B358</f>
        <v>0</v>
      </c>
      <c r="J358" s="3" t="n">
        <f aca="false">SUMIFS('Futures Data'!$C$5:$C$3471,'Futures Data'!$A$5:$A$3471,A358,'Futures Data'!$B$5:$B$3471,B358)</f>
        <v>6448</v>
      </c>
      <c r="K358" s="3" t="n">
        <f aca="false">SUMIFS('Futures Data'!$C$5:$C$3471,'Futures Data'!$A$5:$A$3471,A358,'Futures Data'!$B$5:$B$3471,C358)</f>
        <v>6448</v>
      </c>
      <c r="L358" s="3" t="n">
        <f aca="false">K358-J358</f>
        <v>0</v>
      </c>
      <c r="M358" s="3" t="n">
        <f aca="false">M359+L358</f>
        <v>1090</v>
      </c>
      <c r="N358" s="3" t="n">
        <f aca="false">J358+M358</f>
        <v>7538</v>
      </c>
      <c r="O358" s="13" t="n">
        <f aca="false">LN(J358/K357)</f>
        <v>0.0020181641562372</v>
      </c>
      <c r="P358" s="13" t="n">
        <f aca="false">LN(N358/N357)</f>
        <v>0.00172608421000422</v>
      </c>
      <c r="Q358" s="3" t="n">
        <f aca="false">SUMIFS('Futures Data'!$D$5:$D$3471,'Futures Data'!$A$5:$A$3471,A358,'Futures Data'!$B$5:$B$3471,B358)</f>
        <v>4895</v>
      </c>
      <c r="R358" s="7" t="n">
        <v>45677</v>
      </c>
      <c r="S358" s="9" t="b">
        <f aca="false">C358=R358</f>
        <v>1</v>
      </c>
      <c r="T358" s="9" t="b">
        <f aca="false">ABS(O358-LN(J358/SUMIFS('Futures Data'!$C$5:$C$3471,'Futures Data'!$A$5:$A$3471,A357,'Futures Data'!$B$5:$B$3471,B358)))&lt;0.000000001</f>
        <v>1</v>
      </c>
    </row>
    <row r="359" customFormat="false" ht="15" hidden="false" customHeight="false" outlineLevel="0" collapsed="false">
      <c r="A359" s="7" t="n">
        <v>45658</v>
      </c>
      <c r="B359" s="11" t="n">
        <f aca="false">C358</f>
        <v>45677</v>
      </c>
      <c r="C359" s="11" t="n">
        <f aca="false">IF(OR(H358,D359&lt;=$G$4),_xlfn.MINIFS('Futures Data'!$B$5:$B$3471,'Futures Data'!$A$5:$A$3471,A359,'Futures Data'!$B$5:$B$3471,"&gt;"&amp;B359),B359)</f>
        <v>45677</v>
      </c>
      <c r="D359" s="3" t="n">
        <f aca="false">COUNTIFS($A$47:$A$790,"&gt;"&amp;A359,$A$47:$A$790,"&lt;="&amp;B359)+IF(B359&gt;$G$5,NETWORKDAYS($G$5+1,B359),0)</f>
        <v>13</v>
      </c>
      <c r="E359" s="3" t="n">
        <f aca="false">SUMIFS('Futures Data'!$E$5:$E$3471,'Futures Data'!$A$5:$A$3471,A359,'Futures Data'!$B$5:$B$3471,C359)</f>
        <v>21795</v>
      </c>
      <c r="F359" s="11" t="n">
        <f aca="false">_xlfn.MINIFS('Futures Data'!$B$5:$B$3471,'Futures Data'!$A$5:$A$3471,A359,'Futures Data'!$B$5:$B$3471,"&gt;"&amp;C359)</f>
        <v>45708</v>
      </c>
      <c r="G359" s="3" t="n">
        <f aca="false">SUMIFS('Futures Data'!$E$5:$E$3471,'Futures Data'!$A$5:$A$3471,A359,'Futures Data'!$B$5:$B$3471,F359)</f>
        <v>7940</v>
      </c>
      <c r="H359" s="9" t="b">
        <f aca="false">G359&gt;E359</f>
        <v>0</v>
      </c>
      <c r="I359" s="9" t="b">
        <f aca="false">C359&lt;&gt;B359</f>
        <v>0</v>
      </c>
      <c r="J359" s="3" t="n">
        <f aca="false">SUMIFS('Futures Data'!$C$5:$C$3471,'Futures Data'!$A$5:$A$3471,A359,'Futures Data'!$B$5:$B$3471,B359)</f>
        <v>6479</v>
      </c>
      <c r="K359" s="3" t="n">
        <f aca="false">SUMIFS('Futures Data'!$C$5:$C$3471,'Futures Data'!$A$5:$A$3471,A359,'Futures Data'!$B$5:$B$3471,C359)</f>
        <v>6479</v>
      </c>
      <c r="L359" s="3" t="n">
        <f aca="false">K359-J359</f>
        <v>0</v>
      </c>
      <c r="M359" s="3" t="n">
        <f aca="false">M360+L359</f>
        <v>1090</v>
      </c>
      <c r="N359" s="3" t="n">
        <f aca="false">J359+M359</f>
        <v>7569</v>
      </c>
      <c r="O359" s="13" t="n">
        <f aca="false">LN(J359/K358)</f>
        <v>0.00479617226349301</v>
      </c>
      <c r="P359" s="13" t="n">
        <f aca="false">LN(N359/N358)</f>
        <v>0.00410406348208675</v>
      </c>
      <c r="Q359" s="3" t="n">
        <f aca="false">SUMIFS('Futures Data'!$D$5:$D$3471,'Futures Data'!$A$5:$A$3471,A359,'Futures Data'!$B$5:$B$3471,B359)</f>
        <v>4805</v>
      </c>
      <c r="R359" s="7" t="n">
        <v>45677</v>
      </c>
      <c r="S359" s="9" t="b">
        <f aca="false">C359=R359</f>
        <v>1</v>
      </c>
      <c r="T359" s="9" t="b">
        <f aca="false">ABS(O359-LN(J359/SUMIFS('Futures Data'!$C$5:$C$3471,'Futures Data'!$A$5:$A$3471,A358,'Futures Data'!$B$5:$B$3471,B359)))&lt;0.000000001</f>
        <v>1</v>
      </c>
    </row>
    <row r="360" customFormat="false" ht="15" hidden="false" customHeight="false" outlineLevel="0" collapsed="false">
      <c r="A360" s="7" t="n">
        <v>45659</v>
      </c>
      <c r="B360" s="11" t="n">
        <f aca="false">C359</f>
        <v>45677</v>
      </c>
      <c r="C360" s="11" t="n">
        <f aca="false">IF(OR(H359,D360&lt;=$G$4),_xlfn.MINIFS('Futures Data'!$B$5:$B$3471,'Futures Data'!$A$5:$A$3471,A360,'Futures Data'!$B$5:$B$3471,"&gt;"&amp;B360),B360)</f>
        <v>45677</v>
      </c>
      <c r="D360" s="3" t="n">
        <f aca="false">COUNTIFS($A$47:$A$790,"&gt;"&amp;A360,$A$47:$A$790,"&lt;="&amp;B360)+IF(B360&gt;$G$5,NETWORKDAYS($G$5+1,B360),0)</f>
        <v>12</v>
      </c>
      <c r="E360" s="3" t="n">
        <f aca="false">SUMIFS('Futures Data'!$E$5:$E$3471,'Futures Data'!$A$5:$A$3471,A360,'Futures Data'!$B$5:$B$3471,C360)</f>
        <v>22470</v>
      </c>
      <c r="F360" s="11" t="n">
        <f aca="false">_xlfn.MINIFS('Futures Data'!$B$5:$B$3471,'Futures Data'!$A$5:$A$3471,A360,'Futures Data'!$B$5:$B$3471,"&gt;"&amp;C360)</f>
        <v>45708</v>
      </c>
      <c r="G360" s="3" t="n">
        <f aca="false">SUMIFS('Futures Data'!$E$5:$E$3471,'Futures Data'!$A$5:$A$3471,A360,'Futures Data'!$B$5:$B$3471,F360)</f>
        <v>8090</v>
      </c>
      <c r="H360" s="9" t="b">
        <f aca="false">G360&gt;E360</f>
        <v>0</v>
      </c>
      <c r="I360" s="9" t="b">
        <f aca="false">C360&lt;&gt;B360</f>
        <v>0</v>
      </c>
      <c r="J360" s="3" t="n">
        <f aca="false">SUMIFS('Futures Data'!$C$5:$C$3471,'Futures Data'!$A$5:$A$3471,A360,'Futures Data'!$B$5:$B$3471,B360)</f>
        <v>6463</v>
      </c>
      <c r="K360" s="3" t="n">
        <f aca="false">SUMIFS('Futures Data'!$C$5:$C$3471,'Futures Data'!$A$5:$A$3471,A360,'Futures Data'!$B$5:$B$3471,C360)</f>
        <v>6463</v>
      </c>
      <c r="L360" s="3" t="n">
        <f aca="false">K360-J360</f>
        <v>0</v>
      </c>
      <c r="M360" s="3" t="n">
        <f aca="false">M361+L360</f>
        <v>1090</v>
      </c>
      <c r="N360" s="3" t="n">
        <f aca="false">J360+M360</f>
        <v>7553</v>
      </c>
      <c r="O360" s="13" t="n">
        <f aca="false">LN(J360/K359)</f>
        <v>-0.00247257118706176</v>
      </c>
      <c r="P360" s="13" t="n">
        <f aca="false">LN(N360/N359)</f>
        <v>-0.00211612299571942</v>
      </c>
      <c r="Q360" s="3" t="n">
        <f aca="false">SUMIFS('Futures Data'!$D$5:$D$3471,'Futures Data'!$A$5:$A$3471,A360,'Futures Data'!$B$5:$B$3471,B360)</f>
        <v>2985</v>
      </c>
      <c r="R360" s="7" t="n">
        <v>45677</v>
      </c>
      <c r="S360" s="9" t="b">
        <f aca="false">C360=R360</f>
        <v>1</v>
      </c>
      <c r="T360" s="9" t="b">
        <f aca="false">ABS(O360-LN(J360/SUMIFS('Futures Data'!$C$5:$C$3471,'Futures Data'!$A$5:$A$3471,A359,'Futures Data'!$B$5:$B$3471,B360)))&lt;0.000000001</f>
        <v>1</v>
      </c>
    </row>
    <row r="361" customFormat="false" ht="15" hidden="false" customHeight="false" outlineLevel="0" collapsed="false">
      <c r="A361" s="7" t="n">
        <v>45660</v>
      </c>
      <c r="B361" s="11" t="n">
        <f aca="false">C360</f>
        <v>45677</v>
      </c>
      <c r="C361" s="11" t="n">
        <f aca="false">IF(OR(H360,D361&lt;=$G$4),_xlfn.MINIFS('Futures Data'!$B$5:$B$3471,'Futures Data'!$A$5:$A$3471,A361,'Futures Data'!$B$5:$B$3471,"&gt;"&amp;B361),B361)</f>
        <v>45677</v>
      </c>
      <c r="D361" s="3" t="n">
        <f aca="false">COUNTIFS($A$47:$A$790,"&gt;"&amp;A361,$A$47:$A$790,"&lt;="&amp;B361)+IF(B361&gt;$G$5,NETWORKDAYS($G$5+1,B361),0)</f>
        <v>11</v>
      </c>
      <c r="E361" s="3" t="n">
        <f aca="false">SUMIFS('Futures Data'!$E$5:$E$3471,'Futures Data'!$A$5:$A$3471,A361,'Futures Data'!$B$5:$B$3471,C361)</f>
        <v>22520</v>
      </c>
      <c r="F361" s="11" t="n">
        <f aca="false">_xlfn.MINIFS('Futures Data'!$B$5:$B$3471,'Futures Data'!$A$5:$A$3471,A361,'Futures Data'!$B$5:$B$3471,"&gt;"&amp;C361)</f>
        <v>45708</v>
      </c>
      <c r="G361" s="3" t="n">
        <f aca="false">SUMIFS('Futures Data'!$E$5:$E$3471,'Futures Data'!$A$5:$A$3471,A361,'Futures Data'!$B$5:$B$3471,F361)</f>
        <v>9425</v>
      </c>
      <c r="H361" s="9" t="b">
        <f aca="false">G361&gt;E361</f>
        <v>0</v>
      </c>
      <c r="I361" s="9" t="b">
        <f aca="false">C361&lt;&gt;B361</f>
        <v>0</v>
      </c>
      <c r="J361" s="3" t="n">
        <f aca="false">SUMIFS('Futures Data'!$C$5:$C$3471,'Futures Data'!$A$5:$A$3471,A361,'Futures Data'!$B$5:$B$3471,B361)</f>
        <v>6373</v>
      </c>
      <c r="K361" s="3" t="n">
        <f aca="false">SUMIFS('Futures Data'!$C$5:$C$3471,'Futures Data'!$A$5:$A$3471,A361,'Futures Data'!$B$5:$B$3471,C361)</f>
        <v>6373</v>
      </c>
      <c r="L361" s="3" t="n">
        <f aca="false">K361-J361</f>
        <v>0</v>
      </c>
      <c r="M361" s="3" t="n">
        <f aca="false">M362+L361</f>
        <v>1090</v>
      </c>
      <c r="N361" s="3" t="n">
        <f aca="false">J361+M361</f>
        <v>7463</v>
      </c>
      <c r="O361" s="13" t="n">
        <f aca="false">LN(J361/K360)</f>
        <v>-0.0140232899486013</v>
      </c>
      <c r="P361" s="13" t="n">
        <f aca="false">LN(N361/N360)</f>
        <v>-0.0119873571820606</v>
      </c>
      <c r="Q361" s="3" t="n">
        <f aca="false">SUMIFS('Futures Data'!$D$5:$D$3471,'Futures Data'!$A$5:$A$3471,A361,'Futures Data'!$B$5:$B$3471,B361)</f>
        <v>7025</v>
      </c>
      <c r="R361" s="7" t="n">
        <v>45677</v>
      </c>
      <c r="S361" s="9" t="b">
        <f aca="false">C361=R361</f>
        <v>1</v>
      </c>
      <c r="T361" s="9" t="b">
        <f aca="false">ABS(O361-LN(J361/SUMIFS('Futures Data'!$C$5:$C$3471,'Futures Data'!$A$5:$A$3471,A360,'Futures Data'!$B$5:$B$3471,B361)))&lt;0.000000001</f>
        <v>1</v>
      </c>
    </row>
    <row r="362" customFormat="false" ht="15" hidden="false" customHeight="false" outlineLevel="0" collapsed="false">
      <c r="A362" s="7" t="n">
        <v>45663</v>
      </c>
      <c r="B362" s="11" t="n">
        <f aca="false">C361</f>
        <v>45677</v>
      </c>
      <c r="C362" s="11" t="n">
        <f aca="false">IF(OR(H361,D362&lt;=$G$4),_xlfn.MINIFS('Futures Data'!$B$5:$B$3471,'Futures Data'!$A$5:$A$3471,A362,'Futures Data'!$B$5:$B$3471,"&gt;"&amp;B362),B362)</f>
        <v>45677</v>
      </c>
      <c r="D362" s="3" t="n">
        <f aca="false">COUNTIFS($A$47:$A$790,"&gt;"&amp;A362,$A$47:$A$790,"&lt;="&amp;B362)+IF(B362&gt;$G$5,NETWORKDAYS($G$5+1,B362),0)</f>
        <v>10</v>
      </c>
      <c r="E362" s="3" t="n">
        <f aca="false">SUMIFS('Futures Data'!$E$5:$E$3471,'Futures Data'!$A$5:$A$3471,A362,'Futures Data'!$B$5:$B$3471,C362)</f>
        <v>16430</v>
      </c>
      <c r="F362" s="11" t="n">
        <f aca="false">_xlfn.MINIFS('Futures Data'!$B$5:$B$3471,'Futures Data'!$A$5:$A$3471,A362,'Futures Data'!$B$5:$B$3471,"&gt;"&amp;C362)</f>
        <v>45708</v>
      </c>
      <c r="G362" s="3" t="n">
        <f aca="false">SUMIFS('Futures Data'!$E$5:$E$3471,'Futures Data'!$A$5:$A$3471,A362,'Futures Data'!$B$5:$B$3471,F362)</f>
        <v>10410</v>
      </c>
      <c r="H362" s="9" t="b">
        <f aca="false">G362&gt;E362</f>
        <v>0</v>
      </c>
      <c r="I362" s="9" t="b">
        <f aca="false">C362&lt;&gt;B362</f>
        <v>0</v>
      </c>
      <c r="J362" s="3" t="n">
        <f aca="false">SUMIFS('Futures Data'!$C$5:$C$3471,'Futures Data'!$A$5:$A$3471,A362,'Futures Data'!$B$5:$B$3471,B362)</f>
        <v>6296</v>
      </c>
      <c r="K362" s="3" t="n">
        <f aca="false">SUMIFS('Futures Data'!$C$5:$C$3471,'Futures Data'!$A$5:$A$3471,A362,'Futures Data'!$B$5:$B$3471,C362)</f>
        <v>6296</v>
      </c>
      <c r="L362" s="3" t="n">
        <f aca="false">K362-J362</f>
        <v>0</v>
      </c>
      <c r="M362" s="3" t="n">
        <f aca="false">M363+L362</f>
        <v>1090</v>
      </c>
      <c r="N362" s="3" t="n">
        <f aca="false">J362+M362</f>
        <v>7386</v>
      </c>
      <c r="O362" s="13" t="n">
        <f aca="false">LN(J362/K361)</f>
        <v>-0.0121558052170549</v>
      </c>
      <c r="P362" s="13" t="n">
        <f aca="false">LN(N362/N361)</f>
        <v>-0.0103711617188789</v>
      </c>
      <c r="Q362" s="3" t="n">
        <f aca="false">SUMIFS('Futures Data'!$D$5:$D$3471,'Futures Data'!$A$5:$A$3471,A362,'Futures Data'!$B$5:$B$3471,B362)</f>
        <v>8875</v>
      </c>
      <c r="R362" s="7" t="n">
        <v>45677</v>
      </c>
      <c r="S362" s="9" t="b">
        <f aca="false">C362=R362</f>
        <v>1</v>
      </c>
      <c r="T362" s="9" t="b">
        <f aca="false">ABS(O362-LN(J362/SUMIFS('Futures Data'!$C$5:$C$3471,'Futures Data'!$A$5:$A$3471,A361,'Futures Data'!$B$5:$B$3471,B362)))&lt;0.000000001</f>
        <v>1</v>
      </c>
    </row>
    <row r="363" customFormat="false" ht="15" hidden="false" customHeight="false" outlineLevel="0" collapsed="false">
      <c r="A363" s="7" t="n">
        <v>45664</v>
      </c>
      <c r="B363" s="11" t="n">
        <f aca="false">C362</f>
        <v>45677</v>
      </c>
      <c r="C363" s="11" t="n">
        <f aca="false">IF(OR(H362,D363&lt;=$G$4),_xlfn.MINIFS('Futures Data'!$B$5:$B$3471,'Futures Data'!$A$5:$A$3471,A363,'Futures Data'!$B$5:$B$3471,"&gt;"&amp;B363),B363)</f>
        <v>45677</v>
      </c>
      <c r="D363" s="3" t="n">
        <f aca="false">COUNTIFS($A$47:$A$790,"&gt;"&amp;A363,$A$47:$A$790,"&lt;="&amp;B363)+IF(B363&gt;$G$5,NETWORKDAYS($G$5+1,B363),0)</f>
        <v>9</v>
      </c>
      <c r="E363" s="3" t="n">
        <f aca="false">SUMIFS('Futures Data'!$E$5:$E$3471,'Futures Data'!$A$5:$A$3471,A363,'Futures Data'!$B$5:$B$3471,C363)</f>
        <v>14115</v>
      </c>
      <c r="F363" s="11" t="n">
        <f aca="false">_xlfn.MINIFS('Futures Data'!$B$5:$B$3471,'Futures Data'!$A$5:$A$3471,A363,'Futures Data'!$B$5:$B$3471,"&gt;"&amp;C363)</f>
        <v>45708</v>
      </c>
      <c r="G363" s="3" t="n">
        <f aca="false">SUMIFS('Futures Data'!$E$5:$E$3471,'Futures Data'!$A$5:$A$3471,A363,'Futures Data'!$B$5:$B$3471,F363)</f>
        <v>12730</v>
      </c>
      <c r="H363" s="9" t="b">
        <f aca="false">G363&gt;E363</f>
        <v>0</v>
      </c>
      <c r="I363" s="9" t="b">
        <f aca="false">C363&lt;&gt;B363</f>
        <v>0</v>
      </c>
      <c r="J363" s="3" t="n">
        <f aca="false">SUMIFS('Futures Data'!$C$5:$C$3471,'Futures Data'!$A$5:$A$3471,A363,'Futures Data'!$B$5:$B$3471,B363)</f>
        <v>6343</v>
      </c>
      <c r="K363" s="3" t="n">
        <f aca="false">SUMIFS('Futures Data'!$C$5:$C$3471,'Futures Data'!$A$5:$A$3471,A363,'Futures Data'!$B$5:$B$3471,C363)</f>
        <v>6343</v>
      </c>
      <c r="L363" s="3" t="n">
        <f aca="false">K363-J363</f>
        <v>0</v>
      </c>
      <c r="M363" s="3" t="n">
        <f aca="false">M364+L363</f>
        <v>1090</v>
      </c>
      <c r="N363" s="3" t="n">
        <f aca="false">J363+M363</f>
        <v>7433</v>
      </c>
      <c r="O363" s="13" t="n">
        <f aca="false">LN(J363/K362)</f>
        <v>0.00743733153665807</v>
      </c>
      <c r="P363" s="13" t="n">
        <f aca="false">LN(N363/N362)</f>
        <v>0.00634322931278489</v>
      </c>
      <c r="Q363" s="3" t="n">
        <f aca="false">SUMIFS('Futures Data'!$D$5:$D$3471,'Futures Data'!$A$5:$A$3471,A363,'Futures Data'!$B$5:$B$3471,B363)</f>
        <v>3295</v>
      </c>
      <c r="R363" s="7" t="n">
        <v>45677</v>
      </c>
      <c r="S363" s="9" t="b">
        <f aca="false">C363=R363</f>
        <v>1</v>
      </c>
      <c r="T363" s="9" t="b">
        <f aca="false">ABS(O363-LN(J363/SUMIFS('Futures Data'!$C$5:$C$3471,'Futures Data'!$A$5:$A$3471,A362,'Futures Data'!$B$5:$B$3471,B363)))&lt;0.000000001</f>
        <v>1</v>
      </c>
    </row>
    <row r="364" customFormat="false" ht="15" hidden="false" customHeight="false" outlineLevel="0" collapsed="false">
      <c r="A364" s="7" t="n">
        <v>45665</v>
      </c>
      <c r="B364" s="11" t="n">
        <f aca="false">C363</f>
        <v>45677</v>
      </c>
      <c r="C364" s="11" t="n">
        <f aca="false">IF(OR(H363,D364&lt;=$G$4),_xlfn.MINIFS('Futures Data'!$B$5:$B$3471,'Futures Data'!$A$5:$A$3471,A364,'Futures Data'!$B$5:$B$3471,"&gt;"&amp;B364),B364)</f>
        <v>45677</v>
      </c>
      <c r="D364" s="3" t="n">
        <f aca="false">COUNTIFS($A$47:$A$790,"&gt;"&amp;A364,$A$47:$A$790,"&lt;="&amp;B364)+IF(B364&gt;$G$5,NETWORKDAYS($G$5+1,B364),0)</f>
        <v>8</v>
      </c>
      <c r="E364" s="3" t="n">
        <f aca="false">SUMIFS('Futures Data'!$E$5:$E$3471,'Futures Data'!$A$5:$A$3471,A364,'Futures Data'!$B$5:$B$3471,C364)</f>
        <v>13065</v>
      </c>
      <c r="F364" s="11" t="n">
        <f aca="false">_xlfn.MINIFS('Futures Data'!$B$5:$B$3471,'Futures Data'!$A$5:$A$3471,A364,'Futures Data'!$B$5:$B$3471,"&gt;"&amp;C364)</f>
        <v>45708</v>
      </c>
      <c r="G364" s="3" t="n">
        <f aca="false">SUMIFS('Futures Data'!$E$5:$E$3471,'Futures Data'!$A$5:$A$3471,A364,'Futures Data'!$B$5:$B$3471,F364)</f>
        <v>13230</v>
      </c>
      <c r="H364" s="9" t="b">
        <f aca="false">G364&gt;E364</f>
        <v>1</v>
      </c>
      <c r="I364" s="9" t="b">
        <f aca="false">C364&lt;&gt;B364</f>
        <v>0</v>
      </c>
      <c r="J364" s="3" t="n">
        <f aca="false">SUMIFS('Futures Data'!$C$5:$C$3471,'Futures Data'!$A$5:$A$3471,A364,'Futures Data'!$B$5:$B$3471,B364)</f>
        <v>6318</v>
      </c>
      <c r="K364" s="3" t="n">
        <f aca="false">SUMIFS('Futures Data'!$C$5:$C$3471,'Futures Data'!$A$5:$A$3471,A364,'Futures Data'!$B$5:$B$3471,C364)</f>
        <v>6318</v>
      </c>
      <c r="L364" s="3" t="n">
        <f aca="false">K364-J364</f>
        <v>0</v>
      </c>
      <c r="M364" s="3" t="n">
        <f aca="false">M365+L364</f>
        <v>1090</v>
      </c>
      <c r="N364" s="3" t="n">
        <f aca="false">J364+M364</f>
        <v>7408</v>
      </c>
      <c r="O364" s="13" t="n">
        <f aca="false">LN(J364/K363)</f>
        <v>-0.00394914027186669</v>
      </c>
      <c r="P364" s="13" t="n">
        <f aca="false">LN(N364/N363)</f>
        <v>-0.00336904839927815</v>
      </c>
      <c r="Q364" s="3" t="n">
        <f aca="false">SUMIFS('Futures Data'!$D$5:$D$3471,'Futures Data'!$A$5:$A$3471,A364,'Futures Data'!$B$5:$B$3471,B364)</f>
        <v>2750</v>
      </c>
      <c r="R364" s="7" t="n">
        <v>45677</v>
      </c>
      <c r="S364" s="9" t="b">
        <f aca="false">C364=R364</f>
        <v>1</v>
      </c>
      <c r="T364" s="9" t="b">
        <f aca="false">ABS(O364-LN(J364/SUMIFS('Futures Data'!$C$5:$C$3471,'Futures Data'!$A$5:$A$3471,A363,'Futures Data'!$B$5:$B$3471,B364)))&lt;0.000000001</f>
        <v>1</v>
      </c>
    </row>
    <row r="365" customFormat="false" ht="15" hidden="false" customHeight="false" outlineLevel="0" collapsed="false">
      <c r="A365" s="7" t="n">
        <v>45666</v>
      </c>
      <c r="B365" s="11" t="n">
        <f aca="false">C364</f>
        <v>45677</v>
      </c>
      <c r="C365" s="11" t="n">
        <f aca="false">IF(OR(H364,D365&lt;=$G$4),_xlfn.MINIFS('Futures Data'!$B$5:$B$3471,'Futures Data'!$A$5:$A$3471,A365,'Futures Data'!$B$5:$B$3471,"&gt;"&amp;B365),B365)</f>
        <v>45708</v>
      </c>
      <c r="D365" s="3" t="n">
        <f aca="false">COUNTIFS($A$47:$A$790,"&gt;"&amp;A365,$A$47:$A$790,"&lt;="&amp;B365)+IF(B365&gt;$G$5,NETWORKDAYS($G$5+1,B365),0)</f>
        <v>7</v>
      </c>
      <c r="E365" s="3" t="n">
        <f aca="false">SUMIFS('Futures Data'!$E$5:$E$3471,'Futures Data'!$A$5:$A$3471,A365,'Futures Data'!$B$5:$B$3471,C365)</f>
        <v>14785</v>
      </c>
      <c r="F365" s="11" t="n">
        <f aca="false">_xlfn.MINIFS('Futures Data'!$B$5:$B$3471,'Futures Data'!$A$5:$A$3471,A365,'Futures Data'!$B$5:$B$3471,"&gt;"&amp;C365)</f>
        <v>45736</v>
      </c>
      <c r="G365" s="3" t="n">
        <f aca="false">SUMIFS('Futures Data'!$E$5:$E$3471,'Futures Data'!$A$5:$A$3471,A365,'Futures Data'!$B$5:$B$3471,F365)</f>
        <v>1760</v>
      </c>
      <c r="H365" s="9" t="b">
        <f aca="false">G365&gt;E365</f>
        <v>0</v>
      </c>
      <c r="I365" s="9" t="b">
        <f aca="false">C365&lt;&gt;B365</f>
        <v>1</v>
      </c>
      <c r="J365" s="3" t="n">
        <f aca="false">SUMIFS('Futures Data'!$C$5:$C$3471,'Futures Data'!$A$5:$A$3471,A365,'Futures Data'!$B$5:$B$3471,B365)</f>
        <v>6318</v>
      </c>
      <c r="K365" s="3" t="n">
        <f aca="false">SUMIFS('Futures Data'!$C$5:$C$3471,'Futures Data'!$A$5:$A$3471,A365,'Futures Data'!$B$5:$B$3471,C365)</f>
        <v>6368</v>
      </c>
      <c r="L365" s="3" t="n">
        <f aca="false">K365-J365</f>
        <v>50</v>
      </c>
      <c r="M365" s="3" t="n">
        <f aca="false">M366+L365</f>
        <v>1090</v>
      </c>
      <c r="N365" s="3" t="n">
        <f aca="false">J365+M365</f>
        <v>7408</v>
      </c>
      <c r="O365" s="13" t="n">
        <f aca="false">LN(J365/K364)</f>
        <v>0</v>
      </c>
      <c r="P365" s="13" t="n">
        <f aca="false">LN(N365/N364)</f>
        <v>0</v>
      </c>
      <c r="Q365" s="3" t="n">
        <f aca="false">SUMIFS('Futures Data'!$D$5:$D$3471,'Futures Data'!$A$5:$A$3471,A365,'Futures Data'!$B$5:$B$3471,B365)</f>
        <v>2500</v>
      </c>
      <c r="R365" s="7" t="n">
        <v>45708</v>
      </c>
      <c r="S365" s="9" t="b">
        <f aca="false">C365=R365</f>
        <v>1</v>
      </c>
      <c r="T365" s="9" t="b">
        <f aca="false">ABS(O365-LN(J365/SUMIFS('Futures Data'!$C$5:$C$3471,'Futures Data'!$A$5:$A$3471,A364,'Futures Data'!$B$5:$B$3471,B365)))&lt;0.000000001</f>
        <v>1</v>
      </c>
    </row>
    <row r="366" customFormat="false" ht="15" hidden="false" customHeight="false" outlineLevel="0" collapsed="false">
      <c r="A366" s="7" t="n">
        <v>45667</v>
      </c>
      <c r="B366" s="11" t="n">
        <f aca="false">C365</f>
        <v>45708</v>
      </c>
      <c r="C366" s="11" t="n">
        <f aca="false">IF(OR(H365,D366&lt;=$G$4),_xlfn.MINIFS('Futures Data'!$B$5:$B$3471,'Futures Data'!$A$5:$A$3471,A366,'Futures Data'!$B$5:$B$3471,"&gt;"&amp;B366),B366)</f>
        <v>45708</v>
      </c>
      <c r="D366" s="3" t="n">
        <f aca="false">COUNTIFS($A$47:$A$790,"&gt;"&amp;A366,$A$47:$A$790,"&lt;="&amp;B366)+IF(B366&gt;$G$5,NETWORKDAYS($G$5+1,B366),0)</f>
        <v>30</v>
      </c>
      <c r="E366" s="3" t="n">
        <f aca="false">SUMIFS('Futures Data'!$E$5:$E$3471,'Futures Data'!$A$5:$A$3471,A366,'Futures Data'!$B$5:$B$3471,C366)</f>
        <v>16640</v>
      </c>
      <c r="F366" s="11" t="n">
        <f aca="false">_xlfn.MINIFS('Futures Data'!$B$5:$B$3471,'Futures Data'!$A$5:$A$3471,A366,'Futures Data'!$B$5:$B$3471,"&gt;"&amp;C366)</f>
        <v>45736</v>
      </c>
      <c r="G366" s="3" t="n">
        <f aca="false">SUMIFS('Futures Data'!$E$5:$E$3471,'Futures Data'!$A$5:$A$3471,A366,'Futures Data'!$B$5:$B$3471,F366)</f>
        <v>1760</v>
      </c>
      <c r="H366" s="9" t="b">
        <f aca="false">G366&gt;E366</f>
        <v>0</v>
      </c>
      <c r="I366" s="9" t="b">
        <f aca="false">C366&lt;&gt;B366</f>
        <v>0</v>
      </c>
      <c r="J366" s="3" t="n">
        <f aca="false">SUMIFS('Futures Data'!$C$5:$C$3471,'Futures Data'!$A$5:$A$3471,A366,'Futures Data'!$B$5:$B$3471,B366)</f>
        <v>6389</v>
      </c>
      <c r="K366" s="3" t="n">
        <f aca="false">SUMIFS('Futures Data'!$C$5:$C$3471,'Futures Data'!$A$5:$A$3471,A366,'Futures Data'!$B$5:$B$3471,C366)</f>
        <v>6389</v>
      </c>
      <c r="L366" s="3" t="n">
        <f aca="false">K366-J366</f>
        <v>0</v>
      </c>
      <c r="M366" s="3" t="n">
        <f aca="false">M367+L366</f>
        <v>1040</v>
      </c>
      <c r="N366" s="3" t="n">
        <f aca="false">J366+M366</f>
        <v>7429</v>
      </c>
      <c r="O366" s="13" t="n">
        <f aca="false">LN(J366/K365)</f>
        <v>0.00329231307812438</v>
      </c>
      <c r="P366" s="13" t="n">
        <f aca="false">LN(N366/N365)</f>
        <v>0.002830762825791</v>
      </c>
      <c r="Q366" s="3" t="n">
        <f aca="false">SUMIFS('Futures Data'!$D$5:$D$3471,'Futures Data'!$A$5:$A$3471,A366,'Futures Data'!$B$5:$B$3471,B366)</f>
        <v>3660</v>
      </c>
      <c r="R366" s="7" t="n">
        <v>45708</v>
      </c>
      <c r="S366" s="9" t="b">
        <f aca="false">C366=R366</f>
        <v>1</v>
      </c>
      <c r="T366" s="9" t="b">
        <f aca="false">ABS(O366-LN(J366/SUMIFS('Futures Data'!$C$5:$C$3471,'Futures Data'!$A$5:$A$3471,A365,'Futures Data'!$B$5:$B$3471,B366)))&lt;0.000000001</f>
        <v>1</v>
      </c>
    </row>
    <row r="367" customFormat="false" ht="15" hidden="false" customHeight="false" outlineLevel="0" collapsed="false">
      <c r="A367" s="7" t="n">
        <v>45670</v>
      </c>
      <c r="B367" s="11" t="n">
        <f aca="false">C366</f>
        <v>45708</v>
      </c>
      <c r="C367" s="11" t="n">
        <f aca="false">IF(OR(H366,D367&lt;=$G$4),_xlfn.MINIFS('Futures Data'!$B$5:$B$3471,'Futures Data'!$A$5:$A$3471,A367,'Futures Data'!$B$5:$B$3471,"&gt;"&amp;B367),B367)</f>
        <v>45708</v>
      </c>
      <c r="D367" s="3" t="n">
        <f aca="false">COUNTIFS($A$47:$A$790,"&gt;"&amp;A367,$A$47:$A$790,"&lt;="&amp;B367)+IF(B367&gt;$G$5,NETWORKDAYS($G$5+1,B367),0)</f>
        <v>29</v>
      </c>
      <c r="E367" s="3" t="n">
        <f aca="false">SUMIFS('Futures Data'!$E$5:$E$3471,'Futures Data'!$A$5:$A$3471,A367,'Futures Data'!$B$5:$B$3471,C367)</f>
        <v>18785</v>
      </c>
      <c r="F367" s="11" t="n">
        <f aca="false">_xlfn.MINIFS('Futures Data'!$B$5:$B$3471,'Futures Data'!$A$5:$A$3471,A367,'Futures Data'!$B$5:$B$3471,"&gt;"&amp;C367)</f>
        <v>45736</v>
      </c>
      <c r="G367" s="3" t="n">
        <f aca="false">SUMIFS('Futures Data'!$E$5:$E$3471,'Futures Data'!$A$5:$A$3471,A367,'Futures Data'!$B$5:$B$3471,F367)</f>
        <v>2070</v>
      </c>
      <c r="H367" s="9" t="b">
        <f aca="false">G367&gt;E367</f>
        <v>0</v>
      </c>
      <c r="I367" s="9" t="b">
        <f aca="false">C367&lt;&gt;B367</f>
        <v>0</v>
      </c>
      <c r="J367" s="3" t="n">
        <f aca="false">SUMIFS('Futures Data'!$C$5:$C$3471,'Futures Data'!$A$5:$A$3471,A367,'Futures Data'!$B$5:$B$3471,B367)</f>
        <v>6384</v>
      </c>
      <c r="K367" s="3" t="n">
        <f aca="false">SUMIFS('Futures Data'!$C$5:$C$3471,'Futures Data'!$A$5:$A$3471,A367,'Futures Data'!$B$5:$B$3471,C367)</f>
        <v>6384</v>
      </c>
      <c r="L367" s="3" t="n">
        <f aca="false">K367-J367</f>
        <v>0</v>
      </c>
      <c r="M367" s="3" t="n">
        <f aca="false">M368+L367</f>
        <v>1040</v>
      </c>
      <c r="N367" s="3" t="n">
        <f aca="false">J367+M367</f>
        <v>7424</v>
      </c>
      <c r="O367" s="13" t="n">
        <f aca="false">LN(J367/K366)</f>
        <v>-0.000782901472698586</v>
      </c>
      <c r="P367" s="13" t="n">
        <f aca="false">LN(N367/N366)</f>
        <v>-0.000673264685769746</v>
      </c>
      <c r="Q367" s="3" t="n">
        <f aca="false">SUMIFS('Futures Data'!$D$5:$D$3471,'Futures Data'!$A$5:$A$3471,A367,'Futures Data'!$B$5:$B$3471,B367)</f>
        <v>6215</v>
      </c>
      <c r="R367" s="7" t="n">
        <v>45708</v>
      </c>
      <c r="S367" s="9" t="b">
        <f aca="false">C367=R367</f>
        <v>1</v>
      </c>
      <c r="T367" s="9" t="b">
        <f aca="false">ABS(O367-LN(J367/SUMIFS('Futures Data'!$C$5:$C$3471,'Futures Data'!$A$5:$A$3471,A366,'Futures Data'!$B$5:$B$3471,B367)))&lt;0.000000001</f>
        <v>1</v>
      </c>
    </row>
    <row r="368" customFormat="false" ht="15" hidden="false" customHeight="false" outlineLevel="0" collapsed="false">
      <c r="A368" s="7" t="n">
        <v>45671</v>
      </c>
      <c r="B368" s="11" t="n">
        <f aca="false">C367</f>
        <v>45708</v>
      </c>
      <c r="C368" s="11" t="n">
        <f aca="false">IF(OR(H367,D368&lt;=$G$4),_xlfn.MINIFS('Futures Data'!$B$5:$B$3471,'Futures Data'!$A$5:$A$3471,A368,'Futures Data'!$B$5:$B$3471,"&gt;"&amp;B368),B368)</f>
        <v>45708</v>
      </c>
      <c r="D368" s="3" t="n">
        <f aca="false">COUNTIFS($A$47:$A$790,"&gt;"&amp;A368,$A$47:$A$790,"&lt;="&amp;B368)+IF(B368&gt;$G$5,NETWORKDAYS($G$5+1,B368),0)</f>
        <v>28</v>
      </c>
      <c r="E368" s="3" t="n">
        <f aca="false">SUMIFS('Futures Data'!$E$5:$E$3471,'Futures Data'!$A$5:$A$3471,A368,'Futures Data'!$B$5:$B$3471,C368)</f>
        <v>20945</v>
      </c>
      <c r="F368" s="11" t="n">
        <f aca="false">_xlfn.MINIFS('Futures Data'!$B$5:$B$3471,'Futures Data'!$A$5:$A$3471,A368,'Futures Data'!$B$5:$B$3471,"&gt;"&amp;C368)</f>
        <v>45736</v>
      </c>
      <c r="G368" s="3" t="n">
        <f aca="false">SUMIFS('Futures Data'!$E$5:$E$3471,'Futures Data'!$A$5:$A$3471,A368,'Futures Data'!$B$5:$B$3471,F368)</f>
        <v>2300</v>
      </c>
      <c r="H368" s="9" t="b">
        <f aca="false">G368&gt;E368</f>
        <v>0</v>
      </c>
      <c r="I368" s="9" t="b">
        <f aca="false">C368&lt;&gt;B368</f>
        <v>0</v>
      </c>
      <c r="J368" s="3" t="n">
        <f aca="false">SUMIFS('Futures Data'!$C$5:$C$3471,'Futures Data'!$A$5:$A$3471,A368,'Futures Data'!$B$5:$B$3471,B368)</f>
        <v>6403</v>
      </c>
      <c r="K368" s="3" t="n">
        <f aca="false">SUMIFS('Futures Data'!$C$5:$C$3471,'Futures Data'!$A$5:$A$3471,A368,'Futures Data'!$B$5:$B$3471,C368)</f>
        <v>6403</v>
      </c>
      <c r="L368" s="3" t="n">
        <f aca="false">K368-J368</f>
        <v>0</v>
      </c>
      <c r="M368" s="3" t="n">
        <f aca="false">M369+L368</f>
        <v>1040</v>
      </c>
      <c r="N368" s="3" t="n">
        <f aca="false">J368+M368</f>
        <v>7443</v>
      </c>
      <c r="O368" s="13" t="n">
        <f aca="false">LN(J368/K367)</f>
        <v>0.00297177038915748</v>
      </c>
      <c r="P368" s="13" t="n">
        <f aca="false">LN(N368/N367)</f>
        <v>0.00255599789387411</v>
      </c>
      <c r="Q368" s="3" t="n">
        <f aca="false">SUMIFS('Futures Data'!$D$5:$D$3471,'Futures Data'!$A$5:$A$3471,A368,'Futures Data'!$B$5:$B$3471,B368)</f>
        <v>4455</v>
      </c>
      <c r="R368" s="7" t="n">
        <v>45708</v>
      </c>
      <c r="S368" s="9" t="b">
        <f aca="false">C368=R368</f>
        <v>1</v>
      </c>
      <c r="T368" s="9" t="b">
        <f aca="false">ABS(O368-LN(J368/SUMIFS('Futures Data'!$C$5:$C$3471,'Futures Data'!$A$5:$A$3471,A367,'Futures Data'!$B$5:$B$3471,B368)))&lt;0.000000001</f>
        <v>1</v>
      </c>
    </row>
    <row r="369" customFormat="false" ht="15" hidden="false" customHeight="false" outlineLevel="0" collapsed="false">
      <c r="A369" s="7" t="n">
        <v>45672</v>
      </c>
      <c r="B369" s="11" t="n">
        <f aca="false">C368</f>
        <v>45708</v>
      </c>
      <c r="C369" s="11" t="n">
        <f aca="false">IF(OR(H368,D369&lt;=$G$4),_xlfn.MINIFS('Futures Data'!$B$5:$B$3471,'Futures Data'!$A$5:$A$3471,A369,'Futures Data'!$B$5:$B$3471,"&gt;"&amp;B369),B369)</f>
        <v>45708</v>
      </c>
      <c r="D369" s="3" t="n">
        <f aca="false">COUNTIFS($A$47:$A$790,"&gt;"&amp;A369,$A$47:$A$790,"&lt;="&amp;B369)+IF(B369&gt;$G$5,NETWORKDAYS($G$5+1,B369),0)</f>
        <v>27</v>
      </c>
      <c r="E369" s="3" t="n">
        <f aca="false">SUMIFS('Futures Data'!$E$5:$E$3471,'Futures Data'!$A$5:$A$3471,A369,'Futures Data'!$B$5:$B$3471,C369)</f>
        <v>22015</v>
      </c>
      <c r="F369" s="11" t="n">
        <f aca="false">_xlfn.MINIFS('Futures Data'!$B$5:$B$3471,'Futures Data'!$A$5:$A$3471,A369,'Futures Data'!$B$5:$B$3471,"&gt;"&amp;C369)</f>
        <v>45736</v>
      </c>
      <c r="G369" s="3" t="n">
        <f aca="false">SUMIFS('Futures Data'!$E$5:$E$3471,'Futures Data'!$A$5:$A$3471,A369,'Futures Data'!$B$5:$B$3471,F369)</f>
        <v>2375</v>
      </c>
      <c r="H369" s="9" t="b">
        <f aca="false">G369&gt;E369</f>
        <v>0</v>
      </c>
      <c r="I369" s="9" t="b">
        <f aca="false">C369&lt;&gt;B369</f>
        <v>0</v>
      </c>
      <c r="J369" s="3" t="n">
        <f aca="false">SUMIFS('Futures Data'!$C$5:$C$3471,'Futures Data'!$A$5:$A$3471,A369,'Futures Data'!$B$5:$B$3471,B369)</f>
        <v>6382</v>
      </c>
      <c r="K369" s="3" t="n">
        <f aca="false">SUMIFS('Futures Data'!$C$5:$C$3471,'Futures Data'!$A$5:$A$3471,A369,'Futures Data'!$B$5:$B$3471,C369)</f>
        <v>6382</v>
      </c>
      <c r="L369" s="3" t="n">
        <f aca="false">K369-J369</f>
        <v>0</v>
      </c>
      <c r="M369" s="3" t="n">
        <f aca="false">M370+L369</f>
        <v>1040</v>
      </c>
      <c r="N369" s="3" t="n">
        <f aca="false">J369+M369</f>
        <v>7422</v>
      </c>
      <c r="O369" s="13" t="n">
        <f aca="false">LN(J369/K368)</f>
        <v>-0.00328510268061339</v>
      </c>
      <c r="P369" s="13" t="n">
        <f aca="false">LN(N369/N368)</f>
        <v>-0.00282543073936779</v>
      </c>
      <c r="Q369" s="3" t="n">
        <f aca="false">SUMIFS('Futures Data'!$D$5:$D$3471,'Futures Data'!$A$5:$A$3471,A369,'Futures Data'!$B$5:$B$3471,B369)</f>
        <v>4350</v>
      </c>
      <c r="R369" s="7" t="n">
        <v>45708</v>
      </c>
      <c r="S369" s="9" t="b">
        <f aca="false">C369=R369</f>
        <v>1</v>
      </c>
      <c r="T369" s="9" t="b">
        <f aca="false">ABS(O369-LN(J369/SUMIFS('Futures Data'!$C$5:$C$3471,'Futures Data'!$A$5:$A$3471,A368,'Futures Data'!$B$5:$B$3471,B369)))&lt;0.000000001</f>
        <v>1</v>
      </c>
    </row>
    <row r="370" customFormat="false" ht="15" hidden="false" customHeight="false" outlineLevel="0" collapsed="false">
      <c r="A370" s="7" t="n">
        <v>45673</v>
      </c>
      <c r="B370" s="11" t="n">
        <f aca="false">C369</f>
        <v>45708</v>
      </c>
      <c r="C370" s="11" t="n">
        <f aca="false">IF(OR(H369,D370&lt;=$G$4),_xlfn.MINIFS('Futures Data'!$B$5:$B$3471,'Futures Data'!$A$5:$A$3471,A370,'Futures Data'!$B$5:$B$3471,"&gt;"&amp;B370),B370)</f>
        <v>45708</v>
      </c>
      <c r="D370" s="3" t="n">
        <f aca="false">COUNTIFS($A$47:$A$790,"&gt;"&amp;A370,$A$47:$A$790,"&lt;="&amp;B370)+IF(B370&gt;$G$5,NETWORKDAYS($G$5+1,B370),0)</f>
        <v>26</v>
      </c>
      <c r="E370" s="3" t="n">
        <f aca="false">SUMIFS('Futures Data'!$E$5:$E$3471,'Futures Data'!$A$5:$A$3471,A370,'Futures Data'!$B$5:$B$3471,C370)</f>
        <v>22335</v>
      </c>
      <c r="F370" s="11" t="n">
        <f aca="false">_xlfn.MINIFS('Futures Data'!$B$5:$B$3471,'Futures Data'!$A$5:$A$3471,A370,'Futures Data'!$B$5:$B$3471,"&gt;"&amp;C370)</f>
        <v>45736</v>
      </c>
      <c r="G370" s="3" t="n">
        <f aca="false">SUMIFS('Futures Data'!$E$5:$E$3471,'Futures Data'!$A$5:$A$3471,A370,'Futures Data'!$B$5:$B$3471,F370)</f>
        <v>2785</v>
      </c>
      <c r="H370" s="9" t="b">
        <f aca="false">G370&gt;E370</f>
        <v>0</v>
      </c>
      <c r="I370" s="9" t="b">
        <f aca="false">C370&lt;&gt;B370</f>
        <v>0</v>
      </c>
      <c r="J370" s="3" t="n">
        <f aca="false">SUMIFS('Futures Data'!$C$5:$C$3471,'Futures Data'!$A$5:$A$3471,A370,'Futures Data'!$B$5:$B$3471,B370)</f>
        <v>6428</v>
      </c>
      <c r="K370" s="3" t="n">
        <f aca="false">SUMIFS('Futures Data'!$C$5:$C$3471,'Futures Data'!$A$5:$A$3471,A370,'Futures Data'!$B$5:$B$3471,C370)</f>
        <v>6428</v>
      </c>
      <c r="L370" s="3" t="n">
        <f aca="false">K370-J370</f>
        <v>0</v>
      </c>
      <c r="M370" s="3" t="n">
        <f aca="false">M371+L370</f>
        <v>1040</v>
      </c>
      <c r="N370" s="3" t="n">
        <f aca="false">J370+M370</f>
        <v>7468</v>
      </c>
      <c r="O370" s="13" t="n">
        <f aca="false">LN(J370/K369)</f>
        <v>0.00718192001921441</v>
      </c>
      <c r="P370" s="13" t="n">
        <f aca="false">LN(N370/N369)</f>
        <v>0.00617866304107036</v>
      </c>
      <c r="Q370" s="3" t="n">
        <f aca="false">SUMIFS('Futures Data'!$D$5:$D$3471,'Futures Data'!$A$5:$A$3471,A370,'Futures Data'!$B$5:$B$3471,B370)</f>
        <v>3390</v>
      </c>
      <c r="R370" s="7" t="n">
        <v>45708</v>
      </c>
      <c r="S370" s="9" t="b">
        <f aca="false">C370=R370</f>
        <v>1</v>
      </c>
      <c r="T370" s="9" t="b">
        <f aca="false">ABS(O370-LN(J370/SUMIFS('Futures Data'!$C$5:$C$3471,'Futures Data'!$A$5:$A$3471,A369,'Futures Data'!$B$5:$B$3471,B370)))&lt;0.000000001</f>
        <v>1</v>
      </c>
    </row>
    <row r="371" customFormat="false" ht="15" hidden="false" customHeight="false" outlineLevel="0" collapsed="false">
      <c r="A371" s="7" t="n">
        <v>45674</v>
      </c>
      <c r="B371" s="11" t="n">
        <f aca="false">C370</f>
        <v>45708</v>
      </c>
      <c r="C371" s="11" t="n">
        <f aca="false">IF(OR(H370,D371&lt;=$G$4),_xlfn.MINIFS('Futures Data'!$B$5:$B$3471,'Futures Data'!$A$5:$A$3471,A371,'Futures Data'!$B$5:$B$3471,"&gt;"&amp;B371),B371)</f>
        <v>45708</v>
      </c>
      <c r="D371" s="3" t="n">
        <f aca="false">COUNTIFS($A$47:$A$790,"&gt;"&amp;A371,$A$47:$A$790,"&lt;="&amp;B371)+IF(B371&gt;$G$5,NETWORKDAYS($G$5+1,B371),0)</f>
        <v>25</v>
      </c>
      <c r="E371" s="3" t="n">
        <f aca="false">SUMIFS('Futures Data'!$E$5:$E$3471,'Futures Data'!$A$5:$A$3471,A371,'Futures Data'!$B$5:$B$3471,C371)</f>
        <v>22585</v>
      </c>
      <c r="F371" s="11" t="n">
        <f aca="false">_xlfn.MINIFS('Futures Data'!$B$5:$B$3471,'Futures Data'!$A$5:$A$3471,A371,'Futures Data'!$B$5:$B$3471,"&gt;"&amp;C371)</f>
        <v>45736</v>
      </c>
      <c r="G371" s="3" t="n">
        <f aca="false">SUMIFS('Futures Data'!$E$5:$E$3471,'Futures Data'!$A$5:$A$3471,A371,'Futures Data'!$B$5:$B$3471,F371)</f>
        <v>3015</v>
      </c>
      <c r="H371" s="9" t="b">
        <f aca="false">G371&gt;E371</f>
        <v>0</v>
      </c>
      <c r="I371" s="9" t="b">
        <f aca="false">C371&lt;&gt;B371</f>
        <v>0</v>
      </c>
      <c r="J371" s="3" t="n">
        <f aca="false">SUMIFS('Futures Data'!$C$5:$C$3471,'Futures Data'!$A$5:$A$3471,A371,'Futures Data'!$B$5:$B$3471,B371)</f>
        <v>6428</v>
      </c>
      <c r="K371" s="3" t="n">
        <f aca="false">SUMIFS('Futures Data'!$C$5:$C$3471,'Futures Data'!$A$5:$A$3471,A371,'Futures Data'!$B$5:$B$3471,C371)</f>
        <v>6428</v>
      </c>
      <c r="L371" s="3" t="n">
        <f aca="false">K371-J371</f>
        <v>0</v>
      </c>
      <c r="M371" s="3" t="n">
        <f aca="false">M372+L371</f>
        <v>1040</v>
      </c>
      <c r="N371" s="3" t="n">
        <f aca="false">J371+M371</f>
        <v>7468</v>
      </c>
      <c r="O371" s="13" t="n">
        <f aca="false">LN(J371/K370)</f>
        <v>0</v>
      </c>
      <c r="P371" s="13" t="n">
        <f aca="false">LN(N371/N370)</f>
        <v>0</v>
      </c>
      <c r="Q371" s="3" t="n">
        <f aca="false">SUMIFS('Futures Data'!$D$5:$D$3471,'Futures Data'!$A$5:$A$3471,A371,'Futures Data'!$B$5:$B$3471,B371)</f>
        <v>2690</v>
      </c>
      <c r="R371" s="7" t="n">
        <v>45708</v>
      </c>
      <c r="S371" s="9" t="b">
        <f aca="false">C371=R371</f>
        <v>1</v>
      </c>
      <c r="T371" s="9" t="b">
        <f aca="false">ABS(O371-LN(J371/SUMIFS('Futures Data'!$C$5:$C$3471,'Futures Data'!$A$5:$A$3471,A370,'Futures Data'!$B$5:$B$3471,B371)))&lt;0.000000001</f>
        <v>1</v>
      </c>
    </row>
    <row r="372" customFormat="false" ht="15" hidden="false" customHeight="false" outlineLevel="0" collapsed="false">
      <c r="A372" s="7" t="n">
        <v>45677</v>
      </c>
      <c r="B372" s="11" t="n">
        <f aca="false">C371</f>
        <v>45708</v>
      </c>
      <c r="C372" s="11" t="n">
        <f aca="false">IF(OR(H371,D372&lt;=$G$4),_xlfn.MINIFS('Futures Data'!$B$5:$B$3471,'Futures Data'!$A$5:$A$3471,A372,'Futures Data'!$B$5:$B$3471,"&gt;"&amp;B372),B372)</f>
        <v>45708</v>
      </c>
      <c r="D372" s="3" t="n">
        <f aca="false">COUNTIFS($A$47:$A$790,"&gt;"&amp;A372,$A$47:$A$790,"&lt;="&amp;B372)+IF(B372&gt;$G$5,NETWORKDAYS($G$5+1,B372),0)</f>
        <v>24</v>
      </c>
      <c r="E372" s="3" t="n">
        <f aca="false">SUMIFS('Futures Data'!$E$5:$E$3471,'Futures Data'!$A$5:$A$3471,A372,'Futures Data'!$B$5:$B$3471,C372)</f>
        <v>22275</v>
      </c>
      <c r="F372" s="11" t="n">
        <f aca="false">_xlfn.MINIFS('Futures Data'!$B$5:$B$3471,'Futures Data'!$A$5:$A$3471,A372,'Futures Data'!$B$5:$B$3471,"&gt;"&amp;C372)</f>
        <v>45736</v>
      </c>
      <c r="G372" s="3" t="n">
        <f aca="false">SUMIFS('Futures Data'!$E$5:$E$3471,'Futures Data'!$A$5:$A$3471,A372,'Futures Data'!$B$5:$B$3471,F372)</f>
        <v>3345</v>
      </c>
      <c r="H372" s="9" t="b">
        <f aca="false">G372&gt;E372</f>
        <v>0</v>
      </c>
      <c r="I372" s="9" t="b">
        <f aca="false">C372&lt;&gt;B372</f>
        <v>0</v>
      </c>
      <c r="J372" s="3" t="n">
        <f aca="false">SUMIFS('Futures Data'!$C$5:$C$3471,'Futures Data'!$A$5:$A$3471,A372,'Futures Data'!$B$5:$B$3471,B372)</f>
        <v>6461</v>
      </c>
      <c r="K372" s="3" t="n">
        <f aca="false">SUMIFS('Futures Data'!$C$5:$C$3471,'Futures Data'!$A$5:$A$3471,A372,'Futures Data'!$B$5:$B$3471,C372)</f>
        <v>6461</v>
      </c>
      <c r="L372" s="3" t="n">
        <f aca="false">K372-J372</f>
        <v>0</v>
      </c>
      <c r="M372" s="3" t="n">
        <f aca="false">M373+L372</f>
        <v>1040</v>
      </c>
      <c r="N372" s="3" t="n">
        <f aca="false">J372+M372</f>
        <v>7501</v>
      </c>
      <c r="O372" s="13" t="n">
        <f aca="false">LN(J372/K371)</f>
        <v>0.0051206567007622</v>
      </c>
      <c r="P372" s="13" t="n">
        <f aca="false">LN(N372/N371)</f>
        <v>0.00440911930802305</v>
      </c>
      <c r="Q372" s="3" t="n">
        <f aca="false">SUMIFS('Futures Data'!$D$5:$D$3471,'Futures Data'!$A$5:$A$3471,A372,'Futures Data'!$B$5:$B$3471,B372)</f>
        <v>2860</v>
      </c>
      <c r="R372" s="7" t="n">
        <v>45708</v>
      </c>
      <c r="S372" s="9" t="b">
        <f aca="false">C372=R372</f>
        <v>1</v>
      </c>
      <c r="T372" s="9" t="b">
        <f aca="false">ABS(O372-LN(J372/SUMIFS('Futures Data'!$C$5:$C$3471,'Futures Data'!$A$5:$A$3471,A371,'Futures Data'!$B$5:$B$3471,B372)))&lt;0.000000001</f>
        <v>1</v>
      </c>
    </row>
    <row r="373" customFormat="false" ht="15" hidden="false" customHeight="false" outlineLevel="0" collapsed="false">
      <c r="A373" s="7" t="n">
        <v>45678</v>
      </c>
      <c r="B373" s="11" t="n">
        <f aca="false">C372</f>
        <v>45708</v>
      </c>
      <c r="C373" s="11" t="n">
        <f aca="false">IF(OR(H372,D373&lt;=$G$4),_xlfn.MINIFS('Futures Data'!$B$5:$B$3471,'Futures Data'!$A$5:$A$3471,A373,'Futures Data'!$B$5:$B$3471,"&gt;"&amp;B373),B373)</f>
        <v>45708</v>
      </c>
      <c r="D373" s="3" t="n">
        <f aca="false">COUNTIFS($A$47:$A$790,"&gt;"&amp;A373,$A$47:$A$790,"&lt;="&amp;B373)+IF(B373&gt;$G$5,NETWORKDAYS($G$5+1,B373),0)</f>
        <v>23</v>
      </c>
      <c r="E373" s="3" t="n">
        <f aca="false">SUMIFS('Futures Data'!$E$5:$E$3471,'Futures Data'!$A$5:$A$3471,A373,'Futures Data'!$B$5:$B$3471,C373)</f>
        <v>21950</v>
      </c>
      <c r="F373" s="11" t="n">
        <f aca="false">_xlfn.MINIFS('Futures Data'!$B$5:$B$3471,'Futures Data'!$A$5:$A$3471,A373,'Futures Data'!$B$5:$B$3471,"&gt;"&amp;C373)</f>
        <v>45736</v>
      </c>
      <c r="G373" s="3" t="n">
        <f aca="false">SUMIFS('Futures Data'!$E$5:$E$3471,'Futures Data'!$A$5:$A$3471,A373,'Futures Data'!$B$5:$B$3471,F373)</f>
        <v>3395</v>
      </c>
      <c r="H373" s="9" t="b">
        <f aca="false">G373&gt;E373</f>
        <v>0</v>
      </c>
      <c r="I373" s="9" t="b">
        <f aca="false">C373&lt;&gt;B373</f>
        <v>0</v>
      </c>
      <c r="J373" s="3" t="n">
        <f aca="false">SUMIFS('Futures Data'!$C$5:$C$3471,'Futures Data'!$A$5:$A$3471,A373,'Futures Data'!$B$5:$B$3471,B373)</f>
        <v>6467</v>
      </c>
      <c r="K373" s="3" t="n">
        <f aca="false">SUMIFS('Futures Data'!$C$5:$C$3471,'Futures Data'!$A$5:$A$3471,A373,'Futures Data'!$B$5:$B$3471,C373)</f>
        <v>6467</v>
      </c>
      <c r="L373" s="3" t="n">
        <f aca="false">K373-J373</f>
        <v>0</v>
      </c>
      <c r="M373" s="3" t="n">
        <f aca="false">M374+L373</f>
        <v>1040</v>
      </c>
      <c r="N373" s="3" t="n">
        <f aca="false">J373+M373</f>
        <v>7507</v>
      </c>
      <c r="O373" s="13" t="n">
        <f aca="false">LN(J373/K372)</f>
        <v>0.000928217888427329</v>
      </c>
      <c r="P373" s="13" t="n">
        <f aca="false">LN(N373/N372)</f>
        <v>0.000799573603366112</v>
      </c>
      <c r="Q373" s="3" t="n">
        <f aca="false">SUMIFS('Futures Data'!$D$5:$D$3471,'Futures Data'!$A$5:$A$3471,A373,'Futures Data'!$B$5:$B$3471,B373)</f>
        <v>2055</v>
      </c>
      <c r="R373" s="7" t="n">
        <v>45708</v>
      </c>
      <c r="S373" s="9" t="b">
        <f aca="false">C373=R373</f>
        <v>1</v>
      </c>
      <c r="T373" s="9" t="b">
        <f aca="false">ABS(O373-LN(J373/SUMIFS('Futures Data'!$C$5:$C$3471,'Futures Data'!$A$5:$A$3471,A372,'Futures Data'!$B$5:$B$3471,B373)))&lt;0.000000001</f>
        <v>1</v>
      </c>
    </row>
    <row r="374" customFormat="false" ht="15" hidden="false" customHeight="false" outlineLevel="0" collapsed="false">
      <c r="A374" s="7" t="n">
        <v>45679</v>
      </c>
      <c r="B374" s="11" t="n">
        <f aca="false">C373</f>
        <v>45708</v>
      </c>
      <c r="C374" s="11" t="n">
        <f aca="false">IF(OR(H373,D374&lt;=$G$4),_xlfn.MINIFS('Futures Data'!$B$5:$B$3471,'Futures Data'!$A$5:$A$3471,A374,'Futures Data'!$B$5:$B$3471,"&gt;"&amp;B374),B374)</f>
        <v>45708</v>
      </c>
      <c r="D374" s="3" t="n">
        <f aca="false">COUNTIFS($A$47:$A$790,"&gt;"&amp;A374,$A$47:$A$790,"&lt;="&amp;B374)+IF(B374&gt;$G$5,NETWORKDAYS($G$5+1,B374),0)</f>
        <v>22</v>
      </c>
      <c r="E374" s="3" t="n">
        <f aca="false">SUMIFS('Futures Data'!$E$5:$E$3471,'Futures Data'!$A$5:$A$3471,A374,'Futures Data'!$B$5:$B$3471,C374)</f>
        <v>21910</v>
      </c>
      <c r="F374" s="11" t="n">
        <f aca="false">_xlfn.MINIFS('Futures Data'!$B$5:$B$3471,'Futures Data'!$A$5:$A$3471,A374,'Futures Data'!$B$5:$B$3471,"&gt;"&amp;C374)</f>
        <v>45736</v>
      </c>
      <c r="G374" s="3" t="n">
        <f aca="false">SUMIFS('Futures Data'!$E$5:$E$3471,'Futures Data'!$A$5:$A$3471,A374,'Futures Data'!$B$5:$B$3471,F374)</f>
        <v>3425</v>
      </c>
      <c r="H374" s="9" t="b">
        <f aca="false">G374&gt;E374</f>
        <v>0</v>
      </c>
      <c r="I374" s="9" t="b">
        <f aca="false">C374&lt;&gt;B374</f>
        <v>0</v>
      </c>
      <c r="J374" s="3" t="n">
        <f aca="false">SUMIFS('Futures Data'!$C$5:$C$3471,'Futures Data'!$A$5:$A$3471,A374,'Futures Data'!$B$5:$B$3471,B374)</f>
        <v>6510</v>
      </c>
      <c r="K374" s="3" t="n">
        <f aca="false">SUMIFS('Futures Data'!$C$5:$C$3471,'Futures Data'!$A$5:$A$3471,A374,'Futures Data'!$B$5:$B$3471,C374)</f>
        <v>6510</v>
      </c>
      <c r="L374" s="3" t="n">
        <f aca="false">K374-J374</f>
        <v>0</v>
      </c>
      <c r="M374" s="3" t="n">
        <f aca="false">M375+L374</f>
        <v>1040</v>
      </c>
      <c r="N374" s="3" t="n">
        <f aca="false">J374+M374</f>
        <v>7550</v>
      </c>
      <c r="O374" s="13" t="n">
        <f aca="false">LN(J374/K373)</f>
        <v>0.00662713375602218</v>
      </c>
      <c r="P374" s="13" t="n">
        <f aca="false">LN(N374/N373)</f>
        <v>0.00571164467006807</v>
      </c>
      <c r="Q374" s="3" t="n">
        <f aca="false">SUMIFS('Futures Data'!$D$5:$D$3471,'Futures Data'!$A$5:$A$3471,A374,'Futures Data'!$B$5:$B$3471,B374)</f>
        <v>1900</v>
      </c>
      <c r="R374" s="7" t="n">
        <v>45708</v>
      </c>
      <c r="S374" s="9" t="b">
        <f aca="false">C374=R374</f>
        <v>1</v>
      </c>
      <c r="T374" s="9" t="b">
        <f aca="false">ABS(O374-LN(J374/SUMIFS('Futures Data'!$C$5:$C$3471,'Futures Data'!$A$5:$A$3471,A373,'Futures Data'!$B$5:$B$3471,B374)))&lt;0.000000001</f>
        <v>1</v>
      </c>
    </row>
    <row r="375" customFormat="false" ht="15" hidden="false" customHeight="false" outlineLevel="0" collapsed="false">
      <c r="A375" s="7" t="n">
        <v>45680</v>
      </c>
      <c r="B375" s="11" t="n">
        <f aca="false">C374</f>
        <v>45708</v>
      </c>
      <c r="C375" s="11" t="n">
        <f aca="false">IF(OR(H374,D375&lt;=$G$4),_xlfn.MINIFS('Futures Data'!$B$5:$B$3471,'Futures Data'!$A$5:$A$3471,A375,'Futures Data'!$B$5:$B$3471,"&gt;"&amp;B375),B375)</f>
        <v>45708</v>
      </c>
      <c r="D375" s="3" t="n">
        <f aca="false">COUNTIFS($A$47:$A$790,"&gt;"&amp;A375,$A$47:$A$790,"&lt;="&amp;B375)+IF(B375&gt;$G$5,NETWORKDAYS($G$5+1,B375),0)</f>
        <v>21</v>
      </c>
      <c r="E375" s="3" t="n">
        <f aca="false">SUMIFS('Futures Data'!$E$5:$E$3471,'Futures Data'!$A$5:$A$3471,A375,'Futures Data'!$B$5:$B$3471,C375)</f>
        <v>19650</v>
      </c>
      <c r="F375" s="11" t="n">
        <f aca="false">_xlfn.MINIFS('Futures Data'!$B$5:$B$3471,'Futures Data'!$A$5:$A$3471,A375,'Futures Data'!$B$5:$B$3471,"&gt;"&amp;C375)</f>
        <v>45736</v>
      </c>
      <c r="G375" s="3" t="n">
        <f aca="false">SUMIFS('Futures Data'!$E$5:$E$3471,'Futures Data'!$A$5:$A$3471,A375,'Futures Data'!$B$5:$B$3471,F375)</f>
        <v>3855</v>
      </c>
      <c r="H375" s="9" t="b">
        <f aca="false">G375&gt;E375</f>
        <v>0</v>
      </c>
      <c r="I375" s="9" t="b">
        <f aca="false">C375&lt;&gt;B375</f>
        <v>0</v>
      </c>
      <c r="J375" s="3" t="n">
        <f aca="false">SUMIFS('Futures Data'!$C$5:$C$3471,'Futures Data'!$A$5:$A$3471,A375,'Futures Data'!$B$5:$B$3471,B375)</f>
        <v>6481</v>
      </c>
      <c r="K375" s="3" t="n">
        <f aca="false">SUMIFS('Futures Data'!$C$5:$C$3471,'Futures Data'!$A$5:$A$3471,A375,'Futures Data'!$B$5:$B$3471,C375)</f>
        <v>6481</v>
      </c>
      <c r="L375" s="3" t="n">
        <f aca="false">K375-J375</f>
        <v>0</v>
      </c>
      <c r="M375" s="3" t="n">
        <f aca="false">M376+L375</f>
        <v>1040</v>
      </c>
      <c r="N375" s="3" t="n">
        <f aca="false">J375+M375</f>
        <v>7521</v>
      </c>
      <c r="O375" s="13" t="n">
        <f aca="false">LN(J375/K374)</f>
        <v>-0.00446463677489891</v>
      </c>
      <c r="P375" s="13" t="n">
        <f aca="false">LN(N375/N374)</f>
        <v>-0.00384845541666732</v>
      </c>
      <c r="Q375" s="3" t="n">
        <f aca="false">SUMIFS('Futures Data'!$D$5:$D$3471,'Futures Data'!$A$5:$A$3471,A375,'Futures Data'!$B$5:$B$3471,B375)</f>
        <v>5765</v>
      </c>
      <c r="R375" s="7" t="n">
        <v>45708</v>
      </c>
      <c r="S375" s="9" t="b">
        <f aca="false">C375=R375</f>
        <v>1</v>
      </c>
      <c r="T375" s="9" t="b">
        <f aca="false">ABS(O375-LN(J375/SUMIFS('Futures Data'!$C$5:$C$3471,'Futures Data'!$A$5:$A$3471,A374,'Futures Data'!$B$5:$B$3471,B375)))&lt;0.000000001</f>
        <v>1</v>
      </c>
    </row>
    <row r="376" customFormat="false" ht="15" hidden="false" customHeight="false" outlineLevel="0" collapsed="false">
      <c r="A376" s="7" t="n">
        <v>45681</v>
      </c>
      <c r="B376" s="11" t="n">
        <f aca="false">C375</f>
        <v>45708</v>
      </c>
      <c r="C376" s="11" t="n">
        <f aca="false">IF(OR(H375,D376&lt;=$G$4),_xlfn.MINIFS('Futures Data'!$B$5:$B$3471,'Futures Data'!$A$5:$A$3471,A376,'Futures Data'!$B$5:$B$3471,"&gt;"&amp;B376),B376)</f>
        <v>45708</v>
      </c>
      <c r="D376" s="3" t="n">
        <f aca="false">COUNTIFS($A$47:$A$790,"&gt;"&amp;A376,$A$47:$A$790,"&lt;="&amp;B376)+IF(B376&gt;$G$5,NETWORKDAYS($G$5+1,B376),0)</f>
        <v>20</v>
      </c>
      <c r="E376" s="3" t="n">
        <f aca="false">SUMIFS('Futures Data'!$E$5:$E$3471,'Futures Data'!$A$5:$A$3471,A376,'Futures Data'!$B$5:$B$3471,C376)</f>
        <v>19655</v>
      </c>
      <c r="F376" s="11" t="n">
        <f aca="false">_xlfn.MINIFS('Futures Data'!$B$5:$B$3471,'Futures Data'!$A$5:$A$3471,A376,'Futures Data'!$B$5:$B$3471,"&gt;"&amp;C376)</f>
        <v>45736</v>
      </c>
      <c r="G376" s="3" t="n">
        <f aca="false">SUMIFS('Futures Data'!$E$5:$E$3471,'Futures Data'!$A$5:$A$3471,A376,'Futures Data'!$B$5:$B$3471,F376)</f>
        <v>4555</v>
      </c>
      <c r="H376" s="9" t="b">
        <f aca="false">G376&gt;E376</f>
        <v>0</v>
      </c>
      <c r="I376" s="9" t="b">
        <f aca="false">C376&lt;&gt;B376</f>
        <v>0</v>
      </c>
      <c r="J376" s="3" t="n">
        <f aca="false">SUMIFS('Futures Data'!$C$5:$C$3471,'Futures Data'!$A$5:$A$3471,A376,'Futures Data'!$B$5:$B$3471,B376)</f>
        <v>6416</v>
      </c>
      <c r="K376" s="3" t="n">
        <f aca="false">SUMIFS('Futures Data'!$C$5:$C$3471,'Futures Data'!$A$5:$A$3471,A376,'Futures Data'!$B$5:$B$3471,C376)</f>
        <v>6416</v>
      </c>
      <c r="L376" s="3" t="n">
        <f aca="false">K376-J376</f>
        <v>0</v>
      </c>
      <c r="M376" s="3" t="n">
        <f aca="false">M377+L376</f>
        <v>1040</v>
      </c>
      <c r="N376" s="3" t="n">
        <f aca="false">J376+M376</f>
        <v>7456</v>
      </c>
      <c r="O376" s="13" t="n">
        <f aca="false">LN(J376/K375)</f>
        <v>-0.0100799488813655</v>
      </c>
      <c r="P376" s="13" t="n">
        <f aca="false">LN(N376/N375)</f>
        <v>-0.00868003046097597</v>
      </c>
      <c r="Q376" s="3" t="n">
        <f aca="false">SUMIFS('Futures Data'!$D$5:$D$3471,'Futures Data'!$A$5:$A$3471,A376,'Futures Data'!$B$5:$B$3471,B376)</f>
        <v>4315</v>
      </c>
      <c r="R376" s="7" t="n">
        <v>45708</v>
      </c>
      <c r="S376" s="9" t="b">
        <f aca="false">C376=R376</f>
        <v>1</v>
      </c>
      <c r="T376" s="9" t="b">
        <f aca="false">ABS(O376-LN(J376/SUMIFS('Futures Data'!$C$5:$C$3471,'Futures Data'!$A$5:$A$3471,A375,'Futures Data'!$B$5:$B$3471,B376)))&lt;0.000000001</f>
        <v>1</v>
      </c>
    </row>
    <row r="377" customFormat="false" ht="15" hidden="false" customHeight="false" outlineLevel="0" collapsed="false">
      <c r="A377" s="7" t="n">
        <v>45684</v>
      </c>
      <c r="B377" s="11" t="n">
        <f aca="false">C376</f>
        <v>45708</v>
      </c>
      <c r="C377" s="11" t="n">
        <f aca="false">IF(OR(H376,D377&lt;=$G$4),_xlfn.MINIFS('Futures Data'!$B$5:$B$3471,'Futures Data'!$A$5:$A$3471,A377,'Futures Data'!$B$5:$B$3471,"&gt;"&amp;B377),B377)</f>
        <v>45708</v>
      </c>
      <c r="D377" s="3" t="n">
        <f aca="false">COUNTIFS($A$47:$A$790,"&gt;"&amp;A377,$A$47:$A$790,"&lt;="&amp;B377)+IF(B377&gt;$G$5,NETWORKDAYS($G$5+1,B377),0)</f>
        <v>19</v>
      </c>
      <c r="E377" s="3" t="n">
        <f aca="false">SUMIFS('Futures Data'!$E$5:$E$3471,'Futures Data'!$A$5:$A$3471,A377,'Futures Data'!$B$5:$B$3471,C377)</f>
        <v>19370</v>
      </c>
      <c r="F377" s="11" t="n">
        <f aca="false">_xlfn.MINIFS('Futures Data'!$B$5:$B$3471,'Futures Data'!$A$5:$A$3471,A377,'Futures Data'!$B$5:$B$3471,"&gt;"&amp;C377)</f>
        <v>45736</v>
      </c>
      <c r="G377" s="3" t="n">
        <f aca="false">SUMIFS('Futures Data'!$E$5:$E$3471,'Futures Data'!$A$5:$A$3471,A377,'Futures Data'!$B$5:$B$3471,F377)</f>
        <v>5080</v>
      </c>
      <c r="H377" s="9" t="b">
        <f aca="false">G377&gt;E377</f>
        <v>0</v>
      </c>
      <c r="I377" s="9" t="b">
        <f aca="false">C377&lt;&gt;B377</f>
        <v>0</v>
      </c>
      <c r="J377" s="3" t="n">
        <f aca="false">SUMIFS('Futures Data'!$C$5:$C$3471,'Futures Data'!$A$5:$A$3471,A377,'Futures Data'!$B$5:$B$3471,B377)</f>
        <v>6407</v>
      </c>
      <c r="K377" s="3" t="n">
        <f aca="false">SUMIFS('Futures Data'!$C$5:$C$3471,'Futures Data'!$A$5:$A$3471,A377,'Futures Data'!$B$5:$B$3471,C377)</f>
        <v>6407</v>
      </c>
      <c r="L377" s="3" t="n">
        <f aca="false">K377-J377</f>
        <v>0</v>
      </c>
      <c r="M377" s="3" t="n">
        <f aca="false">M378+L377</f>
        <v>1040</v>
      </c>
      <c r="N377" s="3" t="n">
        <f aca="false">J377+M377</f>
        <v>7447</v>
      </c>
      <c r="O377" s="13" t="n">
        <f aca="false">LN(J377/K376)</f>
        <v>-0.00140372790732883</v>
      </c>
      <c r="P377" s="13" t="n">
        <f aca="false">LN(N377/N376)</f>
        <v>-0.00120781065478152</v>
      </c>
      <c r="Q377" s="3" t="n">
        <f aca="false">SUMIFS('Futures Data'!$D$5:$D$3471,'Futures Data'!$A$5:$A$3471,A377,'Futures Data'!$B$5:$B$3471,B377)</f>
        <v>3090</v>
      </c>
      <c r="R377" s="7" t="n">
        <v>45708</v>
      </c>
      <c r="S377" s="9" t="b">
        <f aca="false">C377=R377</f>
        <v>1</v>
      </c>
      <c r="T377" s="9" t="b">
        <f aca="false">ABS(O377-LN(J377/SUMIFS('Futures Data'!$C$5:$C$3471,'Futures Data'!$A$5:$A$3471,A376,'Futures Data'!$B$5:$B$3471,B377)))&lt;0.000000001</f>
        <v>1</v>
      </c>
    </row>
    <row r="378" customFormat="false" ht="15" hidden="false" customHeight="false" outlineLevel="0" collapsed="false">
      <c r="A378" s="7" t="n">
        <v>45685</v>
      </c>
      <c r="B378" s="11" t="n">
        <f aca="false">C377</f>
        <v>45708</v>
      </c>
      <c r="C378" s="11" t="n">
        <f aca="false">IF(OR(H377,D378&lt;=$G$4),_xlfn.MINIFS('Futures Data'!$B$5:$B$3471,'Futures Data'!$A$5:$A$3471,A378,'Futures Data'!$B$5:$B$3471,"&gt;"&amp;B378),B378)</f>
        <v>45708</v>
      </c>
      <c r="D378" s="3" t="n">
        <f aca="false">COUNTIFS($A$47:$A$790,"&gt;"&amp;A378,$A$47:$A$790,"&lt;="&amp;B378)+IF(B378&gt;$G$5,NETWORKDAYS($G$5+1,B378),0)</f>
        <v>18</v>
      </c>
      <c r="E378" s="3" t="n">
        <f aca="false">SUMIFS('Futures Data'!$E$5:$E$3471,'Futures Data'!$A$5:$A$3471,A378,'Futures Data'!$B$5:$B$3471,C378)</f>
        <v>19165</v>
      </c>
      <c r="F378" s="11" t="n">
        <f aca="false">_xlfn.MINIFS('Futures Data'!$B$5:$B$3471,'Futures Data'!$A$5:$A$3471,A378,'Futures Data'!$B$5:$B$3471,"&gt;"&amp;C378)</f>
        <v>45736</v>
      </c>
      <c r="G378" s="3" t="n">
        <f aca="false">SUMIFS('Futures Data'!$E$5:$E$3471,'Futures Data'!$A$5:$A$3471,A378,'Futures Data'!$B$5:$B$3471,F378)</f>
        <v>5425</v>
      </c>
      <c r="H378" s="9" t="b">
        <f aca="false">G378&gt;E378</f>
        <v>0</v>
      </c>
      <c r="I378" s="9" t="b">
        <f aca="false">C378&lt;&gt;B378</f>
        <v>0</v>
      </c>
      <c r="J378" s="3" t="n">
        <f aca="false">SUMIFS('Futures Data'!$C$5:$C$3471,'Futures Data'!$A$5:$A$3471,A378,'Futures Data'!$B$5:$B$3471,B378)</f>
        <v>6379</v>
      </c>
      <c r="K378" s="3" t="n">
        <f aca="false">SUMIFS('Futures Data'!$C$5:$C$3471,'Futures Data'!$A$5:$A$3471,A378,'Futures Data'!$B$5:$B$3471,C378)</f>
        <v>6379</v>
      </c>
      <c r="L378" s="3" t="n">
        <f aca="false">K378-J378</f>
        <v>0</v>
      </c>
      <c r="M378" s="3" t="n">
        <f aca="false">M379+L378</f>
        <v>1040</v>
      </c>
      <c r="N378" s="3" t="n">
        <f aca="false">J378+M378</f>
        <v>7419</v>
      </c>
      <c r="O378" s="13" t="n">
        <f aca="false">LN(J378/K377)</f>
        <v>-0.00437979739706622</v>
      </c>
      <c r="P378" s="13" t="n">
        <f aca="false">LN(N378/N377)</f>
        <v>-0.00376698952111968</v>
      </c>
      <c r="Q378" s="3" t="n">
        <f aca="false">SUMIFS('Futures Data'!$D$5:$D$3471,'Futures Data'!$A$5:$A$3471,A378,'Futures Data'!$B$5:$B$3471,B378)</f>
        <v>3590</v>
      </c>
      <c r="R378" s="7" t="n">
        <v>45708</v>
      </c>
      <c r="S378" s="9" t="b">
        <f aca="false">C378=R378</f>
        <v>1</v>
      </c>
      <c r="T378" s="9" t="b">
        <f aca="false">ABS(O378-LN(J378/SUMIFS('Futures Data'!$C$5:$C$3471,'Futures Data'!$A$5:$A$3471,A377,'Futures Data'!$B$5:$B$3471,B378)))&lt;0.000000001</f>
        <v>1</v>
      </c>
    </row>
    <row r="379" customFormat="false" ht="15" hidden="false" customHeight="false" outlineLevel="0" collapsed="false">
      <c r="A379" s="7" t="n">
        <v>45686</v>
      </c>
      <c r="B379" s="11" t="n">
        <f aca="false">C378</f>
        <v>45708</v>
      </c>
      <c r="C379" s="11" t="n">
        <f aca="false">IF(OR(H378,D379&lt;=$G$4),_xlfn.MINIFS('Futures Data'!$B$5:$B$3471,'Futures Data'!$A$5:$A$3471,A379,'Futures Data'!$B$5:$B$3471,"&gt;"&amp;B379),B379)</f>
        <v>45708</v>
      </c>
      <c r="D379" s="3" t="n">
        <f aca="false">COUNTIFS($A$47:$A$790,"&gt;"&amp;A379,$A$47:$A$790,"&lt;="&amp;B379)+IF(B379&gt;$G$5,NETWORKDAYS($G$5+1,B379),0)</f>
        <v>17</v>
      </c>
      <c r="E379" s="3" t="n">
        <f aca="false">SUMIFS('Futures Data'!$E$5:$E$3471,'Futures Data'!$A$5:$A$3471,A379,'Futures Data'!$B$5:$B$3471,C379)</f>
        <v>19520</v>
      </c>
      <c r="F379" s="11" t="n">
        <f aca="false">_xlfn.MINIFS('Futures Data'!$B$5:$B$3471,'Futures Data'!$A$5:$A$3471,A379,'Futures Data'!$B$5:$B$3471,"&gt;"&amp;C379)</f>
        <v>45736</v>
      </c>
      <c r="G379" s="3" t="n">
        <f aca="false">SUMIFS('Futures Data'!$E$5:$E$3471,'Futures Data'!$A$5:$A$3471,A379,'Futures Data'!$B$5:$B$3471,F379)</f>
        <v>6130</v>
      </c>
      <c r="H379" s="9" t="b">
        <f aca="false">G379&gt;E379</f>
        <v>0</v>
      </c>
      <c r="I379" s="9" t="b">
        <f aca="false">C379&lt;&gt;B379</f>
        <v>0</v>
      </c>
      <c r="J379" s="3" t="n">
        <f aca="false">SUMIFS('Futures Data'!$C$5:$C$3471,'Futures Data'!$A$5:$A$3471,A379,'Futures Data'!$B$5:$B$3471,B379)</f>
        <v>6390</v>
      </c>
      <c r="K379" s="3" t="n">
        <f aca="false">SUMIFS('Futures Data'!$C$5:$C$3471,'Futures Data'!$A$5:$A$3471,A379,'Futures Data'!$B$5:$B$3471,C379)</f>
        <v>6390</v>
      </c>
      <c r="L379" s="3" t="n">
        <f aca="false">K379-J379</f>
        <v>0</v>
      </c>
      <c r="M379" s="3" t="n">
        <f aca="false">M380+L379</f>
        <v>1040</v>
      </c>
      <c r="N379" s="3" t="n">
        <f aca="false">J379+M379</f>
        <v>7430</v>
      </c>
      <c r="O379" s="13" t="n">
        <f aca="false">LN(J379/K378)</f>
        <v>0.00172292312962514</v>
      </c>
      <c r="P379" s="13" t="n">
        <f aca="false">LN(N379/N378)</f>
        <v>0.00148158152227901</v>
      </c>
      <c r="Q379" s="3" t="n">
        <f aca="false">SUMIFS('Futures Data'!$D$5:$D$3471,'Futures Data'!$A$5:$A$3471,A379,'Futures Data'!$B$5:$B$3471,B379)</f>
        <v>2935</v>
      </c>
      <c r="R379" s="7" t="n">
        <v>45708</v>
      </c>
      <c r="S379" s="9" t="b">
        <f aca="false">C379=R379</f>
        <v>1</v>
      </c>
      <c r="T379" s="9" t="b">
        <f aca="false">ABS(O379-LN(J379/SUMIFS('Futures Data'!$C$5:$C$3471,'Futures Data'!$A$5:$A$3471,A378,'Futures Data'!$B$5:$B$3471,B379)))&lt;0.000000001</f>
        <v>1</v>
      </c>
    </row>
    <row r="380" customFormat="false" ht="15" hidden="false" customHeight="false" outlineLevel="0" collapsed="false">
      <c r="A380" s="7" t="n">
        <v>45687</v>
      </c>
      <c r="B380" s="11" t="n">
        <f aca="false">C379</f>
        <v>45708</v>
      </c>
      <c r="C380" s="11" t="n">
        <f aca="false">IF(OR(H379,D380&lt;=$G$4),_xlfn.MINIFS('Futures Data'!$B$5:$B$3471,'Futures Data'!$A$5:$A$3471,A380,'Futures Data'!$B$5:$B$3471,"&gt;"&amp;B380),B380)</f>
        <v>45708</v>
      </c>
      <c r="D380" s="3" t="n">
        <f aca="false">COUNTIFS($A$47:$A$790,"&gt;"&amp;A380,$A$47:$A$790,"&lt;="&amp;B380)+IF(B380&gt;$G$5,NETWORKDAYS($G$5+1,B380),0)</f>
        <v>16</v>
      </c>
      <c r="E380" s="3" t="n">
        <f aca="false">SUMIFS('Futures Data'!$E$5:$E$3471,'Futures Data'!$A$5:$A$3471,A380,'Futures Data'!$B$5:$B$3471,C380)</f>
        <v>19725</v>
      </c>
      <c r="F380" s="11" t="n">
        <f aca="false">_xlfn.MINIFS('Futures Data'!$B$5:$B$3471,'Futures Data'!$A$5:$A$3471,A380,'Futures Data'!$B$5:$B$3471,"&gt;"&amp;C380)</f>
        <v>45736</v>
      </c>
      <c r="G380" s="3" t="n">
        <f aca="false">SUMIFS('Futures Data'!$E$5:$E$3471,'Futures Data'!$A$5:$A$3471,A380,'Futures Data'!$B$5:$B$3471,F380)</f>
        <v>7310</v>
      </c>
      <c r="H380" s="9" t="b">
        <f aca="false">G380&gt;E380</f>
        <v>0</v>
      </c>
      <c r="I380" s="9" t="b">
        <f aca="false">C380&lt;&gt;B380</f>
        <v>0</v>
      </c>
      <c r="J380" s="3" t="n">
        <f aca="false">SUMIFS('Futures Data'!$C$5:$C$3471,'Futures Data'!$A$5:$A$3471,A380,'Futures Data'!$B$5:$B$3471,B380)</f>
        <v>6325</v>
      </c>
      <c r="K380" s="3" t="n">
        <f aca="false">SUMIFS('Futures Data'!$C$5:$C$3471,'Futures Data'!$A$5:$A$3471,A380,'Futures Data'!$B$5:$B$3471,C380)</f>
        <v>6325</v>
      </c>
      <c r="L380" s="3" t="n">
        <f aca="false">K380-J380</f>
        <v>0</v>
      </c>
      <c r="M380" s="3" t="n">
        <f aca="false">M381+L380</f>
        <v>1040</v>
      </c>
      <c r="N380" s="3" t="n">
        <f aca="false">J380+M380</f>
        <v>7365</v>
      </c>
      <c r="O380" s="13" t="n">
        <f aca="false">LN(J380/K379)</f>
        <v>-0.0102242337758595</v>
      </c>
      <c r="P380" s="13" t="n">
        <f aca="false">LN(N380/N379)</f>
        <v>-0.00878680881507418</v>
      </c>
      <c r="Q380" s="3" t="n">
        <f aca="false">SUMIFS('Futures Data'!$D$5:$D$3471,'Futures Data'!$A$5:$A$3471,A380,'Futures Data'!$B$5:$B$3471,B380)</f>
        <v>6020</v>
      </c>
      <c r="R380" s="7" t="n">
        <v>45708</v>
      </c>
      <c r="S380" s="9" t="b">
        <f aca="false">C380=R380</f>
        <v>1</v>
      </c>
      <c r="T380" s="9" t="b">
        <f aca="false">ABS(O380-LN(J380/SUMIFS('Futures Data'!$C$5:$C$3471,'Futures Data'!$A$5:$A$3471,A379,'Futures Data'!$B$5:$B$3471,B380)))&lt;0.000000001</f>
        <v>1</v>
      </c>
    </row>
    <row r="381" customFormat="false" ht="15" hidden="false" customHeight="false" outlineLevel="0" collapsed="false">
      <c r="A381" s="7" t="n">
        <v>45688</v>
      </c>
      <c r="B381" s="11" t="n">
        <f aca="false">C380</f>
        <v>45708</v>
      </c>
      <c r="C381" s="11" t="n">
        <f aca="false">IF(OR(H380,D381&lt;=$G$4),_xlfn.MINIFS('Futures Data'!$B$5:$B$3471,'Futures Data'!$A$5:$A$3471,A381,'Futures Data'!$B$5:$B$3471,"&gt;"&amp;B381),B381)</f>
        <v>45708</v>
      </c>
      <c r="D381" s="3" t="n">
        <f aca="false">COUNTIFS($A$47:$A$790,"&gt;"&amp;A381,$A$47:$A$790,"&lt;="&amp;B381)+IF(B381&gt;$G$5,NETWORKDAYS($G$5+1,B381),0)</f>
        <v>15</v>
      </c>
      <c r="E381" s="3" t="n">
        <f aca="false">SUMIFS('Futures Data'!$E$5:$E$3471,'Futures Data'!$A$5:$A$3471,A381,'Futures Data'!$B$5:$B$3471,C381)</f>
        <v>19305</v>
      </c>
      <c r="F381" s="11" t="n">
        <f aca="false">_xlfn.MINIFS('Futures Data'!$B$5:$B$3471,'Futures Data'!$A$5:$A$3471,A381,'Futures Data'!$B$5:$B$3471,"&gt;"&amp;C381)</f>
        <v>45736</v>
      </c>
      <c r="G381" s="3" t="n">
        <f aca="false">SUMIFS('Futures Data'!$E$5:$E$3471,'Futures Data'!$A$5:$A$3471,A381,'Futures Data'!$B$5:$B$3471,F381)</f>
        <v>7945</v>
      </c>
      <c r="H381" s="9" t="b">
        <f aca="false">G381&gt;E381</f>
        <v>0</v>
      </c>
      <c r="I381" s="9" t="b">
        <f aca="false">C381&lt;&gt;B381</f>
        <v>0</v>
      </c>
      <c r="J381" s="3" t="n">
        <f aca="false">SUMIFS('Futures Data'!$C$5:$C$3471,'Futures Data'!$A$5:$A$3471,A381,'Futures Data'!$B$5:$B$3471,B381)</f>
        <v>6341</v>
      </c>
      <c r="K381" s="3" t="n">
        <f aca="false">SUMIFS('Futures Data'!$C$5:$C$3471,'Futures Data'!$A$5:$A$3471,A381,'Futures Data'!$B$5:$B$3471,C381)</f>
        <v>6341</v>
      </c>
      <c r="L381" s="3" t="n">
        <f aca="false">K381-J381</f>
        <v>0</v>
      </c>
      <c r="M381" s="3" t="n">
        <f aca="false">M382+L381</f>
        <v>1040</v>
      </c>
      <c r="N381" s="3" t="n">
        <f aca="false">J381+M381</f>
        <v>7381</v>
      </c>
      <c r="O381" s="13" t="n">
        <f aca="false">LN(J381/K380)</f>
        <v>0.00252645010431071</v>
      </c>
      <c r="P381" s="13" t="n">
        <f aca="false">LN(N381/N380)</f>
        <v>0.0021700808733218</v>
      </c>
      <c r="Q381" s="3" t="n">
        <f aca="false">SUMIFS('Futures Data'!$D$5:$D$3471,'Futures Data'!$A$5:$A$3471,A381,'Futures Data'!$B$5:$B$3471,B381)</f>
        <v>6325</v>
      </c>
      <c r="R381" s="7" t="n">
        <v>45708</v>
      </c>
      <c r="S381" s="9" t="b">
        <f aca="false">C381=R381</f>
        <v>1</v>
      </c>
      <c r="T381" s="9" t="b">
        <f aca="false">ABS(O381-LN(J381/SUMIFS('Futures Data'!$C$5:$C$3471,'Futures Data'!$A$5:$A$3471,A380,'Futures Data'!$B$5:$B$3471,B381)))&lt;0.000000001</f>
        <v>1</v>
      </c>
    </row>
    <row r="382" customFormat="false" ht="15" hidden="false" customHeight="false" outlineLevel="0" collapsed="false">
      <c r="A382" s="7" t="n">
        <v>45689</v>
      </c>
      <c r="B382" s="11" t="n">
        <f aca="false">C381</f>
        <v>45708</v>
      </c>
      <c r="C382" s="11" t="n">
        <f aca="false">IF(OR(H381,D382&lt;=$G$4),_xlfn.MINIFS('Futures Data'!$B$5:$B$3471,'Futures Data'!$A$5:$A$3471,A382,'Futures Data'!$B$5:$B$3471,"&gt;"&amp;B382),B382)</f>
        <v>45708</v>
      </c>
      <c r="D382" s="3" t="n">
        <f aca="false">COUNTIFS($A$47:$A$790,"&gt;"&amp;A382,$A$47:$A$790,"&lt;="&amp;B382)+IF(B382&gt;$G$5,NETWORKDAYS($G$5+1,B382),0)</f>
        <v>14</v>
      </c>
      <c r="E382" s="3" t="n">
        <f aca="false">SUMIFS('Futures Data'!$E$5:$E$3471,'Futures Data'!$A$5:$A$3471,A382,'Futures Data'!$B$5:$B$3471,C382)</f>
        <v>19670</v>
      </c>
      <c r="F382" s="11" t="n">
        <f aca="false">_xlfn.MINIFS('Futures Data'!$B$5:$B$3471,'Futures Data'!$A$5:$A$3471,A382,'Futures Data'!$B$5:$B$3471,"&gt;"&amp;C382)</f>
        <v>45736</v>
      </c>
      <c r="G382" s="3" t="n">
        <f aca="false">SUMIFS('Futures Data'!$E$5:$E$3471,'Futures Data'!$A$5:$A$3471,A382,'Futures Data'!$B$5:$B$3471,F382)</f>
        <v>8425</v>
      </c>
      <c r="H382" s="9" t="b">
        <f aca="false">G382&gt;E382</f>
        <v>0</v>
      </c>
      <c r="I382" s="9" t="b">
        <f aca="false">C382&lt;&gt;B382</f>
        <v>0</v>
      </c>
      <c r="J382" s="3" t="n">
        <f aca="false">SUMIFS('Futures Data'!$C$5:$C$3471,'Futures Data'!$A$5:$A$3471,A382,'Futures Data'!$B$5:$B$3471,B382)</f>
        <v>6360</v>
      </c>
      <c r="K382" s="3" t="n">
        <f aca="false">SUMIFS('Futures Data'!$C$5:$C$3471,'Futures Data'!$A$5:$A$3471,A382,'Futures Data'!$B$5:$B$3471,C382)</f>
        <v>6360</v>
      </c>
      <c r="L382" s="3" t="n">
        <f aca="false">K382-J382</f>
        <v>0</v>
      </c>
      <c r="M382" s="3" t="n">
        <f aca="false">M383+L382</f>
        <v>1040</v>
      </c>
      <c r="N382" s="3" t="n">
        <f aca="false">J382+M382</f>
        <v>7400</v>
      </c>
      <c r="O382" s="13" t="n">
        <f aca="false">LN(J382/K381)</f>
        <v>0.00299189263413626</v>
      </c>
      <c r="P382" s="13" t="n">
        <f aca="false">LN(N382/N381)</f>
        <v>0.00257086942220873</v>
      </c>
      <c r="Q382" s="3" t="n">
        <f aca="false">SUMIFS('Futures Data'!$D$5:$D$3471,'Futures Data'!$A$5:$A$3471,A382,'Futures Data'!$B$5:$B$3471,B382)</f>
        <v>2095</v>
      </c>
      <c r="R382" s="7" t="n">
        <v>45708</v>
      </c>
      <c r="S382" s="9" t="b">
        <f aca="false">C382=R382</f>
        <v>1</v>
      </c>
      <c r="T382" s="9" t="b">
        <f aca="false">ABS(O382-LN(J382/SUMIFS('Futures Data'!$C$5:$C$3471,'Futures Data'!$A$5:$A$3471,A381,'Futures Data'!$B$5:$B$3471,B382)))&lt;0.000000001</f>
        <v>1</v>
      </c>
    </row>
    <row r="383" customFormat="false" ht="15" hidden="false" customHeight="false" outlineLevel="0" collapsed="false">
      <c r="A383" s="7" t="n">
        <v>45691</v>
      </c>
      <c r="B383" s="11" t="n">
        <f aca="false">C382</f>
        <v>45708</v>
      </c>
      <c r="C383" s="11" t="n">
        <f aca="false">IF(OR(H382,D383&lt;=$G$4),_xlfn.MINIFS('Futures Data'!$B$5:$B$3471,'Futures Data'!$A$5:$A$3471,A383,'Futures Data'!$B$5:$B$3471,"&gt;"&amp;B383),B383)</f>
        <v>45708</v>
      </c>
      <c r="D383" s="3" t="n">
        <f aca="false">COUNTIFS($A$47:$A$790,"&gt;"&amp;A383,$A$47:$A$790,"&lt;="&amp;B383)+IF(B383&gt;$G$5,NETWORKDAYS($G$5+1,B383),0)</f>
        <v>13</v>
      </c>
      <c r="E383" s="3" t="n">
        <f aca="false">SUMIFS('Futures Data'!$E$5:$E$3471,'Futures Data'!$A$5:$A$3471,A383,'Futures Data'!$B$5:$B$3471,C383)</f>
        <v>19090</v>
      </c>
      <c r="F383" s="11" t="n">
        <f aca="false">_xlfn.MINIFS('Futures Data'!$B$5:$B$3471,'Futures Data'!$A$5:$A$3471,A383,'Futures Data'!$B$5:$B$3471,"&gt;"&amp;C383)</f>
        <v>45736</v>
      </c>
      <c r="G383" s="3" t="n">
        <f aca="false">SUMIFS('Futures Data'!$E$5:$E$3471,'Futures Data'!$A$5:$A$3471,A383,'Futures Data'!$B$5:$B$3471,F383)</f>
        <v>8215</v>
      </c>
      <c r="H383" s="9" t="b">
        <f aca="false">G383&gt;E383</f>
        <v>0</v>
      </c>
      <c r="I383" s="9" t="b">
        <f aca="false">C383&lt;&gt;B383</f>
        <v>0</v>
      </c>
      <c r="J383" s="3" t="n">
        <f aca="false">SUMIFS('Futures Data'!$C$5:$C$3471,'Futures Data'!$A$5:$A$3471,A383,'Futures Data'!$B$5:$B$3471,B383)</f>
        <v>6405</v>
      </c>
      <c r="K383" s="3" t="n">
        <f aca="false">SUMIFS('Futures Data'!$C$5:$C$3471,'Futures Data'!$A$5:$A$3471,A383,'Futures Data'!$B$5:$B$3471,C383)</f>
        <v>6405</v>
      </c>
      <c r="L383" s="3" t="n">
        <f aca="false">K383-J383</f>
        <v>0</v>
      </c>
      <c r="M383" s="3" t="n">
        <f aca="false">M384+L383</f>
        <v>1040</v>
      </c>
      <c r="N383" s="3" t="n">
        <f aca="false">J383+M383</f>
        <v>7445</v>
      </c>
      <c r="O383" s="13" t="n">
        <f aca="false">LN(J383/K382)</f>
        <v>0.00705055799666676</v>
      </c>
      <c r="P383" s="13" t="n">
        <f aca="false">LN(N383/N382)</f>
        <v>0.00606266592584834</v>
      </c>
      <c r="Q383" s="3" t="n">
        <f aca="false">SUMIFS('Futures Data'!$D$5:$D$3471,'Futures Data'!$A$5:$A$3471,A383,'Futures Data'!$B$5:$B$3471,B383)</f>
        <v>2815</v>
      </c>
      <c r="R383" s="7" t="n">
        <v>45708</v>
      </c>
      <c r="S383" s="9" t="b">
        <f aca="false">C383=R383</f>
        <v>1</v>
      </c>
      <c r="T383" s="9" t="b">
        <f aca="false">ABS(O383-LN(J383/SUMIFS('Futures Data'!$C$5:$C$3471,'Futures Data'!$A$5:$A$3471,A382,'Futures Data'!$B$5:$B$3471,B383)))&lt;0.000000001</f>
        <v>1</v>
      </c>
    </row>
    <row r="384" customFormat="false" ht="15" hidden="false" customHeight="false" outlineLevel="0" collapsed="false">
      <c r="A384" s="7" t="n">
        <v>45692</v>
      </c>
      <c r="B384" s="11" t="n">
        <f aca="false">C383</f>
        <v>45708</v>
      </c>
      <c r="C384" s="11" t="n">
        <f aca="false">IF(OR(H383,D384&lt;=$G$4),_xlfn.MINIFS('Futures Data'!$B$5:$B$3471,'Futures Data'!$A$5:$A$3471,A384,'Futures Data'!$B$5:$B$3471,"&gt;"&amp;B384),B384)</f>
        <v>45708</v>
      </c>
      <c r="D384" s="3" t="n">
        <f aca="false">COUNTIFS($A$47:$A$790,"&gt;"&amp;A384,$A$47:$A$790,"&lt;="&amp;B384)+IF(B384&gt;$G$5,NETWORKDAYS($G$5+1,B384),0)</f>
        <v>12</v>
      </c>
      <c r="E384" s="3" t="n">
        <f aca="false">SUMIFS('Futures Data'!$E$5:$E$3471,'Futures Data'!$A$5:$A$3471,A384,'Futures Data'!$B$5:$B$3471,C384)</f>
        <v>18550</v>
      </c>
      <c r="F384" s="11" t="n">
        <f aca="false">_xlfn.MINIFS('Futures Data'!$B$5:$B$3471,'Futures Data'!$A$5:$A$3471,A384,'Futures Data'!$B$5:$B$3471,"&gt;"&amp;C384)</f>
        <v>45736</v>
      </c>
      <c r="G384" s="3" t="n">
        <f aca="false">SUMIFS('Futures Data'!$E$5:$E$3471,'Futures Data'!$A$5:$A$3471,A384,'Futures Data'!$B$5:$B$3471,F384)</f>
        <v>9490</v>
      </c>
      <c r="H384" s="9" t="b">
        <f aca="false">G384&gt;E384</f>
        <v>0</v>
      </c>
      <c r="I384" s="9" t="b">
        <f aca="false">C384&lt;&gt;B384</f>
        <v>0</v>
      </c>
      <c r="J384" s="3" t="n">
        <f aca="false">SUMIFS('Futures Data'!$C$5:$C$3471,'Futures Data'!$A$5:$A$3471,A384,'Futures Data'!$B$5:$B$3471,B384)</f>
        <v>6438</v>
      </c>
      <c r="K384" s="3" t="n">
        <f aca="false">SUMIFS('Futures Data'!$C$5:$C$3471,'Futures Data'!$A$5:$A$3471,A384,'Futures Data'!$B$5:$B$3471,C384)</f>
        <v>6438</v>
      </c>
      <c r="L384" s="3" t="n">
        <f aca="false">K384-J384</f>
        <v>0</v>
      </c>
      <c r="M384" s="3" t="n">
        <f aca="false">M385+L384</f>
        <v>1040</v>
      </c>
      <c r="N384" s="3" t="n">
        <f aca="false">J384+M384</f>
        <v>7478</v>
      </c>
      <c r="O384" s="13" t="n">
        <f aca="false">LN(J384/K383)</f>
        <v>0.00513899752791895</v>
      </c>
      <c r="P384" s="13" t="n">
        <f aca="false">LN(N384/N383)</f>
        <v>0.00442271041894972</v>
      </c>
      <c r="Q384" s="3" t="n">
        <f aca="false">SUMIFS('Futures Data'!$D$5:$D$3471,'Futures Data'!$A$5:$A$3471,A384,'Futures Data'!$B$5:$B$3471,B384)</f>
        <v>5600</v>
      </c>
      <c r="R384" s="7" t="n">
        <v>45708</v>
      </c>
      <c r="S384" s="9" t="b">
        <f aca="false">C384=R384</f>
        <v>1</v>
      </c>
      <c r="T384" s="9" t="b">
        <f aca="false">ABS(O384-LN(J384/SUMIFS('Futures Data'!$C$5:$C$3471,'Futures Data'!$A$5:$A$3471,A383,'Futures Data'!$B$5:$B$3471,B384)))&lt;0.000000001</f>
        <v>1</v>
      </c>
    </row>
    <row r="385" customFormat="false" ht="15" hidden="false" customHeight="false" outlineLevel="0" collapsed="false">
      <c r="A385" s="7" t="n">
        <v>45693</v>
      </c>
      <c r="B385" s="11" t="n">
        <f aca="false">C384</f>
        <v>45708</v>
      </c>
      <c r="C385" s="11" t="n">
        <f aca="false">IF(OR(H384,D385&lt;=$G$4),_xlfn.MINIFS('Futures Data'!$B$5:$B$3471,'Futures Data'!$A$5:$A$3471,A385,'Futures Data'!$B$5:$B$3471,"&gt;"&amp;B385),B385)</f>
        <v>45708</v>
      </c>
      <c r="D385" s="3" t="n">
        <f aca="false">COUNTIFS($A$47:$A$790,"&gt;"&amp;A385,$A$47:$A$790,"&lt;="&amp;B385)+IF(B385&gt;$G$5,NETWORKDAYS($G$5+1,B385),0)</f>
        <v>11</v>
      </c>
      <c r="E385" s="3" t="n">
        <f aca="false">SUMIFS('Futures Data'!$E$5:$E$3471,'Futures Data'!$A$5:$A$3471,A385,'Futures Data'!$B$5:$B$3471,C385)</f>
        <v>17155</v>
      </c>
      <c r="F385" s="11" t="n">
        <f aca="false">_xlfn.MINIFS('Futures Data'!$B$5:$B$3471,'Futures Data'!$A$5:$A$3471,A385,'Futures Data'!$B$5:$B$3471,"&gt;"&amp;C385)</f>
        <v>45736</v>
      </c>
      <c r="G385" s="3" t="n">
        <f aca="false">SUMIFS('Futures Data'!$E$5:$E$3471,'Futures Data'!$A$5:$A$3471,A385,'Futures Data'!$B$5:$B$3471,F385)</f>
        <v>12890</v>
      </c>
      <c r="H385" s="9" t="b">
        <f aca="false">G385&gt;E385</f>
        <v>0</v>
      </c>
      <c r="I385" s="9" t="b">
        <f aca="false">C385&lt;&gt;B385</f>
        <v>0</v>
      </c>
      <c r="J385" s="3" t="n">
        <f aca="false">SUMIFS('Futures Data'!$C$5:$C$3471,'Futures Data'!$A$5:$A$3471,A385,'Futures Data'!$B$5:$B$3471,B385)</f>
        <v>6460</v>
      </c>
      <c r="K385" s="3" t="n">
        <f aca="false">SUMIFS('Futures Data'!$C$5:$C$3471,'Futures Data'!$A$5:$A$3471,A385,'Futures Data'!$B$5:$B$3471,C385)</f>
        <v>6460</v>
      </c>
      <c r="L385" s="3" t="n">
        <f aca="false">K385-J385</f>
        <v>0</v>
      </c>
      <c r="M385" s="3" t="n">
        <f aca="false">M386+L385</f>
        <v>1040</v>
      </c>
      <c r="N385" s="3" t="n">
        <f aca="false">J385+M385</f>
        <v>7500</v>
      </c>
      <c r="O385" s="13" t="n">
        <f aca="false">LN(J385/K384)</f>
        <v>0.00341138491789399</v>
      </c>
      <c r="P385" s="13" t="n">
        <f aca="false">LN(N385/N384)</f>
        <v>0.0029376439873428</v>
      </c>
      <c r="Q385" s="3" t="n">
        <f aca="false">SUMIFS('Futures Data'!$D$5:$D$3471,'Futures Data'!$A$5:$A$3471,A385,'Futures Data'!$B$5:$B$3471,B385)</f>
        <v>7130</v>
      </c>
      <c r="R385" s="7" t="n">
        <v>45708</v>
      </c>
      <c r="S385" s="9" t="b">
        <f aca="false">C385=R385</f>
        <v>1</v>
      </c>
      <c r="T385" s="9" t="b">
        <f aca="false">ABS(O385-LN(J385/SUMIFS('Futures Data'!$C$5:$C$3471,'Futures Data'!$A$5:$A$3471,A384,'Futures Data'!$B$5:$B$3471,B385)))&lt;0.000000001</f>
        <v>1</v>
      </c>
    </row>
    <row r="386" customFormat="false" ht="15" hidden="false" customHeight="false" outlineLevel="0" collapsed="false">
      <c r="A386" s="7" t="n">
        <v>45694</v>
      </c>
      <c r="B386" s="11" t="n">
        <f aca="false">C385</f>
        <v>45708</v>
      </c>
      <c r="C386" s="11" t="n">
        <f aca="false">IF(OR(H385,D386&lt;=$G$4),_xlfn.MINIFS('Futures Data'!$B$5:$B$3471,'Futures Data'!$A$5:$A$3471,A386,'Futures Data'!$B$5:$B$3471,"&gt;"&amp;B386),B386)</f>
        <v>45708</v>
      </c>
      <c r="D386" s="3" t="n">
        <f aca="false">COUNTIFS($A$47:$A$790,"&gt;"&amp;A386,$A$47:$A$790,"&lt;="&amp;B386)+IF(B386&gt;$G$5,NETWORKDAYS($G$5+1,B386),0)</f>
        <v>10</v>
      </c>
      <c r="E386" s="3" t="n">
        <f aca="false">SUMIFS('Futures Data'!$E$5:$E$3471,'Futures Data'!$A$5:$A$3471,A386,'Futures Data'!$B$5:$B$3471,C386)</f>
        <v>16930</v>
      </c>
      <c r="F386" s="11" t="n">
        <f aca="false">_xlfn.MINIFS('Futures Data'!$B$5:$B$3471,'Futures Data'!$A$5:$A$3471,A386,'Futures Data'!$B$5:$B$3471,"&gt;"&amp;C386)</f>
        <v>45736</v>
      </c>
      <c r="G386" s="3" t="n">
        <f aca="false">SUMIFS('Futures Data'!$E$5:$E$3471,'Futures Data'!$A$5:$A$3471,A386,'Futures Data'!$B$5:$B$3471,F386)</f>
        <v>14695</v>
      </c>
      <c r="H386" s="9" t="b">
        <f aca="false">G386&gt;E386</f>
        <v>0</v>
      </c>
      <c r="I386" s="9" t="b">
        <f aca="false">C386&lt;&gt;B386</f>
        <v>0</v>
      </c>
      <c r="J386" s="3" t="n">
        <f aca="false">SUMIFS('Futures Data'!$C$5:$C$3471,'Futures Data'!$A$5:$A$3471,A386,'Futures Data'!$B$5:$B$3471,B386)</f>
        <v>6498</v>
      </c>
      <c r="K386" s="3" t="n">
        <f aca="false">SUMIFS('Futures Data'!$C$5:$C$3471,'Futures Data'!$A$5:$A$3471,A386,'Futures Data'!$B$5:$B$3471,C386)</f>
        <v>6498</v>
      </c>
      <c r="L386" s="3" t="n">
        <f aca="false">K386-J386</f>
        <v>0</v>
      </c>
      <c r="M386" s="3" t="n">
        <f aca="false">M387+L386</f>
        <v>1040</v>
      </c>
      <c r="N386" s="3" t="n">
        <f aca="false">J386+M386</f>
        <v>7538</v>
      </c>
      <c r="O386" s="13" t="n">
        <f aca="false">LN(J386/K385)</f>
        <v>0.00586511945239806</v>
      </c>
      <c r="P386" s="13" t="n">
        <f aca="false">LN(N386/N385)</f>
        <v>0.00505387430267904</v>
      </c>
      <c r="Q386" s="3" t="n">
        <f aca="false">SUMIFS('Futures Data'!$D$5:$D$3471,'Futures Data'!$A$5:$A$3471,A386,'Futures Data'!$B$5:$B$3471,B386)</f>
        <v>4555</v>
      </c>
      <c r="R386" s="7" t="n">
        <v>45708</v>
      </c>
      <c r="S386" s="9" t="b">
        <f aca="false">C386=R386</f>
        <v>1</v>
      </c>
      <c r="T386" s="9" t="b">
        <f aca="false">ABS(O386-LN(J386/SUMIFS('Futures Data'!$C$5:$C$3471,'Futures Data'!$A$5:$A$3471,A385,'Futures Data'!$B$5:$B$3471,B386)))&lt;0.000000001</f>
        <v>1</v>
      </c>
    </row>
    <row r="387" customFormat="false" ht="15" hidden="false" customHeight="false" outlineLevel="0" collapsed="false">
      <c r="A387" s="7" t="n">
        <v>45695</v>
      </c>
      <c r="B387" s="11" t="n">
        <f aca="false">C386</f>
        <v>45708</v>
      </c>
      <c r="C387" s="11" t="n">
        <f aca="false">IF(OR(H386,D387&lt;=$G$4),_xlfn.MINIFS('Futures Data'!$B$5:$B$3471,'Futures Data'!$A$5:$A$3471,A387,'Futures Data'!$B$5:$B$3471,"&gt;"&amp;B387),B387)</f>
        <v>45708</v>
      </c>
      <c r="D387" s="3" t="n">
        <f aca="false">COUNTIFS($A$47:$A$790,"&gt;"&amp;A387,$A$47:$A$790,"&lt;="&amp;B387)+IF(B387&gt;$G$5,NETWORKDAYS($G$5+1,B387),0)</f>
        <v>9</v>
      </c>
      <c r="E387" s="3" t="n">
        <f aca="false">SUMIFS('Futures Data'!$E$5:$E$3471,'Futures Data'!$A$5:$A$3471,A387,'Futures Data'!$B$5:$B$3471,C387)</f>
        <v>15935</v>
      </c>
      <c r="F387" s="11" t="n">
        <f aca="false">_xlfn.MINIFS('Futures Data'!$B$5:$B$3471,'Futures Data'!$A$5:$A$3471,A387,'Futures Data'!$B$5:$B$3471,"&gt;"&amp;C387)</f>
        <v>45736</v>
      </c>
      <c r="G387" s="3" t="n">
        <f aca="false">SUMIFS('Futures Data'!$E$5:$E$3471,'Futures Data'!$A$5:$A$3471,A387,'Futures Data'!$B$5:$B$3471,F387)</f>
        <v>15740</v>
      </c>
      <c r="H387" s="9" t="b">
        <f aca="false">G387&gt;E387</f>
        <v>0</v>
      </c>
      <c r="I387" s="9" t="b">
        <f aca="false">C387&lt;&gt;B387</f>
        <v>0</v>
      </c>
      <c r="J387" s="3" t="n">
        <f aca="false">SUMIFS('Futures Data'!$C$5:$C$3471,'Futures Data'!$A$5:$A$3471,A387,'Futures Data'!$B$5:$B$3471,B387)</f>
        <v>6570</v>
      </c>
      <c r="K387" s="3" t="n">
        <f aca="false">SUMIFS('Futures Data'!$C$5:$C$3471,'Futures Data'!$A$5:$A$3471,A387,'Futures Data'!$B$5:$B$3471,C387)</f>
        <v>6570</v>
      </c>
      <c r="L387" s="3" t="n">
        <f aca="false">K387-J387</f>
        <v>0</v>
      </c>
      <c r="M387" s="3" t="n">
        <f aca="false">M388+L387</f>
        <v>1040</v>
      </c>
      <c r="N387" s="3" t="n">
        <f aca="false">J387+M387</f>
        <v>7610</v>
      </c>
      <c r="O387" s="13" t="n">
        <f aca="false">LN(J387/K386)</f>
        <v>0.0110193952496105</v>
      </c>
      <c r="P387" s="13" t="n">
        <f aca="false">LN(N387/N386)</f>
        <v>0.00950627702865079</v>
      </c>
      <c r="Q387" s="3" t="n">
        <f aca="false">SUMIFS('Futures Data'!$D$5:$D$3471,'Futures Data'!$A$5:$A$3471,A387,'Futures Data'!$B$5:$B$3471,B387)</f>
        <v>2645</v>
      </c>
      <c r="R387" s="7" t="n">
        <v>45708</v>
      </c>
      <c r="S387" s="9" t="b">
        <f aca="false">C387=R387</f>
        <v>1</v>
      </c>
      <c r="T387" s="9" t="b">
        <f aca="false">ABS(O387-LN(J387/SUMIFS('Futures Data'!$C$5:$C$3471,'Futures Data'!$A$5:$A$3471,A386,'Futures Data'!$B$5:$B$3471,B387)))&lt;0.000000001</f>
        <v>1</v>
      </c>
    </row>
    <row r="388" customFormat="false" ht="15" hidden="false" customHeight="false" outlineLevel="0" collapsed="false">
      <c r="A388" s="7" t="n">
        <v>45698</v>
      </c>
      <c r="B388" s="11" t="n">
        <f aca="false">C387</f>
        <v>45708</v>
      </c>
      <c r="C388" s="11" t="n">
        <f aca="false">IF(OR(H387,D388&lt;=$G$4),_xlfn.MINIFS('Futures Data'!$B$5:$B$3471,'Futures Data'!$A$5:$A$3471,A388,'Futures Data'!$B$5:$B$3471,"&gt;"&amp;B388),B388)</f>
        <v>45708</v>
      </c>
      <c r="D388" s="3" t="n">
        <f aca="false">COUNTIFS($A$47:$A$790,"&gt;"&amp;A388,$A$47:$A$790,"&lt;="&amp;B388)+IF(B388&gt;$G$5,NETWORKDAYS($G$5+1,B388),0)</f>
        <v>8</v>
      </c>
      <c r="E388" s="3" t="n">
        <f aca="false">SUMIFS('Futures Data'!$E$5:$E$3471,'Futures Data'!$A$5:$A$3471,A388,'Futures Data'!$B$5:$B$3471,C388)</f>
        <v>15180</v>
      </c>
      <c r="F388" s="11" t="n">
        <f aca="false">_xlfn.MINIFS('Futures Data'!$B$5:$B$3471,'Futures Data'!$A$5:$A$3471,A388,'Futures Data'!$B$5:$B$3471,"&gt;"&amp;C388)</f>
        <v>45736</v>
      </c>
      <c r="G388" s="3" t="n">
        <f aca="false">SUMIFS('Futures Data'!$E$5:$E$3471,'Futures Data'!$A$5:$A$3471,A388,'Futures Data'!$B$5:$B$3471,F388)</f>
        <v>16360</v>
      </c>
      <c r="H388" s="9" t="b">
        <f aca="false">G388&gt;E388</f>
        <v>1</v>
      </c>
      <c r="I388" s="9" t="b">
        <f aca="false">C388&lt;&gt;B388</f>
        <v>0</v>
      </c>
      <c r="J388" s="3" t="n">
        <f aca="false">SUMIFS('Futures Data'!$C$5:$C$3471,'Futures Data'!$A$5:$A$3471,A388,'Futures Data'!$B$5:$B$3471,B388)</f>
        <v>6593</v>
      </c>
      <c r="K388" s="3" t="n">
        <f aca="false">SUMIFS('Futures Data'!$C$5:$C$3471,'Futures Data'!$A$5:$A$3471,A388,'Futures Data'!$B$5:$B$3471,C388)</f>
        <v>6593</v>
      </c>
      <c r="L388" s="3" t="n">
        <f aca="false">K388-J388</f>
        <v>0</v>
      </c>
      <c r="M388" s="3" t="n">
        <f aca="false">M389+L388</f>
        <v>1040</v>
      </c>
      <c r="N388" s="3" t="n">
        <f aca="false">J388+M388</f>
        <v>7633</v>
      </c>
      <c r="O388" s="13" t="n">
        <f aca="false">LN(J388/K387)</f>
        <v>0.00349464763464336</v>
      </c>
      <c r="P388" s="13" t="n">
        <f aca="false">LN(N388/N387)</f>
        <v>0.00301778094273877</v>
      </c>
      <c r="Q388" s="3" t="n">
        <f aca="false">SUMIFS('Futures Data'!$D$5:$D$3471,'Futures Data'!$A$5:$A$3471,A388,'Futures Data'!$B$5:$B$3471,B388)</f>
        <v>4270</v>
      </c>
      <c r="R388" s="7" t="n">
        <v>45708</v>
      </c>
      <c r="S388" s="9" t="b">
        <f aca="false">C388=R388</f>
        <v>1</v>
      </c>
      <c r="T388" s="9" t="b">
        <f aca="false">ABS(O388-LN(J388/SUMIFS('Futures Data'!$C$5:$C$3471,'Futures Data'!$A$5:$A$3471,A387,'Futures Data'!$B$5:$B$3471,B388)))&lt;0.000000001</f>
        <v>1</v>
      </c>
    </row>
    <row r="389" customFormat="false" ht="15" hidden="false" customHeight="false" outlineLevel="0" collapsed="false">
      <c r="A389" s="7" t="n">
        <v>45699</v>
      </c>
      <c r="B389" s="11" t="n">
        <f aca="false">C388</f>
        <v>45708</v>
      </c>
      <c r="C389" s="11" t="n">
        <f aca="false">IF(OR(H388,D389&lt;=$G$4),_xlfn.MINIFS('Futures Data'!$B$5:$B$3471,'Futures Data'!$A$5:$A$3471,A389,'Futures Data'!$B$5:$B$3471,"&gt;"&amp;B389),B389)</f>
        <v>45736</v>
      </c>
      <c r="D389" s="3" t="n">
        <f aca="false">COUNTIFS($A$47:$A$790,"&gt;"&amp;A389,$A$47:$A$790,"&lt;="&amp;B389)+IF(B389&gt;$G$5,NETWORKDAYS($G$5+1,B389),0)</f>
        <v>7</v>
      </c>
      <c r="E389" s="3" t="n">
        <f aca="false">SUMIFS('Futures Data'!$E$5:$E$3471,'Futures Data'!$A$5:$A$3471,A389,'Futures Data'!$B$5:$B$3471,C389)</f>
        <v>17705</v>
      </c>
      <c r="F389" s="11" t="n">
        <f aca="false">_xlfn.MINIFS('Futures Data'!$B$5:$B$3471,'Futures Data'!$A$5:$A$3471,A389,'Futures Data'!$B$5:$B$3471,"&gt;"&amp;C389)</f>
        <v>45764</v>
      </c>
      <c r="G389" s="3" t="n">
        <f aca="false">SUMIFS('Futures Data'!$E$5:$E$3471,'Futures Data'!$A$5:$A$3471,A389,'Futures Data'!$B$5:$B$3471,F389)</f>
        <v>3790</v>
      </c>
      <c r="H389" s="9" t="b">
        <f aca="false">G389&gt;E389</f>
        <v>0</v>
      </c>
      <c r="I389" s="9" t="b">
        <f aca="false">C389&lt;&gt;B389</f>
        <v>1</v>
      </c>
      <c r="J389" s="3" t="n">
        <f aca="false">SUMIFS('Futures Data'!$C$5:$C$3471,'Futures Data'!$A$5:$A$3471,A389,'Futures Data'!$B$5:$B$3471,B389)</f>
        <v>6543</v>
      </c>
      <c r="K389" s="3" t="n">
        <f aca="false">SUMIFS('Futures Data'!$C$5:$C$3471,'Futures Data'!$A$5:$A$3471,A389,'Futures Data'!$B$5:$B$3471,C389)</f>
        <v>6290</v>
      </c>
      <c r="L389" s="3" t="n">
        <f aca="false">K389-J389</f>
        <v>-253</v>
      </c>
      <c r="M389" s="3" t="n">
        <f aca="false">M390+L389</f>
        <v>1040</v>
      </c>
      <c r="N389" s="3" t="n">
        <f aca="false">J389+M389</f>
        <v>7583</v>
      </c>
      <c r="O389" s="13" t="n">
        <f aca="false">LN(J389/K388)</f>
        <v>-0.00761270424356088</v>
      </c>
      <c r="P389" s="13" t="n">
        <f aca="false">LN(N389/N388)</f>
        <v>-0.00657205309753488</v>
      </c>
      <c r="Q389" s="3" t="n">
        <f aca="false">SUMIFS('Futures Data'!$D$5:$D$3471,'Futures Data'!$A$5:$A$3471,A389,'Futures Data'!$B$5:$B$3471,B389)</f>
        <v>4170</v>
      </c>
      <c r="R389" s="7" t="n">
        <v>45736</v>
      </c>
      <c r="S389" s="9" t="b">
        <f aca="false">C389=R389</f>
        <v>1</v>
      </c>
      <c r="T389" s="9" t="b">
        <f aca="false">ABS(O389-LN(J389/SUMIFS('Futures Data'!$C$5:$C$3471,'Futures Data'!$A$5:$A$3471,A388,'Futures Data'!$B$5:$B$3471,B389)))&lt;0.000000001</f>
        <v>1</v>
      </c>
    </row>
    <row r="390" customFormat="false" ht="15" hidden="false" customHeight="false" outlineLevel="0" collapsed="false">
      <c r="A390" s="7" t="n">
        <v>45700</v>
      </c>
      <c r="B390" s="11" t="n">
        <f aca="false">C389</f>
        <v>45736</v>
      </c>
      <c r="C390" s="11" t="n">
        <f aca="false">IF(OR(H389,D390&lt;=$G$4),_xlfn.MINIFS('Futures Data'!$B$5:$B$3471,'Futures Data'!$A$5:$A$3471,A390,'Futures Data'!$B$5:$B$3471,"&gt;"&amp;B390),B390)</f>
        <v>45736</v>
      </c>
      <c r="D390" s="3" t="n">
        <f aca="false">COUNTIFS($A$47:$A$790,"&gt;"&amp;A390,$A$47:$A$790,"&lt;="&amp;B390)+IF(B390&gt;$G$5,NETWORKDAYS($G$5+1,B390),0)</f>
        <v>24</v>
      </c>
      <c r="E390" s="3" t="n">
        <f aca="false">SUMIFS('Futures Data'!$E$5:$E$3471,'Futures Data'!$A$5:$A$3471,A390,'Futures Data'!$B$5:$B$3471,C390)</f>
        <v>19090</v>
      </c>
      <c r="F390" s="11" t="n">
        <f aca="false">_xlfn.MINIFS('Futures Data'!$B$5:$B$3471,'Futures Data'!$A$5:$A$3471,A390,'Futures Data'!$B$5:$B$3471,"&gt;"&amp;C390)</f>
        <v>45764</v>
      </c>
      <c r="G390" s="3" t="n">
        <f aca="false">SUMIFS('Futures Data'!$E$5:$E$3471,'Futures Data'!$A$5:$A$3471,A390,'Futures Data'!$B$5:$B$3471,F390)</f>
        <v>3845</v>
      </c>
      <c r="H390" s="9" t="b">
        <f aca="false">G390&gt;E390</f>
        <v>0</v>
      </c>
      <c r="I390" s="9" t="b">
        <f aca="false">C390&lt;&gt;B390</f>
        <v>0</v>
      </c>
      <c r="J390" s="3" t="n">
        <f aca="false">SUMIFS('Futures Data'!$C$5:$C$3471,'Futures Data'!$A$5:$A$3471,A390,'Futures Data'!$B$5:$B$3471,B390)</f>
        <v>6318</v>
      </c>
      <c r="K390" s="3" t="n">
        <f aca="false">SUMIFS('Futures Data'!$C$5:$C$3471,'Futures Data'!$A$5:$A$3471,A390,'Futures Data'!$B$5:$B$3471,C390)</f>
        <v>6318</v>
      </c>
      <c r="L390" s="3" t="n">
        <f aca="false">K390-J390</f>
        <v>0</v>
      </c>
      <c r="M390" s="3" t="n">
        <f aca="false">M391+L390</f>
        <v>1293</v>
      </c>
      <c r="N390" s="3" t="n">
        <f aca="false">J390+M390</f>
        <v>7611</v>
      </c>
      <c r="O390" s="13" t="n">
        <f aca="false">LN(J390/K389)</f>
        <v>0.00444163166754439</v>
      </c>
      <c r="P390" s="13" t="n">
        <f aca="false">LN(N390/N389)</f>
        <v>0.00368566956645611</v>
      </c>
      <c r="Q390" s="3" t="n">
        <f aca="false">SUMIFS('Futures Data'!$D$5:$D$3471,'Futures Data'!$A$5:$A$3471,A390,'Futures Data'!$B$5:$B$3471,B390)</f>
        <v>3290</v>
      </c>
      <c r="R390" s="7" t="n">
        <v>45736</v>
      </c>
      <c r="S390" s="9" t="b">
        <f aca="false">C390=R390</f>
        <v>1</v>
      </c>
      <c r="T390" s="9" t="b">
        <f aca="false">ABS(O390-LN(J390/SUMIFS('Futures Data'!$C$5:$C$3471,'Futures Data'!$A$5:$A$3471,A389,'Futures Data'!$B$5:$B$3471,B390)))&lt;0.000000001</f>
        <v>1</v>
      </c>
    </row>
    <row r="391" customFormat="false" ht="15" hidden="false" customHeight="false" outlineLevel="0" collapsed="false">
      <c r="A391" s="7" t="n">
        <v>45701</v>
      </c>
      <c r="B391" s="11" t="n">
        <f aca="false">C390</f>
        <v>45736</v>
      </c>
      <c r="C391" s="11" t="n">
        <f aca="false">IF(OR(H390,D391&lt;=$G$4),_xlfn.MINIFS('Futures Data'!$B$5:$B$3471,'Futures Data'!$A$5:$A$3471,A391,'Futures Data'!$B$5:$B$3471,"&gt;"&amp;B391),B391)</f>
        <v>45736</v>
      </c>
      <c r="D391" s="3" t="n">
        <f aca="false">COUNTIFS($A$47:$A$790,"&gt;"&amp;A391,$A$47:$A$790,"&lt;="&amp;B391)+IF(B391&gt;$G$5,NETWORKDAYS($G$5+1,B391),0)</f>
        <v>23</v>
      </c>
      <c r="E391" s="3" t="n">
        <f aca="false">SUMIFS('Futures Data'!$E$5:$E$3471,'Futures Data'!$A$5:$A$3471,A391,'Futures Data'!$B$5:$B$3471,C391)</f>
        <v>19175</v>
      </c>
      <c r="F391" s="11" t="n">
        <f aca="false">_xlfn.MINIFS('Futures Data'!$B$5:$B$3471,'Futures Data'!$A$5:$A$3471,A391,'Futures Data'!$B$5:$B$3471,"&gt;"&amp;C391)</f>
        <v>45764</v>
      </c>
      <c r="G391" s="3" t="n">
        <f aca="false">SUMIFS('Futures Data'!$E$5:$E$3471,'Futures Data'!$A$5:$A$3471,A391,'Futures Data'!$B$5:$B$3471,F391)</f>
        <v>3880</v>
      </c>
      <c r="H391" s="9" t="b">
        <f aca="false">G391&gt;E391</f>
        <v>0</v>
      </c>
      <c r="I391" s="9" t="b">
        <f aca="false">C391&lt;&gt;B391</f>
        <v>0</v>
      </c>
      <c r="J391" s="3" t="n">
        <f aca="false">SUMIFS('Futures Data'!$C$5:$C$3471,'Futures Data'!$A$5:$A$3471,A391,'Futures Data'!$B$5:$B$3471,B391)</f>
        <v>6315</v>
      </c>
      <c r="K391" s="3" t="n">
        <f aca="false">SUMIFS('Futures Data'!$C$5:$C$3471,'Futures Data'!$A$5:$A$3471,A391,'Futures Data'!$B$5:$B$3471,C391)</f>
        <v>6315</v>
      </c>
      <c r="L391" s="3" t="n">
        <f aca="false">K391-J391</f>
        <v>0</v>
      </c>
      <c r="M391" s="3" t="n">
        <f aca="false">M392+L391</f>
        <v>1293</v>
      </c>
      <c r="N391" s="3" t="n">
        <f aca="false">J391+M391</f>
        <v>7608</v>
      </c>
      <c r="O391" s="13" t="n">
        <f aca="false">LN(J391/K390)</f>
        <v>-0.00047494657743903</v>
      </c>
      <c r="P391" s="13" t="n">
        <f aca="false">LN(N391/N390)</f>
        <v>-0.000394244042165282</v>
      </c>
      <c r="Q391" s="3" t="n">
        <f aca="false">SUMIFS('Futures Data'!$D$5:$D$3471,'Futures Data'!$A$5:$A$3471,A391,'Futures Data'!$B$5:$B$3471,B391)</f>
        <v>1590</v>
      </c>
      <c r="R391" s="7" t="n">
        <v>45736</v>
      </c>
      <c r="S391" s="9" t="b">
        <f aca="false">C391=R391</f>
        <v>1</v>
      </c>
      <c r="T391" s="9" t="b">
        <f aca="false">ABS(O391-LN(J391/SUMIFS('Futures Data'!$C$5:$C$3471,'Futures Data'!$A$5:$A$3471,A390,'Futures Data'!$B$5:$B$3471,B391)))&lt;0.000000001</f>
        <v>1</v>
      </c>
    </row>
    <row r="392" customFormat="false" ht="15" hidden="false" customHeight="false" outlineLevel="0" collapsed="false">
      <c r="A392" s="7" t="n">
        <v>45702</v>
      </c>
      <c r="B392" s="11" t="n">
        <f aca="false">C391</f>
        <v>45736</v>
      </c>
      <c r="C392" s="11" t="n">
        <f aca="false">IF(OR(H391,D392&lt;=$G$4),_xlfn.MINIFS('Futures Data'!$B$5:$B$3471,'Futures Data'!$A$5:$A$3471,A392,'Futures Data'!$B$5:$B$3471,"&gt;"&amp;B392),B392)</f>
        <v>45736</v>
      </c>
      <c r="D392" s="3" t="n">
        <f aca="false">COUNTIFS($A$47:$A$790,"&gt;"&amp;A392,$A$47:$A$790,"&lt;="&amp;B392)+IF(B392&gt;$G$5,NETWORKDAYS($G$5+1,B392),0)</f>
        <v>22</v>
      </c>
      <c r="E392" s="3" t="n">
        <f aca="false">SUMIFS('Futures Data'!$E$5:$E$3471,'Futures Data'!$A$5:$A$3471,A392,'Futures Data'!$B$5:$B$3471,C392)</f>
        <v>19285</v>
      </c>
      <c r="F392" s="11" t="n">
        <f aca="false">_xlfn.MINIFS('Futures Data'!$B$5:$B$3471,'Futures Data'!$A$5:$A$3471,A392,'Futures Data'!$B$5:$B$3471,"&gt;"&amp;C392)</f>
        <v>45764</v>
      </c>
      <c r="G392" s="3" t="n">
        <f aca="false">SUMIFS('Futures Data'!$E$5:$E$3471,'Futures Data'!$A$5:$A$3471,A392,'Futures Data'!$B$5:$B$3471,F392)</f>
        <v>4185</v>
      </c>
      <c r="H392" s="9" t="b">
        <f aca="false">G392&gt;E392</f>
        <v>0</v>
      </c>
      <c r="I392" s="9" t="b">
        <f aca="false">C392&lt;&gt;B392</f>
        <v>0</v>
      </c>
      <c r="J392" s="3" t="n">
        <f aca="false">SUMIFS('Futures Data'!$C$5:$C$3471,'Futures Data'!$A$5:$A$3471,A392,'Futures Data'!$B$5:$B$3471,B392)</f>
        <v>6273</v>
      </c>
      <c r="K392" s="3" t="n">
        <f aca="false">SUMIFS('Futures Data'!$C$5:$C$3471,'Futures Data'!$A$5:$A$3471,A392,'Futures Data'!$B$5:$B$3471,C392)</f>
        <v>6273</v>
      </c>
      <c r="L392" s="3" t="n">
        <f aca="false">K392-J392</f>
        <v>0</v>
      </c>
      <c r="M392" s="3" t="n">
        <f aca="false">M393+L392</f>
        <v>1293</v>
      </c>
      <c r="N392" s="3" t="n">
        <f aca="false">J392+M392</f>
        <v>7566</v>
      </c>
      <c r="O392" s="13" t="n">
        <f aca="false">LN(J392/K391)</f>
        <v>-0.00667304668784817</v>
      </c>
      <c r="P392" s="13" t="n">
        <f aca="false">LN(N392/N391)</f>
        <v>-0.00553579903225164</v>
      </c>
      <c r="Q392" s="3" t="n">
        <f aca="false">SUMIFS('Futures Data'!$D$5:$D$3471,'Futures Data'!$A$5:$A$3471,A392,'Futures Data'!$B$5:$B$3471,B392)</f>
        <v>2050</v>
      </c>
      <c r="R392" s="7" t="n">
        <v>45736</v>
      </c>
      <c r="S392" s="9" t="b">
        <f aca="false">C392=R392</f>
        <v>1</v>
      </c>
      <c r="T392" s="9" t="b">
        <f aca="false">ABS(O392-LN(J392/SUMIFS('Futures Data'!$C$5:$C$3471,'Futures Data'!$A$5:$A$3471,A391,'Futures Data'!$B$5:$B$3471,B392)))&lt;0.000000001</f>
        <v>1</v>
      </c>
    </row>
    <row r="393" customFormat="false" ht="15" hidden="false" customHeight="false" outlineLevel="0" collapsed="false">
      <c r="A393" s="7" t="n">
        <v>45705</v>
      </c>
      <c r="B393" s="11" t="n">
        <f aca="false">C392</f>
        <v>45736</v>
      </c>
      <c r="C393" s="11" t="n">
        <f aca="false">IF(OR(H392,D393&lt;=$G$4),_xlfn.MINIFS('Futures Data'!$B$5:$B$3471,'Futures Data'!$A$5:$A$3471,A393,'Futures Data'!$B$5:$B$3471,"&gt;"&amp;B393),B393)</f>
        <v>45736</v>
      </c>
      <c r="D393" s="3" t="n">
        <f aca="false">COUNTIFS($A$47:$A$790,"&gt;"&amp;A393,$A$47:$A$790,"&lt;="&amp;B393)+IF(B393&gt;$G$5,NETWORKDAYS($G$5+1,B393),0)</f>
        <v>21</v>
      </c>
      <c r="E393" s="3" t="n">
        <f aca="false">SUMIFS('Futures Data'!$E$5:$E$3471,'Futures Data'!$A$5:$A$3471,A393,'Futures Data'!$B$5:$B$3471,C393)</f>
        <v>19515</v>
      </c>
      <c r="F393" s="11" t="n">
        <f aca="false">_xlfn.MINIFS('Futures Data'!$B$5:$B$3471,'Futures Data'!$A$5:$A$3471,A393,'Futures Data'!$B$5:$B$3471,"&gt;"&amp;C393)</f>
        <v>45764</v>
      </c>
      <c r="G393" s="3" t="n">
        <f aca="false">SUMIFS('Futures Data'!$E$5:$E$3471,'Futures Data'!$A$5:$A$3471,A393,'Futures Data'!$B$5:$B$3471,F393)</f>
        <v>4185</v>
      </c>
      <c r="H393" s="9" t="b">
        <f aca="false">G393&gt;E393</f>
        <v>0</v>
      </c>
      <c r="I393" s="9" t="b">
        <f aca="false">C393&lt;&gt;B393</f>
        <v>0</v>
      </c>
      <c r="J393" s="3" t="n">
        <f aca="false">SUMIFS('Futures Data'!$C$5:$C$3471,'Futures Data'!$A$5:$A$3471,A393,'Futures Data'!$B$5:$B$3471,B393)</f>
        <v>6290</v>
      </c>
      <c r="K393" s="3" t="n">
        <f aca="false">SUMIFS('Futures Data'!$C$5:$C$3471,'Futures Data'!$A$5:$A$3471,A393,'Futures Data'!$B$5:$B$3471,C393)</f>
        <v>6290</v>
      </c>
      <c r="L393" s="3" t="n">
        <f aca="false">K393-J393</f>
        <v>0</v>
      </c>
      <c r="M393" s="3" t="n">
        <f aca="false">M394+L393</f>
        <v>1293</v>
      </c>
      <c r="N393" s="3" t="n">
        <f aca="false">J393+M393</f>
        <v>7583</v>
      </c>
      <c r="O393" s="13" t="n">
        <f aca="false">LN(J393/K392)</f>
        <v>0.00270636159774285</v>
      </c>
      <c r="P393" s="13" t="n">
        <f aca="false">LN(N393/N392)</f>
        <v>0.00224437350796096</v>
      </c>
      <c r="Q393" s="3" t="n">
        <f aca="false">SUMIFS('Futures Data'!$D$5:$D$3471,'Futures Data'!$A$5:$A$3471,A393,'Futures Data'!$B$5:$B$3471,B393)</f>
        <v>2115</v>
      </c>
      <c r="R393" s="7" t="n">
        <v>45736</v>
      </c>
      <c r="S393" s="9" t="b">
        <f aca="false">C393=R393</f>
        <v>1</v>
      </c>
      <c r="T393" s="9" t="b">
        <f aca="false">ABS(O393-LN(J393/SUMIFS('Futures Data'!$C$5:$C$3471,'Futures Data'!$A$5:$A$3471,A392,'Futures Data'!$B$5:$B$3471,B393)))&lt;0.000000001</f>
        <v>1</v>
      </c>
    </row>
    <row r="394" customFormat="false" ht="15" hidden="false" customHeight="false" outlineLevel="0" collapsed="false">
      <c r="A394" s="7" t="n">
        <v>45706</v>
      </c>
      <c r="B394" s="11" t="n">
        <f aca="false">C393</f>
        <v>45736</v>
      </c>
      <c r="C394" s="11" t="n">
        <f aca="false">IF(OR(H393,D394&lt;=$G$4),_xlfn.MINIFS('Futures Data'!$B$5:$B$3471,'Futures Data'!$A$5:$A$3471,A394,'Futures Data'!$B$5:$B$3471,"&gt;"&amp;B394),B394)</f>
        <v>45736</v>
      </c>
      <c r="D394" s="3" t="n">
        <f aca="false">COUNTIFS($A$47:$A$790,"&gt;"&amp;A394,$A$47:$A$790,"&lt;="&amp;B394)+IF(B394&gt;$G$5,NETWORKDAYS($G$5+1,B394),0)</f>
        <v>20</v>
      </c>
      <c r="E394" s="3" t="n">
        <f aca="false">SUMIFS('Futures Data'!$E$5:$E$3471,'Futures Data'!$A$5:$A$3471,A394,'Futures Data'!$B$5:$B$3471,C394)</f>
        <v>19895</v>
      </c>
      <c r="F394" s="11" t="n">
        <f aca="false">_xlfn.MINIFS('Futures Data'!$B$5:$B$3471,'Futures Data'!$A$5:$A$3471,A394,'Futures Data'!$B$5:$B$3471,"&gt;"&amp;C394)</f>
        <v>45764</v>
      </c>
      <c r="G394" s="3" t="n">
        <f aca="false">SUMIFS('Futures Data'!$E$5:$E$3471,'Futures Data'!$A$5:$A$3471,A394,'Futures Data'!$B$5:$B$3471,F394)</f>
        <v>4520</v>
      </c>
      <c r="H394" s="9" t="b">
        <f aca="false">G394&gt;E394</f>
        <v>0</v>
      </c>
      <c r="I394" s="9" t="b">
        <f aca="false">C394&lt;&gt;B394</f>
        <v>0</v>
      </c>
      <c r="J394" s="3" t="n">
        <f aca="false">SUMIFS('Futures Data'!$C$5:$C$3471,'Futures Data'!$A$5:$A$3471,A394,'Futures Data'!$B$5:$B$3471,B394)</f>
        <v>6313</v>
      </c>
      <c r="K394" s="3" t="n">
        <f aca="false">SUMIFS('Futures Data'!$C$5:$C$3471,'Futures Data'!$A$5:$A$3471,A394,'Futures Data'!$B$5:$B$3471,C394)</f>
        <v>6313</v>
      </c>
      <c r="L394" s="3" t="n">
        <f aca="false">K394-J394</f>
        <v>0</v>
      </c>
      <c r="M394" s="3" t="n">
        <f aca="false">M395+L394</f>
        <v>1293</v>
      </c>
      <c r="N394" s="3" t="n">
        <f aca="false">J394+M394</f>
        <v>7606</v>
      </c>
      <c r="O394" s="13" t="n">
        <f aca="false">LN(J394/K393)</f>
        <v>0.00364992867313946</v>
      </c>
      <c r="P394" s="13" t="n">
        <f aca="false">LN(N394/N393)</f>
        <v>0.00302850978726936</v>
      </c>
      <c r="Q394" s="3" t="n">
        <f aca="false">SUMIFS('Futures Data'!$D$5:$D$3471,'Futures Data'!$A$5:$A$3471,A394,'Futures Data'!$B$5:$B$3471,B394)</f>
        <v>2855</v>
      </c>
      <c r="R394" s="7" t="n">
        <v>45736</v>
      </c>
      <c r="S394" s="9" t="b">
        <f aca="false">C394=R394</f>
        <v>1</v>
      </c>
      <c r="T394" s="9" t="b">
        <f aca="false">ABS(O394-LN(J394/SUMIFS('Futures Data'!$C$5:$C$3471,'Futures Data'!$A$5:$A$3471,A393,'Futures Data'!$B$5:$B$3471,B394)))&lt;0.000000001</f>
        <v>1</v>
      </c>
    </row>
    <row r="395" customFormat="false" ht="15" hidden="false" customHeight="false" outlineLevel="0" collapsed="false">
      <c r="A395" s="7" t="n">
        <v>45707</v>
      </c>
      <c r="B395" s="11" t="n">
        <f aca="false">C394</f>
        <v>45736</v>
      </c>
      <c r="C395" s="11" t="n">
        <f aca="false">IF(OR(H394,D395&lt;=$G$4),_xlfn.MINIFS('Futures Data'!$B$5:$B$3471,'Futures Data'!$A$5:$A$3471,A395,'Futures Data'!$B$5:$B$3471,"&gt;"&amp;B395),B395)</f>
        <v>45736</v>
      </c>
      <c r="D395" s="3" t="n">
        <f aca="false">COUNTIFS($A$47:$A$790,"&gt;"&amp;A395,$A$47:$A$790,"&lt;="&amp;B395)+IF(B395&gt;$G$5,NETWORKDAYS($G$5+1,B395),0)</f>
        <v>19</v>
      </c>
      <c r="E395" s="3" t="n">
        <f aca="false">SUMIFS('Futures Data'!$E$5:$E$3471,'Futures Data'!$A$5:$A$3471,A395,'Futures Data'!$B$5:$B$3471,C395)</f>
        <v>21265</v>
      </c>
      <c r="F395" s="11" t="n">
        <f aca="false">_xlfn.MINIFS('Futures Data'!$B$5:$B$3471,'Futures Data'!$A$5:$A$3471,A395,'Futures Data'!$B$5:$B$3471,"&gt;"&amp;C395)</f>
        <v>45764</v>
      </c>
      <c r="G395" s="3" t="n">
        <f aca="false">SUMIFS('Futures Data'!$E$5:$E$3471,'Futures Data'!$A$5:$A$3471,A395,'Futures Data'!$B$5:$B$3471,F395)</f>
        <v>5490</v>
      </c>
      <c r="H395" s="9" t="b">
        <f aca="false">G395&gt;E395</f>
        <v>0</v>
      </c>
      <c r="I395" s="9" t="b">
        <f aca="false">C395&lt;&gt;B395</f>
        <v>0</v>
      </c>
      <c r="J395" s="3" t="n">
        <f aca="false">SUMIFS('Futures Data'!$C$5:$C$3471,'Futures Data'!$A$5:$A$3471,A395,'Futures Data'!$B$5:$B$3471,B395)</f>
        <v>6335</v>
      </c>
      <c r="K395" s="3" t="n">
        <f aca="false">SUMIFS('Futures Data'!$C$5:$C$3471,'Futures Data'!$A$5:$A$3471,A395,'Futures Data'!$B$5:$B$3471,C395)</f>
        <v>6335</v>
      </c>
      <c r="L395" s="3" t="n">
        <f aca="false">K395-J395</f>
        <v>0</v>
      </c>
      <c r="M395" s="3" t="n">
        <f aca="false">M396+L395</f>
        <v>1293</v>
      </c>
      <c r="N395" s="3" t="n">
        <f aca="false">J395+M395</f>
        <v>7628</v>
      </c>
      <c r="O395" s="13" t="n">
        <f aca="false">LN(J395/K394)</f>
        <v>0.0034788143876139</v>
      </c>
      <c r="P395" s="13" t="n">
        <f aca="false">LN(N395/N394)</f>
        <v>0.00288827823210466</v>
      </c>
      <c r="Q395" s="3" t="n">
        <f aca="false">SUMIFS('Futures Data'!$D$5:$D$3471,'Futures Data'!$A$5:$A$3471,A395,'Futures Data'!$B$5:$B$3471,B395)</f>
        <v>2655</v>
      </c>
      <c r="R395" s="7" t="n">
        <v>45736</v>
      </c>
      <c r="S395" s="9" t="b">
        <f aca="false">C395=R395</f>
        <v>1</v>
      </c>
      <c r="T395" s="9" t="b">
        <f aca="false">ABS(O395-LN(J395/SUMIFS('Futures Data'!$C$5:$C$3471,'Futures Data'!$A$5:$A$3471,A394,'Futures Data'!$B$5:$B$3471,B395)))&lt;0.000000001</f>
        <v>1</v>
      </c>
    </row>
    <row r="396" customFormat="false" ht="15" hidden="false" customHeight="false" outlineLevel="0" collapsed="false">
      <c r="A396" s="7" t="n">
        <v>45708</v>
      </c>
      <c r="B396" s="11" t="n">
        <f aca="false">C395</f>
        <v>45736</v>
      </c>
      <c r="C396" s="11" t="n">
        <f aca="false">IF(OR(H395,D396&lt;=$G$4),_xlfn.MINIFS('Futures Data'!$B$5:$B$3471,'Futures Data'!$A$5:$A$3471,A396,'Futures Data'!$B$5:$B$3471,"&gt;"&amp;B396),B396)</f>
        <v>45736</v>
      </c>
      <c r="D396" s="3" t="n">
        <f aca="false">COUNTIFS($A$47:$A$790,"&gt;"&amp;A396,$A$47:$A$790,"&lt;="&amp;B396)+IF(B396&gt;$G$5,NETWORKDAYS($G$5+1,B396),0)</f>
        <v>18</v>
      </c>
      <c r="E396" s="3" t="n">
        <f aca="false">SUMIFS('Futures Data'!$E$5:$E$3471,'Futures Data'!$A$5:$A$3471,A396,'Futures Data'!$B$5:$B$3471,C396)</f>
        <v>21345</v>
      </c>
      <c r="F396" s="11" t="n">
        <f aca="false">_xlfn.MINIFS('Futures Data'!$B$5:$B$3471,'Futures Data'!$A$5:$A$3471,A396,'Futures Data'!$B$5:$B$3471,"&gt;"&amp;C396)</f>
        <v>45764</v>
      </c>
      <c r="G396" s="3" t="n">
        <f aca="false">SUMIFS('Futures Data'!$E$5:$E$3471,'Futures Data'!$A$5:$A$3471,A396,'Futures Data'!$B$5:$B$3471,F396)</f>
        <v>6565</v>
      </c>
      <c r="H396" s="9" t="b">
        <f aca="false">G396&gt;E396</f>
        <v>0</v>
      </c>
      <c r="I396" s="9" t="b">
        <f aca="false">C396&lt;&gt;B396</f>
        <v>0</v>
      </c>
      <c r="J396" s="3" t="n">
        <f aca="false">SUMIFS('Futures Data'!$C$5:$C$3471,'Futures Data'!$A$5:$A$3471,A396,'Futures Data'!$B$5:$B$3471,B396)</f>
        <v>6307</v>
      </c>
      <c r="K396" s="3" t="n">
        <f aca="false">SUMIFS('Futures Data'!$C$5:$C$3471,'Futures Data'!$A$5:$A$3471,A396,'Futures Data'!$B$5:$B$3471,C396)</f>
        <v>6307</v>
      </c>
      <c r="L396" s="3" t="n">
        <f aca="false">K396-J396</f>
        <v>0</v>
      </c>
      <c r="M396" s="3" t="n">
        <f aca="false">M397+L396</f>
        <v>1293</v>
      </c>
      <c r="N396" s="3" t="n">
        <f aca="false">J396+M396</f>
        <v>7600</v>
      </c>
      <c r="O396" s="13" t="n">
        <f aca="false">LN(J396/K395)</f>
        <v>-0.00442968609158817</v>
      </c>
      <c r="P396" s="13" t="n">
        <f aca="false">LN(N396/N395)</f>
        <v>-0.00367744044588719</v>
      </c>
      <c r="Q396" s="3" t="n">
        <f aca="false">SUMIFS('Futures Data'!$D$5:$D$3471,'Futures Data'!$A$5:$A$3471,A396,'Futures Data'!$B$5:$B$3471,B396)</f>
        <v>3020</v>
      </c>
      <c r="R396" s="7" t="n">
        <v>45736</v>
      </c>
      <c r="S396" s="9" t="b">
        <f aca="false">C396=R396</f>
        <v>1</v>
      </c>
      <c r="T396" s="9" t="b">
        <f aca="false">ABS(O396-LN(J396/SUMIFS('Futures Data'!$C$5:$C$3471,'Futures Data'!$A$5:$A$3471,A395,'Futures Data'!$B$5:$B$3471,B396)))&lt;0.000000001</f>
        <v>1</v>
      </c>
    </row>
    <row r="397" customFormat="false" ht="15" hidden="false" customHeight="false" outlineLevel="0" collapsed="false">
      <c r="A397" s="7" t="n">
        <v>45709</v>
      </c>
      <c r="B397" s="11" t="n">
        <f aca="false">C396</f>
        <v>45736</v>
      </c>
      <c r="C397" s="11" t="n">
        <f aca="false">IF(OR(H396,D397&lt;=$G$4),_xlfn.MINIFS('Futures Data'!$B$5:$B$3471,'Futures Data'!$A$5:$A$3471,A397,'Futures Data'!$B$5:$B$3471,"&gt;"&amp;B397),B397)</f>
        <v>45736</v>
      </c>
      <c r="D397" s="3" t="n">
        <f aca="false">COUNTIFS($A$47:$A$790,"&gt;"&amp;A397,$A$47:$A$790,"&lt;="&amp;B397)+IF(B397&gt;$G$5,NETWORKDAYS($G$5+1,B397),0)</f>
        <v>17</v>
      </c>
      <c r="E397" s="3" t="n">
        <f aca="false">SUMIFS('Futures Data'!$E$5:$E$3471,'Futures Data'!$A$5:$A$3471,A397,'Futures Data'!$B$5:$B$3471,C397)</f>
        <v>22080</v>
      </c>
      <c r="F397" s="11" t="n">
        <f aca="false">_xlfn.MINIFS('Futures Data'!$B$5:$B$3471,'Futures Data'!$A$5:$A$3471,A397,'Futures Data'!$B$5:$B$3471,"&gt;"&amp;C397)</f>
        <v>45764</v>
      </c>
      <c r="G397" s="3" t="n">
        <f aca="false">SUMIFS('Futures Data'!$E$5:$E$3471,'Futures Data'!$A$5:$A$3471,A397,'Futures Data'!$B$5:$B$3471,F397)</f>
        <v>9445</v>
      </c>
      <c r="H397" s="9" t="b">
        <f aca="false">G397&gt;E397</f>
        <v>0</v>
      </c>
      <c r="I397" s="9" t="b">
        <f aca="false">C397&lt;&gt;B397</f>
        <v>0</v>
      </c>
      <c r="J397" s="3" t="n">
        <f aca="false">SUMIFS('Futures Data'!$C$5:$C$3471,'Futures Data'!$A$5:$A$3471,A397,'Futures Data'!$B$5:$B$3471,B397)</f>
        <v>6355</v>
      </c>
      <c r="K397" s="3" t="n">
        <f aca="false">SUMIFS('Futures Data'!$C$5:$C$3471,'Futures Data'!$A$5:$A$3471,A397,'Futures Data'!$B$5:$B$3471,C397)</f>
        <v>6355</v>
      </c>
      <c r="L397" s="3" t="n">
        <f aca="false">K397-J397</f>
        <v>0</v>
      </c>
      <c r="M397" s="3" t="n">
        <f aca="false">M398+L397</f>
        <v>1293</v>
      </c>
      <c r="N397" s="3" t="n">
        <f aca="false">J397+M397</f>
        <v>7648</v>
      </c>
      <c r="O397" s="13" t="n">
        <f aca="false">LN(J397/K396)</f>
        <v>0.0075817769599031</v>
      </c>
      <c r="P397" s="13" t="n">
        <f aca="false">LN(N397/N396)</f>
        <v>0.00629592845681483</v>
      </c>
      <c r="Q397" s="3" t="n">
        <f aca="false">SUMIFS('Futures Data'!$D$5:$D$3471,'Futures Data'!$A$5:$A$3471,A397,'Futures Data'!$B$5:$B$3471,B397)</f>
        <v>6555</v>
      </c>
      <c r="R397" s="7" t="n">
        <v>45736</v>
      </c>
      <c r="S397" s="9" t="b">
        <f aca="false">C397=R397</f>
        <v>1</v>
      </c>
      <c r="T397" s="9" t="b">
        <f aca="false">ABS(O397-LN(J397/SUMIFS('Futures Data'!$C$5:$C$3471,'Futures Data'!$A$5:$A$3471,A396,'Futures Data'!$B$5:$B$3471,B397)))&lt;0.000000001</f>
        <v>1</v>
      </c>
    </row>
    <row r="398" customFormat="false" ht="15" hidden="false" customHeight="false" outlineLevel="0" collapsed="false">
      <c r="A398" s="7" t="n">
        <v>45712</v>
      </c>
      <c r="B398" s="11" t="n">
        <f aca="false">C397</f>
        <v>45736</v>
      </c>
      <c r="C398" s="11" t="n">
        <f aca="false">IF(OR(H397,D398&lt;=$G$4),_xlfn.MINIFS('Futures Data'!$B$5:$B$3471,'Futures Data'!$A$5:$A$3471,A398,'Futures Data'!$B$5:$B$3471,"&gt;"&amp;B398),B398)</f>
        <v>45736</v>
      </c>
      <c r="D398" s="3" t="n">
        <f aca="false">COUNTIFS($A$47:$A$790,"&gt;"&amp;A398,$A$47:$A$790,"&lt;="&amp;B398)+IF(B398&gt;$G$5,NETWORKDAYS($G$5+1,B398),0)</f>
        <v>16</v>
      </c>
      <c r="E398" s="3" t="n">
        <f aca="false">SUMIFS('Futures Data'!$E$5:$E$3471,'Futures Data'!$A$5:$A$3471,A398,'Futures Data'!$B$5:$B$3471,C398)</f>
        <v>21920</v>
      </c>
      <c r="F398" s="11" t="n">
        <f aca="false">_xlfn.MINIFS('Futures Data'!$B$5:$B$3471,'Futures Data'!$A$5:$A$3471,A398,'Futures Data'!$B$5:$B$3471,"&gt;"&amp;C398)</f>
        <v>45764</v>
      </c>
      <c r="G398" s="3" t="n">
        <f aca="false">SUMIFS('Futures Data'!$E$5:$E$3471,'Futures Data'!$A$5:$A$3471,A398,'Futures Data'!$B$5:$B$3471,F398)</f>
        <v>9275</v>
      </c>
      <c r="H398" s="9" t="b">
        <f aca="false">G398&gt;E398</f>
        <v>0</v>
      </c>
      <c r="I398" s="9" t="b">
        <f aca="false">C398&lt;&gt;B398</f>
        <v>0</v>
      </c>
      <c r="J398" s="3" t="n">
        <f aca="false">SUMIFS('Futures Data'!$C$5:$C$3471,'Futures Data'!$A$5:$A$3471,A398,'Futures Data'!$B$5:$B$3471,B398)</f>
        <v>6386</v>
      </c>
      <c r="K398" s="3" t="n">
        <f aca="false">SUMIFS('Futures Data'!$C$5:$C$3471,'Futures Data'!$A$5:$A$3471,A398,'Futures Data'!$B$5:$B$3471,C398)</f>
        <v>6386</v>
      </c>
      <c r="L398" s="3" t="n">
        <f aca="false">K398-J398</f>
        <v>0</v>
      </c>
      <c r="M398" s="3" t="n">
        <f aca="false">M399+L398</f>
        <v>1293</v>
      </c>
      <c r="N398" s="3" t="n">
        <f aca="false">J398+M398</f>
        <v>7679</v>
      </c>
      <c r="O398" s="13" t="n">
        <f aca="false">LN(J398/K397)</f>
        <v>0.00486618965117291</v>
      </c>
      <c r="P398" s="13" t="n">
        <f aca="false">LN(N398/N397)</f>
        <v>0.0040451545993064</v>
      </c>
      <c r="Q398" s="3" t="n">
        <f aca="false">SUMIFS('Futures Data'!$D$5:$D$3471,'Futures Data'!$A$5:$A$3471,A398,'Futures Data'!$B$5:$B$3471,B398)</f>
        <v>3795</v>
      </c>
      <c r="R398" s="7" t="n">
        <v>45736</v>
      </c>
      <c r="S398" s="9" t="b">
        <f aca="false">C398=R398</f>
        <v>1</v>
      </c>
      <c r="T398" s="9" t="b">
        <f aca="false">ABS(O398-LN(J398/SUMIFS('Futures Data'!$C$5:$C$3471,'Futures Data'!$A$5:$A$3471,A397,'Futures Data'!$B$5:$B$3471,B398)))&lt;0.000000001</f>
        <v>1</v>
      </c>
    </row>
    <row r="399" customFormat="false" ht="15" hidden="false" customHeight="false" outlineLevel="0" collapsed="false">
      <c r="A399" s="7" t="n">
        <v>45713</v>
      </c>
      <c r="B399" s="11" t="n">
        <f aca="false">C398</f>
        <v>45736</v>
      </c>
      <c r="C399" s="11" t="n">
        <f aca="false">IF(OR(H398,D399&lt;=$G$4),_xlfn.MINIFS('Futures Data'!$B$5:$B$3471,'Futures Data'!$A$5:$A$3471,A399,'Futures Data'!$B$5:$B$3471,"&gt;"&amp;B399),B399)</f>
        <v>45736</v>
      </c>
      <c r="D399" s="3" t="n">
        <f aca="false">COUNTIFS($A$47:$A$790,"&gt;"&amp;A399,$A$47:$A$790,"&lt;="&amp;B399)+IF(B399&gt;$G$5,NETWORKDAYS($G$5+1,B399),0)</f>
        <v>15</v>
      </c>
      <c r="E399" s="3" t="n">
        <f aca="false">SUMIFS('Futures Data'!$E$5:$E$3471,'Futures Data'!$A$5:$A$3471,A399,'Futures Data'!$B$5:$B$3471,C399)</f>
        <v>21900</v>
      </c>
      <c r="F399" s="11" t="n">
        <f aca="false">_xlfn.MINIFS('Futures Data'!$B$5:$B$3471,'Futures Data'!$A$5:$A$3471,A399,'Futures Data'!$B$5:$B$3471,"&gt;"&amp;C399)</f>
        <v>45764</v>
      </c>
      <c r="G399" s="3" t="n">
        <f aca="false">SUMIFS('Futures Data'!$E$5:$E$3471,'Futures Data'!$A$5:$A$3471,A399,'Futures Data'!$B$5:$B$3471,F399)</f>
        <v>10970</v>
      </c>
      <c r="H399" s="9" t="b">
        <f aca="false">G399&gt;E399</f>
        <v>0</v>
      </c>
      <c r="I399" s="9" t="b">
        <f aca="false">C399&lt;&gt;B399</f>
        <v>0</v>
      </c>
      <c r="J399" s="3" t="n">
        <f aca="false">SUMIFS('Futures Data'!$C$5:$C$3471,'Futures Data'!$A$5:$A$3471,A399,'Futures Data'!$B$5:$B$3471,B399)</f>
        <v>6350</v>
      </c>
      <c r="K399" s="3" t="n">
        <f aca="false">SUMIFS('Futures Data'!$C$5:$C$3471,'Futures Data'!$A$5:$A$3471,A399,'Futures Data'!$B$5:$B$3471,C399)</f>
        <v>6350</v>
      </c>
      <c r="L399" s="3" t="n">
        <f aca="false">K399-J399</f>
        <v>0</v>
      </c>
      <c r="M399" s="3" t="n">
        <f aca="false">M400+L399</f>
        <v>1293</v>
      </c>
      <c r="N399" s="3" t="n">
        <f aca="false">J399+M399</f>
        <v>7643</v>
      </c>
      <c r="O399" s="13" t="n">
        <f aca="false">LN(J399/K398)</f>
        <v>-0.00565328138798999</v>
      </c>
      <c r="P399" s="13" t="n">
        <f aca="false">LN(N399/N398)</f>
        <v>-0.00469913408765942</v>
      </c>
      <c r="Q399" s="3" t="n">
        <f aca="false">SUMIFS('Futures Data'!$D$5:$D$3471,'Futures Data'!$A$5:$A$3471,A399,'Futures Data'!$B$5:$B$3471,B399)</f>
        <v>5305</v>
      </c>
      <c r="R399" s="7" t="n">
        <v>45736</v>
      </c>
      <c r="S399" s="9" t="b">
        <f aca="false">C399=R399</f>
        <v>1</v>
      </c>
      <c r="T399" s="9" t="b">
        <f aca="false">ABS(O399-LN(J399/SUMIFS('Futures Data'!$C$5:$C$3471,'Futures Data'!$A$5:$A$3471,A398,'Futures Data'!$B$5:$B$3471,B399)))&lt;0.000000001</f>
        <v>1</v>
      </c>
    </row>
    <row r="400" customFormat="false" ht="15" hidden="false" customHeight="false" outlineLevel="0" collapsed="false">
      <c r="A400" s="7" t="n">
        <v>45715</v>
      </c>
      <c r="B400" s="11" t="n">
        <f aca="false">C399</f>
        <v>45736</v>
      </c>
      <c r="C400" s="11" t="n">
        <f aca="false">IF(OR(H399,D400&lt;=$G$4),_xlfn.MINIFS('Futures Data'!$B$5:$B$3471,'Futures Data'!$A$5:$A$3471,A400,'Futures Data'!$B$5:$B$3471,"&gt;"&amp;B400),B400)</f>
        <v>45736</v>
      </c>
      <c r="D400" s="3" t="n">
        <f aca="false">COUNTIFS($A$47:$A$790,"&gt;"&amp;A400,$A$47:$A$790,"&lt;="&amp;B400)+IF(B400&gt;$G$5,NETWORKDAYS($G$5+1,B400),0)</f>
        <v>14</v>
      </c>
      <c r="E400" s="3" t="n">
        <f aca="false">SUMIFS('Futures Data'!$E$5:$E$3471,'Futures Data'!$A$5:$A$3471,A400,'Futures Data'!$B$5:$B$3471,C400)</f>
        <v>21830</v>
      </c>
      <c r="F400" s="11" t="n">
        <f aca="false">_xlfn.MINIFS('Futures Data'!$B$5:$B$3471,'Futures Data'!$A$5:$A$3471,A400,'Futures Data'!$B$5:$B$3471,"&gt;"&amp;C400)</f>
        <v>45764</v>
      </c>
      <c r="G400" s="3" t="n">
        <f aca="false">SUMIFS('Futures Data'!$E$5:$E$3471,'Futures Data'!$A$5:$A$3471,A400,'Futures Data'!$B$5:$B$3471,F400)</f>
        <v>11055</v>
      </c>
      <c r="H400" s="9" t="b">
        <f aca="false">G400&gt;E400</f>
        <v>0</v>
      </c>
      <c r="I400" s="9" t="b">
        <f aca="false">C400&lt;&gt;B400</f>
        <v>0</v>
      </c>
      <c r="J400" s="3" t="n">
        <f aca="false">SUMIFS('Futures Data'!$C$5:$C$3471,'Futures Data'!$A$5:$A$3471,A400,'Futures Data'!$B$5:$B$3471,B400)</f>
        <v>6357</v>
      </c>
      <c r="K400" s="3" t="n">
        <f aca="false">SUMIFS('Futures Data'!$C$5:$C$3471,'Futures Data'!$A$5:$A$3471,A400,'Futures Data'!$B$5:$B$3471,C400)</f>
        <v>6357</v>
      </c>
      <c r="L400" s="3" t="n">
        <f aca="false">K400-J400</f>
        <v>0</v>
      </c>
      <c r="M400" s="3" t="n">
        <f aca="false">M401+L400</f>
        <v>1293</v>
      </c>
      <c r="N400" s="3" t="n">
        <f aca="false">J400+M400</f>
        <v>7650</v>
      </c>
      <c r="O400" s="13" t="n">
        <f aca="false">LN(J400/K399)</f>
        <v>0.00110175504967139</v>
      </c>
      <c r="P400" s="13" t="n">
        <f aca="false">LN(N400/N399)</f>
        <v>0.000915451577697337</v>
      </c>
      <c r="Q400" s="3" t="n">
        <f aca="false">SUMIFS('Futures Data'!$D$5:$D$3471,'Futures Data'!$A$5:$A$3471,A400,'Futures Data'!$B$5:$B$3471,B400)</f>
        <v>2110</v>
      </c>
      <c r="R400" s="7" t="n">
        <v>45736</v>
      </c>
      <c r="S400" s="9" t="b">
        <f aca="false">C400=R400</f>
        <v>1</v>
      </c>
      <c r="T400" s="9" t="b">
        <f aca="false">ABS(O400-LN(J400/SUMIFS('Futures Data'!$C$5:$C$3471,'Futures Data'!$A$5:$A$3471,A399,'Futures Data'!$B$5:$B$3471,B400)))&lt;0.000000001</f>
        <v>1</v>
      </c>
    </row>
    <row r="401" customFormat="false" ht="15" hidden="false" customHeight="false" outlineLevel="0" collapsed="false">
      <c r="A401" s="7" t="n">
        <v>45716</v>
      </c>
      <c r="B401" s="11" t="n">
        <f aca="false">C400</f>
        <v>45736</v>
      </c>
      <c r="C401" s="11" t="n">
        <f aca="false">IF(OR(H400,D401&lt;=$G$4),_xlfn.MINIFS('Futures Data'!$B$5:$B$3471,'Futures Data'!$A$5:$A$3471,A401,'Futures Data'!$B$5:$B$3471,"&gt;"&amp;B401),B401)</f>
        <v>45736</v>
      </c>
      <c r="D401" s="3" t="n">
        <f aca="false">COUNTIFS($A$47:$A$790,"&gt;"&amp;A401,$A$47:$A$790,"&lt;="&amp;B401)+IF(B401&gt;$G$5,NETWORKDAYS($G$5+1,B401),0)</f>
        <v>13</v>
      </c>
      <c r="E401" s="3" t="n">
        <f aca="false">SUMIFS('Futures Data'!$E$5:$E$3471,'Futures Data'!$A$5:$A$3471,A401,'Futures Data'!$B$5:$B$3471,C401)</f>
        <v>22165</v>
      </c>
      <c r="F401" s="11" t="n">
        <f aca="false">_xlfn.MINIFS('Futures Data'!$B$5:$B$3471,'Futures Data'!$A$5:$A$3471,A401,'Futures Data'!$B$5:$B$3471,"&gt;"&amp;C401)</f>
        <v>45764</v>
      </c>
      <c r="G401" s="3" t="n">
        <f aca="false">SUMIFS('Futures Data'!$E$5:$E$3471,'Futures Data'!$A$5:$A$3471,A401,'Futures Data'!$B$5:$B$3471,F401)</f>
        <v>10850</v>
      </c>
      <c r="H401" s="9" t="b">
        <f aca="false">G401&gt;E401</f>
        <v>0</v>
      </c>
      <c r="I401" s="9" t="b">
        <f aca="false">C401&lt;&gt;B401</f>
        <v>0</v>
      </c>
      <c r="J401" s="3" t="n">
        <f aca="false">SUMIFS('Futures Data'!$C$5:$C$3471,'Futures Data'!$A$5:$A$3471,A401,'Futures Data'!$B$5:$B$3471,B401)</f>
        <v>6336</v>
      </c>
      <c r="K401" s="3" t="n">
        <f aca="false">SUMIFS('Futures Data'!$C$5:$C$3471,'Futures Data'!$A$5:$A$3471,A401,'Futures Data'!$B$5:$B$3471,C401)</f>
        <v>6336</v>
      </c>
      <c r="L401" s="3" t="n">
        <f aca="false">K401-J401</f>
        <v>0</v>
      </c>
      <c r="M401" s="3" t="n">
        <f aca="false">M402+L401</f>
        <v>1293</v>
      </c>
      <c r="N401" s="3" t="n">
        <f aca="false">J401+M401</f>
        <v>7629</v>
      </c>
      <c r="O401" s="13" t="n">
        <f aca="false">LN(J401/K400)</f>
        <v>-0.00330891344214702</v>
      </c>
      <c r="P401" s="13" t="n">
        <f aca="false">LN(N401/N400)</f>
        <v>-0.00274887273035214</v>
      </c>
      <c r="Q401" s="3" t="n">
        <f aca="false">SUMIFS('Futures Data'!$D$5:$D$3471,'Futures Data'!$A$5:$A$3471,A401,'Futures Data'!$B$5:$B$3471,B401)</f>
        <v>1080</v>
      </c>
      <c r="R401" s="7" t="n">
        <v>45736</v>
      </c>
      <c r="S401" s="9" t="b">
        <f aca="false">C401=R401</f>
        <v>1</v>
      </c>
      <c r="T401" s="9" t="b">
        <f aca="false">ABS(O401-LN(J401/SUMIFS('Futures Data'!$C$5:$C$3471,'Futures Data'!$A$5:$A$3471,A400,'Futures Data'!$B$5:$B$3471,B401)))&lt;0.000000001</f>
        <v>1</v>
      </c>
    </row>
    <row r="402" customFormat="false" ht="15" hidden="false" customHeight="false" outlineLevel="0" collapsed="false">
      <c r="A402" s="7" t="n">
        <v>45719</v>
      </c>
      <c r="B402" s="11" t="n">
        <f aca="false">C401</f>
        <v>45736</v>
      </c>
      <c r="C402" s="11" t="n">
        <f aca="false">IF(OR(H401,D402&lt;=$G$4),_xlfn.MINIFS('Futures Data'!$B$5:$B$3471,'Futures Data'!$A$5:$A$3471,A402,'Futures Data'!$B$5:$B$3471,"&gt;"&amp;B402),B402)</f>
        <v>45736</v>
      </c>
      <c r="D402" s="3" t="n">
        <f aca="false">COUNTIFS($A$47:$A$790,"&gt;"&amp;A402,$A$47:$A$790,"&lt;="&amp;B402)+IF(B402&gt;$G$5,NETWORKDAYS($G$5+1,B402),0)</f>
        <v>12</v>
      </c>
      <c r="E402" s="3" t="n">
        <f aca="false">SUMIFS('Futures Data'!$E$5:$E$3471,'Futures Data'!$A$5:$A$3471,A402,'Futures Data'!$B$5:$B$3471,C402)</f>
        <v>21850</v>
      </c>
      <c r="F402" s="11" t="n">
        <f aca="false">_xlfn.MINIFS('Futures Data'!$B$5:$B$3471,'Futures Data'!$A$5:$A$3471,A402,'Futures Data'!$B$5:$B$3471,"&gt;"&amp;C402)</f>
        <v>45764</v>
      </c>
      <c r="G402" s="3" t="n">
        <f aca="false">SUMIFS('Futures Data'!$E$5:$E$3471,'Futures Data'!$A$5:$A$3471,A402,'Futures Data'!$B$5:$B$3471,F402)</f>
        <v>11550</v>
      </c>
      <c r="H402" s="9" t="b">
        <f aca="false">G402&gt;E402</f>
        <v>0</v>
      </c>
      <c r="I402" s="9" t="b">
        <f aca="false">C402&lt;&gt;B402</f>
        <v>0</v>
      </c>
      <c r="J402" s="3" t="n">
        <f aca="false">SUMIFS('Futures Data'!$C$5:$C$3471,'Futures Data'!$A$5:$A$3471,A402,'Futures Data'!$B$5:$B$3471,B402)</f>
        <v>6271</v>
      </c>
      <c r="K402" s="3" t="n">
        <f aca="false">SUMIFS('Futures Data'!$C$5:$C$3471,'Futures Data'!$A$5:$A$3471,A402,'Futures Data'!$B$5:$B$3471,C402)</f>
        <v>6271</v>
      </c>
      <c r="L402" s="3" t="n">
        <f aca="false">K402-J402</f>
        <v>0</v>
      </c>
      <c r="M402" s="3" t="n">
        <f aca="false">M403+L402</f>
        <v>1293</v>
      </c>
      <c r="N402" s="3" t="n">
        <f aca="false">J402+M402</f>
        <v>7564</v>
      </c>
      <c r="O402" s="13" t="n">
        <f aca="false">LN(J402/K401)</f>
        <v>-0.0103118229512409</v>
      </c>
      <c r="P402" s="13" t="n">
        <f aca="false">LN(N402/N401)</f>
        <v>-0.00855662431188122</v>
      </c>
      <c r="Q402" s="3" t="n">
        <f aca="false">SUMIFS('Futures Data'!$D$5:$D$3471,'Futures Data'!$A$5:$A$3471,A402,'Futures Data'!$B$5:$B$3471,B402)</f>
        <v>3955</v>
      </c>
      <c r="R402" s="7" t="n">
        <v>45736</v>
      </c>
      <c r="S402" s="9" t="b">
        <f aca="false">C402=R402</f>
        <v>1</v>
      </c>
      <c r="T402" s="9" t="b">
        <f aca="false">ABS(O402-LN(J402/SUMIFS('Futures Data'!$C$5:$C$3471,'Futures Data'!$A$5:$A$3471,A401,'Futures Data'!$B$5:$B$3471,B402)))&lt;0.000000001</f>
        <v>1</v>
      </c>
    </row>
    <row r="403" customFormat="false" ht="15" hidden="false" customHeight="false" outlineLevel="0" collapsed="false">
      <c r="A403" s="7" t="n">
        <v>45720</v>
      </c>
      <c r="B403" s="11" t="n">
        <f aca="false">C402</f>
        <v>45736</v>
      </c>
      <c r="C403" s="11" t="n">
        <f aca="false">IF(OR(H402,D403&lt;=$G$4),_xlfn.MINIFS('Futures Data'!$B$5:$B$3471,'Futures Data'!$A$5:$A$3471,A403,'Futures Data'!$B$5:$B$3471,"&gt;"&amp;B403),B403)</f>
        <v>45736</v>
      </c>
      <c r="D403" s="3" t="n">
        <f aca="false">COUNTIFS($A$47:$A$790,"&gt;"&amp;A403,$A$47:$A$790,"&lt;="&amp;B403)+IF(B403&gt;$G$5,NETWORKDAYS($G$5+1,B403),0)</f>
        <v>11</v>
      </c>
      <c r="E403" s="3" t="n">
        <f aca="false">SUMIFS('Futures Data'!$E$5:$E$3471,'Futures Data'!$A$5:$A$3471,A403,'Futures Data'!$B$5:$B$3471,C403)</f>
        <v>21465</v>
      </c>
      <c r="F403" s="11" t="n">
        <f aca="false">_xlfn.MINIFS('Futures Data'!$B$5:$B$3471,'Futures Data'!$A$5:$A$3471,A403,'Futures Data'!$B$5:$B$3471,"&gt;"&amp;C403)</f>
        <v>45764</v>
      </c>
      <c r="G403" s="3" t="n">
        <f aca="false">SUMIFS('Futures Data'!$E$5:$E$3471,'Futures Data'!$A$5:$A$3471,A403,'Futures Data'!$B$5:$B$3471,F403)</f>
        <v>12030</v>
      </c>
      <c r="H403" s="9" t="b">
        <f aca="false">G403&gt;E403</f>
        <v>0</v>
      </c>
      <c r="I403" s="9" t="b">
        <f aca="false">C403&lt;&gt;B403</f>
        <v>0</v>
      </c>
      <c r="J403" s="3" t="n">
        <f aca="false">SUMIFS('Futures Data'!$C$5:$C$3471,'Futures Data'!$A$5:$A$3471,A403,'Futures Data'!$B$5:$B$3471,B403)</f>
        <v>6267</v>
      </c>
      <c r="K403" s="3" t="n">
        <f aca="false">SUMIFS('Futures Data'!$C$5:$C$3471,'Futures Data'!$A$5:$A$3471,A403,'Futures Data'!$B$5:$B$3471,C403)</f>
        <v>6267</v>
      </c>
      <c r="L403" s="3" t="n">
        <f aca="false">K403-J403</f>
        <v>0</v>
      </c>
      <c r="M403" s="3" t="n">
        <f aca="false">M404+L403</f>
        <v>1293</v>
      </c>
      <c r="N403" s="3" t="n">
        <f aca="false">J403+M403</f>
        <v>7560</v>
      </c>
      <c r="O403" s="13" t="n">
        <f aca="false">LN(J403/K402)</f>
        <v>-0.000638060318345346</v>
      </c>
      <c r="P403" s="13" t="n">
        <f aca="false">LN(N403/N402)</f>
        <v>-0.000528960604769385</v>
      </c>
      <c r="Q403" s="3" t="n">
        <f aca="false">SUMIFS('Futures Data'!$D$5:$D$3471,'Futures Data'!$A$5:$A$3471,A403,'Futures Data'!$B$5:$B$3471,B403)</f>
        <v>3840</v>
      </c>
      <c r="R403" s="7" t="n">
        <v>45736</v>
      </c>
      <c r="S403" s="9" t="b">
        <f aca="false">C403=R403</f>
        <v>1</v>
      </c>
      <c r="T403" s="9" t="b">
        <f aca="false">ABS(O403-LN(J403/SUMIFS('Futures Data'!$C$5:$C$3471,'Futures Data'!$A$5:$A$3471,A402,'Futures Data'!$B$5:$B$3471,B403)))&lt;0.000000001</f>
        <v>1</v>
      </c>
    </row>
    <row r="404" customFormat="false" ht="15" hidden="false" customHeight="false" outlineLevel="0" collapsed="false">
      <c r="A404" s="7" t="n">
        <v>45721</v>
      </c>
      <c r="B404" s="11" t="n">
        <f aca="false">C403</f>
        <v>45736</v>
      </c>
      <c r="C404" s="11" t="n">
        <f aca="false">IF(OR(H403,D404&lt;=$G$4),_xlfn.MINIFS('Futures Data'!$B$5:$B$3471,'Futures Data'!$A$5:$A$3471,A404,'Futures Data'!$B$5:$B$3471,"&gt;"&amp;B404),B404)</f>
        <v>45736</v>
      </c>
      <c r="D404" s="3" t="n">
        <f aca="false">COUNTIFS($A$47:$A$790,"&gt;"&amp;A404,$A$47:$A$790,"&lt;="&amp;B404)+IF(B404&gt;$G$5,NETWORKDAYS($G$5+1,B404),0)</f>
        <v>10</v>
      </c>
      <c r="E404" s="3" t="n">
        <f aca="false">SUMIFS('Futures Data'!$E$5:$E$3471,'Futures Data'!$A$5:$A$3471,A404,'Futures Data'!$B$5:$B$3471,C404)</f>
        <v>21770</v>
      </c>
      <c r="F404" s="11" t="n">
        <f aca="false">_xlfn.MINIFS('Futures Data'!$B$5:$B$3471,'Futures Data'!$A$5:$A$3471,A404,'Futures Data'!$B$5:$B$3471,"&gt;"&amp;C404)</f>
        <v>45764</v>
      </c>
      <c r="G404" s="3" t="n">
        <f aca="false">SUMIFS('Futures Data'!$E$5:$E$3471,'Futures Data'!$A$5:$A$3471,A404,'Futures Data'!$B$5:$B$3471,F404)</f>
        <v>12640</v>
      </c>
      <c r="H404" s="9" t="b">
        <f aca="false">G404&gt;E404</f>
        <v>0</v>
      </c>
      <c r="I404" s="9" t="b">
        <f aca="false">C404&lt;&gt;B404</f>
        <v>0</v>
      </c>
      <c r="J404" s="3" t="n">
        <f aca="false">SUMIFS('Futures Data'!$C$5:$C$3471,'Futures Data'!$A$5:$A$3471,A404,'Futures Data'!$B$5:$B$3471,B404)</f>
        <v>6288</v>
      </c>
      <c r="K404" s="3" t="n">
        <f aca="false">SUMIFS('Futures Data'!$C$5:$C$3471,'Futures Data'!$A$5:$A$3471,A404,'Futures Data'!$B$5:$B$3471,C404)</f>
        <v>6288</v>
      </c>
      <c r="L404" s="3" t="n">
        <f aca="false">K404-J404</f>
        <v>0</v>
      </c>
      <c r="M404" s="3" t="n">
        <f aca="false">M405+L404</f>
        <v>1293</v>
      </c>
      <c r="N404" s="3" t="n">
        <f aca="false">J404+M404</f>
        <v>7581</v>
      </c>
      <c r="O404" s="13" t="n">
        <f aca="false">LN(J404/K403)</f>
        <v>0.00334528388436694</v>
      </c>
      <c r="P404" s="13" t="n">
        <f aca="false">LN(N404/N403)</f>
        <v>0.00277392688272522</v>
      </c>
      <c r="Q404" s="3" t="n">
        <f aca="false">SUMIFS('Futures Data'!$D$5:$D$3471,'Futures Data'!$A$5:$A$3471,A404,'Futures Data'!$B$5:$B$3471,B404)</f>
        <v>1930</v>
      </c>
      <c r="R404" s="7" t="n">
        <v>45736</v>
      </c>
      <c r="S404" s="9" t="b">
        <f aca="false">C404=R404</f>
        <v>1</v>
      </c>
      <c r="T404" s="9" t="b">
        <f aca="false">ABS(O404-LN(J404/SUMIFS('Futures Data'!$C$5:$C$3471,'Futures Data'!$A$5:$A$3471,A403,'Futures Data'!$B$5:$B$3471,B404)))&lt;0.000000001</f>
        <v>1</v>
      </c>
    </row>
    <row r="405" customFormat="false" ht="15" hidden="false" customHeight="false" outlineLevel="0" collapsed="false">
      <c r="A405" s="7" t="n">
        <v>45722</v>
      </c>
      <c r="B405" s="11" t="n">
        <f aca="false">C404</f>
        <v>45736</v>
      </c>
      <c r="C405" s="11" t="n">
        <f aca="false">IF(OR(H404,D405&lt;=$G$4),_xlfn.MINIFS('Futures Data'!$B$5:$B$3471,'Futures Data'!$A$5:$A$3471,A405,'Futures Data'!$B$5:$B$3471,"&gt;"&amp;B405),B405)</f>
        <v>45736</v>
      </c>
      <c r="D405" s="3" t="n">
        <f aca="false">COUNTIFS($A$47:$A$790,"&gt;"&amp;A405,$A$47:$A$790,"&lt;="&amp;B405)+IF(B405&gt;$G$5,NETWORKDAYS($G$5+1,B405),0)</f>
        <v>9</v>
      </c>
      <c r="E405" s="3" t="n">
        <f aca="false">SUMIFS('Futures Data'!$E$5:$E$3471,'Futures Data'!$A$5:$A$3471,A405,'Futures Data'!$B$5:$B$3471,C405)</f>
        <v>21510</v>
      </c>
      <c r="F405" s="11" t="n">
        <f aca="false">_xlfn.MINIFS('Futures Data'!$B$5:$B$3471,'Futures Data'!$A$5:$A$3471,A405,'Futures Data'!$B$5:$B$3471,"&gt;"&amp;C405)</f>
        <v>45764</v>
      </c>
      <c r="G405" s="3" t="n">
        <f aca="false">SUMIFS('Futures Data'!$E$5:$E$3471,'Futures Data'!$A$5:$A$3471,A405,'Futures Data'!$B$5:$B$3471,F405)</f>
        <v>12740</v>
      </c>
      <c r="H405" s="9" t="b">
        <f aca="false">G405&gt;E405</f>
        <v>0</v>
      </c>
      <c r="I405" s="9" t="b">
        <f aca="false">C405&lt;&gt;B405</f>
        <v>0</v>
      </c>
      <c r="J405" s="3" t="n">
        <f aca="false">SUMIFS('Futures Data'!$C$5:$C$3471,'Futures Data'!$A$5:$A$3471,A405,'Futures Data'!$B$5:$B$3471,B405)</f>
        <v>6319</v>
      </c>
      <c r="K405" s="3" t="n">
        <f aca="false">SUMIFS('Futures Data'!$C$5:$C$3471,'Futures Data'!$A$5:$A$3471,A405,'Futures Data'!$B$5:$B$3471,C405)</f>
        <v>6319</v>
      </c>
      <c r="L405" s="3" t="n">
        <f aca="false">K405-J405</f>
        <v>0</v>
      </c>
      <c r="M405" s="3" t="n">
        <f aca="false">M406+L405</f>
        <v>1293</v>
      </c>
      <c r="N405" s="3" t="n">
        <f aca="false">J405+M405</f>
        <v>7612</v>
      </c>
      <c r="O405" s="13" t="n">
        <f aca="false">LN(J405/K404)</f>
        <v>0.00491791266441281</v>
      </c>
      <c r="P405" s="13" t="n">
        <f aca="false">LN(N405/N404)</f>
        <v>0.00408083235973609</v>
      </c>
      <c r="Q405" s="3" t="n">
        <f aca="false">SUMIFS('Futures Data'!$D$5:$D$3471,'Futures Data'!$A$5:$A$3471,A405,'Futures Data'!$B$5:$B$3471,B405)</f>
        <v>1840</v>
      </c>
      <c r="R405" s="7" t="n">
        <v>45736</v>
      </c>
      <c r="S405" s="9" t="b">
        <f aca="false">C405=R405</f>
        <v>1</v>
      </c>
      <c r="T405" s="9" t="b">
        <f aca="false">ABS(O405-LN(J405/SUMIFS('Futures Data'!$C$5:$C$3471,'Futures Data'!$A$5:$A$3471,A404,'Futures Data'!$B$5:$B$3471,B405)))&lt;0.000000001</f>
        <v>1</v>
      </c>
    </row>
    <row r="406" customFormat="false" ht="15" hidden="false" customHeight="false" outlineLevel="0" collapsed="false">
      <c r="A406" s="7" t="n">
        <v>45723</v>
      </c>
      <c r="B406" s="11" t="n">
        <f aca="false">C405</f>
        <v>45736</v>
      </c>
      <c r="C406" s="11" t="n">
        <f aca="false">IF(OR(H405,D406&lt;=$G$4),_xlfn.MINIFS('Futures Data'!$B$5:$B$3471,'Futures Data'!$A$5:$A$3471,A406,'Futures Data'!$B$5:$B$3471,"&gt;"&amp;B406),B406)</f>
        <v>45736</v>
      </c>
      <c r="D406" s="3" t="n">
        <f aca="false">COUNTIFS($A$47:$A$790,"&gt;"&amp;A406,$A$47:$A$790,"&lt;="&amp;B406)+IF(B406&gt;$G$5,NETWORKDAYS($G$5+1,B406),0)</f>
        <v>8</v>
      </c>
      <c r="E406" s="3" t="n">
        <f aca="false">SUMIFS('Futures Data'!$E$5:$E$3471,'Futures Data'!$A$5:$A$3471,A406,'Futures Data'!$B$5:$B$3471,C406)</f>
        <v>20990</v>
      </c>
      <c r="F406" s="11" t="n">
        <f aca="false">_xlfn.MINIFS('Futures Data'!$B$5:$B$3471,'Futures Data'!$A$5:$A$3471,A406,'Futures Data'!$B$5:$B$3471,"&gt;"&amp;C406)</f>
        <v>45764</v>
      </c>
      <c r="G406" s="3" t="n">
        <f aca="false">SUMIFS('Futures Data'!$E$5:$E$3471,'Futures Data'!$A$5:$A$3471,A406,'Futures Data'!$B$5:$B$3471,F406)</f>
        <v>13030</v>
      </c>
      <c r="H406" s="9" t="b">
        <f aca="false">G406&gt;E406</f>
        <v>0</v>
      </c>
      <c r="I406" s="9" t="b">
        <f aca="false">C406&lt;&gt;B406</f>
        <v>0</v>
      </c>
      <c r="J406" s="3" t="n">
        <f aca="false">SUMIFS('Futures Data'!$C$5:$C$3471,'Futures Data'!$A$5:$A$3471,A406,'Futures Data'!$B$5:$B$3471,B406)</f>
        <v>6346</v>
      </c>
      <c r="K406" s="3" t="n">
        <f aca="false">SUMIFS('Futures Data'!$C$5:$C$3471,'Futures Data'!$A$5:$A$3471,A406,'Futures Data'!$B$5:$B$3471,C406)</f>
        <v>6346</v>
      </c>
      <c r="L406" s="3" t="n">
        <f aca="false">K406-J406</f>
        <v>0</v>
      </c>
      <c r="M406" s="3" t="n">
        <f aca="false">M407+L406</f>
        <v>1293</v>
      </c>
      <c r="N406" s="3" t="n">
        <f aca="false">J406+M406</f>
        <v>7639</v>
      </c>
      <c r="O406" s="13" t="n">
        <f aca="false">LN(J406/K405)</f>
        <v>0.00426372536968566</v>
      </c>
      <c r="P406" s="13" t="n">
        <f aca="false">LN(N406/N405)</f>
        <v>0.00354075512531967</v>
      </c>
      <c r="Q406" s="3" t="n">
        <f aca="false">SUMIFS('Futures Data'!$D$5:$D$3471,'Futures Data'!$A$5:$A$3471,A406,'Futures Data'!$B$5:$B$3471,B406)</f>
        <v>1970</v>
      </c>
      <c r="R406" s="7" t="n">
        <v>45736</v>
      </c>
      <c r="S406" s="9" t="b">
        <f aca="false">C406=R406</f>
        <v>1</v>
      </c>
      <c r="T406" s="9" t="b">
        <f aca="false">ABS(O406-LN(J406/SUMIFS('Futures Data'!$C$5:$C$3471,'Futures Data'!$A$5:$A$3471,A405,'Futures Data'!$B$5:$B$3471,B406)))&lt;0.000000001</f>
        <v>1</v>
      </c>
    </row>
    <row r="407" customFormat="false" ht="15" hidden="false" customHeight="false" outlineLevel="0" collapsed="false">
      <c r="A407" s="7" t="n">
        <v>45726</v>
      </c>
      <c r="B407" s="11" t="n">
        <f aca="false">C406</f>
        <v>45736</v>
      </c>
      <c r="C407" s="11" t="n">
        <f aca="false">IF(OR(H406,D407&lt;=$G$4),_xlfn.MINIFS('Futures Data'!$B$5:$B$3471,'Futures Data'!$A$5:$A$3471,A407,'Futures Data'!$B$5:$B$3471,"&gt;"&amp;B407),B407)</f>
        <v>45764</v>
      </c>
      <c r="D407" s="3" t="n">
        <f aca="false">COUNTIFS($A$47:$A$790,"&gt;"&amp;A407,$A$47:$A$790,"&lt;="&amp;B407)+IF(B407&gt;$G$5,NETWORKDAYS($G$5+1,B407),0)</f>
        <v>7</v>
      </c>
      <c r="E407" s="3" t="n">
        <f aca="false">SUMIFS('Futures Data'!$E$5:$E$3471,'Futures Data'!$A$5:$A$3471,A407,'Futures Data'!$B$5:$B$3471,C407)</f>
        <v>13095</v>
      </c>
      <c r="F407" s="11" t="n">
        <f aca="false">_xlfn.MINIFS('Futures Data'!$B$5:$B$3471,'Futures Data'!$A$5:$A$3471,A407,'Futures Data'!$B$5:$B$3471,"&gt;"&amp;C407)</f>
        <v>45797</v>
      </c>
      <c r="G407" s="3" t="n">
        <f aca="false">SUMIFS('Futures Data'!$E$5:$E$3471,'Futures Data'!$A$5:$A$3471,A407,'Futures Data'!$B$5:$B$3471,F407)</f>
        <v>2600</v>
      </c>
      <c r="H407" s="9" t="b">
        <f aca="false">G407&gt;E407</f>
        <v>0</v>
      </c>
      <c r="I407" s="9" t="b">
        <f aca="false">C407&lt;&gt;B407</f>
        <v>1</v>
      </c>
      <c r="J407" s="3" t="n">
        <f aca="false">SUMIFS('Futures Data'!$C$5:$C$3471,'Futures Data'!$A$5:$A$3471,A407,'Futures Data'!$B$5:$B$3471,B407)</f>
        <v>6256</v>
      </c>
      <c r="K407" s="3" t="n">
        <f aca="false">SUMIFS('Futures Data'!$C$5:$C$3471,'Futures Data'!$A$5:$A$3471,A407,'Futures Data'!$B$5:$B$3471,C407)</f>
        <v>6264</v>
      </c>
      <c r="L407" s="3" t="n">
        <f aca="false">K407-J407</f>
        <v>8</v>
      </c>
      <c r="M407" s="3" t="n">
        <f aca="false">M408+L407</f>
        <v>1293</v>
      </c>
      <c r="N407" s="3" t="n">
        <f aca="false">J407+M407</f>
        <v>7549</v>
      </c>
      <c r="O407" s="13" t="n">
        <f aca="false">LN(J407/K406)</f>
        <v>-0.0142836899179939</v>
      </c>
      <c r="P407" s="13" t="n">
        <f aca="false">LN(N407/N406)</f>
        <v>-0.0118516004017349</v>
      </c>
      <c r="Q407" s="3" t="n">
        <f aca="false">SUMIFS('Futures Data'!$D$5:$D$3471,'Futures Data'!$A$5:$A$3471,A407,'Futures Data'!$B$5:$B$3471,B407)</f>
        <v>2985</v>
      </c>
      <c r="R407" s="7" t="n">
        <v>45764</v>
      </c>
      <c r="S407" s="9" t="b">
        <f aca="false">C407=R407</f>
        <v>1</v>
      </c>
      <c r="T407" s="9" t="b">
        <f aca="false">ABS(O407-LN(J407/SUMIFS('Futures Data'!$C$5:$C$3471,'Futures Data'!$A$5:$A$3471,A406,'Futures Data'!$B$5:$B$3471,B407)))&lt;0.000000001</f>
        <v>1</v>
      </c>
    </row>
    <row r="408" customFormat="false" ht="15" hidden="false" customHeight="false" outlineLevel="0" collapsed="false">
      <c r="A408" s="7" t="n">
        <v>45727</v>
      </c>
      <c r="B408" s="11" t="n">
        <f aca="false">C407</f>
        <v>45764</v>
      </c>
      <c r="C408" s="11" t="n">
        <f aca="false">IF(OR(H407,D408&lt;=$G$4),_xlfn.MINIFS('Futures Data'!$B$5:$B$3471,'Futures Data'!$A$5:$A$3471,A408,'Futures Data'!$B$5:$B$3471,"&gt;"&amp;B408),B408)</f>
        <v>45764</v>
      </c>
      <c r="D408" s="3" t="n">
        <f aca="false">COUNTIFS($A$47:$A$790,"&gt;"&amp;A408,$A$47:$A$790,"&lt;="&amp;B408)+IF(B408&gt;$G$5,NETWORKDAYS($G$5+1,B408),0)</f>
        <v>23</v>
      </c>
      <c r="E408" s="3" t="n">
        <f aca="false">SUMIFS('Futures Data'!$E$5:$E$3471,'Futures Data'!$A$5:$A$3471,A408,'Futures Data'!$B$5:$B$3471,C408)</f>
        <v>13675</v>
      </c>
      <c r="F408" s="11" t="n">
        <f aca="false">_xlfn.MINIFS('Futures Data'!$B$5:$B$3471,'Futures Data'!$A$5:$A$3471,A408,'Futures Data'!$B$5:$B$3471,"&gt;"&amp;C408)</f>
        <v>45797</v>
      </c>
      <c r="G408" s="3" t="n">
        <f aca="false">SUMIFS('Futures Data'!$E$5:$E$3471,'Futures Data'!$A$5:$A$3471,A408,'Futures Data'!$B$5:$B$3471,F408)</f>
        <v>2855</v>
      </c>
      <c r="H408" s="9" t="b">
        <f aca="false">G408&gt;E408</f>
        <v>0</v>
      </c>
      <c r="I408" s="9" t="b">
        <f aca="false">C408&lt;&gt;B408</f>
        <v>0</v>
      </c>
      <c r="J408" s="3" t="n">
        <f aca="false">SUMIFS('Futures Data'!$C$5:$C$3471,'Futures Data'!$A$5:$A$3471,A408,'Futures Data'!$B$5:$B$3471,B408)</f>
        <v>6286</v>
      </c>
      <c r="K408" s="3" t="n">
        <f aca="false">SUMIFS('Futures Data'!$C$5:$C$3471,'Futures Data'!$A$5:$A$3471,A408,'Futures Data'!$B$5:$B$3471,C408)</f>
        <v>6286</v>
      </c>
      <c r="L408" s="3" t="n">
        <f aca="false">K408-J408</f>
        <v>0</v>
      </c>
      <c r="M408" s="3" t="n">
        <f aca="false">M409+L408</f>
        <v>1285</v>
      </c>
      <c r="N408" s="3" t="n">
        <f aca="false">J408+M408</f>
        <v>7571</v>
      </c>
      <c r="O408" s="13" t="n">
        <f aca="false">LN(J408/K407)</f>
        <v>0.00350597968687387</v>
      </c>
      <c r="P408" s="13" t="n">
        <f aca="false">LN(N408/N407)</f>
        <v>0.00291005496368172</v>
      </c>
      <c r="Q408" s="3" t="n">
        <f aca="false">SUMIFS('Futures Data'!$D$5:$D$3471,'Futures Data'!$A$5:$A$3471,A408,'Futures Data'!$B$5:$B$3471,B408)</f>
        <v>2965</v>
      </c>
      <c r="R408" s="7" t="n">
        <v>45764</v>
      </c>
      <c r="S408" s="9" t="b">
        <f aca="false">C408=R408</f>
        <v>1</v>
      </c>
      <c r="T408" s="9" t="b">
        <f aca="false">ABS(O408-LN(J408/SUMIFS('Futures Data'!$C$5:$C$3471,'Futures Data'!$A$5:$A$3471,A407,'Futures Data'!$B$5:$B$3471,B408)))&lt;0.000000001</f>
        <v>1</v>
      </c>
    </row>
    <row r="409" customFormat="false" ht="15" hidden="false" customHeight="false" outlineLevel="0" collapsed="false">
      <c r="A409" s="7" t="n">
        <v>45728</v>
      </c>
      <c r="B409" s="11" t="n">
        <f aca="false">C408</f>
        <v>45764</v>
      </c>
      <c r="C409" s="11" t="n">
        <f aca="false">IF(OR(H408,D409&lt;=$G$4),_xlfn.MINIFS('Futures Data'!$B$5:$B$3471,'Futures Data'!$A$5:$A$3471,A409,'Futures Data'!$B$5:$B$3471,"&gt;"&amp;B409),B409)</f>
        <v>45764</v>
      </c>
      <c r="D409" s="3" t="n">
        <f aca="false">COUNTIFS($A$47:$A$790,"&gt;"&amp;A409,$A$47:$A$790,"&lt;="&amp;B409)+IF(B409&gt;$G$5,NETWORKDAYS($G$5+1,B409),0)</f>
        <v>22</v>
      </c>
      <c r="E409" s="3" t="n">
        <f aca="false">SUMIFS('Futures Data'!$E$5:$E$3471,'Futures Data'!$A$5:$A$3471,A409,'Futures Data'!$B$5:$B$3471,C409)</f>
        <v>14005</v>
      </c>
      <c r="F409" s="11" t="n">
        <f aca="false">_xlfn.MINIFS('Futures Data'!$B$5:$B$3471,'Futures Data'!$A$5:$A$3471,A409,'Futures Data'!$B$5:$B$3471,"&gt;"&amp;C409)</f>
        <v>45797</v>
      </c>
      <c r="G409" s="3" t="n">
        <f aca="false">SUMIFS('Futures Data'!$E$5:$E$3471,'Futures Data'!$A$5:$A$3471,A409,'Futures Data'!$B$5:$B$3471,F409)</f>
        <v>2905</v>
      </c>
      <c r="H409" s="9" t="b">
        <f aca="false">G409&gt;E409</f>
        <v>0</v>
      </c>
      <c r="I409" s="9" t="b">
        <f aca="false">C409&lt;&gt;B409</f>
        <v>0</v>
      </c>
      <c r="J409" s="3" t="n">
        <f aca="false">SUMIFS('Futures Data'!$C$5:$C$3471,'Futures Data'!$A$5:$A$3471,A409,'Futures Data'!$B$5:$B$3471,B409)</f>
        <v>6281</v>
      </c>
      <c r="K409" s="3" t="n">
        <f aca="false">SUMIFS('Futures Data'!$C$5:$C$3471,'Futures Data'!$A$5:$A$3471,A409,'Futures Data'!$B$5:$B$3471,C409)</f>
        <v>6281</v>
      </c>
      <c r="L409" s="3" t="n">
        <f aca="false">K409-J409</f>
        <v>0</v>
      </c>
      <c r="M409" s="3" t="n">
        <f aca="false">M410+L409</f>
        <v>1285</v>
      </c>
      <c r="N409" s="3" t="n">
        <f aca="false">J409+M409</f>
        <v>7566</v>
      </c>
      <c r="O409" s="13" t="n">
        <f aca="false">LN(J409/K408)</f>
        <v>-0.000795734903132101</v>
      </c>
      <c r="P409" s="13" t="n">
        <f aca="false">LN(N409/N408)</f>
        <v>-0.000660632910332034</v>
      </c>
      <c r="Q409" s="3" t="n">
        <f aca="false">SUMIFS('Futures Data'!$D$5:$D$3471,'Futures Data'!$A$5:$A$3471,A409,'Futures Data'!$B$5:$B$3471,B409)</f>
        <v>1845</v>
      </c>
      <c r="R409" s="7" t="n">
        <v>45764</v>
      </c>
      <c r="S409" s="9" t="b">
        <f aca="false">C409=R409</f>
        <v>1</v>
      </c>
      <c r="T409" s="9" t="b">
        <f aca="false">ABS(O409-LN(J409/SUMIFS('Futures Data'!$C$5:$C$3471,'Futures Data'!$A$5:$A$3471,A408,'Futures Data'!$B$5:$B$3471,B409)))&lt;0.000000001</f>
        <v>1</v>
      </c>
    </row>
    <row r="410" customFormat="false" ht="15" hidden="false" customHeight="false" outlineLevel="0" collapsed="false">
      <c r="A410" s="7" t="n">
        <v>45729</v>
      </c>
      <c r="B410" s="11" t="n">
        <f aca="false">C409</f>
        <v>45764</v>
      </c>
      <c r="C410" s="11" t="n">
        <f aca="false">IF(OR(H409,D410&lt;=$G$4),_xlfn.MINIFS('Futures Data'!$B$5:$B$3471,'Futures Data'!$A$5:$A$3471,A410,'Futures Data'!$B$5:$B$3471,"&gt;"&amp;B410),B410)</f>
        <v>45764</v>
      </c>
      <c r="D410" s="3" t="n">
        <f aca="false">COUNTIFS($A$47:$A$790,"&gt;"&amp;A410,$A$47:$A$790,"&lt;="&amp;B410)+IF(B410&gt;$G$5,NETWORKDAYS($G$5+1,B410),0)</f>
        <v>21</v>
      </c>
      <c r="E410" s="3" t="n">
        <f aca="false">SUMIFS('Futures Data'!$E$5:$E$3471,'Futures Data'!$A$5:$A$3471,A410,'Futures Data'!$B$5:$B$3471,C410)</f>
        <v>19075</v>
      </c>
      <c r="F410" s="11" t="n">
        <f aca="false">_xlfn.MINIFS('Futures Data'!$B$5:$B$3471,'Futures Data'!$A$5:$A$3471,A410,'Futures Data'!$B$5:$B$3471,"&gt;"&amp;C410)</f>
        <v>45797</v>
      </c>
      <c r="G410" s="3" t="n">
        <f aca="false">SUMIFS('Futures Data'!$E$5:$E$3471,'Futures Data'!$A$5:$A$3471,A410,'Futures Data'!$B$5:$B$3471,F410)</f>
        <v>3325</v>
      </c>
      <c r="H410" s="9" t="b">
        <f aca="false">G410&gt;E410</f>
        <v>0</v>
      </c>
      <c r="I410" s="9" t="b">
        <f aca="false">C410&lt;&gt;B410</f>
        <v>0</v>
      </c>
      <c r="J410" s="3" t="n">
        <f aca="false">SUMIFS('Futures Data'!$C$5:$C$3471,'Futures Data'!$A$5:$A$3471,A410,'Futures Data'!$B$5:$B$3471,B410)</f>
        <v>6209</v>
      </c>
      <c r="K410" s="3" t="n">
        <f aca="false">SUMIFS('Futures Data'!$C$5:$C$3471,'Futures Data'!$A$5:$A$3471,A410,'Futures Data'!$B$5:$B$3471,C410)</f>
        <v>6209</v>
      </c>
      <c r="L410" s="3" t="n">
        <f aca="false">K410-J410</f>
        <v>0</v>
      </c>
      <c r="M410" s="3" t="n">
        <f aca="false">M411+L410</f>
        <v>1285</v>
      </c>
      <c r="N410" s="3" t="n">
        <f aca="false">J410+M410</f>
        <v>7494</v>
      </c>
      <c r="O410" s="13" t="n">
        <f aca="false">LN(J410/K409)</f>
        <v>-0.0115293510894879</v>
      </c>
      <c r="P410" s="13" t="n">
        <f aca="false">LN(N410/N409)</f>
        <v>-0.00956182583934185</v>
      </c>
      <c r="Q410" s="3" t="n">
        <f aca="false">SUMIFS('Futures Data'!$D$5:$D$3471,'Futures Data'!$A$5:$A$3471,A410,'Futures Data'!$B$5:$B$3471,B410)</f>
        <v>14980</v>
      </c>
      <c r="R410" s="7" t="n">
        <v>45764</v>
      </c>
      <c r="S410" s="9" t="b">
        <f aca="false">C410=R410</f>
        <v>1</v>
      </c>
      <c r="T410" s="9" t="b">
        <f aca="false">ABS(O410-LN(J410/SUMIFS('Futures Data'!$C$5:$C$3471,'Futures Data'!$A$5:$A$3471,A409,'Futures Data'!$B$5:$B$3471,B410)))&lt;0.000000001</f>
        <v>1</v>
      </c>
    </row>
    <row r="411" customFormat="false" ht="15" hidden="false" customHeight="false" outlineLevel="0" collapsed="false">
      <c r="A411" s="7" t="n">
        <v>45733</v>
      </c>
      <c r="B411" s="11" t="n">
        <f aca="false">C410</f>
        <v>45764</v>
      </c>
      <c r="C411" s="11" t="n">
        <f aca="false">IF(OR(H410,D411&lt;=$G$4),_xlfn.MINIFS('Futures Data'!$B$5:$B$3471,'Futures Data'!$A$5:$A$3471,A411,'Futures Data'!$B$5:$B$3471,"&gt;"&amp;B411),B411)</f>
        <v>45764</v>
      </c>
      <c r="D411" s="3" t="n">
        <f aca="false">COUNTIFS($A$47:$A$790,"&gt;"&amp;A411,$A$47:$A$790,"&lt;="&amp;B411)+IF(B411&gt;$G$5,NETWORKDAYS($G$5+1,B411),0)</f>
        <v>20</v>
      </c>
      <c r="E411" s="3" t="n">
        <f aca="false">SUMIFS('Futures Data'!$E$5:$E$3471,'Futures Data'!$A$5:$A$3471,A411,'Futures Data'!$B$5:$B$3471,C411)</f>
        <v>20735</v>
      </c>
      <c r="F411" s="11" t="n">
        <f aca="false">_xlfn.MINIFS('Futures Data'!$B$5:$B$3471,'Futures Data'!$A$5:$A$3471,A411,'Futures Data'!$B$5:$B$3471,"&gt;"&amp;C411)</f>
        <v>45797</v>
      </c>
      <c r="G411" s="3" t="n">
        <f aca="false">SUMIFS('Futures Data'!$E$5:$E$3471,'Futures Data'!$A$5:$A$3471,A411,'Futures Data'!$B$5:$B$3471,F411)</f>
        <v>3665</v>
      </c>
      <c r="H411" s="9" t="b">
        <f aca="false">G411&gt;E411</f>
        <v>0</v>
      </c>
      <c r="I411" s="9" t="b">
        <f aca="false">C411&lt;&gt;B411</f>
        <v>0</v>
      </c>
      <c r="J411" s="3" t="n">
        <f aca="false">SUMIFS('Futures Data'!$C$5:$C$3471,'Futures Data'!$A$5:$A$3471,A411,'Futures Data'!$B$5:$B$3471,B411)</f>
        <v>6224</v>
      </c>
      <c r="K411" s="3" t="n">
        <f aca="false">SUMIFS('Futures Data'!$C$5:$C$3471,'Futures Data'!$A$5:$A$3471,A411,'Futures Data'!$B$5:$B$3471,C411)</f>
        <v>6224</v>
      </c>
      <c r="L411" s="3" t="n">
        <f aca="false">K411-J411</f>
        <v>0</v>
      </c>
      <c r="M411" s="3" t="n">
        <f aca="false">M412+L411</f>
        <v>1285</v>
      </c>
      <c r="N411" s="3" t="n">
        <f aca="false">J411+M411</f>
        <v>7509</v>
      </c>
      <c r="O411" s="13" t="n">
        <f aca="false">LN(J411/K410)</f>
        <v>0.00241293449333468</v>
      </c>
      <c r="P411" s="13" t="n">
        <f aca="false">LN(N411/N410)</f>
        <v>0.0019996007462513</v>
      </c>
      <c r="Q411" s="3" t="n">
        <f aca="false">SUMIFS('Futures Data'!$D$5:$D$3471,'Futures Data'!$A$5:$A$3471,A411,'Futures Data'!$B$5:$B$3471,B411)</f>
        <v>6885</v>
      </c>
      <c r="R411" s="7" t="n">
        <v>45764</v>
      </c>
      <c r="S411" s="9" t="b">
        <f aca="false">C411=R411</f>
        <v>1</v>
      </c>
      <c r="T411" s="9" t="b">
        <f aca="false">ABS(O411-LN(J411/SUMIFS('Futures Data'!$C$5:$C$3471,'Futures Data'!$A$5:$A$3471,A410,'Futures Data'!$B$5:$B$3471,B411)))&lt;0.000000001</f>
        <v>1</v>
      </c>
    </row>
    <row r="412" customFormat="false" ht="15" hidden="false" customHeight="false" outlineLevel="0" collapsed="false">
      <c r="A412" s="7" t="n">
        <v>45734</v>
      </c>
      <c r="B412" s="11" t="n">
        <f aca="false">C411</f>
        <v>45764</v>
      </c>
      <c r="C412" s="11" t="n">
        <f aca="false">IF(OR(H411,D412&lt;=$G$4),_xlfn.MINIFS('Futures Data'!$B$5:$B$3471,'Futures Data'!$A$5:$A$3471,A412,'Futures Data'!$B$5:$B$3471,"&gt;"&amp;B412),B412)</f>
        <v>45764</v>
      </c>
      <c r="D412" s="3" t="n">
        <f aca="false">COUNTIFS($A$47:$A$790,"&gt;"&amp;A412,$A$47:$A$790,"&lt;="&amp;B412)+IF(B412&gt;$G$5,NETWORKDAYS($G$5+1,B412),0)</f>
        <v>19</v>
      </c>
      <c r="E412" s="3" t="n">
        <f aca="false">SUMIFS('Futures Data'!$E$5:$E$3471,'Futures Data'!$A$5:$A$3471,A412,'Futures Data'!$B$5:$B$3471,C412)</f>
        <v>23075</v>
      </c>
      <c r="F412" s="11" t="n">
        <f aca="false">_xlfn.MINIFS('Futures Data'!$B$5:$B$3471,'Futures Data'!$A$5:$A$3471,A412,'Futures Data'!$B$5:$B$3471,"&gt;"&amp;C412)</f>
        <v>45797</v>
      </c>
      <c r="G412" s="3" t="n">
        <f aca="false">SUMIFS('Futures Data'!$E$5:$E$3471,'Futures Data'!$A$5:$A$3471,A412,'Futures Data'!$B$5:$B$3471,F412)</f>
        <v>4165</v>
      </c>
      <c r="H412" s="9" t="b">
        <f aca="false">G412&gt;E412</f>
        <v>0</v>
      </c>
      <c r="I412" s="9" t="b">
        <f aca="false">C412&lt;&gt;B412</f>
        <v>0</v>
      </c>
      <c r="J412" s="3" t="n">
        <f aca="false">SUMIFS('Futures Data'!$C$5:$C$3471,'Futures Data'!$A$5:$A$3471,A412,'Futures Data'!$B$5:$B$3471,B412)</f>
        <v>6245</v>
      </c>
      <c r="K412" s="3" t="n">
        <f aca="false">SUMIFS('Futures Data'!$C$5:$C$3471,'Futures Data'!$A$5:$A$3471,A412,'Futures Data'!$B$5:$B$3471,C412)</f>
        <v>6245</v>
      </c>
      <c r="L412" s="3" t="n">
        <f aca="false">K412-J412</f>
        <v>0</v>
      </c>
      <c r="M412" s="3" t="n">
        <f aca="false">M413+L412</f>
        <v>1285</v>
      </c>
      <c r="N412" s="3" t="n">
        <f aca="false">J412+M412</f>
        <v>7530</v>
      </c>
      <c r="O412" s="13" t="n">
        <f aca="false">LN(J412/K411)</f>
        <v>0.00336835670145049</v>
      </c>
      <c r="P412" s="13" t="n">
        <f aca="false">LN(N412/N411)</f>
        <v>0.00279274069405535</v>
      </c>
      <c r="Q412" s="3" t="n">
        <f aca="false">SUMIFS('Futures Data'!$D$5:$D$3471,'Futures Data'!$A$5:$A$3471,A412,'Futures Data'!$B$5:$B$3471,B412)</f>
        <v>5655</v>
      </c>
      <c r="R412" s="7" t="n">
        <v>45764</v>
      </c>
      <c r="S412" s="9" t="b">
        <f aca="false">C412=R412</f>
        <v>1</v>
      </c>
      <c r="T412" s="9" t="b">
        <f aca="false">ABS(O412-LN(J412/SUMIFS('Futures Data'!$C$5:$C$3471,'Futures Data'!$A$5:$A$3471,A411,'Futures Data'!$B$5:$B$3471,B412)))&lt;0.000000001</f>
        <v>1</v>
      </c>
    </row>
    <row r="413" customFormat="false" ht="15" hidden="false" customHeight="false" outlineLevel="0" collapsed="false">
      <c r="A413" s="7" t="n">
        <v>45735</v>
      </c>
      <c r="B413" s="11" t="n">
        <f aca="false">C412</f>
        <v>45764</v>
      </c>
      <c r="C413" s="11" t="n">
        <f aca="false">IF(OR(H412,D413&lt;=$G$4),_xlfn.MINIFS('Futures Data'!$B$5:$B$3471,'Futures Data'!$A$5:$A$3471,A413,'Futures Data'!$B$5:$B$3471,"&gt;"&amp;B413),B413)</f>
        <v>45764</v>
      </c>
      <c r="D413" s="3" t="n">
        <f aca="false">COUNTIFS($A$47:$A$790,"&gt;"&amp;A413,$A$47:$A$790,"&lt;="&amp;B413)+IF(B413&gt;$G$5,NETWORKDAYS($G$5+1,B413),0)</f>
        <v>18</v>
      </c>
      <c r="E413" s="3" t="n">
        <f aca="false">SUMIFS('Futures Data'!$E$5:$E$3471,'Futures Data'!$A$5:$A$3471,A413,'Futures Data'!$B$5:$B$3471,C413)</f>
        <v>22205</v>
      </c>
      <c r="F413" s="11" t="n">
        <f aca="false">_xlfn.MINIFS('Futures Data'!$B$5:$B$3471,'Futures Data'!$A$5:$A$3471,A413,'Futures Data'!$B$5:$B$3471,"&gt;"&amp;C413)</f>
        <v>45797</v>
      </c>
      <c r="G413" s="3" t="n">
        <f aca="false">SUMIFS('Futures Data'!$E$5:$E$3471,'Futures Data'!$A$5:$A$3471,A413,'Futures Data'!$B$5:$B$3471,F413)</f>
        <v>5150</v>
      </c>
      <c r="H413" s="9" t="b">
        <f aca="false">G413&gt;E413</f>
        <v>0</v>
      </c>
      <c r="I413" s="9" t="b">
        <f aca="false">C413&lt;&gt;B413</f>
        <v>0</v>
      </c>
      <c r="J413" s="3" t="n">
        <f aca="false">SUMIFS('Futures Data'!$C$5:$C$3471,'Futures Data'!$A$5:$A$3471,A413,'Futures Data'!$B$5:$B$3471,B413)</f>
        <v>6292</v>
      </c>
      <c r="K413" s="3" t="n">
        <f aca="false">SUMIFS('Futures Data'!$C$5:$C$3471,'Futures Data'!$A$5:$A$3471,A413,'Futures Data'!$B$5:$B$3471,C413)</f>
        <v>6292</v>
      </c>
      <c r="L413" s="3" t="n">
        <f aca="false">K413-J413</f>
        <v>0</v>
      </c>
      <c r="M413" s="3" t="n">
        <f aca="false">M414+L413</f>
        <v>1285</v>
      </c>
      <c r="N413" s="3" t="n">
        <f aca="false">J413+M413</f>
        <v>7577</v>
      </c>
      <c r="O413" s="13" t="n">
        <f aca="false">LN(J413/K412)</f>
        <v>0.00749784161849028</v>
      </c>
      <c r="P413" s="13" t="n">
        <f aca="false">LN(N413/N412)</f>
        <v>0.00622230113743416</v>
      </c>
      <c r="Q413" s="3" t="n">
        <f aca="false">SUMIFS('Futures Data'!$D$5:$D$3471,'Futures Data'!$A$5:$A$3471,A413,'Futures Data'!$B$5:$B$3471,B413)</f>
        <v>3975</v>
      </c>
      <c r="R413" s="7" t="n">
        <v>45764</v>
      </c>
      <c r="S413" s="9" t="b">
        <f aca="false">C413=R413</f>
        <v>1</v>
      </c>
      <c r="T413" s="9" t="b">
        <f aca="false">ABS(O413-LN(J413/SUMIFS('Futures Data'!$C$5:$C$3471,'Futures Data'!$A$5:$A$3471,A412,'Futures Data'!$B$5:$B$3471,B413)))&lt;0.000000001</f>
        <v>1</v>
      </c>
    </row>
    <row r="414" customFormat="false" ht="15" hidden="false" customHeight="false" outlineLevel="0" collapsed="false">
      <c r="A414" s="7" t="n">
        <v>45736</v>
      </c>
      <c r="B414" s="11" t="n">
        <f aca="false">C413</f>
        <v>45764</v>
      </c>
      <c r="C414" s="11" t="n">
        <f aca="false">IF(OR(H413,D414&lt;=$G$4),_xlfn.MINIFS('Futures Data'!$B$5:$B$3471,'Futures Data'!$A$5:$A$3471,A414,'Futures Data'!$B$5:$B$3471,"&gt;"&amp;B414),B414)</f>
        <v>45764</v>
      </c>
      <c r="D414" s="3" t="n">
        <f aca="false">COUNTIFS($A$47:$A$790,"&gt;"&amp;A414,$A$47:$A$790,"&lt;="&amp;B414)+IF(B414&gt;$G$5,NETWORKDAYS($G$5+1,B414),0)</f>
        <v>17</v>
      </c>
      <c r="E414" s="3" t="n">
        <f aca="false">SUMIFS('Futures Data'!$E$5:$E$3471,'Futures Data'!$A$5:$A$3471,A414,'Futures Data'!$B$5:$B$3471,C414)</f>
        <v>21365</v>
      </c>
      <c r="F414" s="11" t="n">
        <f aca="false">_xlfn.MINIFS('Futures Data'!$B$5:$B$3471,'Futures Data'!$A$5:$A$3471,A414,'Futures Data'!$B$5:$B$3471,"&gt;"&amp;C414)</f>
        <v>45797</v>
      </c>
      <c r="G414" s="3" t="n">
        <f aca="false">SUMIFS('Futures Data'!$E$5:$E$3471,'Futures Data'!$A$5:$A$3471,A414,'Futures Data'!$B$5:$B$3471,F414)</f>
        <v>6380</v>
      </c>
      <c r="H414" s="9" t="b">
        <f aca="false">G414&gt;E414</f>
        <v>0</v>
      </c>
      <c r="I414" s="9" t="b">
        <f aca="false">C414&lt;&gt;B414</f>
        <v>0</v>
      </c>
      <c r="J414" s="3" t="n">
        <f aca="false">SUMIFS('Futures Data'!$C$5:$C$3471,'Futures Data'!$A$5:$A$3471,A414,'Futures Data'!$B$5:$B$3471,B414)</f>
        <v>6297</v>
      </c>
      <c r="K414" s="3" t="n">
        <f aca="false">SUMIFS('Futures Data'!$C$5:$C$3471,'Futures Data'!$A$5:$A$3471,A414,'Futures Data'!$B$5:$B$3471,C414)</f>
        <v>6297</v>
      </c>
      <c r="L414" s="3" t="n">
        <f aca="false">K414-J414</f>
        <v>0</v>
      </c>
      <c r="M414" s="3" t="n">
        <f aca="false">M415+L414</f>
        <v>1285</v>
      </c>
      <c r="N414" s="3" t="n">
        <f aca="false">J414+M414</f>
        <v>7582</v>
      </c>
      <c r="O414" s="13" t="n">
        <f aca="false">LN(J414/K413)</f>
        <v>0.000794344310574298</v>
      </c>
      <c r="P414" s="13" t="n">
        <f aca="false">LN(N414/N413)</f>
        <v>0.000659674144906816</v>
      </c>
      <c r="Q414" s="3" t="n">
        <f aca="false">SUMIFS('Futures Data'!$D$5:$D$3471,'Futures Data'!$A$5:$A$3471,A414,'Futures Data'!$B$5:$B$3471,B414)</f>
        <v>4815</v>
      </c>
      <c r="R414" s="7" t="n">
        <v>45764</v>
      </c>
      <c r="S414" s="9" t="b">
        <f aca="false">C414=R414</f>
        <v>1</v>
      </c>
      <c r="T414" s="9" t="b">
        <f aca="false">ABS(O414-LN(J414/SUMIFS('Futures Data'!$C$5:$C$3471,'Futures Data'!$A$5:$A$3471,A413,'Futures Data'!$B$5:$B$3471,B414)))&lt;0.000000001</f>
        <v>1</v>
      </c>
    </row>
    <row r="415" customFormat="false" ht="15" hidden="false" customHeight="false" outlineLevel="0" collapsed="false">
      <c r="A415" s="7" t="n">
        <v>45737</v>
      </c>
      <c r="B415" s="11" t="n">
        <f aca="false">C414</f>
        <v>45764</v>
      </c>
      <c r="C415" s="11" t="n">
        <f aca="false">IF(OR(H414,D415&lt;=$G$4),_xlfn.MINIFS('Futures Data'!$B$5:$B$3471,'Futures Data'!$A$5:$A$3471,A415,'Futures Data'!$B$5:$B$3471,"&gt;"&amp;B415),B415)</f>
        <v>45764</v>
      </c>
      <c r="D415" s="3" t="n">
        <f aca="false">COUNTIFS($A$47:$A$790,"&gt;"&amp;A415,$A$47:$A$790,"&lt;="&amp;B415)+IF(B415&gt;$G$5,NETWORKDAYS($G$5+1,B415),0)</f>
        <v>16</v>
      </c>
      <c r="E415" s="3" t="n">
        <f aca="false">SUMIFS('Futures Data'!$E$5:$E$3471,'Futures Data'!$A$5:$A$3471,A415,'Futures Data'!$B$5:$B$3471,C415)</f>
        <v>19775</v>
      </c>
      <c r="F415" s="11" t="n">
        <f aca="false">_xlfn.MINIFS('Futures Data'!$B$5:$B$3471,'Futures Data'!$A$5:$A$3471,A415,'Futures Data'!$B$5:$B$3471,"&gt;"&amp;C415)</f>
        <v>45797</v>
      </c>
      <c r="G415" s="3" t="n">
        <f aca="false">SUMIFS('Futures Data'!$E$5:$E$3471,'Futures Data'!$A$5:$A$3471,A415,'Futures Data'!$B$5:$B$3471,F415)</f>
        <v>8415</v>
      </c>
      <c r="H415" s="9" t="b">
        <f aca="false">G415&gt;E415</f>
        <v>0</v>
      </c>
      <c r="I415" s="9" t="b">
        <f aca="false">C415&lt;&gt;B415</f>
        <v>0</v>
      </c>
      <c r="J415" s="3" t="n">
        <f aca="false">SUMIFS('Futures Data'!$C$5:$C$3471,'Futures Data'!$A$5:$A$3471,A415,'Futures Data'!$B$5:$B$3471,B415)</f>
        <v>6307</v>
      </c>
      <c r="K415" s="3" t="n">
        <f aca="false">SUMIFS('Futures Data'!$C$5:$C$3471,'Futures Data'!$A$5:$A$3471,A415,'Futures Data'!$B$5:$B$3471,C415)</f>
        <v>6307</v>
      </c>
      <c r="L415" s="3" t="n">
        <f aca="false">K415-J415</f>
        <v>0</v>
      </c>
      <c r="M415" s="3" t="n">
        <f aca="false">M416+L415</f>
        <v>1285</v>
      </c>
      <c r="N415" s="3" t="n">
        <f aca="false">J415+M415</f>
        <v>7592</v>
      </c>
      <c r="O415" s="13" t="n">
        <f aca="false">LN(J415/K414)</f>
        <v>0.00158679817490845</v>
      </c>
      <c r="P415" s="13" t="n">
        <f aca="false">LN(N415/N414)</f>
        <v>0.0013180442134837</v>
      </c>
      <c r="Q415" s="3" t="n">
        <f aca="false">SUMIFS('Futures Data'!$D$5:$D$3471,'Futures Data'!$A$5:$A$3471,A415,'Futures Data'!$B$5:$B$3471,B415)</f>
        <v>4065</v>
      </c>
      <c r="R415" s="7" t="n">
        <v>45764</v>
      </c>
      <c r="S415" s="9" t="b">
        <f aca="false">C415=R415</f>
        <v>1</v>
      </c>
      <c r="T415" s="9" t="b">
        <f aca="false">ABS(O415-LN(J415/SUMIFS('Futures Data'!$C$5:$C$3471,'Futures Data'!$A$5:$A$3471,A414,'Futures Data'!$B$5:$B$3471,B415)))&lt;0.000000001</f>
        <v>1</v>
      </c>
    </row>
    <row r="416" customFormat="false" ht="15" hidden="false" customHeight="false" outlineLevel="0" collapsed="false">
      <c r="A416" s="7" t="n">
        <v>45740</v>
      </c>
      <c r="B416" s="11" t="n">
        <f aca="false">C415</f>
        <v>45764</v>
      </c>
      <c r="C416" s="11" t="n">
        <f aca="false">IF(OR(H415,D416&lt;=$G$4),_xlfn.MINIFS('Futures Data'!$B$5:$B$3471,'Futures Data'!$A$5:$A$3471,A416,'Futures Data'!$B$5:$B$3471,"&gt;"&amp;B416),B416)</f>
        <v>45764</v>
      </c>
      <c r="D416" s="3" t="n">
        <f aca="false">COUNTIFS($A$47:$A$790,"&gt;"&amp;A416,$A$47:$A$790,"&lt;="&amp;B416)+IF(B416&gt;$G$5,NETWORKDAYS($G$5+1,B416),0)</f>
        <v>15</v>
      </c>
      <c r="E416" s="3" t="n">
        <f aca="false">SUMIFS('Futures Data'!$E$5:$E$3471,'Futures Data'!$A$5:$A$3471,A416,'Futures Data'!$B$5:$B$3471,C416)</f>
        <v>15180</v>
      </c>
      <c r="F416" s="11" t="n">
        <f aca="false">_xlfn.MINIFS('Futures Data'!$B$5:$B$3471,'Futures Data'!$A$5:$A$3471,A416,'Futures Data'!$B$5:$B$3471,"&gt;"&amp;C416)</f>
        <v>45797</v>
      </c>
      <c r="G416" s="3" t="n">
        <f aca="false">SUMIFS('Futures Data'!$E$5:$E$3471,'Futures Data'!$A$5:$A$3471,A416,'Futures Data'!$B$5:$B$3471,F416)</f>
        <v>13575</v>
      </c>
      <c r="H416" s="9" t="b">
        <f aca="false">G416&gt;E416</f>
        <v>0</v>
      </c>
      <c r="I416" s="9" t="b">
        <f aca="false">C416&lt;&gt;B416</f>
        <v>0</v>
      </c>
      <c r="J416" s="3" t="n">
        <f aca="false">SUMIFS('Futures Data'!$C$5:$C$3471,'Futures Data'!$A$5:$A$3471,A416,'Futures Data'!$B$5:$B$3471,B416)</f>
        <v>6339</v>
      </c>
      <c r="K416" s="3" t="n">
        <f aca="false">SUMIFS('Futures Data'!$C$5:$C$3471,'Futures Data'!$A$5:$A$3471,A416,'Futures Data'!$B$5:$B$3471,C416)</f>
        <v>6339</v>
      </c>
      <c r="L416" s="3" t="n">
        <f aca="false">K416-J416</f>
        <v>0</v>
      </c>
      <c r="M416" s="3" t="n">
        <f aca="false">M417+L416</f>
        <v>1285</v>
      </c>
      <c r="N416" s="3" t="n">
        <f aca="false">J416+M416</f>
        <v>7624</v>
      </c>
      <c r="O416" s="13" t="n">
        <f aca="false">LN(J416/K415)</f>
        <v>0.0050608996205151</v>
      </c>
      <c r="P416" s="13" t="n">
        <f aca="false">LN(N416/N415)</f>
        <v>0.0042061050442742</v>
      </c>
      <c r="Q416" s="3" t="n">
        <f aca="false">SUMIFS('Futures Data'!$D$5:$D$3471,'Futures Data'!$A$5:$A$3471,A416,'Futures Data'!$B$5:$B$3471,B416)</f>
        <v>8585</v>
      </c>
      <c r="R416" s="7" t="n">
        <v>45764</v>
      </c>
      <c r="S416" s="9" t="b">
        <f aca="false">C416=R416</f>
        <v>1</v>
      </c>
      <c r="T416" s="9" t="b">
        <f aca="false">ABS(O416-LN(J416/SUMIFS('Futures Data'!$C$5:$C$3471,'Futures Data'!$A$5:$A$3471,A415,'Futures Data'!$B$5:$B$3471,B416)))&lt;0.000000001</f>
        <v>1</v>
      </c>
    </row>
    <row r="417" customFormat="false" ht="15" hidden="false" customHeight="false" outlineLevel="0" collapsed="false">
      <c r="A417" s="7" t="n">
        <v>45741</v>
      </c>
      <c r="B417" s="11" t="n">
        <f aca="false">C416</f>
        <v>45764</v>
      </c>
      <c r="C417" s="11" t="n">
        <f aca="false">IF(OR(H416,D417&lt;=$G$4),_xlfn.MINIFS('Futures Data'!$B$5:$B$3471,'Futures Data'!$A$5:$A$3471,A417,'Futures Data'!$B$5:$B$3471,"&gt;"&amp;B417),B417)</f>
        <v>45764</v>
      </c>
      <c r="D417" s="3" t="n">
        <f aca="false">COUNTIFS($A$47:$A$790,"&gt;"&amp;A417,$A$47:$A$790,"&lt;="&amp;B417)+IF(B417&gt;$G$5,NETWORKDAYS($G$5+1,B417),0)</f>
        <v>14</v>
      </c>
      <c r="E417" s="3" t="n">
        <f aca="false">SUMIFS('Futures Data'!$E$5:$E$3471,'Futures Data'!$A$5:$A$3471,A417,'Futures Data'!$B$5:$B$3471,C417)</f>
        <v>13800</v>
      </c>
      <c r="F417" s="11" t="n">
        <f aca="false">_xlfn.MINIFS('Futures Data'!$B$5:$B$3471,'Futures Data'!$A$5:$A$3471,A417,'Futures Data'!$B$5:$B$3471,"&gt;"&amp;C417)</f>
        <v>45797</v>
      </c>
      <c r="G417" s="3" t="n">
        <f aca="false">SUMIFS('Futures Data'!$E$5:$E$3471,'Futures Data'!$A$5:$A$3471,A417,'Futures Data'!$B$5:$B$3471,F417)</f>
        <v>14885</v>
      </c>
      <c r="H417" s="9" t="b">
        <f aca="false">G417&gt;E417</f>
        <v>1</v>
      </c>
      <c r="I417" s="9" t="b">
        <f aca="false">C417&lt;&gt;B417</f>
        <v>0</v>
      </c>
      <c r="J417" s="3" t="n">
        <f aca="false">SUMIFS('Futures Data'!$C$5:$C$3471,'Futures Data'!$A$5:$A$3471,A417,'Futures Data'!$B$5:$B$3471,B417)</f>
        <v>6304</v>
      </c>
      <c r="K417" s="3" t="n">
        <f aca="false">SUMIFS('Futures Data'!$C$5:$C$3471,'Futures Data'!$A$5:$A$3471,A417,'Futures Data'!$B$5:$B$3471,C417)</f>
        <v>6304</v>
      </c>
      <c r="L417" s="3" t="n">
        <f aca="false">K417-J417</f>
        <v>0</v>
      </c>
      <c r="M417" s="3" t="n">
        <f aca="false">M418+L417</f>
        <v>1285</v>
      </c>
      <c r="N417" s="3" t="n">
        <f aca="false">J417+M417</f>
        <v>7589</v>
      </c>
      <c r="O417" s="13" t="n">
        <f aca="false">LN(J417/K416)</f>
        <v>-0.00553667474645136</v>
      </c>
      <c r="P417" s="13" t="n">
        <f aca="false">LN(N417/N416)</f>
        <v>-0.00460133593012521</v>
      </c>
      <c r="Q417" s="3" t="n">
        <f aca="false">SUMIFS('Futures Data'!$D$5:$D$3471,'Futures Data'!$A$5:$A$3471,A417,'Futures Data'!$B$5:$B$3471,B417)</f>
        <v>3305</v>
      </c>
      <c r="R417" s="7" t="n">
        <v>45764</v>
      </c>
      <c r="S417" s="9" t="b">
        <f aca="false">C417=R417</f>
        <v>1</v>
      </c>
      <c r="T417" s="9" t="b">
        <f aca="false">ABS(O417-LN(J417/SUMIFS('Futures Data'!$C$5:$C$3471,'Futures Data'!$A$5:$A$3471,A416,'Futures Data'!$B$5:$B$3471,B417)))&lt;0.000000001</f>
        <v>1</v>
      </c>
    </row>
    <row r="418" customFormat="false" ht="15" hidden="false" customHeight="false" outlineLevel="0" collapsed="false">
      <c r="A418" s="7" t="n">
        <v>45742</v>
      </c>
      <c r="B418" s="11" t="n">
        <f aca="false">C417</f>
        <v>45764</v>
      </c>
      <c r="C418" s="11" t="n">
        <f aca="false">IF(OR(H417,D418&lt;=$G$4),_xlfn.MINIFS('Futures Data'!$B$5:$B$3471,'Futures Data'!$A$5:$A$3471,A418,'Futures Data'!$B$5:$B$3471,"&gt;"&amp;B418),B418)</f>
        <v>45797</v>
      </c>
      <c r="D418" s="3" t="n">
        <f aca="false">COUNTIFS($A$47:$A$790,"&gt;"&amp;A418,$A$47:$A$790,"&lt;="&amp;B418)+IF(B418&gt;$G$5,NETWORKDAYS($G$5+1,B418),0)</f>
        <v>13</v>
      </c>
      <c r="E418" s="3" t="n">
        <f aca="false">SUMIFS('Futures Data'!$E$5:$E$3471,'Futures Data'!$A$5:$A$3471,A418,'Futures Data'!$B$5:$B$3471,C418)</f>
        <v>15910</v>
      </c>
      <c r="F418" s="11" t="n">
        <f aca="false">_xlfn.MINIFS('Futures Data'!$B$5:$B$3471,'Futures Data'!$A$5:$A$3471,A418,'Futures Data'!$B$5:$B$3471,"&gt;"&amp;C418)</f>
        <v>45828</v>
      </c>
      <c r="G418" s="3" t="n">
        <f aca="false">SUMIFS('Futures Data'!$E$5:$E$3471,'Futures Data'!$A$5:$A$3471,A418,'Futures Data'!$B$5:$B$3471,F418)</f>
        <v>0</v>
      </c>
      <c r="H418" s="9" t="b">
        <f aca="false">G418&gt;E418</f>
        <v>0</v>
      </c>
      <c r="I418" s="9" t="b">
        <f aca="false">C418&lt;&gt;B418</f>
        <v>1</v>
      </c>
      <c r="J418" s="3" t="n">
        <f aca="false">SUMIFS('Futures Data'!$C$5:$C$3471,'Futures Data'!$A$5:$A$3471,A418,'Futures Data'!$B$5:$B$3471,B418)</f>
        <v>6272</v>
      </c>
      <c r="K418" s="3" t="n">
        <f aca="false">SUMIFS('Futures Data'!$C$5:$C$3471,'Futures Data'!$A$5:$A$3471,A418,'Futures Data'!$B$5:$B$3471,C418)</f>
        <v>6340</v>
      </c>
      <c r="L418" s="3" t="n">
        <f aca="false">K418-J418</f>
        <v>68</v>
      </c>
      <c r="M418" s="3" t="n">
        <f aca="false">M419+L418</f>
        <v>1285</v>
      </c>
      <c r="N418" s="3" t="n">
        <f aca="false">J418+M418</f>
        <v>7557</v>
      </c>
      <c r="O418" s="13" t="n">
        <f aca="false">LN(J418/K417)</f>
        <v>-0.00508906950747129</v>
      </c>
      <c r="P418" s="13" t="n">
        <f aca="false">LN(N418/N417)</f>
        <v>-0.00422554438319293</v>
      </c>
      <c r="Q418" s="3" t="n">
        <f aca="false">SUMIFS('Futures Data'!$D$5:$D$3471,'Futures Data'!$A$5:$A$3471,A418,'Futures Data'!$B$5:$B$3471,B418)</f>
        <v>3675</v>
      </c>
      <c r="R418" s="7" t="n">
        <v>45797</v>
      </c>
      <c r="S418" s="9" t="b">
        <f aca="false">C418=R418</f>
        <v>1</v>
      </c>
      <c r="T418" s="9" t="b">
        <f aca="false">ABS(O418-LN(J418/SUMIFS('Futures Data'!$C$5:$C$3471,'Futures Data'!$A$5:$A$3471,A417,'Futures Data'!$B$5:$B$3471,B418)))&lt;0.000000001</f>
        <v>1</v>
      </c>
    </row>
    <row r="419" customFormat="false" ht="15" hidden="false" customHeight="false" outlineLevel="0" collapsed="false">
      <c r="A419" s="7" t="n">
        <v>45743</v>
      </c>
      <c r="B419" s="11" t="n">
        <f aca="false">C418</f>
        <v>45797</v>
      </c>
      <c r="C419" s="11" t="n">
        <f aca="false">IF(OR(H418,D419&lt;=$G$4),_xlfn.MINIFS('Futures Data'!$B$5:$B$3471,'Futures Data'!$A$5:$A$3471,A419,'Futures Data'!$B$5:$B$3471,"&gt;"&amp;B419),B419)</f>
        <v>45797</v>
      </c>
      <c r="D419" s="3" t="n">
        <f aca="false">COUNTIFS($A$47:$A$790,"&gt;"&amp;A419,$A$47:$A$790,"&lt;="&amp;B419)+IF(B419&gt;$G$5,NETWORKDAYS($G$5+1,B419),0)</f>
        <v>33</v>
      </c>
      <c r="E419" s="3" t="n">
        <f aca="false">SUMIFS('Futures Data'!$E$5:$E$3471,'Futures Data'!$A$5:$A$3471,A419,'Futures Data'!$B$5:$B$3471,C419)</f>
        <v>17100</v>
      </c>
      <c r="F419" s="11" t="n">
        <f aca="false">_xlfn.MINIFS('Futures Data'!$B$5:$B$3471,'Futures Data'!$A$5:$A$3471,A419,'Futures Data'!$B$5:$B$3471,"&gt;"&amp;C419)</f>
        <v>45828</v>
      </c>
      <c r="G419" s="3" t="n">
        <f aca="false">SUMIFS('Futures Data'!$E$5:$E$3471,'Futures Data'!$A$5:$A$3471,A419,'Futures Data'!$B$5:$B$3471,F419)</f>
        <v>0</v>
      </c>
      <c r="H419" s="9" t="b">
        <f aca="false">G419&gt;E419</f>
        <v>0</v>
      </c>
      <c r="I419" s="9" t="b">
        <f aca="false">C419&lt;&gt;B419</f>
        <v>0</v>
      </c>
      <c r="J419" s="3" t="n">
        <f aca="false">SUMIFS('Futures Data'!$C$5:$C$3471,'Futures Data'!$A$5:$A$3471,A419,'Futures Data'!$B$5:$B$3471,B419)</f>
        <v>6322</v>
      </c>
      <c r="K419" s="3" t="n">
        <f aca="false">SUMIFS('Futures Data'!$C$5:$C$3471,'Futures Data'!$A$5:$A$3471,A419,'Futures Data'!$B$5:$B$3471,C419)</f>
        <v>6322</v>
      </c>
      <c r="L419" s="3" t="n">
        <f aca="false">K419-J419</f>
        <v>0</v>
      </c>
      <c r="M419" s="3" t="n">
        <f aca="false">M420+L419</f>
        <v>1217</v>
      </c>
      <c r="N419" s="3" t="n">
        <f aca="false">J419+M419</f>
        <v>7539</v>
      </c>
      <c r="O419" s="13" t="n">
        <f aca="false">LN(J419/K418)</f>
        <v>-0.00284315465570853</v>
      </c>
      <c r="P419" s="13" t="n">
        <f aca="false">LN(N419/N418)</f>
        <v>-0.00238473880901801</v>
      </c>
      <c r="Q419" s="3" t="n">
        <f aca="false">SUMIFS('Futures Data'!$D$5:$D$3471,'Futures Data'!$A$5:$A$3471,A419,'Futures Data'!$B$5:$B$3471,B419)</f>
        <v>2715</v>
      </c>
      <c r="R419" s="7" t="n">
        <v>45797</v>
      </c>
      <c r="S419" s="9" t="b">
        <f aca="false">C419=R419</f>
        <v>1</v>
      </c>
      <c r="T419" s="9" t="b">
        <f aca="false">ABS(O419-LN(J419/SUMIFS('Futures Data'!$C$5:$C$3471,'Futures Data'!$A$5:$A$3471,A418,'Futures Data'!$B$5:$B$3471,B419)))&lt;0.000000001</f>
        <v>1</v>
      </c>
    </row>
    <row r="420" customFormat="false" ht="15" hidden="false" customHeight="false" outlineLevel="0" collapsed="false">
      <c r="A420" s="7" t="n">
        <v>45744</v>
      </c>
      <c r="B420" s="11" t="n">
        <f aca="false">C419</f>
        <v>45797</v>
      </c>
      <c r="C420" s="11" t="n">
        <f aca="false">IF(OR(H419,D420&lt;=$G$4),_xlfn.MINIFS('Futures Data'!$B$5:$B$3471,'Futures Data'!$A$5:$A$3471,A420,'Futures Data'!$B$5:$B$3471,"&gt;"&amp;B420),B420)</f>
        <v>45797</v>
      </c>
      <c r="D420" s="3" t="n">
        <f aca="false">COUNTIFS($A$47:$A$790,"&gt;"&amp;A420,$A$47:$A$790,"&lt;="&amp;B420)+IF(B420&gt;$G$5,NETWORKDAYS($G$5+1,B420),0)</f>
        <v>32</v>
      </c>
      <c r="E420" s="3" t="n">
        <f aca="false">SUMIFS('Futures Data'!$E$5:$E$3471,'Futures Data'!$A$5:$A$3471,A420,'Futures Data'!$B$5:$B$3471,C420)</f>
        <v>17220</v>
      </c>
      <c r="F420" s="11" t="n">
        <f aca="false">_xlfn.MINIFS('Futures Data'!$B$5:$B$3471,'Futures Data'!$A$5:$A$3471,A420,'Futures Data'!$B$5:$B$3471,"&gt;"&amp;C420)</f>
        <v>45828</v>
      </c>
      <c r="G420" s="3" t="n">
        <f aca="false">SUMIFS('Futures Data'!$E$5:$E$3471,'Futures Data'!$A$5:$A$3471,A420,'Futures Data'!$B$5:$B$3471,F420)</f>
        <v>0</v>
      </c>
      <c r="H420" s="9" t="b">
        <f aca="false">G420&gt;E420</f>
        <v>0</v>
      </c>
      <c r="I420" s="9" t="b">
        <f aca="false">C420&lt;&gt;B420</f>
        <v>0</v>
      </c>
      <c r="J420" s="3" t="n">
        <f aca="false">SUMIFS('Futures Data'!$C$5:$C$3471,'Futures Data'!$A$5:$A$3471,A420,'Futures Data'!$B$5:$B$3471,B420)</f>
        <v>6337</v>
      </c>
      <c r="K420" s="3" t="n">
        <f aca="false">SUMIFS('Futures Data'!$C$5:$C$3471,'Futures Data'!$A$5:$A$3471,A420,'Futures Data'!$B$5:$B$3471,C420)</f>
        <v>6337</v>
      </c>
      <c r="L420" s="3" t="n">
        <f aca="false">K420-J420</f>
        <v>0</v>
      </c>
      <c r="M420" s="3" t="n">
        <f aca="false">M421+L420</f>
        <v>1217</v>
      </c>
      <c r="N420" s="3" t="n">
        <f aca="false">J420+M420</f>
        <v>7554</v>
      </c>
      <c r="O420" s="13" t="n">
        <f aca="false">LN(J420/K419)</f>
        <v>0.00236985654795386</v>
      </c>
      <c r="P420" s="13" t="n">
        <f aca="false">LN(N420/N419)</f>
        <v>0.00198767706070039</v>
      </c>
      <c r="Q420" s="3" t="n">
        <f aca="false">SUMIFS('Futures Data'!$D$5:$D$3471,'Futures Data'!$A$5:$A$3471,A420,'Futures Data'!$B$5:$B$3471,B420)</f>
        <v>1255</v>
      </c>
      <c r="R420" s="7" t="n">
        <v>45797</v>
      </c>
      <c r="S420" s="9" t="b">
        <f aca="false">C420=R420</f>
        <v>1</v>
      </c>
      <c r="T420" s="9" t="b">
        <f aca="false">ABS(O420-LN(J420/SUMIFS('Futures Data'!$C$5:$C$3471,'Futures Data'!$A$5:$A$3471,A419,'Futures Data'!$B$5:$B$3471,B420)))&lt;0.000000001</f>
        <v>1</v>
      </c>
    </row>
    <row r="421" customFormat="false" ht="15" hidden="false" customHeight="false" outlineLevel="0" collapsed="false">
      <c r="A421" s="7" t="n">
        <v>45748</v>
      </c>
      <c r="B421" s="11" t="n">
        <f aca="false">C420</f>
        <v>45797</v>
      </c>
      <c r="C421" s="11" t="n">
        <f aca="false">IF(OR(H420,D421&lt;=$G$4),_xlfn.MINIFS('Futures Data'!$B$5:$B$3471,'Futures Data'!$A$5:$A$3471,A421,'Futures Data'!$B$5:$B$3471,"&gt;"&amp;B421),B421)</f>
        <v>45797</v>
      </c>
      <c r="D421" s="3" t="n">
        <f aca="false">COUNTIFS($A$47:$A$790,"&gt;"&amp;A421,$A$47:$A$790,"&lt;="&amp;B421)+IF(B421&gt;$G$5,NETWORKDAYS($G$5+1,B421),0)</f>
        <v>31</v>
      </c>
      <c r="E421" s="3" t="n">
        <f aca="false">SUMIFS('Futures Data'!$E$5:$E$3471,'Futures Data'!$A$5:$A$3471,A421,'Futures Data'!$B$5:$B$3471,C421)</f>
        <v>17280</v>
      </c>
      <c r="F421" s="11" t="n">
        <f aca="false">_xlfn.MINIFS('Futures Data'!$B$5:$B$3471,'Futures Data'!$A$5:$A$3471,A421,'Futures Data'!$B$5:$B$3471,"&gt;"&amp;C421)</f>
        <v>45828</v>
      </c>
      <c r="G421" s="3" t="n">
        <f aca="false">SUMIFS('Futures Data'!$E$5:$E$3471,'Futures Data'!$A$5:$A$3471,A421,'Futures Data'!$B$5:$B$3471,F421)</f>
        <v>0</v>
      </c>
      <c r="H421" s="9" t="b">
        <f aca="false">G421&gt;E421</f>
        <v>0</v>
      </c>
      <c r="I421" s="9" t="b">
        <f aca="false">C421&lt;&gt;B421</f>
        <v>0</v>
      </c>
      <c r="J421" s="3" t="n">
        <f aca="false">SUMIFS('Futures Data'!$C$5:$C$3471,'Futures Data'!$A$5:$A$3471,A421,'Futures Data'!$B$5:$B$3471,B421)</f>
        <v>6333</v>
      </c>
      <c r="K421" s="3" t="n">
        <f aca="false">SUMIFS('Futures Data'!$C$5:$C$3471,'Futures Data'!$A$5:$A$3471,A421,'Futures Data'!$B$5:$B$3471,C421)</f>
        <v>6333</v>
      </c>
      <c r="L421" s="3" t="n">
        <f aca="false">K421-J421</f>
        <v>0</v>
      </c>
      <c r="M421" s="3" t="n">
        <f aca="false">M422+L421</f>
        <v>1217</v>
      </c>
      <c r="N421" s="3" t="n">
        <f aca="false">J421+M421</f>
        <v>7550</v>
      </c>
      <c r="O421" s="13" t="n">
        <f aca="false">LN(J421/K420)</f>
        <v>-0.000631412807086617</v>
      </c>
      <c r="P421" s="13" t="n">
        <f aca="false">LN(N421/N420)</f>
        <v>-0.000529661029331749</v>
      </c>
      <c r="Q421" s="3" t="n">
        <f aca="false">SUMIFS('Futures Data'!$D$5:$D$3471,'Futures Data'!$A$5:$A$3471,A421,'Futures Data'!$B$5:$B$3471,B421)</f>
        <v>2645</v>
      </c>
      <c r="R421" s="7" t="n">
        <v>45797</v>
      </c>
      <c r="S421" s="9" t="b">
        <f aca="false">C421=R421</f>
        <v>1</v>
      </c>
      <c r="T421" s="9" t="b">
        <f aca="false">ABS(O421-LN(J421/SUMIFS('Futures Data'!$C$5:$C$3471,'Futures Data'!$A$5:$A$3471,A420,'Futures Data'!$B$5:$B$3471,B421)))&lt;0.000000001</f>
        <v>1</v>
      </c>
    </row>
    <row r="422" customFormat="false" ht="15" hidden="false" customHeight="false" outlineLevel="0" collapsed="false">
      <c r="A422" s="7" t="n">
        <v>45749</v>
      </c>
      <c r="B422" s="11" t="n">
        <f aca="false">C421</f>
        <v>45797</v>
      </c>
      <c r="C422" s="11" t="n">
        <f aca="false">IF(OR(H421,D422&lt;=$G$4),_xlfn.MINIFS('Futures Data'!$B$5:$B$3471,'Futures Data'!$A$5:$A$3471,A422,'Futures Data'!$B$5:$B$3471,"&gt;"&amp;B422),B422)</f>
        <v>45797</v>
      </c>
      <c r="D422" s="3" t="n">
        <f aca="false">COUNTIFS($A$47:$A$790,"&gt;"&amp;A422,$A$47:$A$790,"&lt;="&amp;B422)+IF(B422&gt;$G$5,NETWORKDAYS($G$5+1,B422),0)</f>
        <v>30</v>
      </c>
      <c r="E422" s="3" t="n">
        <f aca="false">SUMIFS('Futures Data'!$E$5:$E$3471,'Futures Data'!$A$5:$A$3471,A422,'Futures Data'!$B$5:$B$3471,C422)</f>
        <v>18925</v>
      </c>
      <c r="F422" s="11" t="n">
        <f aca="false">_xlfn.MINIFS('Futures Data'!$B$5:$B$3471,'Futures Data'!$A$5:$A$3471,A422,'Futures Data'!$B$5:$B$3471,"&gt;"&amp;C422)</f>
        <v>45828</v>
      </c>
      <c r="G422" s="3" t="n">
        <f aca="false">SUMIFS('Futures Data'!$E$5:$E$3471,'Futures Data'!$A$5:$A$3471,A422,'Futures Data'!$B$5:$B$3471,F422)</f>
        <v>0</v>
      </c>
      <c r="H422" s="9" t="b">
        <f aca="false">G422&gt;E422</f>
        <v>0</v>
      </c>
      <c r="I422" s="9" t="b">
        <f aca="false">C422&lt;&gt;B422</f>
        <v>0</v>
      </c>
      <c r="J422" s="3" t="n">
        <f aca="false">SUMIFS('Futures Data'!$C$5:$C$3471,'Futures Data'!$A$5:$A$3471,A422,'Futures Data'!$B$5:$B$3471,B422)</f>
        <v>6354</v>
      </c>
      <c r="K422" s="3" t="n">
        <f aca="false">SUMIFS('Futures Data'!$C$5:$C$3471,'Futures Data'!$A$5:$A$3471,A422,'Futures Data'!$B$5:$B$3471,C422)</f>
        <v>6354</v>
      </c>
      <c r="L422" s="3" t="n">
        <f aca="false">K422-J422</f>
        <v>0</v>
      </c>
      <c r="M422" s="3" t="n">
        <f aca="false">M423+L422</f>
        <v>1217</v>
      </c>
      <c r="N422" s="3" t="n">
        <f aca="false">J422+M422</f>
        <v>7571</v>
      </c>
      <c r="O422" s="13" t="n">
        <f aca="false">LN(J422/K421)</f>
        <v>0.00331047831303107</v>
      </c>
      <c r="P422" s="13" t="n">
        <f aca="false">LN(N422/N421)</f>
        <v>0.00277759586023626</v>
      </c>
      <c r="Q422" s="3" t="n">
        <f aca="false">SUMIFS('Futures Data'!$D$5:$D$3471,'Futures Data'!$A$5:$A$3471,A422,'Futures Data'!$B$5:$B$3471,B422)</f>
        <v>4680</v>
      </c>
      <c r="R422" s="7" t="n">
        <v>45797</v>
      </c>
      <c r="S422" s="9" t="b">
        <f aca="false">C422=R422</f>
        <v>1</v>
      </c>
      <c r="T422" s="9" t="b">
        <f aca="false">ABS(O422-LN(J422/SUMIFS('Futures Data'!$C$5:$C$3471,'Futures Data'!$A$5:$A$3471,A421,'Futures Data'!$B$5:$B$3471,B422)))&lt;0.000000001</f>
        <v>1</v>
      </c>
    </row>
    <row r="423" customFormat="false" ht="15" hidden="false" customHeight="false" outlineLevel="0" collapsed="false">
      <c r="A423" s="7" t="n">
        <v>45750</v>
      </c>
      <c r="B423" s="11" t="n">
        <f aca="false">C422</f>
        <v>45797</v>
      </c>
      <c r="C423" s="11" t="n">
        <f aca="false">IF(OR(H422,D423&lt;=$G$4),_xlfn.MINIFS('Futures Data'!$B$5:$B$3471,'Futures Data'!$A$5:$A$3471,A423,'Futures Data'!$B$5:$B$3471,"&gt;"&amp;B423),B423)</f>
        <v>45797</v>
      </c>
      <c r="D423" s="3" t="n">
        <f aca="false">COUNTIFS($A$47:$A$790,"&gt;"&amp;A423,$A$47:$A$790,"&lt;="&amp;B423)+IF(B423&gt;$G$5,NETWORKDAYS($G$5+1,B423),0)</f>
        <v>29</v>
      </c>
      <c r="E423" s="3" t="n">
        <f aca="false">SUMIFS('Futures Data'!$E$5:$E$3471,'Futures Data'!$A$5:$A$3471,A423,'Futures Data'!$B$5:$B$3471,C423)</f>
        <v>19885</v>
      </c>
      <c r="F423" s="11" t="n">
        <f aca="false">_xlfn.MINIFS('Futures Data'!$B$5:$B$3471,'Futures Data'!$A$5:$A$3471,A423,'Futures Data'!$B$5:$B$3471,"&gt;"&amp;C423)</f>
        <v>45828</v>
      </c>
      <c r="G423" s="3" t="n">
        <f aca="false">SUMIFS('Futures Data'!$E$5:$E$3471,'Futures Data'!$A$5:$A$3471,A423,'Futures Data'!$B$5:$B$3471,F423)</f>
        <v>5</v>
      </c>
      <c r="H423" s="9" t="b">
        <f aca="false">G423&gt;E423</f>
        <v>0</v>
      </c>
      <c r="I423" s="9" t="b">
        <f aca="false">C423&lt;&gt;B423</f>
        <v>0</v>
      </c>
      <c r="J423" s="3" t="n">
        <f aca="false">SUMIFS('Futures Data'!$C$5:$C$3471,'Futures Data'!$A$5:$A$3471,A423,'Futures Data'!$B$5:$B$3471,B423)</f>
        <v>6350</v>
      </c>
      <c r="K423" s="3" t="n">
        <f aca="false">SUMIFS('Futures Data'!$C$5:$C$3471,'Futures Data'!$A$5:$A$3471,A423,'Futures Data'!$B$5:$B$3471,C423)</f>
        <v>6350</v>
      </c>
      <c r="L423" s="3" t="n">
        <f aca="false">K423-J423</f>
        <v>0</v>
      </c>
      <c r="M423" s="3" t="n">
        <f aca="false">M424+L423</f>
        <v>1217</v>
      </c>
      <c r="N423" s="3" t="n">
        <f aca="false">J423+M423</f>
        <v>7567</v>
      </c>
      <c r="O423" s="13" t="n">
        <f aca="false">LN(J423/K422)</f>
        <v>-0.000629722942724114</v>
      </c>
      <c r="P423" s="13" t="n">
        <f aca="false">LN(N423/N422)</f>
        <v>-0.000528471408784995</v>
      </c>
      <c r="Q423" s="3" t="n">
        <f aca="false">SUMIFS('Futures Data'!$D$5:$D$3471,'Futures Data'!$A$5:$A$3471,A423,'Futures Data'!$B$5:$B$3471,B423)</f>
        <v>2635</v>
      </c>
      <c r="R423" s="7" t="n">
        <v>45797</v>
      </c>
      <c r="S423" s="9" t="b">
        <f aca="false">C423=R423</f>
        <v>1</v>
      </c>
      <c r="T423" s="9" t="b">
        <f aca="false">ABS(O423-LN(J423/SUMIFS('Futures Data'!$C$5:$C$3471,'Futures Data'!$A$5:$A$3471,A422,'Futures Data'!$B$5:$B$3471,B423)))&lt;0.000000001</f>
        <v>1</v>
      </c>
    </row>
    <row r="424" customFormat="false" ht="15" hidden="false" customHeight="false" outlineLevel="0" collapsed="false">
      <c r="A424" s="7" t="n">
        <v>45751</v>
      </c>
      <c r="B424" s="11" t="n">
        <f aca="false">C423</f>
        <v>45797</v>
      </c>
      <c r="C424" s="11" t="n">
        <f aca="false">IF(OR(H423,D424&lt;=$G$4),_xlfn.MINIFS('Futures Data'!$B$5:$B$3471,'Futures Data'!$A$5:$A$3471,A424,'Futures Data'!$B$5:$B$3471,"&gt;"&amp;B424),B424)</f>
        <v>45797</v>
      </c>
      <c r="D424" s="3" t="n">
        <f aca="false">COUNTIFS($A$47:$A$790,"&gt;"&amp;A424,$A$47:$A$790,"&lt;="&amp;B424)+IF(B424&gt;$G$5,NETWORKDAYS($G$5+1,B424),0)</f>
        <v>28</v>
      </c>
      <c r="E424" s="3" t="n">
        <f aca="false">SUMIFS('Futures Data'!$E$5:$E$3471,'Futures Data'!$A$5:$A$3471,A424,'Futures Data'!$B$5:$B$3471,C424)</f>
        <v>20465</v>
      </c>
      <c r="F424" s="11" t="n">
        <f aca="false">_xlfn.MINIFS('Futures Data'!$B$5:$B$3471,'Futures Data'!$A$5:$A$3471,A424,'Futures Data'!$B$5:$B$3471,"&gt;"&amp;C424)</f>
        <v>45828</v>
      </c>
      <c r="G424" s="3" t="n">
        <f aca="false">SUMIFS('Futures Data'!$E$5:$E$3471,'Futures Data'!$A$5:$A$3471,A424,'Futures Data'!$B$5:$B$3471,F424)</f>
        <v>465</v>
      </c>
      <c r="H424" s="9" t="b">
        <f aca="false">G424&gt;E424</f>
        <v>0</v>
      </c>
      <c r="I424" s="9" t="b">
        <f aca="false">C424&lt;&gt;B424</f>
        <v>0</v>
      </c>
      <c r="J424" s="3" t="n">
        <f aca="false">SUMIFS('Futures Data'!$C$5:$C$3471,'Futures Data'!$A$5:$A$3471,A424,'Futures Data'!$B$5:$B$3471,B424)</f>
        <v>6300</v>
      </c>
      <c r="K424" s="3" t="n">
        <f aca="false">SUMIFS('Futures Data'!$C$5:$C$3471,'Futures Data'!$A$5:$A$3471,A424,'Futures Data'!$B$5:$B$3471,C424)</f>
        <v>6300</v>
      </c>
      <c r="L424" s="3" t="n">
        <f aca="false">K424-J424</f>
        <v>0</v>
      </c>
      <c r="M424" s="3" t="n">
        <f aca="false">M425+L424</f>
        <v>1217</v>
      </c>
      <c r="N424" s="3" t="n">
        <f aca="false">J424+M424</f>
        <v>7517</v>
      </c>
      <c r="O424" s="13" t="n">
        <f aca="false">LN(J424/K423)</f>
        <v>-0.00790517950711326</v>
      </c>
      <c r="P424" s="13" t="n">
        <f aca="false">LN(N424/N423)</f>
        <v>-0.00662956551705269</v>
      </c>
      <c r="Q424" s="3" t="n">
        <f aca="false">SUMIFS('Futures Data'!$D$5:$D$3471,'Futures Data'!$A$5:$A$3471,A424,'Futures Data'!$B$5:$B$3471,B424)</f>
        <v>5170</v>
      </c>
      <c r="R424" s="7" t="n">
        <v>45797</v>
      </c>
      <c r="S424" s="9" t="b">
        <f aca="false">C424=R424</f>
        <v>1</v>
      </c>
      <c r="T424" s="9" t="b">
        <f aca="false">ABS(O424-LN(J424/SUMIFS('Futures Data'!$C$5:$C$3471,'Futures Data'!$A$5:$A$3471,A423,'Futures Data'!$B$5:$B$3471,B424)))&lt;0.000000001</f>
        <v>1</v>
      </c>
    </row>
    <row r="425" customFormat="false" ht="15" hidden="false" customHeight="false" outlineLevel="0" collapsed="false">
      <c r="A425" s="7" t="n">
        <v>45754</v>
      </c>
      <c r="B425" s="11" t="n">
        <f aca="false">C424</f>
        <v>45797</v>
      </c>
      <c r="C425" s="11" t="n">
        <f aca="false">IF(OR(H424,D425&lt;=$G$4),_xlfn.MINIFS('Futures Data'!$B$5:$B$3471,'Futures Data'!$A$5:$A$3471,A425,'Futures Data'!$B$5:$B$3471,"&gt;"&amp;B425),B425)</f>
        <v>45797</v>
      </c>
      <c r="D425" s="3" t="n">
        <f aca="false">COUNTIFS($A$47:$A$790,"&gt;"&amp;A425,$A$47:$A$790,"&lt;="&amp;B425)+IF(B425&gt;$G$5,NETWORKDAYS($G$5+1,B425),0)</f>
        <v>27</v>
      </c>
      <c r="E425" s="3" t="n">
        <f aca="false">SUMIFS('Futures Data'!$E$5:$E$3471,'Futures Data'!$A$5:$A$3471,A425,'Futures Data'!$B$5:$B$3471,C425)</f>
        <v>21380</v>
      </c>
      <c r="F425" s="11" t="n">
        <f aca="false">_xlfn.MINIFS('Futures Data'!$B$5:$B$3471,'Futures Data'!$A$5:$A$3471,A425,'Futures Data'!$B$5:$B$3471,"&gt;"&amp;C425)</f>
        <v>45828</v>
      </c>
      <c r="G425" s="3" t="n">
        <f aca="false">SUMIFS('Futures Data'!$E$5:$E$3471,'Futures Data'!$A$5:$A$3471,A425,'Futures Data'!$B$5:$B$3471,F425)</f>
        <v>2025</v>
      </c>
      <c r="H425" s="9" t="b">
        <f aca="false">G425&gt;E425</f>
        <v>0</v>
      </c>
      <c r="I425" s="9" t="b">
        <f aca="false">C425&lt;&gt;B425</f>
        <v>0</v>
      </c>
      <c r="J425" s="3" t="n">
        <f aca="false">SUMIFS('Futures Data'!$C$5:$C$3471,'Futures Data'!$A$5:$A$3471,A425,'Futures Data'!$B$5:$B$3471,B425)</f>
        <v>6325</v>
      </c>
      <c r="K425" s="3" t="n">
        <f aca="false">SUMIFS('Futures Data'!$C$5:$C$3471,'Futures Data'!$A$5:$A$3471,A425,'Futures Data'!$B$5:$B$3471,C425)</f>
        <v>6325</v>
      </c>
      <c r="L425" s="3" t="n">
        <f aca="false">K425-J425</f>
        <v>0</v>
      </c>
      <c r="M425" s="3" t="n">
        <f aca="false">M426+L425</f>
        <v>1217</v>
      </c>
      <c r="N425" s="3" t="n">
        <f aca="false">J425+M425</f>
        <v>7542</v>
      </c>
      <c r="O425" s="13" t="n">
        <f aca="false">LN(J425/K424)</f>
        <v>0.00396040121609691</v>
      </c>
      <c r="P425" s="13" t="n">
        <f aca="false">LN(N425/N424)</f>
        <v>0.00332027664083356</v>
      </c>
      <c r="Q425" s="3" t="n">
        <f aca="false">SUMIFS('Futures Data'!$D$5:$D$3471,'Futures Data'!$A$5:$A$3471,A425,'Futures Data'!$B$5:$B$3471,B425)</f>
        <v>8435</v>
      </c>
      <c r="R425" s="7" t="n">
        <v>45797</v>
      </c>
      <c r="S425" s="9" t="b">
        <f aca="false">C425=R425</f>
        <v>1</v>
      </c>
      <c r="T425" s="9" t="b">
        <f aca="false">ABS(O425-LN(J425/SUMIFS('Futures Data'!$C$5:$C$3471,'Futures Data'!$A$5:$A$3471,A424,'Futures Data'!$B$5:$B$3471,B425)))&lt;0.000000001</f>
        <v>1</v>
      </c>
    </row>
    <row r="426" customFormat="false" ht="15" hidden="false" customHeight="false" outlineLevel="0" collapsed="false">
      <c r="A426" s="7" t="n">
        <v>45755</v>
      </c>
      <c r="B426" s="11" t="n">
        <f aca="false">C425</f>
        <v>45797</v>
      </c>
      <c r="C426" s="11" t="n">
        <f aca="false">IF(OR(H425,D426&lt;=$G$4),_xlfn.MINIFS('Futures Data'!$B$5:$B$3471,'Futures Data'!$A$5:$A$3471,A426,'Futures Data'!$B$5:$B$3471,"&gt;"&amp;B426),B426)</f>
        <v>45797</v>
      </c>
      <c r="D426" s="3" t="n">
        <f aca="false">COUNTIFS($A$47:$A$790,"&gt;"&amp;A426,$A$47:$A$790,"&lt;="&amp;B426)+IF(B426&gt;$G$5,NETWORKDAYS($G$5+1,B426),0)</f>
        <v>26</v>
      </c>
      <c r="E426" s="3" t="n">
        <f aca="false">SUMIFS('Futures Data'!$E$5:$E$3471,'Futures Data'!$A$5:$A$3471,A426,'Futures Data'!$B$5:$B$3471,C426)</f>
        <v>20125</v>
      </c>
      <c r="F426" s="11" t="n">
        <f aca="false">_xlfn.MINIFS('Futures Data'!$B$5:$B$3471,'Futures Data'!$A$5:$A$3471,A426,'Futures Data'!$B$5:$B$3471,"&gt;"&amp;C426)</f>
        <v>45828</v>
      </c>
      <c r="G426" s="3" t="n">
        <f aca="false">SUMIFS('Futures Data'!$E$5:$E$3471,'Futures Data'!$A$5:$A$3471,A426,'Futures Data'!$B$5:$B$3471,F426)</f>
        <v>11290</v>
      </c>
      <c r="H426" s="9" t="b">
        <f aca="false">G426&gt;E426</f>
        <v>0</v>
      </c>
      <c r="I426" s="9" t="b">
        <f aca="false">C426&lt;&gt;B426</f>
        <v>0</v>
      </c>
      <c r="J426" s="3" t="n">
        <f aca="false">SUMIFS('Futures Data'!$C$5:$C$3471,'Futures Data'!$A$5:$A$3471,A426,'Futures Data'!$B$5:$B$3471,B426)</f>
        <v>6419</v>
      </c>
      <c r="K426" s="3" t="n">
        <f aca="false">SUMIFS('Futures Data'!$C$5:$C$3471,'Futures Data'!$A$5:$A$3471,A426,'Futures Data'!$B$5:$B$3471,C426)</f>
        <v>6419</v>
      </c>
      <c r="L426" s="3" t="n">
        <f aca="false">K426-J426</f>
        <v>0</v>
      </c>
      <c r="M426" s="3" t="n">
        <f aca="false">M427+L426</f>
        <v>1217</v>
      </c>
      <c r="N426" s="3" t="n">
        <f aca="false">J426+M426</f>
        <v>7636</v>
      </c>
      <c r="O426" s="13" t="n">
        <f aca="false">LN(J426/K425)</f>
        <v>0.0147523077160572</v>
      </c>
      <c r="P426" s="13" t="n">
        <f aca="false">LN(N426/N425)</f>
        <v>0.0123865070273358</v>
      </c>
      <c r="Q426" s="3" t="n">
        <f aca="false">SUMIFS('Futures Data'!$D$5:$D$3471,'Futures Data'!$A$5:$A$3471,A426,'Futures Data'!$B$5:$B$3471,B426)</f>
        <v>18375</v>
      </c>
      <c r="R426" s="7" t="n">
        <v>45797</v>
      </c>
      <c r="S426" s="9" t="b">
        <f aca="false">C426=R426</f>
        <v>1</v>
      </c>
      <c r="T426" s="9" t="b">
        <f aca="false">ABS(O426-LN(J426/SUMIFS('Futures Data'!$C$5:$C$3471,'Futures Data'!$A$5:$A$3471,A425,'Futures Data'!$B$5:$B$3471,B426)))&lt;0.000000001</f>
        <v>1</v>
      </c>
    </row>
    <row r="427" customFormat="false" ht="15" hidden="false" customHeight="false" outlineLevel="0" collapsed="false">
      <c r="A427" s="7" t="n">
        <v>45756</v>
      </c>
      <c r="B427" s="11" t="n">
        <f aca="false">C426</f>
        <v>45797</v>
      </c>
      <c r="C427" s="11" t="n">
        <f aca="false">IF(OR(H426,D427&lt;=$G$4),_xlfn.MINIFS('Futures Data'!$B$5:$B$3471,'Futures Data'!$A$5:$A$3471,A427,'Futures Data'!$B$5:$B$3471,"&gt;"&amp;B427),B427)</f>
        <v>45797</v>
      </c>
      <c r="D427" s="3" t="n">
        <f aca="false">COUNTIFS($A$47:$A$790,"&gt;"&amp;A427,$A$47:$A$790,"&lt;="&amp;B427)+IF(B427&gt;$G$5,NETWORKDAYS($G$5+1,B427),0)</f>
        <v>25</v>
      </c>
      <c r="E427" s="3" t="n">
        <f aca="false">SUMIFS('Futures Data'!$E$5:$E$3471,'Futures Data'!$A$5:$A$3471,A427,'Futures Data'!$B$5:$B$3471,C427)</f>
        <v>20795</v>
      </c>
      <c r="F427" s="11" t="n">
        <f aca="false">_xlfn.MINIFS('Futures Data'!$B$5:$B$3471,'Futures Data'!$A$5:$A$3471,A427,'Futures Data'!$B$5:$B$3471,"&gt;"&amp;C427)</f>
        <v>45828</v>
      </c>
      <c r="G427" s="3" t="n">
        <f aca="false">SUMIFS('Futures Data'!$E$5:$E$3471,'Futures Data'!$A$5:$A$3471,A427,'Futures Data'!$B$5:$B$3471,F427)</f>
        <v>12600</v>
      </c>
      <c r="H427" s="9" t="b">
        <f aca="false">G427&gt;E427</f>
        <v>0</v>
      </c>
      <c r="I427" s="9" t="b">
        <f aca="false">C427&lt;&gt;B427</f>
        <v>0</v>
      </c>
      <c r="J427" s="3" t="n">
        <f aca="false">SUMIFS('Futures Data'!$C$5:$C$3471,'Futures Data'!$A$5:$A$3471,A427,'Futures Data'!$B$5:$B$3471,B427)</f>
        <v>6452</v>
      </c>
      <c r="K427" s="3" t="n">
        <f aca="false">SUMIFS('Futures Data'!$C$5:$C$3471,'Futures Data'!$A$5:$A$3471,A427,'Futures Data'!$B$5:$B$3471,C427)</f>
        <v>6452</v>
      </c>
      <c r="L427" s="3" t="n">
        <f aca="false">K427-J427</f>
        <v>0</v>
      </c>
      <c r="M427" s="3" t="n">
        <f aca="false">M428+L427</f>
        <v>1217</v>
      </c>
      <c r="N427" s="3" t="n">
        <f aca="false">J427+M427</f>
        <v>7669</v>
      </c>
      <c r="O427" s="13" t="n">
        <f aca="false">LN(J427/K426)</f>
        <v>0.00512781793332132</v>
      </c>
      <c r="P427" s="13" t="n">
        <f aca="false">LN(N427/N426)</f>
        <v>0.00431232291922094</v>
      </c>
      <c r="Q427" s="3" t="n">
        <f aca="false">SUMIFS('Futures Data'!$D$5:$D$3471,'Futures Data'!$A$5:$A$3471,A427,'Futures Data'!$B$5:$B$3471,B427)</f>
        <v>10895</v>
      </c>
      <c r="R427" s="7" t="n">
        <v>45797</v>
      </c>
      <c r="S427" s="9" t="b">
        <f aca="false">C427=R427</f>
        <v>1</v>
      </c>
      <c r="T427" s="9" t="b">
        <f aca="false">ABS(O427-LN(J427/SUMIFS('Futures Data'!$C$5:$C$3471,'Futures Data'!$A$5:$A$3471,A426,'Futures Data'!$B$5:$B$3471,B427)))&lt;0.000000001</f>
        <v>1</v>
      </c>
    </row>
    <row r="428" customFormat="false" ht="15" hidden="false" customHeight="false" outlineLevel="0" collapsed="false">
      <c r="A428" s="7" t="n">
        <v>45758</v>
      </c>
      <c r="B428" s="11" t="n">
        <f aca="false">C427</f>
        <v>45797</v>
      </c>
      <c r="C428" s="11" t="n">
        <f aca="false">IF(OR(H427,D428&lt;=$G$4),_xlfn.MINIFS('Futures Data'!$B$5:$B$3471,'Futures Data'!$A$5:$A$3471,A428,'Futures Data'!$B$5:$B$3471,"&gt;"&amp;B428),B428)</f>
        <v>45797</v>
      </c>
      <c r="D428" s="3" t="n">
        <f aca="false">COUNTIFS($A$47:$A$790,"&gt;"&amp;A428,$A$47:$A$790,"&lt;="&amp;B428)+IF(B428&gt;$G$5,NETWORKDAYS($G$5+1,B428),0)</f>
        <v>24</v>
      </c>
      <c r="E428" s="3" t="n">
        <f aca="false">SUMIFS('Futures Data'!$E$5:$E$3471,'Futures Data'!$A$5:$A$3471,A428,'Futures Data'!$B$5:$B$3471,C428)</f>
        <v>20360</v>
      </c>
      <c r="F428" s="11" t="n">
        <f aca="false">_xlfn.MINIFS('Futures Data'!$B$5:$B$3471,'Futures Data'!$A$5:$A$3471,A428,'Futures Data'!$B$5:$B$3471,"&gt;"&amp;C428)</f>
        <v>45828</v>
      </c>
      <c r="G428" s="3" t="n">
        <f aca="false">SUMIFS('Futures Data'!$E$5:$E$3471,'Futures Data'!$A$5:$A$3471,A428,'Futures Data'!$B$5:$B$3471,F428)</f>
        <v>13405</v>
      </c>
      <c r="H428" s="9" t="b">
        <f aca="false">G428&gt;E428</f>
        <v>0</v>
      </c>
      <c r="I428" s="9" t="b">
        <f aca="false">C428&lt;&gt;B428</f>
        <v>0</v>
      </c>
      <c r="J428" s="3" t="n">
        <f aca="false">SUMIFS('Futures Data'!$C$5:$C$3471,'Futures Data'!$A$5:$A$3471,A428,'Futures Data'!$B$5:$B$3471,B428)</f>
        <v>6432</v>
      </c>
      <c r="K428" s="3" t="n">
        <f aca="false">SUMIFS('Futures Data'!$C$5:$C$3471,'Futures Data'!$A$5:$A$3471,A428,'Futures Data'!$B$5:$B$3471,C428)</f>
        <v>6432</v>
      </c>
      <c r="L428" s="3" t="n">
        <f aca="false">K428-J428</f>
        <v>0</v>
      </c>
      <c r="M428" s="3" t="n">
        <f aca="false">M429+L428</f>
        <v>1217</v>
      </c>
      <c r="N428" s="3" t="n">
        <f aca="false">J428+M428</f>
        <v>7649</v>
      </c>
      <c r="O428" s="13" t="n">
        <f aca="false">LN(J428/K427)</f>
        <v>-0.00310462838629718</v>
      </c>
      <c r="P428" s="13" t="n">
        <f aca="false">LN(N428/N427)</f>
        <v>-0.00261130844299322</v>
      </c>
      <c r="Q428" s="3" t="n">
        <f aca="false">SUMIFS('Futures Data'!$D$5:$D$3471,'Futures Data'!$A$5:$A$3471,A428,'Futures Data'!$B$5:$B$3471,B428)</f>
        <v>5130</v>
      </c>
      <c r="R428" s="7" t="n">
        <v>45797</v>
      </c>
      <c r="S428" s="9" t="b">
        <f aca="false">C428=R428</f>
        <v>1</v>
      </c>
      <c r="T428" s="9" t="b">
        <f aca="false">ABS(O428-LN(J428/SUMIFS('Futures Data'!$C$5:$C$3471,'Futures Data'!$A$5:$A$3471,A427,'Futures Data'!$B$5:$B$3471,B428)))&lt;0.000000001</f>
        <v>1</v>
      </c>
    </row>
    <row r="429" customFormat="false" ht="15" hidden="false" customHeight="false" outlineLevel="0" collapsed="false">
      <c r="A429" s="7" t="n">
        <v>45762</v>
      </c>
      <c r="B429" s="11" t="n">
        <f aca="false">C428</f>
        <v>45797</v>
      </c>
      <c r="C429" s="11" t="n">
        <f aca="false">IF(OR(H428,D429&lt;=$G$4),_xlfn.MINIFS('Futures Data'!$B$5:$B$3471,'Futures Data'!$A$5:$A$3471,A429,'Futures Data'!$B$5:$B$3471,"&gt;"&amp;B429),B429)</f>
        <v>45797</v>
      </c>
      <c r="D429" s="3" t="n">
        <f aca="false">COUNTIFS($A$47:$A$790,"&gt;"&amp;A429,$A$47:$A$790,"&lt;="&amp;B429)+IF(B429&gt;$G$5,NETWORKDAYS($G$5+1,B429),0)</f>
        <v>23</v>
      </c>
      <c r="E429" s="3" t="n">
        <f aca="false">SUMIFS('Futures Data'!$E$5:$E$3471,'Futures Data'!$A$5:$A$3471,A429,'Futures Data'!$B$5:$B$3471,C429)</f>
        <v>21040</v>
      </c>
      <c r="F429" s="11" t="n">
        <f aca="false">_xlfn.MINIFS('Futures Data'!$B$5:$B$3471,'Futures Data'!$A$5:$A$3471,A429,'Futures Data'!$B$5:$B$3471,"&gt;"&amp;C429)</f>
        <v>45828</v>
      </c>
      <c r="G429" s="3" t="n">
        <f aca="false">SUMIFS('Futures Data'!$E$5:$E$3471,'Futures Data'!$A$5:$A$3471,A429,'Futures Data'!$B$5:$B$3471,F429)</f>
        <v>14130</v>
      </c>
      <c r="H429" s="9" t="b">
        <f aca="false">G429&gt;E429</f>
        <v>0</v>
      </c>
      <c r="I429" s="9" t="b">
        <f aca="false">C429&lt;&gt;B429</f>
        <v>0</v>
      </c>
      <c r="J429" s="3" t="n">
        <f aca="false">SUMIFS('Futures Data'!$C$5:$C$3471,'Futures Data'!$A$5:$A$3471,A429,'Futures Data'!$B$5:$B$3471,B429)</f>
        <v>6355</v>
      </c>
      <c r="K429" s="3" t="n">
        <f aca="false">SUMIFS('Futures Data'!$C$5:$C$3471,'Futures Data'!$A$5:$A$3471,A429,'Futures Data'!$B$5:$B$3471,C429)</f>
        <v>6355</v>
      </c>
      <c r="L429" s="3" t="n">
        <f aca="false">K429-J429</f>
        <v>0</v>
      </c>
      <c r="M429" s="3" t="n">
        <f aca="false">M430+L429</f>
        <v>1217</v>
      </c>
      <c r="N429" s="3" t="n">
        <f aca="false">J429+M429</f>
        <v>7572</v>
      </c>
      <c r="O429" s="13" t="n">
        <f aca="false">LN(J429/K428)</f>
        <v>-0.0120436272352479</v>
      </c>
      <c r="P429" s="13" t="n">
        <f aca="false">LN(N429/N428)</f>
        <v>-0.0101176869926525</v>
      </c>
      <c r="Q429" s="3" t="n">
        <f aca="false">SUMIFS('Futures Data'!$D$5:$D$3471,'Futures Data'!$A$5:$A$3471,A429,'Futures Data'!$B$5:$B$3471,B429)</f>
        <v>5725</v>
      </c>
      <c r="R429" s="7" t="n">
        <v>45797</v>
      </c>
      <c r="S429" s="9" t="b">
        <f aca="false">C429=R429</f>
        <v>1</v>
      </c>
      <c r="T429" s="9" t="b">
        <f aca="false">ABS(O429-LN(J429/SUMIFS('Futures Data'!$C$5:$C$3471,'Futures Data'!$A$5:$A$3471,A428,'Futures Data'!$B$5:$B$3471,B429)))&lt;0.000000001</f>
        <v>1</v>
      </c>
    </row>
    <row r="430" customFormat="false" ht="15" hidden="false" customHeight="false" outlineLevel="0" collapsed="false">
      <c r="A430" s="7" t="n">
        <v>45763</v>
      </c>
      <c r="B430" s="11" t="n">
        <f aca="false">C429</f>
        <v>45797</v>
      </c>
      <c r="C430" s="11" t="n">
        <f aca="false">IF(OR(H429,D430&lt;=$G$4),_xlfn.MINIFS('Futures Data'!$B$5:$B$3471,'Futures Data'!$A$5:$A$3471,A430,'Futures Data'!$B$5:$B$3471,"&gt;"&amp;B430),B430)</f>
        <v>45797</v>
      </c>
      <c r="D430" s="3" t="n">
        <f aca="false">COUNTIFS($A$47:$A$790,"&gt;"&amp;A430,$A$47:$A$790,"&lt;="&amp;B430)+IF(B430&gt;$G$5,NETWORKDAYS($G$5+1,B430),0)</f>
        <v>22</v>
      </c>
      <c r="E430" s="3" t="n">
        <f aca="false">SUMIFS('Futures Data'!$E$5:$E$3471,'Futures Data'!$A$5:$A$3471,A430,'Futures Data'!$B$5:$B$3471,C430)</f>
        <v>21220</v>
      </c>
      <c r="F430" s="11" t="n">
        <f aca="false">_xlfn.MINIFS('Futures Data'!$B$5:$B$3471,'Futures Data'!$A$5:$A$3471,A430,'Futures Data'!$B$5:$B$3471,"&gt;"&amp;C430)</f>
        <v>45828</v>
      </c>
      <c r="G430" s="3" t="n">
        <f aca="false">SUMIFS('Futures Data'!$E$5:$E$3471,'Futures Data'!$A$5:$A$3471,A430,'Futures Data'!$B$5:$B$3471,F430)</f>
        <v>14410</v>
      </c>
      <c r="H430" s="9" t="b">
        <f aca="false">G430&gt;E430</f>
        <v>0</v>
      </c>
      <c r="I430" s="9" t="b">
        <f aca="false">C430&lt;&gt;B430</f>
        <v>0</v>
      </c>
      <c r="J430" s="3" t="n">
        <f aca="false">SUMIFS('Futures Data'!$C$5:$C$3471,'Futures Data'!$A$5:$A$3471,A430,'Futures Data'!$B$5:$B$3471,B430)</f>
        <v>6372</v>
      </c>
      <c r="K430" s="3" t="n">
        <f aca="false">SUMIFS('Futures Data'!$C$5:$C$3471,'Futures Data'!$A$5:$A$3471,A430,'Futures Data'!$B$5:$B$3471,C430)</f>
        <v>6372</v>
      </c>
      <c r="L430" s="3" t="n">
        <f aca="false">K430-J430</f>
        <v>0</v>
      </c>
      <c r="M430" s="3" t="n">
        <f aca="false">M431+L430</f>
        <v>1217</v>
      </c>
      <c r="N430" s="3" t="n">
        <f aca="false">J430+M430</f>
        <v>7589</v>
      </c>
      <c r="O430" s="13" t="n">
        <f aca="false">LN(J430/K429)</f>
        <v>0.00267148740638473</v>
      </c>
      <c r="P430" s="13" t="n">
        <f aca="false">LN(N430/N429)</f>
        <v>0.00224259707469943</v>
      </c>
      <c r="Q430" s="3" t="n">
        <f aca="false">SUMIFS('Futures Data'!$D$5:$D$3471,'Futures Data'!$A$5:$A$3471,A430,'Futures Data'!$B$5:$B$3471,B430)</f>
        <v>1960</v>
      </c>
      <c r="R430" s="7" t="n">
        <v>45797</v>
      </c>
      <c r="S430" s="9" t="b">
        <f aca="false">C430=R430</f>
        <v>1</v>
      </c>
      <c r="T430" s="9" t="b">
        <f aca="false">ABS(O430-LN(J430/SUMIFS('Futures Data'!$C$5:$C$3471,'Futures Data'!$A$5:$A$3471,A429,'Futures Data'!$B$5:$B$3471,B430)))&lt;0.000000001</f>
        <v>1</v>
      </c>
    </row>
    <row r="431" customFormat="false" ht="15" hidden="false" customHeight="false" outlineLevel="0" collapsed="false">
      <c r="A431" s="7" t="n">
        <v>45764</v>
      </c>
      <c r="B431" s="11" t="n">
        <f aca="false">C430</f>
        <v>45797</v>
      </c>
      <c r="C431" s="11" t="n">
        <f aca="false">IF(OR(H430,D431&lt;=$G$4),_xlfn.MINIFS('Futures Data'!$B$5:$B$3471,'Futures Data'!$A$5:$A$3471,A431,'Futures Data'!$B$5:$B$3471,"&gt;"&amp;B431),B431)</f>
        <v>45797</v>
      </c>
      <c r="D431" s="3" t="n">
        <f aca="false">COUNTIFS($A$47:$A$790,"&gt;"&amp;A431,$A$47:$A$790,"&lt;="&amp;B431)+IF(B431&gt;$G$5,NETWORKDAYS($G$5+1,B431),0)</f>
        <v>21</v>
      </c>
      <c r="E431" s="3" t="n">
        <f aca="false">SUMIFS('Futures Data'!$E$5:$E$3471,'Futures Data'!$A$5:$A$3471,A431,'Futures Data'!$B$5:$B$3471,C431)</f>
        <v>21265</v>
      </c>
      <c r="F431" s="11" t="n">
        <f aca="false">_xlfn.MINIFS('Futures Data'!$B$5:$B$3471,'Futures Data'!$A$5:$A$3471,A431,'Futures Data'!$B$5:$B$3471,"&gt;"&amp;C431)</f>
        <v>45828</v>
      </c>
      <c r="G431" s="3" t="n">
        <f aca="false">SUMIFS('Futures Data'!$E$5:$E$3471,'Futures Data'!$A$5:$A$3471,A431,'Futures Data'!$B$5:$B$3471,F431)</f>
        <v>15265</v>
      </c>
      <c r="H431" s="9" t="b">
        <f aca="false">G431&gt;E431</f>
        <v>0</v>
      </c>
      <c r="I431" s="9" t="b">
        <f aca="false">C431&lt;&gt;B431</f>
        <v>0</v>
      </c>
      <c r="J431" s="3" t="n">
        <f aca="false">SUMIFS('Futures Data'!$C$5:$C$3471,'Futures Data'!$A$5:$A$3471,A431,'Futures Data'!$B$5:$B$3471,B431)</f>
        <v>6402</v>
      </c>
      <c r="K431" s="3" t="n">
        <f aca="false">SUMIFS('Futures Data'!$C$5:$C$3471,'Futures Data'!$A$5:$A$3471,A431,'Futures Data'!$B$5:$B$3471,C431)</f>
        <v>6402</v>
      </c>
      <c r="L431" s="3" t="n">
        <f aca="false">K431-J431</f>
        <v>0</v>
      </c>
      <c r="M431" s="3" t="n">
        <f aca="false">M432+L431</f>
        <v>1217</v>
      </c>
      <c r="N431" s="3" t="n">
        <f aca="false">J431+M431</f>
        <v>7619</v>
      </c>
      <c r="O431" s="13" t="n">
        <f aca="false">LN(J431/K430)</f>
        <v>0.00469704949986916</v>
      </c>
      <c r="P431" s="13" t="n">
        <f aca="false">LN(N431/N430)</f>
        <v>0.00394529706909691</v>
      </c>
      <c r="Q431" s="3" t="n">
        <f aca="false">SUMIFS('Futures Data'!$D$5:$D$3471,'Futures Data'!$A$5:$A$3471,A431,'Futures Data'!$B$5:$B$3471,B431)</f>
        <v>5600</v>
      </c>
      <c r="R431" s="7" t="n">
        <v>45797</v>
      </c>
      <c r="S431" s="9" t="b">
        <f aca="false">C431=R431</f>
        <v>1</v>
      </c>
      <c r="T431" s="9" t="b">
        <f aca="false">ABS(O431-LN(J431/SUMIFS('Futures Data'!$C$5:$C$3471,'Futures Data'!$A$5:$A$3471,A430,'Futures Data'!$B$5:$B$3471,B431)))&lt;0.000000001</f>
        <v>1</v>
      </c>
    </row>
    <row r="432" customFormat="false" ht="15" hidden="false" customHeight="false" outlineLevel="0" collapsed="false">
      <c r="A432" s="7" t="n">
        <v>45768</v>
      </c>
      <c r="B432" s="11" t="n">
        <f aca="false">C431</f>
        <v>45797</v>
      </c>
      <c r="C432" s="11" t="n">
        <f aca="false">IF(OR(H431,D432&lt;=$G$4),_xlfn.MINIFS('Futures Data'!$B$5:$B$3471,'Futures Data'!$A$5:$A$3471,A432,'Futures Data'!$B$5:$B$3471,"&gt;"&amp;B432),B432)</f>
        <v>45797</v>
      </c>
      <c r="D432" s="3" t="n">
        <f aca="false">COUNTIFS($A$47:$A$790,"&gt;"&amp;A432,$A$47:$A$790,"&lt;="&amp;B432)+IF(B432&gt;$G$5,NETWORKDAYS($G$5+1,B432),0)</f>
        <v>20</v>
      </c>
      <c r="E432" s="3" t="n">
        <f aca="false">SUMIFS('Futures Data'!$E$5:$E$3471,'Futures Data'!$A$5:$A$3471,A432,'Futures Data'!$B$5:$B$3471,C432)</f>
        <v>20230</v>
      </c>
      <c r="F432" s="11" t="n">
        <f aca="false">_xlfn.MINIFS('Futures Data'!$B$5:$B$3471,'Futures Data'!$A$5:$A$3471,A432,'Futures Data'!$B$5:$B$3471,"&gt;"&amp;C432)</f>
        <v>45828</v>
      </c>
      <c r="G432" s="3" t="n">
        <f aca="false">SUMIFS('Futures Data'!$E$5:$E$3471,'Futures Data'!$A$5:$A$3471,A432,'Futures Data'!$B$5:$B$3471,F432)</f>
        <v>15985</v>
      </c>
      <c r="H432" s="9" t="b">
        <f aca="false">G432&gt;E432</f>
        <v>0</v>
      </c>
      <c r="I432" s="9" t="b">
        <f aca="false">C432&lt;&gt;B432</f>
        <v>0</v>
      </c>
      <c r="J432" s="3" t="n">
        <f aca="false">SUMIFS('Futures Data'!$C$5:$C$3471,'Futures Data'!$A$5:$A$3471,A432,'Futures Data'!$B$5:$B$3471,B432)</f>
        <v>6360</v>
      </c>
      <c r="K432" s="3" t="n">
        <f aca="false">SUMIFS('Futures Data'!$C$5:$C$3471,'Futures Data'!$A$5:$A$3471,A432,'Futures Data'!$B$5:$B$3471,C432)</f>
        <v>6360</v>
      </c>
      <c r="L432" s="3" t="n">
        <f aca="false">K432-J432</f>
        <v>0</v>
      </c>
      <c r="M432" s="3" t="n">
        <f aca="false">M433+L432</f>
        <v>1217</v>
      </c>
      <c r="N432" s="3" t="n">
        <f aca="false">J432+M432</f>
        <v>7577</v>
      </c>
      <c r="O432" s="13" t="n">
        <f aca="false">LN(J432/K431)</f>
        <v>-0.00658206419564056</v>
      </c>
      <c r="P432" s="13" t="n">
        <f aca="false">LN(N432/N431)</f>
        <v>-0.00552778454163625</v>
      </c>
      <c r="Q432" s="3" t="n">
        <f aca="false">SUMIFS('Futures Data'!$D$5:$D$3471,'Futures Data'!$A$5:$A$3471,A432,'Futures Data'!$B$5:$B$3471,B432)</f>
        <v>5510</v>
      </c>
      <c r="R432" s="7" t="n">
        <v>45797</v>
      </c>
      <c r="S432" s="9" t="b">
        <f aca="false">C432=R432</f>
        <v>1</v>
      </c>
      <c r="T432" s="9" t="b">
        <f aca="false">ABS(O432-LN(J432/SUMIFS('Futures Data'!$C$5:$C$3471,'Futures Data'!$A$5:$A$3471,A431,'Futures Data'!$B$5:$B$3471,B432)))&lt;0.000000001</f>
        <v>1</v>
      </c>
    </row>
    <row r="433" customFormat="false" ht="15" hidden="false" customHeight="false" outlineLevel="0" collapsed="false">
      <c r="A433" s="7" t="n">
        <v>45769</v>
      </c>
      <c r="B433" s="11" t="n">
        <f aca="false">C432</f>
        <v>45797</v>
      </c>
      <c r="C433" s="11" t="n">
        <f aca="false">IF(OR(H432,D433&lt;=$G$4),_xlfn.MINIFS('Futures Data'!$B$5:$B$3471,'Futures Data'!$A$5:$A$3471,A433,'Futures Data'!$B$5:$B$3471,"&gt;"&amp;B433),B433)</f>
        <v>45797</v>
      </c>
      <c r="D433" s="3" t="n">
        <f aca="false">COUNTIFS($A$47:$A$790,"&gt;"&amp;A433,$A$47:$A$790,"&lt;="&amp;B433)+IF(B433&gt;$G$5,NETWORKDAYS($G$5+1,B433),0)</f>
        <v>19</v>
      </c>
      <c r="E433" s="3" t="n">
        <f aca="false">SUMIFS('Futures Data'!$E$5:$E$3471,'Futures Data'!$A$5:$A$3471,A433,'Futures Data'!$B$5:$B$3471,C433)</f>
        <v>18405</v>
      </c>
      <c r="F433" s="11" t="n">
        <f aca="false">_xlfn.MINIFS('Futures Data'!$B$5:$B$3471,'Futures Data'!$A$5:$A$3471,A433,'Futures Data'!$B$5:$B$3471,"&gt;"&amp;C433)</f>
        <v>45828</v>
      </c>
      <c r="G433" s="3" t="n">
        <f aca="false">SUMIFS('Futures Data'!$E$5:$E$3471,'Futures Data'!$A$5:$A$3471,A433,'Futures Data'!$B$5:$B$3471,F433)</f>
        <v>16285</v>
      </c>
      <c r="H433" s="9" t="b">
        <f aca="false">G433&gt;E433</f>
        <v>0</v>
      </c>
      <c r="I433" s="9" t="b">
        <f aca="false">C433&lt;&gt;B433</f>
        <v>0</v>
      </c>
      <c r="J433" s="3" t="n">
        <f aca="false">SUMIFS('Futures Data'!$C$5:$C$3471,'Futures Data'!$A$5:$A$3471,A433,'Futures Data'!$B$5:$B$3471,B433)</f>
        <v>6313</v>
      </c>
      <c r="K433" s="3" t="n">
        <f aca="false">SUMIFS('Futures Data'!$C$5:$C$3471,'Futures Data'!$A$5:$A$3471,A433,'Futures Data'!$B$5:$B$3471,C433)</f>
        <v>6313</v>
      </c>
      <c r="L433" s="3" t="n">
        <f aca="false">K433-J433</f>
        <v>0</v>
      </c>
      <c r="M433" s="3" t="n">
        <f aca="false">M434+L433</f>
        <v>1217</v>
      </c>
      <c r="N433" s="3" t="n">
        <f aca="false">J433+M433</f>
        <v>7530</v>
      </c>
      <c r="O433" s="13" t="n">
        <f aca="false">LN(J433/K432)</f>
        <v>-0.00741737796654223</v>
      </c>
      <c r="P433" s="13" t="n">
        <f aca="false">LN(N433/N432)</f>
        <v>-0.00622230113743411</v>
      </c>
      <c r="Q433" s="3" t="n">
        <f aca="false">SUMIFS('Futures Data'!$D$5:$D$3471,'Futures Data'!$A$5:$A$3471,A433,'Futures Data'!$B$5:$B$3471,B433)</f>
        <v>6630</v>
      </c>
      <c r="R433" s="7" t="n">
        <v>45797</v>
      </c>
      <c r="S433" s="9" t="b">
        <f aca="false">C433=R433</f>
        <v>1</v>
      </c>
      <c r="T433" s="9" t="b">
        <f aca="false">ABS(O433-LN(J433/SUMIFS('Futures Data'!$C$5:$C$3471,'Futures Data'!$A$5:$A$3471,A432,'Futures Data'!$B$5:$B$3471,B433)))&lt;0.000000001</f>
        <v>1</v>
      </c>
    </row>
    <row r="434" customFormat="false" ht="15" hidden="false" customHeight="false" outlineLevel="0" collapsed="false">
      <c r="A434" s="7" t="n">
        <v>45770</v>
      </c>
      <c r="B434" s="11" t="n">
        <f aca="false">C433</f>
        <v>45797</v>
      </c>
      <c r="C434" s="11" t="n">
        <f aca="false">IF(OR(H433,D434&lt;=$G$4),_xlfn.MINIFS('Futures Data'!$B$5:$B$3471,'Futures Data'!$A$5:$A$3471,A434,'Futures Data'!$B$5:$B$3471,"&gt;"&amp;B434),B434)</f>
        <v>45797</v>
      </c>
      <c r="D434" s="3" t="n">
        <f aca="false">COUNTIFS($A$47:$A$790,"&gt;"&amp;A434,$A$47:$A$790,"&lt;="&amp;B434)+IF(B434&gt;$G$5,NETWORKDAYS($G$5+1,B434),0)</f>
        <v>18</v>
      </c>
      <c r="E434" s="3" t="n">
        <f aca="false">SUMIFS('Futures Data'!$E$5:$E$3471,'Futures Data'!$A$5:$A$3471,A434,'Futures Data'!$B$5:$B$3471,C434)</f>
        <v>17885</v>
      </c>
      <c r="F434" s="11" t="n">
        <f aca="false">_xlfn.MINIFS('Futures Data'!$B$5:$B$3471,'Futures Data'!$A$5:$A$3471,A434,'Futures Data'!$B$5:$B$3471,"&gt;"&amp;C434)</f>
        <v>45828</v>
      </c>
      <c r="G434" s="3" t="n">
        <f aca="false">SUMIFS('Futures Data'!$E$5:$E$3471,'Futures Data'!$A$5:$A$3471,A434,'Futures Data'!$B$5:$B$3471,F434)</f>
        <v>16705</v>
      </c>
      <c r="H434" s="9" t="b">
        <f aca="false">G434&gt;E434</f>
        <v>0</v>
      </c>
      <c r="I434" s="9" t="b">
        <f aca="false">C434&lt;&gt;B434</f>
        <v>0</v>
      </c>
      <c r="J434" s="3" t="n">
        <f aca="false">SUMIFS('Futures Data'!$C$5:$C$3471,'Futures Data'!$A$5:$A$3471,A434,'Futures Data'!$B$5:$B$3471,B434)</f>
        <v>6249</v>
      </c>
      <c r="K434" s="3" t="n">
        <f aca="false">SUMIFS('Futures Data'!$C$5:$C$3471,'Futures Data'!$A$5:$A$3471,A434,'Futures Data'!$B$5:$B$3471,C434)</f>
        <v>6249</v>
      </c>
      <c r="L434" s="3" t="n">
        <f aca="false">K434-J434</f>
        <v>0</v>
      </c>
      <c r="M434" s="3" t="n">
        <f aca="false">M435+L434</f>
        <v>1217</v>
      </c>
      <c r="N434" s="3" t="n">
        <f aca="false">J434+M434</f>
        <v>7466</v>
      </c>
      <c r="O434" s="13" t="n">
        <f aca="false">LN(J434/K433)</f>
        <v>-0.010189548438544</v>
      </c>
      <c r="P434" s="13" t="n">
        <f aca="false">LN(N434/N433)</f>
        <v>-0.00853566131941008</v>
      </c>
      <c r="Q434" s="3" t="n">
        <f aca="false">SUMIFS('Futures Data'!$D$5:$D$3471,'Futures Data'!$A$5:$A$3471,A434,'Futures Data'!$B$5:$B$3471,B434)</f>
        <v>4455</v>
      </c>
      <c r="R434" s="7" t="n">
        <v>45797</v>
      </c>
      <c r="S434" s="9" t="b">
        <f aca="false">C434=R434</f>
        <v>1</v>
      </c>
      <c r="T434" s="9" t="b">
        <f aca="false">ABS(O434-LN(J434/SUMIFS('Futures Data'!$C$5:$C$3471,'Futures Data'!$A$5:$A$3471,A433,'Futures Data'!$B$5:$B$3471,B434)))&lt;0.000000001</f>
        <v>1</v>
      </c>
    </row>
    <row r="435" customFormat="false" ht="15" hidden="false" customHeight="false" outlineLevel="0" collapsed="false">
      <c r="A435" s="7" t="n">
        <v>45771</v>
      </c>
      <c r="B435" s="11" t="n">
        <f aca="false">C434</f>
        <v>45797</v>
      </c>
      <c r="C435" s="11" t="n">
        <f aca="false">IF(OR(H434,D435&lt;=$G$4),_xlfn.MINIFS('Futures Data'!$B$5:$B$3471,'Futures Data'!$A$5:$A$3471,A435,'Futures Data'!$B$5:$B$3471,"&gt;"&amp;B435),B435)</f>
        <v>45797</v>
      </c>
      <c r="D435" s="3" t="n">
        <f aca="false">COUNTIFS($A$47:$A$790,"&gt;"&amp;A435,$A$47:$A$790,"&lt;="&amp;B435)+IF(B435&gt;$G$5,NETWORKDAYS($G$5+1,B435),0)</f>
        <v>17</v>
      </c>
      <c r="E435" s="3" t="n">
        <f aca="false">SUMIFS('Futures Data'!$E$5:$E$3471,'Futures Data'!$A$5:$A$3471,A435,'Futures Data'!$B$5:$B$3471,C435)</f>
        <v>17650</v>
      </c>
      <c r="F435" s="11" t="n">
        <f aca="false">_xlfn.MINIFS('Futures Data'!$B$5:$B$3471,'Futures Data'!$A$5:$A$3471,A435,'Futures Data'!$B$5:$B$3471,"&gt;"&amp;C435)</f>
        <v>45828</v>
      </c>
      <c r="G435" s="3" t="n">
        <f aca="false">SUMIFS('Futures Data'!$E$5:$E$3471,'Futures Data'!$A$5:$A$3471,A435,'Futures Data'!$B$5:$B$3471,F435)</f>
        <v>16925</v>
      </c>
      <c r="H435" s="9" t="b">
        <f aca="false">G435&gt;E435</f>
        <v>0</v>
      </c>
      <c r="I435" s="9" t="b">
        <f aca="false">C435&lt;&gt;B435</f>
        <v>0</v>
      </c>
      <c r="J435" s="3" t="n">
        <f aca="false">SUMIFS('Futures Data'!$C$5:$C$3471,'Futures Data'!$A$5:$A$3471,A435,'Futures Data'!$B$5:$B$3471,B435)</f>
        <v>6249</v>
      </c>
      <c r="K435" s="3" t="n">
        <f aca="false">SUMIFS('Futures Data'!$C$5:$C$3471,'Futures Data'!$A$5:$A$3471,A435,'Futures Data'!$B$5:$B$3471,C435)</f>
        <v>6249</v>
      </c>
      <c r="L435" s="3" t="n">
        <f aca="false">K435-J435</f>
        <v>0</v>
      </c>
      <c r="M435" s="3" t="n">
        <f aca="false">M436+L435</f>
        <v>1217</v>
      </c>
      <c r="N435" s="3" t="n">
        <f aca="false">J435+M435</f>
        <v>7466</v>
      </c>
      <c r="O435" s="13" t="n">
        <f aca="false">LN(J435/K434)</f>
        <v>0</v>
      </c>
      <c r="P435" s="13" t="n">
        <f aca="false">LN(N435/N434)</f>
        <v>0</v>
      </c>
      <c r="Q435" s="3" t="n">
        <f aca="false">SUMIFS('Futures Data'!$D$5:$D$3471,'Futures Data'!$A$5:$A$3471,A435,'Futures Data'!$B$5:$B$3471,B435)</f>
        <v>2805</v>
      </c>
      <c r="R435" s="7" t="n">
        <v>45797</v>
      </c>
      <c r="S435" s="9" t="b">
        <f aca="false">C435=R435</f>
        <v>1</v>
      </c>
      <c r="T435" s="9" t="b">
        <f aca="false">ABS(O435-LN(J435/SUMIFS('Futures Data'!$C$5:$C$3471,'Futures Data'!$A$5:$A$3471,A434,'Futures Data'!$B$5:$B$3471,B435)))&lt;0.000000001</f>
        <v>1</v>
      </c>
    </row>
    <row r="436" customFormat="false" ht="15" hidden="false" customHeight="false" outlineLevel="0" collapsed="false">
      <c r="A436" s="7" t="n">
        <v>45772</v>
      </c>
      <c r="B436" s="11" t="n">
        <f aca="false">C435</f>
        <v>45797</v>
      </c>
      <c r="C436" s="11" t="n">
        <f aca="false">IF(OR(H435,D436&lt;=$G$4),_xlfn.MINIFS('Futures Data'!$B$5:$B$3471,'Futures Data'!$A$5:$A$3471,A436,'Futures Data'!$B$5:$B$3471,"&gt;"&amp;B436),B436)</f>
        <v>45797</v>
      </c>
      <c r="D436" s="3" t="n">
        <f aca="false">COUNTIFS($A$47:$A$790,"&gt;"&amp;A436,$A$47:$A$790,"&lt;="&amp;B436)+IF(B436&gt;$G$5,NETWORKDAYS($G$5+1,B436),0)</f>
        <v>16</v>
      </c>
      <c r="E436" s="3" t="n">
        <f aca="false">SUMIFS('Futures Data'!$E$5:$E$3471,'Futures Data'!$A$5:$A$3471,A436,'Futures Data'!$B$5:$B$3471,C436)</f>
        <v>17690</v>
      </c>
      <c r="F436" s="11" t="n">
        <f aca="false">_xlfn.MINIFS('Futures Data'!$B$5:$B$3471,'Futures Data'!$A$5:$A$3471,A436,'Futures Data'!$B$5:$B$3471,"&gt;"&amp;C436)</f>
        <v>45828</v>
      </c>
      <c r="G436" s="3" t="n">
        <f aca="false">SUMIFS('Futures Data'!$E$5:$E$3471,'Futures Data'!$A$5:$A$3471,A436,'Futures Data'!$B$5:$B$3471,F436)</f>
        <v>17465</v>
      </c>
      <c r="H436" s="9" t="b">
        <f aca="false">G436&gt;E436</f>
        <v>0</v>
      </c>
      <c r="I436" s="9" t="b">
        <f aca="false">C436&lt;&gt;B436</f>
        <v>0</v>
      </c>
      <c r="J436" s="3" t="n">
        <f aca="false">SUMIFS('Futures Data'!$C$5:$C$3471,'Futures Data'!$A$5:$A$3471,A436,'Futures Data'!$B$5:$B$3471,B436)</f>
        <v>6288</v>
      </c>
      <c r="K436" s="3" t="n">
        <f aca="false">SUMIFS('Futures Data'!$C$5:$C$3471,'Futures Data'!$A$5:$A$3471,A436,'Futures Data'!$B$5:$B$3471,C436)</f>
        <v>6288</v>
      </c>
      <c r="L436" s="3" t="n">
        <f aca="false">K436-J436</f>
        <v>0</v>
      </c>
      <c r="M436" s="3" t="n">
        <f aca="false">M437+L436</f>
        <v>1217</v>
      </c>
      <c r="N436" s="3" t="n">
        <f aca="false">J436+M436</f>
        <v>7505</v>
      </c>
      <c r="O436" s="13" t="n">
        <f aca="false">LN(J436/K435)</f>
        <v>0.00622160417996079</v>
      </c>
      <c r="P436" s="13" t="n">
        <f aca="false">LN(N436/N435)</f>
        <v>0.00521008459303316</v>
      </c>
      <c r="Q436" s="3" t="n">
        <f aca="false">SUMIFS('Futures Data'!$D$5:$D$3471,'Futures Data'!$A$5:$A$3471,A436,'Futures Data'!$B$5:$B$3471,B436)</f>
        <v>3355</v>
      </c>
      <c r="R436" s="7" t="n">
        <v>45797</v>
      </c>
      <c r="S436" s="9" t="b">
        <f aca="false">C436=R436</f>
        <v>1</v>
      </c>
      <c r="T436" s="9" t="b">
        <f aca="false">ABS(O436-LN(J436/SUMIFS('Futures Data'!$C$5:$C$3471,'Futures Data'!$A$5:$A$3471,A435,'Futures Data'!$B$5:$B$3471,B436)))&lt;0.000000001</f>
        <v>1</v>
      </c>
    </row>
    <row r="437" customFormat="false" ht="15" hidden="false" customHeight="false" outlineLevel="0" collapsed="false">
      <c r="A437" s="7" t="n">
        <v>45775</v>
      </c>
      <c r="B437" s="11" t="n">
        <f aca="false">C436</f>
        <v>45797</v>
      </c>
      <c r="C437" s="11" t="n">
        <f aca="false">IF(OR(H436,D437&lt;=$G$4),_xlfn.MINIFS('Futures Data'!$B$5:$B$3471,'Futures Data'!$A$5:$A$3471,A437,'Futures Data'!$B$5:$B$3471,"&gt;"&amp;B437),B437)</f>
        <v>45797</v>
      </c>
      <c r="D437" s="3" t="n">
        <f aca="false">COUNTIFS($A$47:$A$790,"&gt;"&amp;A437,$A$47:$A$790,"&lt;="&amp;B437)+IF(B437&gt;$G$5,NETWORKDAYS($G$5+1,B437),0)</f>
        <v>15</v>
      </c>
      <c r="E437" s="3" t="n">
        <f aca="false">SUMIFS('Futures Data'!$E$5:$E$3471,'Futures Data'!$A$5:$A$3471,A437,'Futures Data'!$B$5:$B$3471,C437)</f>
        <v>17560</v>
      </c>
      <c r="F437" s="11" t="n">
        <f aca="false">_xlfn.MINIFS('Futures Data'!$B$5:$B$3471,'Futures Data'!$A$5:$A$3471,A437,'Futures Data'!$B$5:$B$3471,"&gt;"&amp;C437)</f>
        <v>45828</v>
      </c>
      <c r="G437" s="3" t="n">
        <f aca="false">SUMIFS('Futures Data'!$E$5:$E$3471,'Futures Data'!$A$5:$A$3471,A437,'Futures Data'!$B$5:$B$3471,F437)</f>
        <v>18605</v>
      </c>
      <c r="H437" s="9" t="b">
        <f aca="false">G437&gt;E437</f>
        <v>1</v>
      </c>
      <c r="I437" s="9" t="b">
        <f aca="false">C437&lt;&gt;B437</f>
        <v>0</v>
      </c>
      <c r="J437" s="3" t="n">
        <f aca="false">SUMIFS('Futures Data'!$C$5:$C$3471,'Futures Data'!$A$5:$A$3471,A437,'Futures Data'!$B$5:$B$3471,B437)</f>
        <v>6252</v>
      </c>
      <c r="K437" s="3" t="n">
        <f aca="false">SUMIFS('Futures Data'!$C$5:$C$3471,'Futures Data'!$A$5:$A$3471,A437,'Futures Data'!$B$5:$B$3471,C437)</f>
        <v>6252</v>
      </c>
      <c r="L437" s="3" t="n">
        <f aca="false">K437-J437</f>
        <v>0</v>
      </c>
      <c r="M437" s="3" t="n">
        <f aca="false">M438+L437</f>
        <v>1217</v>
      </c>
      <c r="N437" s="3" t="n">
        <f aca="false">J437+M437</f>
        <v>7469</v>
      </c>
      <c r="O437" s="13" t="n">
        <f aca="false">LN(J437/K436)</f>
        <v>-0.00574164256767528</v>
      </c>
      <c r="P437" s="13" t="n">
        <f aca="false">LN(N437/N436)</f>
        <v>-0.00480834371049563</v>
      </c>
      <c r="Q437" s="3" t="n">
        <f aca="false">SUMIFS('Futures Data'!$D$5:$D$3471,'Futures Data'!$A$5:$A$3471,A437,'Futures Data'!$B$5:$B$3471,B437)</f>
        <v>3790</v>
      </c>
      <c r="R437" s="7" t="n">
        <v>45797</v>
      </c>
      <c r="S437" s="9" t="b">
        <f aca="false">C437=R437</f>
        <v>1</v>
      </c>
      <c r="T437" s="9" t="b">
        <f aca="false">ABS(O437-LN(J437/SUMIFS('Futures Data'!$C$5:$C$3471,'Futures Data'!$A$5:$A$3471,A436,'Futures Data'!$B$5:$B$3471,B437)))&lt;0.000000001</f>
        <v>1</v>
      </c>
    </row>
    <row r="438" customFormat="false" ht="15" hidden="false" customHeight="false" outlineLevel="0" collapsed="false">
      <c r="A438" s="7" t="n">
        <v>45776</v>
      </c>
      <c r="B438" s="11" t="n">
        <f aca="false">C437</f>
        <v>45797</v>
      </c>
      <c r="C438" s="11" t="n">
        <f aca="false">IF(OR(H437,D438&lt;=$G$4),_xlfn.MINIFS('Futures Data'!$B$5:$B$3471,'Futures Data'!$A$5:$A$3471,A438,'Futures Data'!$B$5:$B$3471,"&gt;"&amp;B438),B438)</f>
        <v>45828</v>
      </c>
      <c r="D438" s="3" t="n">
        <f aca="false">COUNTIFS($A$47:$A$790,"&gt;"&amp;A438,$A$47:$A$790,"&lt;="&amp;B438)+IF(B438&gt;$G$5,NETWORKDAYS($G$5+1,B438),0)</f>
        <v>14</v>
      </c>
      <c r="E438" s="3" t="n">
        <f aca="false">SUMIFS('Futures Data'!$E$5:$E$3471,'Futures Data'!$A$5:$A$3471,A438,'Futures Data'!$B$5:$B$3471,C438)</f>
        <v>18820</v>
      </c>
      <c r="F438" s="11" t="n">
        <f aca="false">_xlfn.MINIFS('Futures Data'!$B$5:$B$3471,'Futures Data'!$A$5:$A$3471,A438,'Futures Data'!$B$5:$B$3471,"&gt;"&amp;C438)</f>
        <v>45856</v>
      </c>
      <c r="G438" s="3" t="n">
        <f aca="false">SUMIFS('Futures Data'!$E$5:$E$3471,'Futures Data'!$A$5:$A$3471,A438,'Futures Data'!$B$5:$B$3471,F438)</f>
        <v>10</v>
      </c>
      <c r="H438" s="9" t="b">
        <f aca="false">G438&gt;E438</f>
        <v>0</v>
      </c>
      <c r="I438" s="9" t="b">
        <f aca="false">C438&lt;&gt;B438</f>
        <v>1</v>
      </c>
      <c r="J438" s="3" t="n">
        <f aca="false">SUMIFS('Futures Data'!$C$5:$C$3471,'Futures Data'!$A$5:$A$3471,A438,'Futures Data'!$B$5:$B$3471,B438)</f>
        <v>6261</v>
      </c>
      <c r="K438" s="3" t="n">
        <f aca="false">SUMIFS('Futures Data'!$C$5:$C$3471,'Futures Data'!$A$5:$A$3471,A438,'Futures Data'!$B$5:$B$3471,C438)</f>
        <v>6326</v>
      </c>
      <c r="L438" s="3" t="n">
        <f aca="false">K438-J438</f>
        <v>65</v>
      </c>
      <c r="M438" s="3" t="n">
        <f aca="false">M439+L438</f>
        <v>1217</v>
      </c>
      <c r="N438" s="3" t="n">
        <f aca="false">J438+M438</f>
        <v>7478</v>
      </c>
      <c r="O438" s="13" t="n">
        <f aca="false">LN(J438/K437)</f>
        <v>0.00143850420394331</v>
      </c>
      <c r="P438" s="13" t="n">
        <f aca="false">LN(N438/N437)</f>
        <v>0.00120425517999229</v>
      </c>
      <c r="Q438" s="3" t="n">
        <f aca="false">SUMIFS('Futures Data'!$D$5:$D$3471,'Futures Data'!$A$5:$A$3471,A438,'Futures Data'!$B$5:$B$3471,B438)</f>
        <v>2340</v>
      </c>
      <c r="R438" s="7" t="n">
        <v>45828</v>
      </c>
      <c r="S438" s="9" t="b">
        <f aca="false">C438=R438</f>
        <v>1</v>
      </c>
      <c r="T438" s="9" t="b">
        <f aca="false">ABS(O438-LN(J438/SUMIFS('Futures Data'!$C$5:$C$3471,'Futures Data'!$A$5:$A$3471,A437,'Futures Data'!$B$5:$B$3471,B438)))&lt;0.000000001</f>
        <v>1</v>
      </c>
    </row>
    <row r="439" customFormat="false" ht="15" hidden="false" customHeight="false" outlineLevel="0" collapsed="false">
      <c r="A439" s="7" t="n">
        <v>45777</v>
      </c>
      <c r="B439" s="11" t="n">
        <f aca="false">C438</f>
        <v>45828</v>
      </c>
      <c r="C439" s="11" t="n">
        <f aca="false">IF(OR(H438,D439&lt;=$G$4),_xlfn.MINIFS('Futures Data'!$B$5:$B$3471,'Futures Data'!$A$5:$A$3471,A439,'Futures Data'!$B$5:$B$3471,"&gt;"&amp;B439),B439)</f>
        <v>45828</v>
      </c>
      <c r="D439" s="3" t="n">
        <f aca="false">COUNTIFS($A$47:$A$790,"&gt;"&amp;A439,$A$47:$A$790,"&lt;="&amp;B439)+IF(B439&gt;$G$5,NETWORKDAYS($G$5+1,B439),0)</f>
        <v>36</v>
      </c>
      <c r="E439" s="3" t="n">
        <f aca="false">SUMIFS('Futures Data'!$E$5:$E$3471,'Futures Data'!$A$5:$A$3471,A439,'Futures Data'!$B$5:$B$3471,C439)</f>
        <v>19120</v>
      </c>
      <c r="F439" s="11" t="n">
        <f aca="false">_xlfn.MINIFS('Futures Data'!$B$5:$B$3471,'Futures Data'!$A$5:$A$3471,A439,'Futures Data'!$B$5:$B$3471,"&gt;"&amp;C439)</f>
        <v>45856</v>
      </c>
      <c r="G439" s="3" t="n">
        <f aca="false">SUMIFS('Futures Data'!$E$5:$E$3471,'Futures Data'!$A$5:$A$3471,A439,'Futures Data'!$B$5:$B$3471,F439)</f>
        <v>30</v>
      </c>
      <c r="H439" s="9" t="b">
        <f aca="false">G439&gt;E439</f>
        <v>0</v>
      </c>
      <c r="I439" s="9" t="b">
        <f aca="false">C439&lt;&gt;B439</f>
        <v>0</v>
      </c>
      <c r="J439" s="3" t="n">
        <f aca="false">SUMIFS('Futures Data'!$C$5:$C$3471,'Futures Data'!$A$5:$A$3471,A439,'Futures Data'!$B$5:$B$3471,B439)</f>
        <v>6293</v>
      </c>
      <c r="K439" s="3" t="n">
        <f aca="false">SUMIFS('Futures Data'!$C$5:$C$3471,'Futures Data'!$A$5:$A$3471,A439,'Futures Data'!$B$5:$B$3471,C439)</f>
        <v>6293</v>
      </c>
      <c r="L439" s="3" t="n">
        <f aca="false">K439-J439</f>
        <v>0</v>
      </c>
      <c r="M439" s="3" t="n">
        <f aca="false">M440+L439</f>
        <v>1152</v>
      </c>
      <c r="N439" s="3" t="n">
        <f aca="false">J439+M439</f>
        <v>7445</v>
      </c>
      <c r="O439" s="13" t="n">
        <f aca="false">LN(J439/K438)</f>
        <v>-0.00523022033866059</v>
      </c>
      <c r="P439" s="13" t="n">
        <f aca="false">LN(N439/N438)</f>
        <v>-0.0044227104189497</v>
      </c>
      <c r="Q439" s="3" t="n">
        <f aca="false">SUMIFS('Futures Data'!$D$5:$D$3471,'Futures Data'!$A$5:$A$3471,A439,'Futures Data'!$B$5:$B$3471,B439)</f>
        <v>3535</v>
      </c>
      <c r="R439" s="7" t="n">
        <v>45828</v>
      </c>
      <c r="S439" s="9" t="b">
        <f aca="false">C439=R439</f>
        <v>1</v>
      </c>
      <c r="T439" s="9" t="b">
        <f aca="false">ABS(O439-LN(J439/SUMIFS('Futures Data'!$C$5:$C$3471,'Futures Data'!$A$5:$A$3471,A438,'Futures Data'!$B$5:$B$3471,B439)))&lt;0.000000001</f>
        <v>1</v>
      </c>
    </row>
    <row r="440" customFormat="false" ht="15" hidden="false" customHeight="false" outlineLevel="0" collapsed="false">
      <c r="A440" s="7" t="n">
        <v>45779</v>
      </c>
      <c r="B440" s="11" t="n">
        <f aca="false">C439</f>
        <v>45828</v>
      </c>
      <c r="C440" s="11" t="n">
        <f aca="false">IF(OR(H439,D440&lt;=$G$4),_xlfn.MINIFS('Futures Data'!$B$5:$B$3471,'Futures Data'!$A$5:$A$3471,A440,'Futures Data'!$B$5:$B$3471,"&gt;"&amp;B440),B440)</f>
        <v>45828</v>
      </c>
      <c r="D440" s="3" t="n">
        <f aca="false">COUNTIFS($A$47:$A$790,"&gt;"&amp;A440,$A$47:$A$790,"&lt;="&amp;B440)+IF(B440&gt;$G$5,NETWORKDAYS($G$5+1,B440),0)</f>
        <v>35</v>
      </c>
      <c r="E440" s="3" t="n">
        <f aca="false">SUMIFS('Futures Data'!$E$5:$E$3471,'Futures Data'!$A$5:$A$3471,A440,'Futures Data'!$B$5:$B$3471,C440)</f>
        <v>19750</v>
      </c>
      <c r="F440" s="11" t="n">
        <f aca="false">_xlfn.MINIFS('Futures Data'!$B$5:$B$3471,'Futures Data'!$A$5:$A$3471,A440,'Futures Data'!$B$5:$B$3471,"&gt;"&amp;C440)</f>
        <v>45856</v>
      </c>
      <c r="G440" s="3" t="n">
        <f aca="false">SUMIFS('Futures Data'!$E$5:$E$3471,'Futures Data'!$A$5:$A$3471,A440,'Futures Data'!$B$5:$B$3471,F440)</f>
        <v>30</v>
      </c>
      <c r="H440" s="9" t="b">
        <f aca="false">G440&gt;E440</f>
        <v>0</v>
      </c>
      <c r="I440" s="9" t="b">
        <f aca="false">C440&lt;&gt;B440</f>
        <v>0</v>
      </c>
      <c r="J440" s="3" t="n">
        <f aca="false">SUMIFS('Futures Data'!$C$5:$C$3471,'Futures Data'!$A$5:$A$3471,A440,'Futures Data'!$B$5:$B$3471,B440)</f>
        <v>6311</v>
      </c>
      <c r="K440" s="3" t="n">
        <f aca="false">SUMIFS('Futures Data'!$C$5:$C$3471,'Futures Data'!$A$5:$A$3471,A440,'Futures Data'!$B$5:$B$3471,C440)</f>
        <v>6311</v>
      </c>
      <c r="L440" s="3" t="n">
        <f aca="false">K440-J440</f>
        <v>0</v>
      </c>
      <c r="M440" s="3" t="n">
        <f aca="false">M441+L440</f>
        <v>1152</v>
      </c>
      <c r="N440" s="3" t="n">
        <f aca="false">J440+M440</f>
        <v>7463</v>
      </c>
      <c r="O440" s="13" t="n">
        <f aca="false">LN(J440/K439)</f>
        <v>0.00285623805730585</v>
      </c>
      <c r="P440" s="13" t="n">
        <f aca="false">LN(N440/N439)</f>
        <v>0.0024148120132781</v>
      </c>
      <c r="Q440" s="3" t="n">
        <f aca="false">SUMIFS('Futures Data'!$D$5:$D$3471,'Futures Data'!$A$5:$A$3471,A440,'Futures Data'!$B$5:$B$3471,B440)</f>
        <v>2505</v>
      </c>
      <c r="R440" s="7" t="n">
        <v>45828</v>
      </c>
      <c r="S440" s="9" t="b">
        <f aca="false">C440=R440</f>
        <v>1</v>
      </c>
      <c r="T440" s="9" t="b">
        <f aca="false">ABS(O440-LN(J440/SUMIFS('Futures Data'!$C$5:$C$3471,'Futures Data'!$A$5:$A$3471,A439,'Futures Data'!$B$5:$B$3471,B440)))&lt;0.000000001</f>
        <v>1</v>
      </c>
    </row>
    <row r="441" customFormat="false" ht="15" hidden="false" customHeight="false" outlineLevel="0" collapsed="false">
      <c r="A441" s="7" t="n">
        <v>45782</v>
      </c>
      <c r="B441" s="11" t="n">
        <f aca="false">C440</f>
        <v>45828</v>
      </c>
      <c r="C441" s="11" t="n">
        <f aca="false">IF(OR(H440,D441&lt;=$G$4),_xlfn.MINIFS('Futures Data'!$B$5:$B$3471,'Futures Data'!$A$5:$A$3471,A441,'Futures Data'!$B$5:$B$3471,"&gt;"&amp;B441),B441)</f>
        <v>45828</v>
      </c>
      <c r="D441" s="3" t="n">
        <f aca="false">COUNTIFS($A$47:$A$790,"&gt;"&amp;A441,$A$47:$A$790,"&lt;="&amp;B441)+IF(B441&gt;$G$5,NETWORKDAYS($G$5+1,B441),0)</f>
        <v>34</v>
      </c>
      <c r="E441" s="3" t="n">
        <f aca="false">SUMIFS('Futures Data'!$E$5:$E$3471,'Futures Data'!$A$5:$A$3471,A441,'Futures Data'!$B$5:$B$3471,C441)</f>
        <v>20910</v>
      </c>
      <c r="F441" s="11" t="n">
        <f aca="false">_xlfn.MINIFS('Futures Data'!$B$5:$B$3471,'Futures Data'!$A$5:$A$3471,A441,'Futures Data'!$B$5:$B$3471,"&gt;"&amp;C441)</f>
        <v>45856</v>
      </c>
      <c r="G441" s="3" t="n">
        <f aca="false">SUMIFS('Futures Data'!$E$5:$E$3471,'Futures Data'!$A$5:$A$3471,A441,'Futures Data'!$B$5:$B$3471,F441)</f>
        <v>80</v>
      </c>
      <c r="H441" s="9" t="b">
        <f aca="false">G441&gt;E441</f>
        <v>0</v>
      </c>
      <c r="I441" s="9" t="b">
        <f aca="false">C441&lt;&gt;B441</f>
        <v>0</v>
      </c>
      <c r="J441" s="3" t="n">
        <f aca="false">SUMIFS('Futures Data'!$C$5:$C$3471,'Futures Data'!$A$5:$A$3471,A441,'Futures Data'!$B$5:$B$3471,B441)</f>
        <v>6254</v>
      </c>
      <c r="K441" s="3" t="n">
        <f aca="false">SUMIFS('Futures Data'!$C$5:$C$3471,'Futures Data'!$A$5:$A$3471,A441,'Futures Data'!$B$5:$B$3471,C441)</f>
        <v>6254</v>
      </c>
      <c r="L441" s="3" t="n">
        <f aca="false">K441-J441</f>
        <v>0</v>
      </c>
      <c r="M441" s="3" t="n">
        <f aca="false">M442+L441</f>
        <v>1152</v>
      </c>
      <c r="N441" s="3" t="n">
        <f aca="false">J441+M441</f>
        <v>7406</v>
      </c>
      <c r="O441" s="13" t="n">
        <f aca="false">LN(J441/K440)</f>
        <v>-0.00907288356645297</v>
      </c>
      <c r="P441" s="13" t="n">
        <f aca="false">LN(N441/N440)</f>
        <v>-0.00766699565782939</v>
      </c>
      <c r="Q441" s="3" t="n">
        <f aca="false">SUMIFS('Futures Data'!$D$5:$D$3471,'Futures Data'!$A$5:$A$3471,A441,'Futures Data'!$B$5:$B$3471,B441)</f>
        <v>4470</v>
      </c>
      <c r="R441" s="7" t="n">
        <v>45828</v>
      </c>
      <c r="S441" s="9" t="b">
        <f aca="false">C441=R441</f>
        <v>1</v>
      </c>
      <c r="T441" s="9" t="b">
        <f aca="false">ABS(O441-LN(J441/SUMIFS('Futures Data'!$C$5:$C$3471,'Futures Data'!$A$5:$A$3471,A440,'Futures Data'!$B$5:$B$3471,B441)))&lt;0.000000001</f>
        <v>1</v>
      </c>
    </row>
    <row r="442" customFormat="false" ht="15" hidden="false" customHeight="false" outlineLevel="0" collapsed="false">
      <c r="A442" s="7" t="n">
        <v>45783</v>
      </c>
      <c r="B442" s="11" t="n">
        <f aca="false">C441</f>
        <v>45828</v>
      </c>
      <c r="C442" s="11" t="n">
        <f aca="false">IF(OR(H441,D442&lt;=$G$4),_xlfn.MINIFS('Futures Data'!$B$5:$B$3471,'Futures Data'!$A$5:$A$3471,A442,'Futures Data'!$B$5:$B$3471,"&gt;"&amp;B442),B442)</f>
        <v>45828</v>
      </c>
      <c r="D442" s="3" t="n">
        <f aca="false">COUNTIFS($A$47:$A$790,"&gt;"&amp;A442,$A$47:$A$790,"&lt;="&amp;B442)+IF(B442&gt;$G$5,NETWORKDAYS($G$5+1,B442),0)</f>
        <v>33</v>
      </c>
      <c r="E442" s="3" t="n">
        <f aca="false">SUMIFS('Futures Data'!$E$5:$E$3471,'Futures Data'!$A$5:$A$3471,A442,'Futures Data'!$B$5:$B$3471,C442)</f>
        <v>21355</v>
      </c>
      <c r="F442" s="11" t="n">
        <f aca="false">_xlfn.MINIFS('Futures Data'!$B$5:$B$3471,'Futures Data'!$A$5:$A$3471,A442,'Futures Data'!$B$5:$B$3471,"&gt;"&amp;C442)</f>
        <v>45856</v>
      </c>
      <c r="G442" s="3" t="n">
        <f aca="false">SUMIFS('Futures Data'!$E$5:$E$3471,'Futures Data'!$A$5:$A$3471,A442,'Futures Data'!$B$5:$B$3471,F442)</f>
        <v>95</v>
      </c>
      <c r="H442" s="9" t="b">
        <f aca="false">G442&gt;E442</f>
        <v>0</v>
      </c>
      <c r="I442" s="9" t="b">
        <f aca="false">C442&lt;&gt;B442</f>
        <v>0</v>
      </c>
      <c r="J442" s="3" t="n">
        <f aca="false">SUMIFS('Futures Data'!$C$5:$C$3471,'Futures Data'!$A$5:$A$3471,A442,'Futures Data'!$B$5:$B$3471,B442)</f>
        <v>6212</v>
      </c>
      <c r="K442" s="3" t="n">
        <f aca="false">SUMIFS('Futures Data'!$C$5:$C$3471,'Futures Data'!$A$5:$A$3471,A442,'Futures Data'!$B$5:$B$3471,C442)</f>
        <v>6212</v>
      </c>
      <c r="L442" s="3" t="n">
        <f aca="false">K442-J442</f>
        <v>0</v>
      </c>
      <c r="M442" s="3" t="n">
        <f aca="false">M443+L442</f>
        <v>1152</v>
      </c>
      <c r="N442" s="3" t="n">
        <f aca="false">J442+M442</f>
        <v>7364</v>
      </c>
      <c r="O442" s="13" t="n">
        <f aca="false">LN(J442/K441)</f>
        <v>-0.00673835374920894</v>
      </c>
      <c r="P442" s="13" t="n">
        <f aca="false">LN(N442/N441)</f>
        <v>-0.00568721912058958</v>
      </c>
      <c r="Q442" s="3" t="n">
        <f aca="false">SUMIFS('Futures Data'!$D$5:$D$3471,'Futures Data'!$A$5:$A$3471,A442,'Futures Data'!$B$5:$B$3471,B442)</f>
        <v>3690</v>
      </c>
      <c r="R442" s="7" t="n">
        <v>45828</v>
      </c>
      <c r="S442" s="9" t="b">
        <f aca="false">C442=R442</f>
        <v>1</v>
      </c>
      <c r="T442" s="9" t="b">
        <f aca="false">ABS(O442-LN(J442/SUMIFS('Futures Data'!$C$5:$C$3471,'Futures Data'!$A$5:$A$3471,A441,'Futures Data'!$B$5:$B$3471,B442)))&lt;0.000000001</f>
        <v>1</v>
      </c>
    </row>
    <row r="443" customFormat="false" ht="15" hidden="false" customHeight="false" outlineLevel="0" collapsed="false">
      <c r="A443" s="7" t="n">
        <v>45784</v>
      </c>
      <c r="B443" s="11" t="n">
        <f aca="false">C442</f>
        <v>45828</v>
      </c>
      <c r="C443" s="11" t="n">
        <f aca="false">IF(OR(H442,D443&lt;=$G$4),_xlfn.MINIFS('Futures Data'!$B$5:$B$3471,'Futures Data'!$A$5:$A$3471,A443,'Futures Data'!$B$5:$B$3471,"&gt;"&amp;B443),B443)</f>
        <v>45828</v>
      </c>
      <c r="D443" s="3" t="n">
        <f aca="false">COUNTIFS($A$47:$A$790,"&gt;"&amp;A443,$A$47:$A$790,"&lt;="&amp;B443)+IF(B443&gt;$G$5,NETWORKDAYS($G$5+1,B443),0)</f>
        <v>32</v>
      </c>
      <c r="E443" s="3" t="n">
        <f aca="false">SUMIFS('Futures Data'!$E$5:$E$3471,'Futures Data'!$A$5:$A$3471,A443,'Futures Data'!$B$5:$B$3471,C443)</f>
        <v>21750</v>
      </c>
      <c r="F443" s="11" t="n">
        <f aca="false">_xlfn.MINIFS('Futures Data'!$B$5:$B$3471,'Futures Data'!$A$5:$A$3471,A443,'Futures Data'!$B$5:$B$3471,"&gt;"&amp;C443)</f>
        <v>45856</v>
      </c>
      <c r="G443" s="3" t="n">
        <f aca="false">SUMIFS('Futures Data'!$E$5:$E$3471,'Futures Data'!$A$5:$A$3471,A443,'Futures Data'!$B$5:$B$3471,F443)</f>
        <v>95</v>
      </c>
      <c r="H443" s="9" t="b">
        <f aca="false">G443&gt;E443</f>
        <v>0</v>
      </c>
      <c r="I443" s="9" t="b">
        <f aca="false">C443&lt;&gt;B443</f>
        <v>0</v>
      </c>
      <c r="J443" s="3" t="n">
        <f aca="false">SUMIFS('Futures Data'!$C$5:$C$3471,'Futures Data'!$A$5:$A$3471,A443,'Futures Data'!$B$5:$B$3471,B443)</f>
        <v>6231</v>
      </c>
      <c r="K443" s="3" t="n">
        <f aca="false">SUMIFS('Futures Data'!$C$5:$C$3471,'Futures Data'!$A$5:$A$3471,A443,'Futures Data'!$B$5:$B$3471,C443)</f>
        <v>6231</v>
      </c>
      <c r="L443" s="3" t="n">
        <f aca="false">K443-J443</f>
        <v>0</v>
      </c>
      <c r="M443" s="3" t="n">
        <f aca="false">M444+L443</f>
        <v>1152</v>
      </c>
      <c r="N443" s="3" t="n">
        <f aca="false">J443+M443</f>
        <v>7383</v>
      </c>
      <c r="O443" s="13" t="n">
        <f aca="false">LN(J443/K442)</f>
        <v>0.00305392827564425</v>
      </c>
      <c r="P443" s="13" t="n">
        <f aca="false">LN(N443/N442)</f>
        <v>0.00257679670619697</v>
      </c>
      <c r="Q443" s="3" t="n">
        <f aca="false">SUMIFS('Futures Data'!$D$5:$D$3471,'Futures Data'!$A$5:$A$3471,A443,'Futures Data'!$B$5:$B$3471,B443)</f>
        <v>3260</v>
      </c>
      <c r="R443" s="7" t="n">
        <v>45828</v>
      </c>
      <c r="S443" s="9" t="b">
        <f aca="false">C443=R443</f>
        <v>1</v>
      </c>
      <c r="T443" s="9" t="b">
        <f aca="false">ABS(O443-LN(J443/SUMIFS('Futures Data'!$C$5:$C$3471,'Futures Data'!$A$5:$A$3471,A442,'Futures Data'!$B$5:$B$3471,B443)))&lt;0.000000001</f>
        <v>1</v>
      </c>
    </row>
    <row r="444" customFormat="false" ht="15" hidden="false" customHeight="false" outlineLevel="0" collapsed="false">
      <c r="A444" s="7" t="n">
        <v>45785</v>
      </c>
      <c r="B444" s="11" t="n">
        <f aca="false">C443</f>
        <v>45828</v>
      </c>
      <c r="C444" s="11" t="n">
        <f aca="false">IF(OR(H443,D444&lt;=$G$4),_xlfn.MINIFS('Futures Data'!$B$5:$B$3471,'Futures Data'!$A$5:$A$3471,A444,'Futures Data'!$B$5:$B$3471,"&gt;"&amp;B444),B444)</f>
        <v>45828</v>
      </c>
      <c r="D444" s="3" t="n">
        <f aca="false">COUNTIFS($A$47:$A$790,"&gt;"&amp;A444,$A$47:$A$790,"&lt;="&amp;B444)+IF(B444&gt;$G$5,NETWORKDAYS($G$5+1,B444),0)</f>
        <v>31</v>
      </c>
      <c r="E444" s="3" t="n">
        <f aca="false">SUMIFS('Futures Data'!$E$5:$E$3471,'Futures Data'!$A$5:$A$3471,A444,'Futures Data'!$B$5:$B$3471,C444)</f>
        <v>22535</v>
      </c>
      <c r="F444" s="11" t="n">
        <f aca="false">_xlfn.MINIFS('Futures Data'!$B$5:$B$3471,'Futures Data'!$A$5:$A$3471,A444,'Futures Data'!$B$5:$B$3471,"&gt;"&amp;C444)</f>
        <v>45856</v>
      </c>
      <c r="G444" s="3" t="n">
        <f aca="false">SUMIFS('Futures Data'!$E$5:$E$3471,'Futures Data'!$A$5:$A$3471,A444,'Futures Data'!$B$5:$B$3471,F444)</f>
        <v>95</v>
      </c>
      <c r="H444" s="9" t="b">
        <f aca="false">G444&gt;E444</f>
        <v>0</v>
      </c>
      <c r="I444" s="9" t="b">
        <f aca="false">C444&lt;&gt;B444</f>
        <v>0</v>
      </c>
      <c r="J444" s="3" t="n">
        <f aca="false">SUMIFS('Futures Data'!$C$5:$C$3471,'Futures Data'!$A$5:$A$3471,A444,'Futures Data'!$B$5:$B$3471,B444)</f>
        <v>6246</v>
      </c>
      <c r="K444" s="3" t="n">
        <f aca="false">SUMIFS('Futures Data'!$C$5:$C$3471,'Futures Data'!$A$5:$A$3471,A444,'Futures Data'!$B$5:$B$3471,C444)</f>
        <v>6246</v>
      </c>
      <c r="L444" s="3" t="n">
        <f aca="false">K444-J444</f>
        <v>0</v>
      </c>
      <c r="M444" s="3" t="n">
        <f aca="false">M445+L444</f>
        <v>1152</v>
      </c>
      <c r="N444" s="3" t="n">
        <f aca="false">J444+M444</f>
        <v>7398</v>
      </c>
      <c r="O444" s="13" t="n">
        <f aca="false">LN(J444/K443)</f>
        <v>0.00240442529880199</v>
      </c>
      <c r="P444" s="13" t="n">
        <f aca="false">LN(N444/N443)</f>
        <v>0.00202963333323381</v>
      </c>
      <c r="Q444" s="3" t="n">
        <f aca="false">SUMIFS('Futures Data'!$D$5:$D$3471,'Futures Data'!$A$5:$A$3471,A444,'Futures Data'!$B$5:$B$3471,B444)</f>
        <v>8720</v>
      </c>
      <c r="R444" s="7" t="n">
        <v>45828</v>
      </c>
      <c r="S444" s="9" t="b">
        <f aca="false">C444=R444</f>
        <v>1</v>
      </c>
      <c r="T444" s="9" t="b">
        <f aca="false">ABS(O444-LN(J444/SUMIFS('Futures Data'!$C$5:$C$3471,'Futures Data'!$A$5:$A$3471,A443,'Futures Data'!$B$5:$B$3471,B444)))&lt;0.000000001</f>
        <v>1</v>
      </c>
    </row>
    <row r="445" customFormat="false" ht="15" hidden="false" customHeight="false" outlineLevel="0" collapsed="false">
      <c r="A445" s="7" t="n">
        <v>45786</v>
      </c>
      <c r="B445" s="11" t="n">
        <f aca="false">C444</f>
        <v>45828</v>
      </c>
      <c r="C445" s="11" t="n">
        <f aca="false">IF(OR(H444,D445&lt;=$G$4),_xlfn.MINIFS('Futures Data'!$B$5:$B$3471,'Futures Data'!$A$5:$A$3471,A445,'Futures Data'!$B$5:$B$3471,"&gt;"&amp;B445),B445)</f>
        <v>45828</v>
      </c>
      <c r="D445" s="3" t="n">
        <f aca="false">COUNTIFS($A$47:$A$790,"&gt;"&amp;A445,$A$47:$A$790,"&lt;="&amp;B445)+IF(B445&gt;$G$5,NETWORKDAYS($G$5+1,B445),0)</f>
        <v>30</v>
      </c>
      <c r="E445" s="3" t="n">
        <f aca="false">SUMIFS('Futures Data'!$E$5:$E$3471,'Futures Data'!$A$5:$A$3471,A445,'Futures Data'!$B$5:$B$3471,C445)</f>
        <v>22300</v>
      </c>
      <c r="F445" s="11" t="n">
        <f aca="false">_xlfn.MINIFS('Futures Data'!$B$5:$B$3471,'Futures Data'!$A$5:$A$3471,A445,'Futures Data'!$B$5:$B$3471,"&gt;"&amp;C445)</f>
        <v>45856</v>
      </c>
      <c r="G445" s="3" t="n">
        <f aca="false">SUMIFS('Futures Data'!$E$5:$E$3471,'Futures Data'!$A$5:$A$3471,A445,'Futures Data'!$B$5:$B$3471,F445)</f>
        <v>95</v>
      </c>
      <c r="H445" s="9" t="b">
        <f aca="false">G445&gt;E445</f>
        <v>0</v>
      </c>
      <c r="I445" s="9" t="b">
        <f aca="false">C445&lt;&gt;B445</f>
        <v>0</v>
      </c>
      <c r="J445" s="3" t="n">
        <f aca="false">SUMIFS('Futures Data'!$C$5:$C$3471,'Futures Data'!$A$5:$A$3471,A445,'Futures Data'!$B$5:$B$3471,B445)</f>
        <v>6306</v>
      </c>
      <c r="K445" s="3" t="n">
        <f aca="false">SUMIFS('Futures Data'!$C$5:$C$3471,'Futures Data'!$A$5:$A$3471,A445,'Futures Data'!$B$5:$B$3471,C445)</f>
        <v>6306</v>
      </c>
      <c r="L445" s="3" t="n">
        <f aca="false">K445-J445</f>
        <v>0</v>
      </c>
      <c r="M445" s="3" t="n">
        <f aca="false">M446+L445</f>
        <v>1152</v>
      </c>
      <c r="N445" s="3" t="n">
        <f aca="false">J445+M445</f>
        <v>7458</v>
      </c>
      <c r="O445" s="13" t="n">
        <f aca="false">LN(J445/K444)</f>
        <v>0.00956030226198234</v>
      </c>
      <c r="P445" s="13" t="n">
        <f aca="false">LN(N445/N444)</f>
        <v>0.00807758834636673</v>
      </c>
      <c r="Q445" s="3" t="n">
        <f aca="false">SUMIFS('Futures Data'!$D$5:$D$3471,'Futures Data'!$A$5:$A$3471,A445,'Futures Data'!$B$5:$B$3471,B445)</f>
        <v>9540</v>
      </c>
      <c r="R445" s="7" t="n">
        <v>45828</v>
      </c>
      <c r="S445" s="9" t="b">
        <f aca="false">C445=R445</f>
        <v>1</v>
      </c>
      <c r="T445" s="9" t="b">
        <f aca="false">ABS(O445-LN(J445/SUMIFS('Futures Data'!$C$5:$C$3471,'Futures Data'!$A$5:$A$3471,A444,'Futures Data'!$B$5:$B$3471,B445)))&lt;0.000000001</f>
        <v>1</v>
      </c>
    </row>
    <row r="446" customFormat="false" ht="15" hidden="false" customHeight="false" outlineLevel="0" collapsed="false">
      <c r="A446" s="7" t="n">
        <v>45789</v>
      </c>
      <c r="B446" s="11" t="n">
        <f aca="false">C445</f>
        <v>45828</v>
      </c>
      <c r="C446" s="11" t="n">
        <f aca="false">IF(OR(H445,D446&lt;=$G$4),_xlfn.MINIFS('Futures Data'!$B$5:$B$3471,'Futures Data'!$A$5:$A$3471,A446,'Futures Data'!$B$5:$B$3471,"&gt;"&amp;B446),B446)</f>
        <v>45828</v>
      </c>
      <c r="D446" s="3" t="n">
        <f aca="false">COUNTIFS($A$47:$A$790,"&gt;"&amp;A446,$A$47:$A$790,"&lt;="&amp;B446)+IF(B446&gt;$G$5,NETWORKDAYS($G$5+1,B446),0)</f>
        <v>29</v>
      </c>
      <c r="E446" s="3" t="n">
        <f aca="false">SUMIFS('Futures Data'!$E$5:$E$3471,'Futures Data'!$A$5:$A$3471,A446,'Futures Data'!$B$5:$B$3471,C446)</f>
        <v>23405</v>
      </c>
      <c r="F446" s="11" t="n">
        <f aca="false">_xlfn.MINIFS('Futures Data'!$B$5:$B$3471,'Futures Data'!$A$5:$A$3471,A446,'Futures Data'!$B$5:$B$3471,"&gt;"&amp;C446)</f>
        <v>45856</v>
      </c>
      <c r="G446" s="3" t="n">
        <f aca="false">SUMIFS('Futures Data'!$E$5:$E$3471,'Futures Data'!$A$5:$A$3471,A446,'Futures Data'!$B$5:$B$3471,F446)</f>
        <v>95</v>
      </c>
      <c r="H446" s="9" t="b">
        <f aca="false">G446&gt;E446</f>
        <v>0</v>
      </c>
      <c r="I446" s="9" t="b">
        <f aca="false">C446&lt;&gt;B446</f>
        <v>0</v>
      </c>
      <c r="J446" s="3" t="n">
        <f aca="false">SUMIFS('Futures Data'!$C$5:$C$3471,'Futures Data'!$A$5:$A$3471,A446,'Futures Data'!$B$5:$B$3471,B446)</f>
        <v>6367</v>
      </c>
      <c r="K446" s="3" t="n">
        <f aca="false">SUMIFS('Futures Data'!$C$5:$C$3471,'Futures Data'!$A$5:$A$3471,A446,'Futures Data'!$B$5:$B$3471,C446)</f>
        <v>6367</v>
      </c>
      <c r="L446" s="3" t="n">
        <f aca="false">K446-J446</f>
        <v>0</v>
      </c>
      <c r="M446" s="3" t="n">
        <f aca="false">M447+L446</f>
        <v>1152</v>
      </c>
      <c r="N446" s="3" t="n">
        <f aca="false">J446+M446</f>
        <v>7519</v>
      </c>
      <c r="O446" s="13" t="n">
        <f aca="false">LN(J446/K445)</f>
        <v>0.00962683991201921</v>
      </c>
      <c r="P446" s="13" t="n">
        <f aca="false">LN(N446/N445)</f>
        <v>0.00814586863926084</v>
      </c>
      <c r="Q446" s="3" t="n">
        <f aca="false">SUMIFS('Futures Data'!$D$5:$D$3471,'Futures Data'!$A$5:$A$3471,A446,'Futures Data'!$B$5:$B$3471,B446)</f>
        <v>6305</v>
      </c>
      <c r="R446" s="7" t="n">
        <v>45828</v>
      </c>
      <c r="S446" s="9" t="b">
        <f aca="false">C446=R446</f>
        <v>1</v>
      </c>
      <c r="T446" s="9" t="b">
        <f aca="false">ABS(O446-LN(J446/SUMIFS('Futures Data'!$C$5:$C$3471,'Futures Data'!$A$5:$A$3471,A445,'Futures Data'!$B$5:$B$3471,B446)))&lt;0.000000001</f>
        <v>1</v>
      </c>
    </row>
    <row r="447" customFormat="false" ht="15" hidden="false" customHeight="false" outlineLevel="0" collapsed="false">
      <c r="A447" s="7" t="n">
        <v>45790</v>
      </c>
      <c r="B447" s="11" t="n">
        <f aca="false">C446</f>
        <v>45828</v>
      </c>
      <c r="C447" s="11" t="n">
        <f aca="false">IF(OR(H446,D447&lt;=$G$4),_xlfn.MINIFS('Futures Data'!$B$5:$B$3471,'Futures Data'!$A$5:$A$3471,A447,'Futures Data'!$B$5:$B$3471,"&gt;"&amp;B447),B447)</f>
        <v>45828</v>
      </c>
      <c r="D447" s="3" t="n">
        <f aca="false">COUNTIFS($A$47:$A$790,"&gt;"&amp;A447,$A$47:$A$790,"&lt;="&amp;B447)+IF(B447&gt;$G$5,NETWORKDAYS($G$5+1,B447),0)</f>
        <v>28</v>
      </c>
      <c r="E447" s="3" t="n">
        <f aca="false">SUMIFS('Futures Data'!$E$5:$E$3471,'Futures Data'!$A$5:$A$3471,A447,'Futures Data'!$B$5:$B$3471,C447)</f>
        <v>24255</v>
      </c>
      <c r="F447" s="11" t="n">
        <f aca="false">_xlfn.MINIFS('Futures Data'!$B$5:$B$3471,'Futures Data'!$A$5:$A$3471,A447,'Futures Data'!$B$5:$B$3471,"&gt;"&amp;C447)</f>
        <v>45856</v>
      </c>
      <c r="G447" s="3" t="n">
        <f aca="false">SUMIFS('Futures Data'!$E$5:$E$3471,'Futures Data'!$A$5:$A$3471,A447,'Futures Data'!$B$5:$B$3471,F447)</f>
        <v>95</v>
      </c>
      <c r="H447" s="9" t="b">
        <f aca="false">G447&gt;E447</f>
        <v>0</v>
      </c>
      <c r="I447" s="9" t="b">
        <f aca="false">C447&lt;&gt;B447</f>
        <v>0</v>
      </c>
      <c r="J447" s="3" t="n">
        <f aca="false">SUMIFS('Futures Data'!$C$5:$C$3471,'Futures Data'!$A$5:$A$3471,A447,'Futures Data'!$B$5:$B$3471,B447)</f>
        <v>6385</v>
      </c>
      <c r="K447" s="3" t="n">
        <f aca="false">SUMIFS('Futures Data'!$C$5:$C$3471,'Futures Data'!$A$5:$A$3471,A447,'Futures Data'!$B$5:$B$3471,C447)</f>
        <v>6385</v>
      </c>
      <c r="L447" s="3" t="n">
        <f aca="false">K447-J447</f>
        <v>0</v>
      </c>
      <c r="M447" s="3" t="n">
        <f aca="false">M448+L447</f>
        <v>1152</v>
      </c>
      <c r="N447" s="3" t="n">
        <f aca="false">J447+M447</f>
        <v>7537</v>
      </c>
      <c r="O447" s="13" t="n">
        <f aca="false">LN(J447/K446)</f>
        <v>0.00282308844961441</v>
      </c>
      <c r="P447" s="13" t="n">
        <f aca="false">LN(N447/N446)</f>
        <v>0.00239107446544303</v>
      </c>
      <c r="Q447" s="3" t="n">
        <f aca="false">SUMIFS('Futures Data'!$D$5:$D$3471,'Futures Data'!$A$5:$A$3471,A447,'Futures Data'!$B$5:$B$3471,B447)</f>
        <v>4870</v>
      </c>
      <c r="R447" s="7" t="n">
        <v>45828</v>
      </c>
      <c r="S447" s="9" t="b">
        <f aca="false">C447=R447</f>
        <v>1</v>
      </c>
      <c r="T447" s="9" t="b">
        <f aca="false">ABS(O447-LN(J447/SUMIFS('Futures Data'!$C$5:$C$3471,'Futures Data'!$A$5:$A$3471,A446,'Futures Data'!$B$5:$B$3471,B447)))&lt;0.000000001</f>
        <v>1</v>
      </c>
    </row>
    <row r="448" customFormat="false" ht="15" hidden="false" customHeight="false" outlineLevel="0" collapsed="false">
      <c r="A448" s="7" t="n">
        <v>45791</v>
      </c>
      <c r="B448" s="11" t="n">
        <f aca="false">C447</f>
        <v>45828</v>
      </c>
      <c r="C448" s="11" t="n">
        <f aca="false">IF(OR(H447,D448&lt;=$G$4),_xlfn.MINIFS('Futures Data'!$B$5:$B$3471,'Futures Data'!$A$5:$A$3471,A448,'Futures Data'!$B$5:$B$3471,"&gt;"&amp;B448),B448)</f>
        <v>45828</v>
      </c>
      <c r="D448" s="3" t="n">
        <f aca="false">COUNTIFS($A$47:$A$790,"&gt;"&amp;A448,$A$47:$A$790,"&lt;="&amp;B448)+IF(B448&gt;$G$5,NETWORKDAYS($G$5+1,B448),0)</f>
        <v>27</v>
      </c>
      <c r="E448" s="3" t="n">
        <f aca="false">SUMIFS('Futures Data'!$E$5:$E$3471,'Futures Data'!$A$5:$A$3471,A448,'Futures Data'!$B$5:$B$3471,C448)</f>
        <v>23825</v>
      </c>
      <c r="F448" s="11" t="n">
        <f aca="false">_xlfn.MINIFS('Futures Data'!$B$5:$B$3471,'Futures Data'!$A$5:$A$3471,A448,'Futures Data'!$B$5:$B$3471,"&gt;"&amp;C448)</f>
        <v>45856</v>
      </c>
      <c r="G448" s="3" t="n">
        <f aca="false">SUMIFS('Futures Data'!$E$5:$E$3471,'Futures Data'!$A$5:$A$3471,A448,'Futures Data'!$B$5:$B$3471,F448)</f>
        <v>910</v>
      </c>
      <c r="H448" s="9" t="b">
        <f aca="false">G448&gt;E448</f>
        <v>0</v>
      </c>
      <c r="I448" s="9" t="b">
        <f aca="false">C448&lt;&gt;B448</f>
        <v>0</v>
      </c>
      <c r="J448" s="3" t="n">
        <f aca="false">SUMIFS('Futures Data'!$C$5:$C$3471,'Futures Data'!$A$5:$A$3471,A448,'Futures Data'!$B$5:$B$3471,B448)</f>
        <v>6478</v>
      </c>
      <c r="K448" s="3" t="n">
        <f aca="false">SUMIFS('Futures Data'!$C$5:$C$3471,'Futures Data'!$A$5:$A$3471,A448,'Futures Data'!$B$5:$B$3471,C448)</f>
        <v>6478</v>
      </c>
      <c r="L448" s="3" t="n">
        <f aca="false">K448-J448</f>
        <v>0</v>
      </c>
      <c r="M448" s="3" t="n">
        <f aca="false">M449+L448</f>
        <v>1152</v>
      </c>
      <c r="N448" s="3" t="n">
        <f aca="false">J448+M448</f>
        <v>7630</v>
      </c>
      <c r="O448" s="13" t="n">
        <f aca="false">LN(J448/K447)</f>
        <v>0.0144603312646349</v>
      </c>
      <c r="P448" s="13" t="n">
        <f aca="false">LN(N448/N447)</f>
        <v>0.0122636204350327</v>
      </c>
      <c r="Q448" s="3" t="n">
        <f aca="false">SUMIFS('Futures Data'!$D$5:$D$3471,'Futures Data'!$A$5:$A$3471,A448,'Futures Data'!$B$5:$B$3471,B448)</f>
        <v>11325</v>
      </c>
      <c r="R448" s="7" t="n">
        <v>45828</v>
      </c>
      <c r="S448" s="9" t="b">
        <f aca="false">C448=R448</f>
        <v>1</v>
      </c>
      <c r="T448" s="9" t="b">
        <f aca="false">ABS(O448-LN(J448/SUMIFS('Futures Data'!$C$5:$C$3471,'Futures Data'!$A$5:$A$3471,A447,'Futures Data'!$B$5:$B$3471,B448)))&lt;0.000000001</f>
        <v>1</v>
      </c>
    </row>
    <row r="449" customFormat="false" ht="15" hidden="false" customHeight="false" outlineLevel="0" collapsed="false">
      <c r="A449" s="7" t="n">
        <v>45792</v>
      </c>
      <c r="B449" s="11" t="n">
        <f aca="false">C448</f>
        <v>45828</v>
      </c>
      <c r="C449" s="11" t="n">
        <f aca="false">IF(OR(H448,D449&lt;=$G$4),_xlfn.MINIFS('Futures Data'!$B$5:$B$3471,'Futures Data'!$A$5:$A$3471,A449,'Futures Data'!$B$5:$B$3471,"&gt;"&amp;B449),B449)</f>
        <v>45828</v>
      </c>
      <c r="D449" s="3" t="n">
        <f aca="false">COUNTIFS($A$47:$A$790,"&gt;"&amp;A449,$A$47:$A$790,"&lt;="&amp;B449)+IF(B449&gt;$G$5,NETWORKDAYS($G$5+1,B449),0)</f>
        <v>26</v>
      </c>
      <c r="E449" s="3" t="n">
        <f aca="false">SUMIFS('Futures Data'!$E$5:$E$3471,'Futures Data'!$A$5:$A$3471,A449,'Futures Data'!$B$5:$B$3471,C449)</f>
        <v>24870</v>
      </c>
      <c r="F449" s="11" t="n">
        <f aca="false">_xlfn.MINIFS('Futures Data'!$B$5:$B$3471,'Futures Data'!$A$5:$A$3471,A449,'Futures Data'!$B$5:$B$3471,"&gt;"&amp;C449)</f>
        <v>45856</v>
      </c>
      <c r="G449" s="3" t="n">
        <f aca="false">SUMIFS('Futures Data'!$E$5:$E$3471,'Futures Data'!$A$5:$A$3471,A449,'Futures Data'!$B$5:$B$3471,F449)</f>
        <v>1405</v>
      </c>
      <c r="H449" s="9" t="b">
        <f aca="false">G449&gt;E449</f>
        <v>0</v>
      </c>
      <c r="I449" s="9" t="b">
        <f aca="false">C449&lt;&gt;B449</f>
        <v>0</v>
      </c>
      <c r="J449" s="3" t="n">
        <f aca="false">SUMIFS('Futures Data'!$C$5:$C$3471,'Futures Data'!$A$5:$A$3471,A449,'Futures Data'!$B$5:$B$3471,B449)</f>
        <v>6438</v>
      </c>
      <c r="K449" s="3" t="n">
        <f aca="false">SUMIFS('Futures Data'!$C$5:$C$3471,'Futures Data'!$A$5:$A$3471,A449,'Futures Data'!$B$5:$B$3471,C449)</f>
        <v>6438</v>
      </c>
      <c r="L449" s="3" t="n">
        <f aca="false">K449-J449</f>
        <v>0</v>
      </c>
      <c r="M449" s="3" t="n">
        <f aca="false">M450+L449</f>
        <v>1152</v>
      </c>
      <c r="N449" s="3" t="n">
        <f aca="false">J449+M449</f>
        <v>7590</v>
      </c>
      <c r="O449" s="13" t="n">
        <f aca="false">LN(J449/K448)</f>
        <v>-0.00619388787252119</v>
      </c>
      <c r="P449" s="13" t="n">
        <f aca="false">LN(N449/N448)</f>
        <v>-0.00525625388882706</v>
      </c>
      <c r="Q449" s="3" t="n">
        <f aca="false">SUMIFS('Futures Data'!$D$5:$D$3471,'Futures Data'!$A$5:$A$3471,A449,'Futures Data'!$B$5:$B$3471,B449)</f>
        <v>6115</v>
      </c>
      <c r="R449" s="7" t="n">
        <v>45828</v>
      </c>
      <c r="S449" s="9" t="b">
        <f aca="false">C449=R449</f>
        <v>1</v>
      </c>
      <c r="T449" s="9" t="b">
        <f aca="false">ABS(O449-LN(J449/SUMIFS('Futures Data'!$C$5:$C$3471,'Futures Data'!$A$5:$A$3471,A448,'Futures Data'!$B$5:$B$3471,B449)))&lt;0.000000001</f>
        <v>1</v>
      </c>
    </row>
    <row r="450" customFormat="false" ht="15" hidden="false" customHeight="false" outlineLevel="0" collapsed="false">
      <c r="A450" s="7" t="n">
        <v>45793</v>
      </c>
      <c r="B450" s="11" t="n">
        <f aca="false">C449</f>
        <v>45828</v>
      </c>
      <c r="C450" s="11" t="n">
        <f aca="false">IF(OR(H449,D450&lt;=$G$4),_xlfn.MINIFS('Futures Data'!$B$5:$B$3471,'Futures Data'!$A$5:$A$3471,A450,'Futures Data'!$B$5:$B$3471,"&gt;"&amp;B450),B450)</f>
        <v>45828</v>
      </c>
      <c r="D450" s="3" t="n">
        <f aca="false">COUNTIFS($A$47:$A$790,"&gt;"&amp;A450,$A$47:$A$790,"&lt;="&amp;B450)+IF(B450&gt;$G$5,NETWORKDAYS($G$5+1,B450),0)</f>
        <v>25</v>
      </c>
      <c r="E450" s="3" t="n">
        <f aca="false">SUMIFS('Futures Data'!$E$5:$E$3471,'Futures Data'!$A$5:$A$3471,A450,'Futures Data'!$B$5:$B$3471,C450)</f>
        <v>25375</v>
      </c>
      <c r="F450" s="11" t="n">
        <f aca="false">_xlfn.MINIFS('Futures Data'!$B$5:$B$3471,'Futures Data'!$A$5:$A$3471,A450,'Futures Data'!$B$5:$B$3471,"&gt;"&amp;C450)</f>
        <v>45856</v>
      </c>
      <c r="G450" s="3" t="n">
        <f aca="false">SUMIFS('Futures Data'!$E$5:$E$3471,'Futures Data'!$A$5:$A$3471,A450,'Futures Data'!$B$5:$B$3471,F450)</f>
        <v>1585</v>
      </c>
      <c r="H450" s="9" t="b">
        <f aca="false">G450&gt;E450</f>
        <v>0</v>
      </c>
      <c r="I450" s="9" t="b">
        <f aca="false">C450&lt;&gt;B450</f>
        <v>0</v>
      </c>
      <c r="J450" s="3" t="n">
        <f aca="false">SUMIFS('Futures Data'!$C$5:$C$3471,'Futures Data'!$A$5:$A$3471,A450,'Futures Data'!$B$5:$B$3471,B450)</f>
        <v>6440</v>
      </c>
      <c r="K450" s="3" t="n">
        <f aca="false">SUMIFS('Futures Data'!$C$5:$C$3471,'Futures Data'!$A$5:$A$3471,A450,'Futures Data'!$B$5:$B$3471,C450)</f>
        <v>6440</v>
      </c>
      <c r="L450" s="3" t="n">
        <f aca="false">K450-J450</f>
        <v>0</v>
      </c>
      <c r="M450" s="3" t="n">
        <f aca="false">M451+L450</f>
        <v>1152</v>
      </c>
      <c r="N450" s="3" t="n">
        <f aca="false">J450+M450</f>
        <v>7592</v>
      </c>
      <c r="O450" s="13" t="n">
        <f aca="false">LN(J450/K449)</f>
        <v>0.000310607239645739</v>
      </c>
      <c r="P450" s="13" t="n">
        <f aca="false">LN(N450/N449)</f>
        <v>0.000263469900088108</v>
      </c>
      <c r="Q450" s="3" t="n">
        <f aca="false">SUMIFS('Futures Data'!$D$5:$D$3471,'Futures Data'!$A$5:$A$3471,A450,'Futures Data'!$B$5:$B$3471,B450)</f>
        <v>6090</v>
      </c>
      <c r="R450" s="7" t="n">
        <v>45828</v>
      </c>
      <c r="S450" s="9" t="b">
        <f aca="false">C450=R450</f>
        <v>1</v>
      </c>
      <c r="T450" s="9" t="b">
        <f aca="false">ABS(O450-LN(J450/SUMIFS('Futures Data'!$C$5:$C$3471,'Futures Data'!$A$5:$A$3471,A449,'Futures Data'!$B$5:$B$3471,B450)))&lt;0.000000001</f>
        <v>1</v>
      </c>
    </row>
    <row r="451" customFormat="false" ht="15" hidden="false" customHeight="false" outlineLevel="0" collapsed="false">
      <c r="A451" s="7" t="n">
        <v>45796</v>
      </c>
      <c r="B451" s="11" t="n">
        <f aca="false">C450</f>
        <v>45828</v>
      </c>
      <c r="C451" s="11" t="n">
        <f aca="false">IF(OR(H450,D451&lt;=$G$4),_xlfn.MINIFS('Futures Data'!$B$5:$B$3471,'Futures Data'!$A$5:$A$3471,A451,'Futures Data'!$B$5:$B$3471,"&gt;"&amp;B451),B451)</f>
        <v>45828</v>
      </c>
      <c r="D451" s="3" t="n">
        <f aca="false">COUNTIFS($A$47:$A$790,"&gt;"&amp;A451,$A$47:$A$790,"&lt;="&amp;B451)+IF(B451&gt;$G$5,NETWORKDAYS($G$5+1,B451),0)</f>
        <v>24</v>
      </c>
      <c r="E451" s="3" t="n">
        <f aca="false">SUMIFS('Futures Data'!$E$5:$E$3471,'Futures Data'!$A$5:$A$3471,A451,'Futures Data'!$B$5:$B$3471,C451)</f>
        <v>26295</v>
      </c>
      <c r="F451" s="11" t="n">
        <f aca="false">_xlfn.MINIFS('Futures Data'!$B$5:$B$3471,'Futures Data'!$A$5:$A$3471,A451,'Futures Data'!$B$5:$B$3471,"&gt;"&amp;C451)</f>
        <v>45856</v>
      </c>
      <c r="G451" s="3" t="n">
        <f aca="false">SUMIFS('Futures Data'!$E$5:$E$3471,'Futures Data'!$A$5:$A$3471,A451,'Futures Data'!$B$5:$B$3471,F451)</f>
        <v>1785</v>
      </c>
      <c r="H451" s="9" t="b">
        <f aca="false">G451&gt;E451</f>
        <v>0</v>
      </c>
      <c r="I451" s="9" t="b">
        <f aca="false">C451&lt;&gt;B451</f>
        <v>0</v>
      </c>
      <c r="J451" s="3" t="n">
        <f aca="false">SUMIFS('Futures Data'!$C$5:$C$3471,'Futures Data'!$A$5:$A$3471,A451,'Futures Data'!$B$5:$B$3471,B451)</f>
        <v>6446</v>
      </c>
      <c r="K451" s="3" t="n">
        <f aca="false">SUMIFS('Futures Data'!$C$5:$C$3471,'Futures Data'!$A$5:$A$3471,A451,'Futures Data'!$B$5:$B$3471,C451)</f>
        <v>6446</v>
      </c>
      <c r="L451" s="3" t="n">
        <f aca="false">K451-J451</f>
        <v>0</v>
      </c>
      <c r="M451" s="3" t="n">
        <f aca="false">M452+L451</f>
        <v>1152</v>
      </c>
      <c r="N451" s="3" t="n">
        <f aca="false">J451+M451</f>
        <v>7598</v>
      </c>
      <c r="O451" s="13" t="n">
        <f aca="false">LN(J451/K450)</f>
        <v>0.000931243276983935</v>
      </c>
      <c r="P451" s="13" t="n">
        <f aca="false">LN(N451/N450)</f>
        <v>0.000789993457807133</v>
      </c>
      <c r="Q451" s="3" t="n">
        <f aca="false">SUMIFS('Futures Data'!$D$5:$D$3471,'Futures Data'!$A$5:$A$3471,A451,'Futures Data'!$B$5:$B$3471,B451)</f>
        <v>5000</v>
      </c>
      <c r="R451" s="7" t="n">
        <v>45828</v>
      </c>
      <c r="S451" s="9" t="b">
        <f aca="false">C451=R451</f>
        <v>1</v>
      </c>
      <c r="T451" s="9" t="b">
        <f aca="false">ABS(O451-LN(J451/SUMIFS('Futures Data'!$C$5:$C$3471,'Futures Data'!$A$5:$A$3471,A450,'Futures Data'!$B$5:$B$3471,B451)))&lt;0.000000001</f>
        <v>1</v>
      </c>
    </row>
    <row r="452" customFormat="false" ht="15" hidden="false" customHeight="false" outlineLevel="0" collapsed="false">
      <c r="A452" s="7" t="n">
        <v>45797</v>
      </c>
      <c r="B452" s="11" t="n">
        <f aca="false">C451</f>
        <v>45828</v>
      </c>
      <c r="C452" s="11" t="n">
        <f aca="false">IF(OR(H451,D452&lt;=$G$4),_xlfn.MINIFS('Futures Data'!$B$5:$B$3471,'Futures Data'!$A$5:$A$3471,A452,'Futures Data'!$B$5:$B$3471,"&gt;"&amp;B452),B452)</f>
        <v>45828</v>
      </c>
      <c r="D452" s="3" t="n">
        <f aca="false">COUNTIFS($A$47:$A$790,"&gt;"&amp;A452,$A$47:$A$790,"&lt;="&amp;B452)+IF(B452&gt;$G$5,NETWORKDAYS($G$5+1,B452),0)</f>
        <v>23</v>
      </c>
      <c r="E452" s="3" t="n">
        <f aca="false">SUMIFS('Futures Data'!$E$5:$E$3471,'Futures Data'!$A$5:$A$3471,A452,'Futures Data'!$B$5:$B$3471,C452)</f>
        <v>25985</v>
      </c>
      <c r="F452" s="11" t="n">
        <f aca="false">_xlfn.MINIFS('Futures Data'!$B$5:$B$3471,'Futures Data'!$A$5:$A$3471,A452,'Futures Data'!$B$5:$B$3471,"&gt;"&amp;C452)</f>
        <v>45856</v>
      </c>
      <c r="G452" s="3" t="n">
        <f aca="false">SUMIFS('Futures Data'!$E$5:$E$3471,'Futures Data'!$A$5:$A$3471,A452,'Futures Data'!$B$5:$B$3471,F452)</f>
        <v>2515</v>
      </c>
      <c r="H452" s="9" t="b">
        <f aca="false">G452&gt;E452</f>
        <v>0</v>
      </c>
      <c r="I452" s="9" t="b">
        <f aca="false">C452&lt;&gt;B452</f>
        <v>0</v>
      </c>
      <c r="J452" s="3" t="n">
        <f aca="false">SUMIFS('Futures Data'!$C$5:$C$3471,'Futures Data'!$A$5:$A$3471,A452,'Futures Data'!$B$5:$B$3471,B452)</f>
        <v>6401</v>
      </c>
      <c r="K452" s="3" t="n">
        <f aca="false">SUMIFS('Futures Data'!$C$5:$C$3471,'Futures Data'!$A$5:$A$3471,A452,'Futures Data'!$B$5:$B$3471,C452)</f>
        <v>6401</v>
      </c>
      <c r="L452" s="3" t="n">
        <f aca="false">K452-J452</f>
        <v>0</v>
      </c>
      <c r="M452" s="3" t="n">
        <f aca="false">M453+L452</f>
        <v>1152</v>
      </c>
      <c r="N452" s="3" t="n">
        <f aca="false">J452+M452</f>
        <v>7553</v>
      </c>
      <c r="O452" s="13" t="n">
        <f aca="false">LN(J452/K451)</f>
        <v>-0.0070055552333798</v>
      </c>
      <c r="P452" s="13" t="n">
        <f aca="false">LN(N452/N451)</f>
        <v>-0.00594021943412294</v>
      </c>
      <c r="Q452" s="3" t="n">
        <f aca="false">SUMIFS('Futures Data'!$D$5:$D$3471,'Futures Data'!$A$5:$A$3471,A452,'Futures Data'!$B$5:$B$3471,B452)</f>
        <v>4235</v>
      </c>
      <c r="R452" s="7" t="n">
        <v>45828</v>
      </c>
      <c r="S452" s="9" t="b">
        <f aca="false">C452=R452</f>
        <v>1</v>
      </c>
      <c r="T452" s="9" t="b">
        <f aca="false">ABS(O452-LN(J452/SUMIFS('Futures Data'!$C$5:$C$3471,'Futures Data'!$A$5:$A$3471,A451,'Futures Data'!$B$5:$B$3471,B452)))&lt;0.000000001</f>
        <v>1</v>
      </c>
    </row>
    <row r="453" customFormat="false" ht="15" hidden="false" customHeight="false" outlineLevel="0" collapsed="false">
      <c r="A453" s="7" t="n">
        <v>45798</v>
      </c>
      <c r="B453" s="11" t="n">
        <f aca="false">C452</f>
        <v>45828</v>
      </c>
      <c r="C453" s="11" t="n">
        <f aca="false">IF(OR(H452,D453&lt;=$G$4),_xlfn.MINIFS('Futures Data'!$B$5:$B$3471,'Futures Data'!$A$5:$A$3471,A453,'Futures Data'!$B$5:$B$3471,"&gt;"&amp;B453),B453)</f>
        <v>45828</v>
      </c>
      <c r="D453" s="3" t="n">
        <f aca="false">COUNTIFS($A$47:$A$790,"&gt;"&amp;A453,$A$47:$A$790,"&lt;="&amp;B453)+IF(B453&gt;$G$5,NETWORKDAYS($G$5+1,B453),0)</f>
        <v>22</v>
      </c>
      <c r="E453" s="3" t="n">
        <f aca="false">SUMIFS('Futures Data'!$E$5:$E$3471,'Futures Data'!$A$5:$A$3471,A453,'Futures Data'!$B$5:$B$3471,C453)</f>
        <v>24375</v>
      </c>
      <c r="F453" s="11" t="n">
        <f aca="false">_xlfn.MINIFS('Futures Data'!$B$5:$B$3471,'Futures Data'!$A$5:$A$3471,A453,'Futures Data'!$B$5:$B$3471,"&gt;"&amp;C453)</f>
        <v>45856</v>
      </c>
      <c r="G453" s="3" t="n">
        <f aca="false">SUMIFS('Futures Data'!$E$5:$E$3471,'Futures Data'!$A$5:$A$3471,A453,'Futures Data'!$B$5:$B$3471,F453)</f>
        <v>6615</v>
      </c>
      <c r="H453" s="9" t="b">
        <f aca="false">G453&gt;E453</f>
        <v>0</v>
      </c>
      <c r="I453" s="9" t="b">
        <f aca="false">C453&lt;&gt;B453</f>
        <v>0</v>
      </c>
      <c r="J453" s="3" t="n">
        <f aca="false">SUMIFS('Futures Data'!$C$5:$C$3471,'Futures Data'!$A$5:$A$3471,A453,'Futures Data'!$B$5:$B$3471,B453)</f>
        <v>6388</v>
      </c>
      <c r="K453" s="3" t="n">
        <f aca="false">SUMIFS('Futures Data'!$C$5:$C$3471,'Futures Data'!$A$5:$A$3471,A453,'Futures Data'!$B$5:$B$3471,C453)</f>
        <v>6388</v>
      </c>
      <c r="L453" s="3" t="n">
        <f aca="false">K453-J453</f>
        <v>0</v>
      </c>
      <c r="M453" s="3" t="n">
        <f aca="false">M454+L453</f>
        <v>1152</v>
      </c>
      <c r="N453" s="3" t="n">
        <f aca="false">J453+M453</f>
        <v>7540</v>
      </c>
      <c r="O453" s="13" t="n">
        <f aca="false">LN(J453/K452)</f>
        <v>-0.00203299780710031</v>
      </c>
      <c r="P453" s="13" t="n">
        <f aca="false">LN(N453/N452)</f>
        <v>-0.00172265331144618</v>
      </c>
      <c r="Q453" s="3" t="n">
        <f aca="false">SUMIFS('Futures Data'!$D$5:$D$3471,'Futures Data'!$A$5:$A$3471,A453,'Futures Data'!$B$5:$B$3471,B453)</f>
        <v>9725</v>
      </c>
      <c r="R453" s="7" t="n">
        <v>45828</v>
      </c>
      <c r="S453" s="9" t="b">
        <f aca="false">C453=R453</f>
        <v>1</v>
      </c>
      <c r="T453" s="9" t="b">
        <f aca="false">ABS(O453-LN(J453/SUMIFS('Futures Data'!$C$5:$C$3471,'Futures Data'!$A$5:$A$3471,A452,'Futures Data'!$B$5:$B$3471,B453)))&lt;0.000000001</f>
        <v>1</v>
      </c>
    </row>
    <row r="454" customFormat="false" ht="15" hidden="false" customHeight="false" outlineLevel="0" collapsed="false">
      <c r="A454" s="7" t="n">
        <v>45799</v>
      </c>
      <c r="B454" s="11" t="n">
        <f aca="false">C453</f>
        <v>45828</v>
      </c>
      <c r="C454" s="11" t="n">
        <f aca="false">IF(OR(H453,D454&lt;=$G$4),_xlfn.MINIFS('Futures Data'!$B$5:$B$3471,'Futures Data'!$A$5:$A$3471,A454,'Futures Data'!$B$5:$B$3471,"&gt;"&amp;B454),B454)</f>
        <v>45828</v>
      </c>
      <c r="D454" s="3" t="n">
        <f aca="false">COUNTIFS($A$47:$A$790,"&gt;"&amp;A454,$A$47:$A$790,"&lt;="&amp;B454)+IF(B454&gt;$G$5,NETWORKDAYS($G$5+1,B454),0)</f>
        <v>21</v>
      </c>
      <c r="E454" s="3" t="n">
        <f aca="false">SUMIFS('Futures Data'!$E$5:$E$3471,'Futures Data'!$A$5:$A$3471,A454,'Futures Data'!$B$5:$B$3471,C454)</f>
        <v>24460</v>
      </c>
      <c r="F454" s="11" t="n">
        <f aca="false">_xlfn.MINIFS('Futures Data'!$B$5:$B$3471,'Futures Data'!$A$5:$A$3471,A454,'Futures Data'!$B$5:$B$3471,"&gt;"&amp;C454)</f>
        <v>45856</v>
      </c>
      <c r="G454" s="3" t="n">
        <f aca="false">SUMIFS('Futures Data'!$E$5:$E$3471,'Futures Data'!$A$5:$A$3471,A454,'Futures Data'!$B$5:$B$3471,F454)</f>
        <v>7695</v>
      </c>
      <c r="H454" s="9" t="b">
        <f aca="false">G454&gt;E454</f>
        <v>0</v>
      </c>
      <c r="I454" s="9" t="b">
        <f aca="false">C454&lt;&gt;B454</f>
        <v>0</v>
      </c>
      <c r="J454" s="3" t="n">
        <f aca="false">SUMIFS('Futures Data'!$C$5:$C$3471,'Futures Data'!$A$5:$A$3471,A454,'Futures Data'!$B$5:$B$3471,B454)</f>
        <v>6436</v>
      </c>
      <c r="K454" s="3" t="n">
        <f aca="false">SUMIFS('Futures Data'!$C$5:$C$3471,'Futures Data'!$A$5:$A$3471,A454,'Futures Data'!$B$5:$B$3471,C454)</f>
        <v>6436</v>
      </c>
      <c r="L454" s="3" t="n">
        <f aca="false">K454-J454</f>
        <v>0</v>
      </c>
      <c r="M454" s="3" t="n">
        <f aca="false">M455+L454</f>
        <v>1152</v>
      </c>
      <c r="N454" s="3" t="n">
        <f aca="false">J454+M454</f>
        <v>7588</v>
      </c>
      <c r="O454" s="13" t="n">
        <f aca="false">LN(J454/K453)</f>
        <v>0.00748599877737083</v>
      </c>
      <c r="P454" s="13" t="n">
        <f aca="false">LN(N454/N453)</f>
        <v>0.00634587005290296</v>
      </c>
      <c r="Q454" s="3" t="n">
        <f aca="false">SUMIFS('Futures Data'!$D$5:$D$3471,'Futures Data'!$A$5:$A$3471,A454,'Futures Data'!$B$5:$B$3471,B454)</f>
        <v>4510</v>
      </c>
      <c r="R454" s="7" t="n">
        <v>45828</v>
      </c>
      <c r="S454" s="9" t="b">
        <f aca="false">C454=R454</f>
        <v>1</v>
      </c>
      <c r="T454" s="9" t="b">
        <f aca="false">ABS(O454-LN(J454/SUMIFS('Futures Data'!$C$5:$C$3471,'Futures Data'!$A$5:$A$3471,A453,'Futures Data'!$B$5:$B$3471,B454)))&lt;0.000000001</f>
        <v>1</v>
      </c>
    </row>
    <row r="455" customFormat="false" ht="15" hidden="false" customHeight="false" outlineLevel="0" collapsed="false">
      <c r="A455" s="7" t="n">
        <v>45800</v>
      </c>
      <c r="B455" s="11" t="n">
        <f aca="false">C454</f>
        <v>45828</v>
      </c>
      <c r="C455" s="11" t="n">
        <f aca="false">IF(OR(H454,D455&lt;=$G$4),_xlfn.MINIFS('Futures Data'!$B$5:$B$3471,'Futures Data'!$A$5:$A$3471,A455,'Futures Data'!$B$5:$B$3471,"&gt;"&amp;B455),B455)</f>
        <v>45828</v>
      </c>
      <c r="D455" s="3" t="n">
        <f aca="false">COUNTIFS($A$47:$A$790,"&gt;"&amp;A455,$A$47:$A$790,"&lt;="&amp;B455)+IF(B455&gt;$G$5,NETWORKDAYS($G$5+1,B455),0)</f>
        <v>20</v>
      </c>
      <c r="E455" s="3" t="n">
        <f aca="false">SUMIFS('Futures Data'!$E$5:$E$3471,'Futures Data'!$A$5:$A$3471,A455,'Futures Data'!$B$5:$B$3471,C455)</f>
        <v>24330</v>
      </c>
      <c r="F455" s="11" t="n">
        <f aca="false">_xlfn.MINIFS('Futures Data'!$B$5:$B$3471,'Futures Data'!$A$5:$A$3471,A455,'Futures Data'!$B$5:$B$3471,"&gt;"&amp;C455)</f>
        <v>45856</v>
      </c>
      <c r="G455" s="3" t="n">
        <f aca="false">SUMIFS('Futures Data'!$E$5:$E$3471,'Futures Data'!$A$5:$A$3471,A455,'Futures Data'!$B$5:$B$3471,F455)</f>
        <v>9415</v>
      </c>
      <c r="H455" s="9" t="b">
        <f aca="false">G455&gt;E455</f>
        <v>0</v>
      </c>
      <c r="I455" s="9" t="b">
        <f aca="false">C455&lt;&gt;B455</f>
        <v>0</v>
      </c>
      <c r="J455" s="3" t="n">
        <f aca="false">SUMIFS('Futures Data'!$C$5:$C$3471,'Futures Data'!$A$5:$A$3471,A455,'Futures Data'!$B$5:$B$3471,B455)</f>
        <v>6382</v>
      </c>
      <c r="K455" s="3" t="n">
        <f aca="false">SUMIFS('Futures Data'!$C$5:$C$3471,'Futures Data'!$A$5:$A$3471,A455,'Futures Data'!$B$5:$B$3471,C455)</f>
        <v>6382</v>
      </c>
      <c r="L455" s="3" t="n">
        <f aca="false">K455-J455</f>
        <v>0</v>
      </c>
      <c r="M455" s="3" t="n">
        <f aca="false">M456+L455</f>
        <v>1152</v>
      </c>
      <c r="N455" s="3" t="n">
        <f aca="false">J455+M455</f>
        <v>7534</v>
      </c>
      <c r="O455" s="13" t="n">
        <f aca="false">LN(J455/K454)</f>
        <v>-0.00842570127408505</v>
      </c>
      <c r="P455" s="13" t="n">
        <f aca="false">LN(N455/N454)</f>
        <v>-0.00714194280291843</v>
      </c>
      <c r="Q455" s="3" t="n">
        <f aca="false">SUMIFS('Futures Data'!$D$5:$D$3471,'Futures Data'!$A$5:$A$3471,A455,'Futures Data'!$B$5:$B$3471,B455)</f>
        <v>5545</v>
      </c>
      <c r="R455" s="7" t="n">
        <v>45828</v>
      </c>
      <c r="S455" s="9" t="b">
        <f aca="false">C455=R455</f>
        <v>1</v>
      </c>
      <c r="T455" s="9" t="b">
        <f aca="false">ABS(O455-LN(J455/SUMIFS('Futures Data'!$C$5:$C$3471,'Futures Data'!$A$5:$A$3471,A454,'Futures Data'!$B$5:$B$3471,B455)))&lt;0.000000001</f>
        <v>1</v>
      </c>
    </row>
    <row r="456" customFormat="false" ht="15" hidden="false" customHeight="false" outlineLevel="0" collapsed="false">
      <c r="A456" s="7" t="n">
        <v>45803</v>
      </c>
      <c r="B456" s="11" t="n">
        <f aca="false">C455</f>
        <v>45828</v>
      </c>
      <c r="C456" s="11" t="n">
        <f aca="false">IF(OR(H455,D456&lt;=$G$4),_xlfn.MINIFS('Futures Data'!$B$5:$B$3471,'Futures Data'!$A$5:$A$3471,A456,'Futures Data'!$B$5:$B$3471,"&gt;"&amp;B456),B456)</f>
        <v>45828</v>
      </c>
      <c r="D456" s="3" t="n">
        <f aca="false">COUNTIFS($A$47:$A$790,"&gt;"&amp;A456,$A$47:$A$790,"&lt;="&amp;B456)+IF(B456&gt;$G$5,NETWORKDAYS($G$5+1,B456),0)</f>
        <v>19</v>
      </c>
      <c r="E456" s="3" t="n">
        <f aca="false">SUMIFS('Futures Data'!$E$5:$E$3471,'Futures Data'!$A$5:$A$3471,A456,'Futures Data'!$B$5:$B$3471,C456)</f>
        <v>22940</v>
      </c>
      <c r="F456" s="11" t="n">
        <f aca="false">_xlfn.MINIFS('Futures Data'!$B$5:$B$3471,'Futures Data'!$A$5:$A$3471,A456,'Futures Data'!$B$5:$B$3471,"&gt;"&amp;C456)</f>
        <v>45856</v>
      </c>
      <c r="G456" s="3" t="n">
        <f aca="false">SUMIFS('Futures Data'!$E$5:$E$3471,'Futures Data'!$A$5:$A$3471,A456,'Futures Data'!$B$5:$B$3471,F456)</f>
        <v>11080</v>
      </c>
      <c r="H456" s="9" t="b">
        <f aca="false">G456&gt;E456</f>
        <v>0</v>
      </c>
      <c r="I456" s="9" t="b">
        <f aca="false">C456&lt;&gt;B456</f>
        <v>0</v>
      </c>
      <c r="J456" s="3" t="n">
        <f aca="false">SUMIFS('Futures Data'!$C$5:$C$3471,'Futures Data'!$A$5:$A$3471,A456,'Futures Data'!$B$5:$B$3471,B456)</f>
        <v>6402</v>
      </c>
      <c r="K456" s="3" t="n">
        <f aca="false">SUMIFS('Futures Data'!$C$5:$C$3471,'Futures Data'!$A$5:$A$3471,A456,'Futures Data'!$B$5:$B$3471,C456)</f>
        <v>6402</v>
      </c>
      <c r="L456" s="3" t="n">
        <f aca="false">K456-J456</f>
        <v>0</v>
      </c>
      <c r="M456" s="3" t="n">
        <f aca="false">M457+L456</f>
        <v>1152</v>
      </c>
      <c r="N456" s="3" t="n">
        <f aca="false">J456+M456</f>
        <v>7554</v>
      </c>
      <c r="O456" s="13" t="n">
        <f aca="false">LN(J456/K455)</f>
        <v>0.00312891369161949</v>
      </c>
      <c r="P456" s="13" t="n">
        <f aca="false">LN(N456/N455)</f>
        <v>0.00265111502041575</v>
      </c>
      <c r="Q456" s="3" t="n">
        <f aca="false">SUMIFS('Futures Data'!$D$5:$D$3471,'Futures Data'!$A$5:$A$3471,A456,'Futures Data'!$B$5:$B$3471,B456)</f>
        <v>3890</v>
      </c>
      <c r="R456" s="7" t="n">
        <v>45828</v>
      </c>
      <c r="S456" s="9" t="b">
        <f aca="false">C456=R456</f>
        <v>1</v>
      </c>
      <c r="T456" s="9" t="b">
        <f aca="false">ABS(O456-LN(J456/SUMIFS('Futures Data'!$C$5:$C$3471,'Futures Data'!$A$5:$A$3471,A455,'Futures Data'!$B$5:$B$3471,B456)))&lt;0.000000001</f>
        <v>1</v>
      </c>
    </row>
    <row r="457" customFormat="false" ht="15" hidden="false" customHeight="false" outlineLevel="0" collapsed="false">
      <c r="A457" s="7" t="n">
        <v>45804</v>
      </c>
      <c r="B457" s="11" t="n">
        <f aca="false">C456</f>
        <v>45828</v>
      </c>
      <c r="C457" s="11" t="n">
        <f aca="false">IF(OR(H456,D457&lt;=$G$4),_xlfn.MINIFS('Futures Data'!$B$5:$B$3471,'Futures Data'!$A$5:$A$3471,A457,'Futures Data'!$B$5:$B$3471,"&gt;"&amp;B457),B457)</f>
        <v>45828</v>
      </c>
      <c r="D457" s="3" t="n">
        <f aca="false">COUNTIFS($A$47:$A$790,"&gt;"&amp;A457,$A$47:$A$790,"&lt;="&amp;B457)+IF(B457&gt;$G$5,NETWORKDAYS($G$5+1,B457),0)</f>
        <v>18</v>
      </c>
      <c r="E457" s="3" t="n">
        <f aca="false">SUMIFS('Futures Data'!$E$5:$E$3471,'Futures Data'!$A$5:$A$3471,A457,'Futures Data'!$B$5:$B$3471,C457)</f>
        <v>21320</v>
      </c>
      <c r="F457" s="11" t="n">
        <f aca="false">_xlfn.MINIFS('Futures Data'!$B$5:$B$3471,'Futures Data'!$A$5:$A$3471,A457,'Futures Data'!$B$5:$B$3471,"&gt;"&amp;C457)</f>
        <v>45856</v>
      </c>
      <c r="G457" s="3" t="n">
        <f aca="false">SUMIFS('Futures Data'!$E$5:$E$3471,'Futures Data'!$A$5:$A$3471,A457,'Futures Data'!$B$5:$B$3471,F457)</f>
        <v>13890</v>
      </c>
      <c r="H457" s="9" t="b">
        <f aca="false">G457&gt;E457</f>
        <v>0</v>
      </c>
      <c r="I457" s="9" t="b">
        <f aca="false">C457&lt;&gt;B457</f>
        <v>0</v>
      </c>
      <c r="J457" s="3" t="n">
        <f aca="false">SUMIFS('Futures Data'!$C$5:$C$3471,'Futures Data'!$A$5:$A$3471,A457,'Futures Data'!$B$5:$B$3471,B457)</f>
        <v>6382</v>
      </c>
      <c r="K457" s="3" t="n">
        <f aca="false">SUMIFS('Futures Data'!$C$5:$C$3471,'Futures Data'!$A$5:$A$3471,A457,'Futures Data'!$B$5:$B$3471,C457)</f>
        <v>6382</v>
      </c>
      <c r="L457" s="3" t="n">
        <f aca="false">K457-J457</f>
        <v>0</v>
      </c>
      <c r="M457" s="3" t="n">
        <f aca="false">M458+L457</f>
        <v>1152</v>
      </c>
      <c r="N457" s="3" t="n">
        <f aca="false">J457+M457</f>
        <v>7534</v>
      </c>
      <c r="O457" s="13" t="n">
        <f aca="false">LN(J457/K456)</f>
        <v>-0.00312891369161958</v>
      </c>
      <c r="P457" s="13" t="n">
        <f aca="false">LN(N457/N456)</f>
        <v>-0.00265111502041575</v>
      </c>
      <c r="Q457" s="3" t="n">
        <f aca="false">SUMIFS('Futures Data'!$D$5:$D$3471,'Futures Data'!$A$5:$A$3471,A457,'Futures Data'!$B$5:$B$3471,B457)</f>
        <v>5915</v>
      </c>
      <c r="R457" s="7" t="n">
        <v>45828</v>
      </c>
      <c r="S457" s="9" t="b">
        <f aca="false">C457=R457</f>
        <v>1</v>
      </c>
      <c r="T457" s="9" t="b">
        <f aca="false">ABS(O457-LN(J457/SUMIFS('Futures Data'!$C$5:$C$3471,'Futures Data'!$A$5:$A$3471,A456,'Futures Data'!$B$5:$B$3471,B457)))&lt;0.000000001</f>
        <v>1</v>
      </c>
    </row>
    <row r="458" customFormat="false" ht="15" hidden="false" customHeight="false" outlineLevel="0" collapsed="false">
      <c r="A458" s="7" t="n">
        <v>45805</v>
      </c>
      <c r="B458" s="11" t="n">
        <f aca="false">C457</f>
        <v>45828</v>
      </c>
      <c r="C458" s="11" t="n">
        <f aca="false">IF(OR(H457,D458&lt;=$G$4),_xlfn.MINIFS('Futures Data'!$B$5:$B$3471,'Futures Data'!$A$5:$A$3471,A458,'Futures Data'!$B$5:$B$3471,"&gt;"&amp;B458),B458)</f>
        <v>45828</v>
      </c>
      <c r="D458" s="3" t="n">
        <f aca="false">COUNTIFS($A$47:$A$790,"&gt;"&amp;A458,$A$47:$A$790,"&lt;="&amp;B458)+IF(B458&gt;$G$5,NETWORKDAYS($G$5+1,B458),0)</f>
        <v>17</v>
      </c>
      <c r="E458" s="3" t="n">
        <f aca="false">SUMIFS('Futures Data'!$E$5:$E$3471,'Futures Data'!$A$5:$A$3471,A458,'Futures Data'!$B$5:$B$3471,C458)</f>
        <v>20780</v>
      </c>
      <c r="F458" s="11" t="n">
        <f aca="false">_xlfn.MINIFS('Futures Data'!$B$5:$B$3471,'Futures Data'!$A$5:$A$3471,A458,'Futures Data'!$B$5:$B$3471,"&gt;"&amp;C458)</f>
        <v>45856</v>
      </c>
      <c r="G458" s="3" t="n">
        <f aca="false">SUMIFS('Futures Data'!$E$5:$E$3471,'Futures Data'!$A$5:$A$3471,A458,'Futures Data'!$B$5:$B$3471,F458)</f>
        <v>14975</v>
      </c>
      <c r="H458" s="9" t="b">
        <f aca="false">G458&gt;E458</f>
        <v>0</v>
      </c>
      <c r="I458" s="9" t="b">
        <f aca="false">C458&lt;&gt;B458</f>
        <v>0</v>
      </c>
      <c r="J458" s="3" t="n">
        <f aca="false">SUMIFS('Futures Data'!$C$5:$C$3471,'Futures Data'!$A$5:$A$3471,A458,'Futures Data'!$B$5:$B$3471,B458)</f>
        <v>6373</v>
      </c>
      <c r="K458" s="3" t="n">
        <f aca="false">SUMIFS('Futures Data'!$C$5:$C$3471,'Futures Data'!$A$5:$A$3471,A458,'Futures Data'!$B$5:$B$3471,C458)</f>
        <v>6373</v>
      </c>
      <c r="L458" s="3" t="n">
        <f aca="false">K458-J458</f>
        <v>0</v>
      </c>
      <c r="M458" s="3" t="n">
        <f aca="false">M459+L458</f>
        <v>1152</v>
      </c>
      <c r="N458" s="3" t="n">
        <f aca="false">J458+M458</f>
        <v>7525</v>
      </c>
      <c r="O458" s="13" t="n">
        <f aca="false">LN(J458/K457)</f>
        <v>-0.00141121152389468</v>
      </c>
      <c r="P458" s="13" t="n">
        <f aca="false">LN(N458/N457)</f>
        <v>-0.00119529863490993</v>
      </c>
      <c r="Q458" s="3" t="n">
        <f aca="false">SUMIFS('Futures Data'!$D$5:$D$3471,'Futures Data'!$A$5:$A$3471,A458,'Futures Data'!$B$5:$B$3471,B458)</f>
        <v>3035</v>
      </c>
      <c r="R458" s="7" t="n">
        <v>45828</v>
      </c>
      <c r="S458" s="9" t="b">
        <f aca="false">C458=R458</f>
        <v>1</v>
      </c>
      <c r="T458" s="9" t="b">
        <f aca="false">ABS(O458-LN(J458/SUMIFS('Futures Data'!$C$5:$C$3471,'Futures Data'!$A$5:$A$3471,A457,'Futures Data'!$B$5:$B$3471,B458)))&lt;0.000000001</f>
        <v>1</v>
      </c>
    </row>
    <row r="459" customFormat="false" ht="15" hidden="false" customHeight="false" outlineLevel="0" collapsed="false">
      <c r="A459" s="7" t="n">
        <v>45806</v>
      </c>
      <c r="B459" s="11" t="n">
        <f aca="false">C458</f>
        <v>45828</v>
      </c>
      <c r="C459" s="11" t="n">
        <f aca="false">IF(OR(H458,D459&lt;=$G$4),_xlfn.MINIFS('Futures Data'!$B$5:$B$3471,'Futures Data'!$A$5:$A$3471,A459,'Futures Data'!$B$5:$B$3471,"&gt;"&amp;B459),B459)</f>
        <v>45828</v>
      </c>
      <c r="D459" s="3" t="n">
        <f aca="false">COUNTIFS($A$47:$A$790,"&gt;"&amp;A459,$A$47:$A$790,"&lt;="&amp;B459)+IF(B459&gt;$G$5,NETWORKDAYS($G$5+1,B459),0)</f>
        <v>16</v>
      </c>
      <c r="E459" s="3" t="n">
        <f aca="false">SUMIFS('Futures Data'!$E$5:$E$3471,'Futures Data'!$A$5:$A$3471,A459,'Futures Data'!$B$5:$B$3471,C459)</f>
        <v>19865</v>
      </c>
      <c r="F459" s="11" t="n">
        <f aca="false">_xlfn.MINIFS('Futures Data'!$B$5:$B$3471,'Futures Data'!$A$5:$A$3471,A459,'Futures Data'!$B$5:$B$3471,"&gt;"&amp;C459)</f>
        <v>45856</v>
      </c>
      <c r="G459" s="3" t="n">
        <f aca="false">SUMIFS('Futures Data'!$E$5:$E$3471,'Futures Data'!$A$5:$A$3471,A459,'Futures Data'!$B$5:$B$3471,F459)</f>
        <v>15975</v>
      </c>
      <c r="H459" s="9" t="b">
        <f aca="false">G459&gt;E459</f>
        <v>0</v>
      </c>
      <c r="I459" s="9" t="b">
        <f aca="false">C459&lt;&gt;B459</f>
        <v>0</v>
      </c>
      <c r="J459" s="3" t="n">
        <f aca="false">SUMIFS('Futures Data'!$C$5:$C$3471,'Futures Data'!$A$5:$A$3471,A459,'Futures Data'!$B$5:$B$3471,B459)</f>
        <v>6404</v>
      </c>
      <c r="K459" s="3" t="n">
        <f aca="false">SUMIFS('Futures Data'!$C$5:$C$3471,'Futures Data'!$A$5:$A$3471,A459,'Futures Data'!$B$5:$B$3471,C459)</f>
        <v>6404</v>
      </c>
      <c r="L459" s="3" t="n">
        <f aca="false">K459-J459</f>
        <v>0</v>
      </c>
      <c r="M459" s="3" t="n">
        <f aca="false">M460+L459</f>
        <v>1152</v>
      </c>
      <c r="N459" s="3" t="n">
        <f aca="false">J459+M459</f>
        <v>7556</v>
      </c>
      <c r="O459" s="13" t="n">
        <f aca="false">LN(J459/K458)</f>
        <v>0.00485247880231112</v>
      </c>
      <c r="P459" s="13" t="n">
        <f aca="false">LN(N459/N458)</f>
        <v>0.00411113900432358</v>
      </c>
      <c r="Q459" s="3" t="n">
        <f aca="false">SUMIFS('Futures Data'!$D$5:$D$3471,'Futures Data'!$A$5:$A$3471,A459,'Futures Data'!$B$5:$B$3471,B459)</f>
        <v>4480</v>
      </c>
      <c r="R459" s="7" t="n">
        <v>45828</v>
      </c>
      <c r="S459" s="9" t="b">
        <f aca="false">C459=R459</f>
        <v>1</v>
      </c>
      <c r="T459" s="9" t="b">
        <f aca="false">ABS(O459-LN(J459/SUMIFS('Futures Data'!$C$5:$C$3471,'Futures Data'!$A$5:$A$3471,A458,'Futures Data'!$B$5:$B$3471,B459)))&lt;0.000000001</f>
        <v>1</v>
      </c>
    </row>
    <row r="460" customFormat="false" ht="15" hidden="false" customHeight="false" outlineLevel="0" collapsed="false">
      <c r="A460" s="7" t="n">
        <v>45807</v>
      </c>
      <c r="B460" s="11" t="n">
        <f aca="false">C459</f>
        <v>45828</v>
      </c>
      <c r="C460" s="11" t="n">
        <f aca="false">IF(OR(H459,D460&lt;=$G$4),_xlfn.MINIFS('Futures Data'!$B$5:$B$3471,'Futures Data'!$A$5:$A$3471,A460,'Futures Data'!$B$5:$B$3471,"&gt;"&amp;B460),B460)</f>
        <v>45828</v>
      </c>
      <c r="D460" s="3" t="n">
        <f aca="false">COUNTIFS($A$47:$A$790,"&gt;"&amp;A460,$A$47:$A$790,"&lt;="&amp;B460)+IF(B460&gt;$G$5,NETWORKDAYS($G$5+1,B460),0)</f>
        <v>15</v>
      </c>
      <c r="E460" s="3" t="n">
        <f aca="false">SUMIFS('Futures Data'!$E$5:$E$3471,'Futures Data'!$A$5:$A$3471,A460,'Futures Data'!$B$5:$B$3471,C460)</f>
        <v>19460</v>
      </c>
      <c r="F460" s="11" t="n">
        <f aca="false">_xlfn.MINIFS('Futures Data'!$B$5:$B$3471,'Futures Data'!$A$5:$A$3471,A460,'Futures Data'!$B$5:$B$3471,"&gt;"&amp;C460)</f>
        <v>45856</v>
      </c>
      <c r="G460" s="3" t="n">
        <f aca="false">SUMIFS('Futures Data'!$E$5:$E$3471,'Futures Data'!$A$5:$A$3471,A460,'Futures Data'!$B$5:$B$3471,F460)</f>
        <v>16765</v>
      </c>
      <c r="H460" s="9" t="b">
        <f aca="false">G460&gt;E460</f>
        <v>0</v>
      </c>
      <c r="I460" s="9" t="b">
        <f aca="false">C460&lt;&gt;B460</f>
        <v>0</v>
      </c>
      <c r="J460" s="3" t="n">
        <f aca="false">SUMIFS('Futures Data'!$C$5:$C$3471,'Futures Data'!$A$5:$A$3471,A460,'Futures Data'!$B$5:$B$3471,B460)</f>
        <v>6377</v>
      </c>
      <c r="K460" s="3" t="n">
        <f aca="false">SUMIFS('Futures Data'!$C$5:$C$3471,'Futures Data'!$A$5:$A$3471,A460,'Futures Data'!$B$5:$B$3471,C460)</f>
        <v>6377</v>
      </c>
      <c r="L460" s="3" t="n">
        <f aca="false">K460-J460</f>
        <v>0</v>
      </c>
      <c r="M460" s="3" t="n">
        <f aca="false">M461+L460</f>
        <v>1152</v>
      </c>
      <c r="N460" s="3" t="n">
        <f aca="false">J460+M460</f>
        <v>7529</v>
      </c>
      <c r="O460" s="13" t="n">
        <f aca="false">LN(J460/K459)</f>
        <v>-0.00422502780133365</v>
      </c>
      <c r="P460" s="13" t="n">
        <f aca="false">LN(N460/N459)</f>
        <v>-0.00357971877127792</v>
      </c>
      <c r="Q460" s="3" t="n">
        <f aca="false">SUMIFS('Futures Data'!$D$5:$D$3471,'Futures Data'!$A$5:$A$3471,A460,'Futures Data'!$B$5:$B$3471,B460)</f>
        <v>2415</v>
      </c>
      <c r="R460" s="7" t="n">
        <v>45828</v>
      </c>
      <c r="S460" s="9" t="b">
        <f aca="false">C460=R460</f>
        <v>1</v>
      </c>
      <c r="T460" s="9" t="b">
        <f aca="false">ABS(O460-LN(J460/SUMIFS('Futures Data'!$C$5:$C$3471,'Futures Data'!$A$5:$A$3471,A459,'Futures Data'!$B$5:$B$3471,B460)))&lt;0.000000001</f>
        <v>1</v>
      </c>
    </row>
    <row r="461" customFormat="false" ht="15" hidden="false" customHeight="false" outlineLevel="0" collapsed="false">
      <c r="A461" s="7" t="n">
        <v>45810</v>
      </c>
      <c r="B461" s="11" t="n">
        <f aca="false">C460</f>
        <v>45828</v>
      </c>
      <c r="C461" s="11" t="n">
        <f aca="false">IF(OR(H460,D461&lt;=$G$4),_xlfn.MINIFS('Futures Data'!$B$5:$B$3471,'Futures Data'!$A$5:$A$3471,A461,'Futures Data'!$B$5:$B$3471,"&gt;"&amp;B461),B461)</f>
        <v>45828</v>
      </c>
      <c r="D461" s="3" t="n">
        <f aca="false">COUNTIFS($A$47:$A$790,"&gt;"&amp;A461,$A$47:$A$790,"&lt;="&amp;B461)+IF(B461&gt;$G$5,NETWORKDAYS($G$5+1,B461),0)</f>
        <v>14</v>
      </c>
      <c r="E461" s="3" t="n">
        <f aca="false">SUMIFS('Futures Data'!$E$5:$E$3471,'Futures Data'!$A$5:$A$3471,A461,'Futures Data'!$B$5:$B$3471,C461)</f>
        <v>18600</v>
      </c>
      <c r="F461" s="11" t="n">
        <f aca="false">_xlfn.MINIFS('Futures Data'!$B$5:$B$3471,'Futures Data'!$A$5:$A$3471,A461,'Futures Data'!$B$5:$B$3471,"&gt;"&amp;C461)</f>
        <v>45856</v>
      </c>
      <c r="G461" s="3" t="n">
        <f aca="false">SUMIFS('Futures Data'!$E$5:$E$3471,'Futures Data'!$A$5:$A$3471,A461,'Futures Data'!$B$5:$B$3471,F461)</f>
        <v>18515</v>
      </c>
      <c r="H461" s="9" t="b">
        <f aca="false">G461&gt;E461</f>
        <v>0</v>
      </c>
      <c r="I461" s="9" t="b">
        <f aca="false">C461&lt;&gt;B461</f>
        <v>0</v>
      </c>
      <c r="J461" s="3" t="n">
        <f aca="false">SUMIFS('Futures Data'!$C$5:$C$3471,'Futures Data'!$A$5:$A$3471,A461,'Futures Data'!$B$5:$B$3471,B461)</f>
        <v>6366</v>
      </c>
      <c r="K461" s="3" t="n">
        <f aca="false">SUMIFS('Futures Data'!$C$5:$C$3471,'Futures Data'!$A$5:$A$3471,A461,'Futures Data'!$B$5:$B$3471,C461)</f>
        <v>6366</v>
      </c>
      <c r="L461" s="3" t="n">
        <f aca="false">K461-J461</f>
        <v>0</v>
      </c>
      <c r="M461" s="3" t="n">
        <f aca="false">M462+L461</f>
        <v>1152</v>
      </c>
      <c r="N461" s="3" t="n">
        <f aca="false">J461+M461</f>
        <v>7518</v>
      </c>
      <c r="O461" s="13" t="n">
        <f aca="false">LN(J461/K460)</f>
        <v>-0.00172643847323354</v>
      </c>
      <c r="P461" s="13" t="n">
        <f aca="false">LN(N461/N460)</f>
        <v>-0.00146208572599893</v>
      </c>
      <c r="Q461" s="3" t="n">
        <f aca="false">SUMIFS('Futures Data'!$D$5:$D$3471,'Futures Data'!$A$5:$A$3471,A461,'Futures Data'!$B$5:$B$3471,B461)</f>
        <v>3800</v>
      </c>
      <c r="R461" s="7" t="n">
        <v>45828</v>
      </c>
      <c r="S461" s="9" t="b">
        <f aca="false">C461=R461</f>
        <v>1</v>
      </c>
      <c r="T461" s="9" t="b">
        <f aca="false">ABS(O461-LN(J461/SUMIFS('Futures Data'!$C$5:$C$3471,'Futures Data'!$A$5:$A$3471,A460,'Futures Data'!$B$5:$B$3471,B461)))&lt;0.000000001</f>
        <v>1</v>
      </c>
    </row>
    <row r="462" customFormat="false" ht="15" hidden="false" customHeight="false" outlineLevel="0" collapsed="false">
      <c r="A462" s="7" t="n">
        <v>45811</v>
      </c>
      <c r="B462" s="11" t="n">
        <f aca="false">C461</f>
        <v>45828</v>
      </c>
      <c r="C462" s="11" t="n">
        <f aca="false">IF(OR(H461,D462&lt;=$G$4),_xlfn.MINIFS('Futures Data'!$B$5:$B$3471,'Futures Data'!$A$5:$A$3471,A462,'Futures Data'!$B$5:$B$3471,"&gt;"&amp;B462),B462)</f>
        <v>45828</v>
      </c>
      <c r="D462" s="3" t="n">
        <f aca="false">COUNTIFS($A$47:$A$790,"&gt;"&amp;A462,$A$47:$A$790,"&lt;="&amp;B462)+IF(B462&gt;$G$5,NETWORKDAYS($G$5+1,B462),0)</f>
        <v>13</v>
      </c>
      <c r="E462" s="3" t="n">
        <f aca="false">SUMIFS('Futures Data'!$E$5:$E$3471,'Futures Data'!$A$5:$A$3471,A462,'Futures Data'!$B$5:$B$3471,C462)</f>
        <v>18280</v>
      </c>
      <c r="F462" s="11" t="n">
        <f aca="false">_xlfn.MINIFS('Futures Data'!$B$5:$B$3471,'Futures Data'!$A$5:$A$3471,A462,'Futures Data'!$B$5:$B$3471,"&gt;"&amp;C462)</f>
        <v>45856</v>
      </c>
      <c r="G462" s="3" t="n">
        <f aca="false">SUMIFS('Futures Data'!$E$5:$E$3471,'Futures Data'!$A$5:$A$3471,A462,'Futures Data'!$B$5:$B$3471,F462)</f>
        <v>19515</v>
      </c>
      <c r="H462" s="9" t="b">
        <f aca="false">G462&gt;E462</f>
        <v>1</v>
      </c>
      <c r="I462" s="9" t="b">
        <f aca="false">C462&lt;&gt;B462</f>
        <v>0</v>
      </c>
      <c r="J462" s="3" t="n">
        <f aca="false">SUMIFS('Futures Data'!$C$5:$C$3471,'Futures Data'!$A$5:$A$3471,A462,'Futures Data'!$B$5:$B$3471,B462)</f>
        <v>6350</v>
      </c>
      <c r="K462" s="3" t="n">
        <f aca="false">SUMIFS('Futures Data'!$C$5:$C$3471,'Futures Data'!$A$5:$A$3471,A462,'Futures Data'!$B$5:$B$3471,C462)</f>
        <v>6350</v>
      </c>
      <c r="L462" s="3" t="n">
        <f aca="false">K462-J462</f>
        <v>0</v>
      </c>
      <c r="M462" s="3" t="n">
        <f aca="false">M463+L462</f>
        <v>1152</v>
      </c>
      <c r="N462" s="3" t="n">
        <f aca="false">J462+M462</f>
        <v>7502</v>
      </c>
      <c r="O462" s="13" t="n">
        <f aca="false">LN(J462/K461)</f>
        <v>-0.0025165159553008</v>
      </c>
      <c r="P462" s="13" t="n">
        <f aca="false">LN(N462/N461)</f>
        <v>-0.00213049348229064</v>
      </c>
      <c r="Q462" s="3" t="n">
        <f aca="false">SUMIFS('Futures Data'!$D$5:$D$3471,'Futures Data'!$A$5:$A$3471,A462,'Futures Data'!$B$5:$B$3471,B462)</f>
        <v>2320</v>
      </c>
      <c r="R462" s="7" t="n">
        <v>45828</v>
      </c>
      <c r="S462" s="9" t="b">
        <f aca="false">C462=R462</f>
        <v>1</v>
      </c>
      <c r="T462" s="9" t="b">
        <f aca="false">ABS(O462-LN(J462/SUMIFS('Futures Data'!$C$5:$C$3471,'Futures Data'!$A$5:$A$3471,A461,'Futures Data'!$B$5:$B$3471,B462)))&lt;0.000000001</f>
        <v>1</v>
      </c>
    </row>
    <row r="463" customFormat="false" ht="15" hidden="false" customHeight="false" outlineLevel="0" collapsed="false">
      <c r="A463" s="7" t="n">
        <v>45812</v>
      </c>
      <c r="B463" s="11" t="n">
        <f aca="false">C462</f>
        <v>45828</v>
      </c>
      <c r="C463" s="11" t="n">
        <f aca="false">IF(OR(H462,D463&lt;=$G$4),_xlfn.MINIFS('Futures Data'!$B$5:$B$3471,'Futures Data'!$A$5:$A$3471,A463,'Futures Data'!$B$5:$B$3471,"&gt;"&amp;B463),B463)</f>
        <v>45856</v>
      </c>
      <c r="D463" s="3" t="n">
        <f aca="false">COUNTIFS($A$47:$A$790,"&gt;"&amp;A463,$A$47:$A$790,"&lt;="&amp;B463)+IF(B463&gt;$G$5,NETWORKDAYS($G$5+1,B463),0)</f>
        <v>12</v>
      </c>
      <c r="E463" s="3" t="n">
        <f aca="false">SUMIFS('Futures Data'!$E$5:$E$3471,'Futures Data'!$A$5:$A$3471,A463,'Futures Data'!$B$5:$B$3471,C463)</f>
        <v>22075</v>
      </c>
      <c r="F463" s="11" t="n">
        <f aca="false">_xlfn.MINIFS('Futures Data'!$B$5:$B$3471,'Futures Data'!$A$5:$A$3471,A463,'Futures Data'!$B$5:$B$3471,"&gt;"&amp;C463)</f>
        <v>45889</v>
      </c>
      <c r="G463" s="3" t="n">
        <f aca="false">SUMIFS('Futures Data'!$E$5:$E$3471,'Futures Data'!$A$5:$A$3471,A463,'Futures Data'!$B$5:$B$3471,F463)</f>
        <v>200</v>
      </c>
      <c r="H463" s="9" t="b">
        <f aca="false">G463&gt;E463</f>
        <v>0</v>
      </c>
      <c r="I463" s="9" t="b">
        <f aca="false">C463&lt;&gt;B463</f>
        <v>1</v>
      </c>
      <c r="J463" s="3" t="n">
        <f aca="false">SUMIFS('Futures Data'!$C$5:$C$3471,'Futures Data'!$A$5:$A$3471,A463,'Futures Data'!$B$5:$B$3471,B463)</f>
        <v>6392</v>
      </c>
      <c r="K463" s="3" t="n">
        <f aca="false">SUMIFS('Futures Data'!$C$5:$C$3471,'Futures Data'!$A$5:$A$3471,A463,'Futures Data'!$B$5:$B$3471,C463)</f>
        <v>6470</v>
      </c>
      <c r="L463" s="3" t="n">
        <f aca="false">K463-J463</f>
        <v>78</v>
      </c>
      <c r="M463" s="3" t="n">
        <f aca="false">M464+L463</f>
        <v>1152</v>
      </c>
      <c r="N463" s="3" t="n">
        <f aca="false">J463+M463</f>
        <v>7544</v>
      </c>
      <c r="O463" s="13" t="n">
        <f aca="false">LN(J463/K462)</f>
        <v>0.00659239555937326</v>
      </c>
      <c r="P463" s="13" t="n">
        <f aca="false">LN(N463/N462)</f>
        <v>0.00558289367146088</v>
      </c>
      <c r="Q463" s="3" t="n">
        <f aca="false">SUMIFS('Futures Data'!$D$5:$D$3471,'Futures Data'!$A$5:$A$3471,A463,'Futures Data'!$B$5:$B$3471,B463)</f>
        <v>5000</v>
      </c>
      <c r="R463" s="7" t="n">
        <v>45856</v>
      </c>
      <c r="S463" s="9" t="b">
        <f aca="false">C463=R463</f>
        <v>1</v>
      </c>
      <c r="T463" s="9" t="b">
        <f aca="false">ABS(O463-LN(J463/SUMIFS('Futures Data'!$C$5:$C$3471,'Futures Data'!$A$5:$A$3471,A462,'Futures Data'!$B$5:$B$3471,B463)))&lt;0.000000001</f>
        <v>1</v>
      </c>
    </row>
    <row r="464" customFormat="false" ht="15" hidden="false" customHeight="false" outlineLevel="0" collapsed="false">
      <c r="A464" s="7" t="n">
        <v>45813</v>
      </c>
      <c r="B464" s="11" t="n">
        <f aca="false">C463</f>
        <v>45856</v>
      </c>
      <c r="C464" s="11" t="n">
        <f aca="false">IF(OR(H463,D464&lt;=$G$4),_xlfn.MINIFS('Futures Data'!$B$5:$B$3471,'Futures Data'!$A$5:$A$3471,A464,'Futures Data'!$B$5:$B$3471,"&gt;"&amp;B464),B464)</f>
        <v>45856</v>
      </c>
      <c r="D464" s="3" t="n">
        <f aca="false">COUNTIFS($A$47:$A$790,"&gt;"&amp;A464,$A$47:$A$790,"&lt;="&amp;B464)+IF(B464&gt;$G$5,NETWORKDAYS($G$5+1,B464),0)</f>
        <v>31</v>
      </c>
      <c r="E464" s="3" t="n">
        <f aca="false">SUMIFS('Futures Data'!$E$5:$E$3471,'Futures Data'!$A$5:$A$3471,A464,'Futures Data'!$B$5:$B$3471,C464)</f>
        <v>23865</v>
      </c>
      <c r="F464" s="11" t="n">
        <f aca="false">_xlfn.MINIFS('Futures Data'!$B$5:$B$3471,'Futures Data'!$A$5:$A$3471,A464,'Futures Data'!$B$5:$B$3471,"&gt;"&amp;C464)</f>
        <v>45889</v>
      </c>
      <c r="G464" s="3" t="n">
        <f aca="false">SUMIFS('Futures Data'!$E$5:$E$3471,'Futures Data'!$A$5:$A$3471,A464,'Futures Data'!$B$5:$B$3471,F464)</f>
        <v>230</v>
      </c>
      <c r="H464" s="9" t="b">
        <f aca="false">G464&gt;E464</f>
        <v>0</v>
      </c>
      <c r="I464" s="9" t="b">
        <f aca="false">C464&lt;&gt;B464</f>
        <v>0</v>
      </c>
      <c r="J464" s="3" t="n">
        <f aca="false">SUMIFS('Futures Data'!$C$5:$C$3471,'Futures Data'!$A$5:$A$3471,A464,'Futures Data'!$B$5:$B$3471,B464)</f>
        <v>6464</v>
      </c>
      <c r="K464" s="3" t="n">
        <f aca="false">SUMIFS('Futures Data'!$C$5:$C$3471,'Futures Data'!$A$5:$A$3471,A464,'Futures Data'!$B$5:$B$3471,C464)</f>
        <v>6464</v>
      </c>
      <c r="L464" s="3" t="n">
        <f aca="false">K464-J464</f>
        <v>0</v>
      </c>
      <c r="M464" s="3" t="n">
        <f aca="false">M465+L464</f>
        <v>1074</v>
      </c>
      <c r="N464" s="3" t="n">
        <f aca="false">J464+M464</f>
        <v>7538</v>
      </c>
      <c r="O464" s="13" t="n">
        <f aca="false">LN(J464/K463)</f>
        <v>-0.000927787294014944</v>
      </c>
      <c r="P464" s="13" t="n">
        <f aca="false">LN(N464/N463)</f>
        <v>-0.000795650486212728</v>
      </c>
      <c r="Q464" s="3" t="n">
        <f aca="false">SUMIFS('Futures Data'!$D$5:$D$3471,'Futures Data'!$A$5:$A$3471,A464,'Futures Data'!$B$5:$B$3471,B464)</f>
        <v>4260</v>
      </c>
      <c r="R464" s="7" t="n">
        <v>45856</v>
      </c>
      <c r="S464" s="9" t="b">
        <f aca="false">C464=R464</f>
        <v>1</v>
      </c>
      <c r="T464" s="9" t="b">
        <f aca="false">ABS(O464-LN(J464/SUMIFS('Futures Data'!$C$5:$C$3471,'Futures Data'!$A$5:$A$3471,A463,'Futures Data'!$B$5:$B$3471,B464)))&lt;0.000000001</f>
        <v>1</v>
      </c>
    </row>
    <row r="465" customFormat="false" ht="15" hidden="false" customHeight="false" outlineLevel="0" collapsed="false">
      <c r="A465" s="7" t="n">
        <v>45814</v>
      </c>
      <c r="B465" s="11" t="n">
        <f aca="false">C464</f>
        <v>45856</v>
      </c>
      <c r="C465" s="11" t="n">
        <f aca="false">IF(OR(H464,D465&lt;=$G$4),_xlfn.MINIFS('Futures Data'!$B$5:$B$3471,'Futures Data'!$A$5:$A$3471,A465,'Futures Data'!$B$5:$B$3471,"&gt;"&amp;B465),B465)</f>
        <v>45856</v>
      </c>
      <c r="D465" s="3" t="n">
        <f aca="false">COUNTIFS($A$47:$A$790,"&gt;"&amp;A465,$A$47:$A$790,"&lt;="&amp;B465)+IF(B465&gt;$G$5,NETWORKDAYS($G$5+1,B465),0)</f>
        <v>30</v>
      </c>
      <c r="E465" s="3" t="n">
        <f aca="false">SUMIFS('Futures Data'!$E$5:$E$3471,'Futures Data'!$A$5:$A$3471,A465,'Futures Data'!$B$5:$B$3471,C465)</f>
        <v>25140</v>
      </c>
      <c r="F465" s="11" t="n">
        <f aca="false">_xlfn.MINIFS('Futures Data'!$B$5:$B$3471,'Futures Data'!$A$5:$A$3471,A465,'Futures Data'!$B$5:$B$3471,"&gt;"&amp;C465)</f>
        <v>45889</v>
      </c>
      <c r="G465" s="3" t="n">
        <f aca="false">SUMIFS('Futures Data'!$E$5:$E$3471,'Futures Data'!$A$5:$A$3471,A465,'Futures Data'!$B$5:$B$3471,F465)</f>
        <v>335</v>
      </c>
      <c r="H465" s="9" t="b">
        <f aca="false">G465&gt;E465</f>
        <v>0</v>
      </c>
      <c r="I465" s="9" t="b">
        <f aca="false">C465&lt;&gt;B465</f>
        <v>0</v>
      </c>
      <c r="J465" s="3" t="n">
        <f aca="false">SUMIFS('Futures Data'!$C$5:$C$3471,'Futures Data'!$A$5:$A$3471,A465,'Futures Data'!$B$5:$B$3471,B465)</f>
        <v>6464</v>
      </c>
      <c r="K465" s="3" t="n">
        <f aca="false">SUMIFS('Futures Data'!$C$5:$C$3471,'Futures Data'!$A$5:$A$3471,A465,'Futures Data'!$B$5:$B$3471,C465)</f>
        <v>6464</v>
      </c>
      <c r="L465" s="3" t="n">
        <f aca="false">K465-J465</f>
        <v>0</v>
      </c>
      <c r="M465" s="3" t="n">
        <f aca="false">M466+L465</f>
        <v>1074</v>
      </c>
      <c r="N465" s="3" t="n">
        <f aca="false">J465+M465</f>
        <v>7538</v>
      </c>
      <c r="O465" s="13" t="n">
        <f aca="false">LN(J465/K464)</f>
        <v>0</v>
      </c>
      <c r="P465" s="13" t="n">
        <f aca="false">LN(N465/N464)</f>
        <v>0</v>
      </c>
      <c r="Q465" s="3" t="n">
        <f aca="false">SUMIFS('Futures Data'!$D$5:$D$3471,'Futures Data'!$A$5:$A$3471,A465,'Futures Data'!$B$5:$B$3471,B465)</f>
        <v>3915</v>
      </c>
      <c r="R465" s="7" t="n">
        <v>45856</v>
      </c>
      <c r="S465" s="9" t="b">
        <f aca="false">C465=R465</f>
        <v>1</v>
      </c>
      <c r="T465" s="9" t="b">
        <f aca="false">ABS(O465-LN(J465/SUMIFS('Futures Data'!$C$5:$C$3471,'Futures Data'!$A$5:$A$3471,A464,'Futures Data'!$B$5:$B$3471,B465)))&lt;0.000000001</f>
        <v>1</v>
      </c>
    </row>
    <row r="466" customFormat="false" ht="15" hidden="false" customHeight="false" outlineLevel="0" collapsed="false">
      <c r="A466" s="7" t="n">
        <v>45817</v>
      </c>
      <c r="B466" s="11" t="n">
        <f aca="false">C465</f>
        <v>45856</v>
      </c>
      <c r="C466" s="11" t="n">
        <f aca="false">IF(OR(H465,D466&lt;=$G$4),_xlfn.MINIFS('Futures Data'!$B$5:$B$3471,'Futures Data'!$A$5:$A$3471,A466,'Futures Data'!$B$5:$B$3471,"&gt;"&amp;B466),B466)</f>
        <v>45856</v>
      </c>
      <c r="D466" s="3" t="n">
        <f aca="false">COUNTIFS($A$47:$A$790,"&gt;"&amp;A466,$A$47:$A$790,"&lt;="&amp;B466)+IF(B466&gt;$G$5,NETWORKDAYS($G$5+1,B466),0)</f>
        <v>29</v>
      </c>
      <c r="E466" s="3" t="n">
        <f aca="false">SUMIFS('Futures Data'!$E$5:$E$3471,'Futures Data'!$A$5:$A$3471,A466,'Futures Data'!$B$5:$B$3471,C466)</f>
        <v>28550</v>
      </c>
      <c r="F466" s="11" t="n">
        <f aca="false">_xlfn.MINIFS('Futures Data'!$B$5:$B$3471,'Futures Data'!$A$5:$A$3471,A466,'Futures Data'!$B$5:$B$3471,"&gt;"&amp;C466)</f>
        <v>45889</v>
      </c>
      <c r="G466" s="3" t="n">
        <f aca="false">SUMIFS('Futures Data'!$E$5:$E$3471,'Futures Data'!$A$5:$A$3471,A466,'Futures Data'!$B$5:$B$3471,F466)</f>
        <v>990</v>
      </c>
      <c r="H466" s="9" t="b">
        <f aca="false">G466&gt;E466</f>
        <v>0</v>
      </c>
      <c r="I466" s="9" t="b">
        <f aca="false">C466&lt;&gt;B466</f>
        <v>0</v>
      </c>
      <c r="J466" s="3" t="n">
        <f aca="false">SUMIFS('Futures Data'!$C$5:$C$3471,'Futures Data'!$A$5:$A$3471,A466,'Futures Data'!$B$5:$B$3471,B466)</f>
        <v>6528</v>
      </c>
      <c r="K466" s="3" t="n">
        <f aca="false">SUMIFS('Futures Data'!$C$5:$C$3471,'Futures Data'!$A$5:$A$3471,A466,'Futures Data'!$B$5:$B$3471,C466)</f>
        <v>6528</v>
      </c>
      <c r="L466" s="3" t="n">
        <f aca="false">K466-J466</f>
        <v>0</v>
      </c>
      <c r="M466" s="3" t="n">
        <f aca="false">M467+L466</f>
        <v>1074</v>
      </c>
      <c r="N466" s="3" t="n">
        <f aca="false">J466+M466</f>
        <v>7602</v>
      </c>
      <c r="O466" s="13" t="n">
        <f aca="false">LN(J466/K465)</f>
        <v>0.00985229644301164</v>
      </c>
      <c r="P466" s="13" t="n">
        <f aca="false">LN(N466/N465)</f>
        <v>0.00845447572211322</v>
      </c>
      <c r="Q466" s="3" t="n">
        <f aca="false">SUMIFS('Futures Data'!$D$5:$D$3471,'Futures Data'!$A$5:$A$3471,A466,'Futures Data'!$B$5:$B$3471,B466)</f>
        <v>9750</v>
      </c>
      <c r="R466" s="7" t="n">
        <v>45856</v>
      </c>
      <c r="S466" s="9" t="b">
        <f aca="false">C466=R466</f>
        <v>1</v>
      </c>
      <c r="T466" s="9" t="b">
        <f aca="false">ABS(O466-LN(J466/SUMIFS('Futures Data'!$C$5:$C$3471,'Futures Data'!$A$5:$A$3471,A465,'Futures Data'!$B$5:$B$3471,B466)))&lt;0.000000001</f>
        <v>1</v>
      </c>
    </row>
    <row r="467" customFormat="false" ht="15" hidden="false" customHeight="false" outlineLevel="0" collapsed="false">
      <c r="A467" s="7" t="n">
        <v>45818</v>
      </c>
      <c r="B467" s="11" t="n">
        <f aca="false">C466</f>
        <v>45856</v>
      </c>
      <c r="C467" s="11" t="n">
        <f aca="false">IF(OR(H466,D467&lt;=$G$4),_xlfn.MINIFS('Futures Data'!$B$5:$B$3471,'Futures Data'!$A$5:$A$3471,A467,'Futures Data'!$B$5:$B$3471,"&gt;"&amp;B467),B467)</f>
        <v>45856</v>
      </c>
      <c r="D467" s="3" t="n">
        <f aca="false">COUNTIFS($A$47:$A$790,"&gt;"&amp;A467,$A$47:$A$790,"&lt;="&amp;B467)+IF(B467&gt;$G$5,NETWORKDAYS($G$5+1,B467),0)</f>
        <v>28</v>
      </c>
      <c r="E467" s="3" t="n">
        <f aca="false">SUMIFS('Futures Data'!$E$5:$E$3471,'Futures Data'!$A$5:$A$3471,A467,'Futures Data'!$B$5:$B$3471,C467)</f>
        <v>34735</v>
      </c>
      <c r="F467" s="11" t="n">
        <f aca="false">_xlfn.MINIFS('Futures Data'!$B$5:$B$3471,'Futures Data'!$A$5:$A$3471,A467,'Futures Data'!$B$5:$B$3471,"&gt;"&amp;C467)</f>
        <v>45889</v>
      </c>
      <c r="G467" s="3" t="n">
        <f aca="false">SUMIFS('Futures Data'!$E$5:$E$3471,'Futures Data'!$A$5:$A$3471,A467,'Futures Data'!$B$5:$B$3471,F467)</f>
        <v>1640</v>
      </c>
      <c r="H467" s="9" t="b">
        <f aca="false">G467&gt;E467</f>
        <v>0</v>
      </c>
      <c r="I467" s="9" t="b">
        <f aca="false">C467&lt;&gt;B467</f>
        <v>0</v>
      </c>
      <c r="J467" s="3" t="n">
        <f aca="false">SUMIFS('Futures Data'!$C$5:$C$3471,'Futures Data'!$A$5:$A$3471,A467,'Futures Data'!$B$5:$B$3471,B467)</f>
        <v>6637</v>
      </c>
      <c r="K467" s="3" t="n">
        <f aca="false">SUMIFS('Futures Data'!$C$5:$C$3471,'Futures Data'!$A$5:$A$3471,A467,'Futures Data'!$B$5:$B$3471,C467)</f>
        <v>6637</v>
      </c>
      <c r="L467" s="3" t="n">
        <f aca="false">K467-J467</f>
        <v>0</v>
      </c>
      <c r="M467" s="3" t="n">
        <f aca="false">M468+L467</f>
        <v>1074</v>
      </c>
      <c r="N467" s="3" t="n">
        <f aca="false">J467+M467</f>
        <v>7711</v>
      </c>
      <c r="O467" s="13" t="n">
        <f aca="false">LN(J467/K466)</f>
        <v>0.0165594365019819</v>
      </c>
      <c r="P467" s="13" t="n">
        <f aca="false">LN(N467/N466)</f>
        <v>0.0142365102837666</v>
      </c>
      <c r="Q467" s="3" t="n">
        <f aca="false">SUMIFS('Futures Data'!$D$5:$D$3471,'Futures Data'!$A$5:$A$3471,A467,'Futures Data'!$B$5:$B$3471,B467)</f>
        <v>17345</v>
      </c>
      <c r="R467" s="7" t="n">
        <v>45856</v>
      </c>
      <c r="S467" s="9" t="b">
        <f aca="false">C467=R467</f>
        <v>1</v>
      </c>
      <c r="T467" s="9" t="b">
        <f aca="false">ABS(O467-LN(J467/SUMIFS('Futures Data'!$C$5:$C$3471,'Futures Data'!$A$5:$A$3471,A466,'Futures Data'!$B$5:$B$3471,B467)))&lt;0.000000001</f>
        <v>1</v>
      </c>
    </row>
    <row r="468" customFormat="false" ht="15" hidden="false" customHeight="false" outlineLevel="0" collapsed="false">
      <c r="A468" s="7" t="n">
        <v>45819</v>
      </c>
      <c r="B468" s="11" t="n">
        <f aca="false">C467</f>
        <v>45856</v>
      </c>
      <c r="C468" s="11" t="n">
        <f aca="false">IF(OR(H467,D468&lt;=$G$4),_xlfn.MINIFS('Futures Data'!$B$5:$B$3471,'Futures Data'!$A$5:$A$3471,A468,'Futures Data'!$B$5:$B$3471,"&gt;"&amp;B468),B468)</f>
        <v>45856</v>
      </c>
      <c r="D468" s="3" t="n">
        <f aca="false">COUNTIFS($A$47:$A$790,"&gt;"&amp;A468,$A$47:$A$790,"&lt;="&amp;B468)+IF(B468&gt;$G$5,NETWORKDAYS($G$5+1,B468),0)</f>
        <v>27</v>
      </c>
      <c r="E468" s="3" t="n">
        <f aca="false">SUMIFS('Futures Data'!$E$5:$E$3471,'Futures Data'!$A$5:$A$3471,A468,'Futures Data'!$B$5:$B$3471,C468)</f>
        <v>35405</v>
      </c>
      <c r="F468" s="11" t="n">
        <f aca="false">_xlfn.MINIFS('Futures Data'!$B$5:$B$3471,'Futures Data'!$A$5:$A$3471,A468,'Futures Data'!$B$5:$B$3471,"&gt;"&amp;C468)</f>
        <v>45889</v>
      </c>
      <c r="G468" s="3" t="n">
        <f aca="false">SUMIFS('Futures Data'!$E$5:$E$3471,'Futures Data'!$A$5:$A$3471,A468,'Futures Data'!$B$5:$B$3471,F468)</f>
        <v>1765</v>
      </c>
      <c r="H468" s="9" t="b">
        <f aca="false">G468&gt;E468</f>
        <v>0</v>
      </c>
      <c r="I468" s="9" t="b">
        <f aca="false">C468&lt;&gt;B468</f>
        <v>0</v>
      </c>
      <c r="J468" s="3" t="n">
        <f aca="false">SUMIFS('Futures Data'!$C$5:$C$3471,'Futures Data'!$A$5:$A$3471,A468,'Futures Data'!$B$5:$B$3471,B468)</f>
        <v>6649</v>
      </c>
      <c r="K468" s="3" t="n">
        <f aca="false">SUMIFS('Futures Data'!$C$5:$C$3471,'Futures Data'!$A$5:$A$3471,A468,'Futures Data'!$B$5:$B$3471,C468)</f>
        <v>6649</v>
      </c>
      <c r="L468" s="3" t="n">
        <f aca="false">K468-J468</f>
        <v>0</v>
      </c>
      <c r="M468" s="3" t="n">
        <f aca="false">M469+L468</f>
        <v>1074</v>
      </c>
      <c r="N468" s="3" t="n">
        <f aca="false">J468+M468</f>
        <v>7723</v>
      </c>
      <c r="O468" s="13" t="n">
        <f aca="false">LN(J468/K467)</f>
        <v>0.00180641325652994</v>
      </c>
      <c r="P468" s="13" t="n">
        <f aca="false">LN(N468/N467)</f>
        <v>0.00155500873630313</v>
      </c>
      <c r="Q468" s="3" t="n">
        <f aca="false">SUMIFS('Futures Data'!$D$5:$D$3471,'Futures Data'!$A$5:$A$3471,A468,'Futures Data'!$B$5:$B$3471,B468)</f>
        <v>4950</v>
      </c>
      <c r="R468" s="7" t="n">
        <v>45856</v>
      </c>
      <c r="S468" s="9" t="b">
        <f aca="false">C468=R468</f>
        <v>1</v>
      </c>
      <c r="T468" s="9" t="b">
        <f aca="false">ABS(O468-LN(J468/SUMIFS('Futures Data'!$C$5:$C$3471,'Futures Data'!$A$5:$A$3471,A467,'Futures Data'!$B$5:$B$3471,B468)))&lt;0.000000001</f>
        <v>1</v>
      </c>
    </row>
    <row r="469" customFormat="false" ht="15" hidden="false" customHeight="false" outlineLevel="0" collapsed="false">
      <c r="A469" s="7" t="n">
        <v>45820</v>
      </c>
      <c r="B469" s="11" t="n">
        <f aca="false">C468</f>
        <v>45856</v>
      </c>
      <c r="C469" s="11" t="n">
        <f aca="false">IF(OR(H468,D469&lt;=$G$4),_xlfn.MINIFS('Futures Data'!$B$5:$B$3471,'Futures Data'!$A$5:$A$3471,A469,'Futures Data'!$B$5:$B$3471,"&gt;"&amp;B469),B469)</f>
        <v>45856</v>
      </c>
      <c r="D469" s="3" t="n">
        <f aca="false">COUNTIFS($A$47:$A$790,"&gt;"&amp;A469,$A$47:$A$790,"&lt;="&amp;B469)+IF(B469&gt;$G$5,NETWORKDAYS($G$5+1,B469),0)</f>
        <v>26</v>
      </c>
      <c r="E469" s="3" t="n">
        <f aca="false">SUMIFS('Futures Data'!$E$5:$E$3471,'Futures Data'!$A$5:$A$3471,A469,'Futures Data'!$B$5:$B$3471,C469)</f>
        <v>35425</v>
      </c>
      <c r="F469" s="11" t="n">
        <f aca="false">_xlfn.MINIFS('Futures Data'!$B$5:$B$3471,'Futures Data'!$A$5:$A$3471,A469,'Futures Data'!$B$5:$B$3471,"&gt;"&amp;C469)</f>
        <v>45889</v>
      </c>
      <c r="G469" s="3" t="n">
        <f aca="false">SUMIFS('Futures Data'!$E$5:$E$3471,'Futures Data'!$A$5:$A$3471,A469,'Futures Data'!$B$5:$B$3471,F469)</f>
        <v>2375</v>
      </c>
      <c r="H469" s="9" t="b">
        <f aca="false">G469&gt;E469</f>
        <v>0</v>
      </c>
      <c r="I469" s="9" t="b">
        <f aca="false">C469&lt;&gt;B469</f>
        <v>0</v>
      </c>
      <c r="J469" s="3" t="n">
        <f aca="false">SUMIFS('Futures Data'!$C$5:$C$3471,'Futures Data'!$A$5:$A$3471,A469,'Futures Data'!$B$5:$B$3471,B469)</f>
        <v>6646</v>
      </c>
      <c r="K469" s="3" t="n">
        <f aca="false">SUMIFS('Futures Data'!$C$5:$C$3471,'Futures Data'!$A$5:$A$3471,A469,'Futures Data'!$B$5:$B$3471,C469)</f>
        <v>6646</v>
      </c>
      <c r="L469" s="3" t="n">
        <f aca="false">K469-J469</f>
        <v>0</v>
      </c>
      <c r="M469" s="3" t="n">
        <f aca="false">M470+L469</f>
        <v>1074</v>
      </c>
      <c r="N469" s="3" t="n">
        <f aca="false">J469+M469</f>
        <v>7720</v>
      </c>
      <c r="O469" s="13" t="n">
        <f aca="false">LN(J469/K468)</f>
        <v>-0.000451297487915365</v>
      </c>
      <c r="P469" s="13" t="n">
        <f aca="false">LN(N469/N468)</f>
        <v>-0.000388525550442047</v>
      </c>
      <c r="Q469" s="3" t="n">
        <f aca="false">SUMIFS('Futures Data'!$D$5:$D$3471,'Futures Data'!$A$5:$A$3471,A469,'Futures Data'!$B$5:$B$3471,B469)</f>
        <v>3930</v>
      </c>
      <c r="R469" s="7" t="n">
        <v>45856</v>
      </c>
      <c r="S469" s="9" t="b">
        <f aca="false">C469=R469</f>
        <v>1</v>
      </c>
      <c r="T469" s="9" t="b">
        <f aca="false">ABS(O469-LN(J469/SUMIFS('Futures Data'!$C$5:$C$3471,'Futures Data'!$A$5:$A$3471,A468,'Futures Data'!$B$5:$B$3471,B469)))&lt;0.000000001</f>
        <v>1</v>
      </c>
    </row>
    <row r="470" customFormat="false" ht="15" hidden="false" customHeight="false" outlineLevel="0" collapsed="false">
      <c r="A470" s="7" t="n">
        <v>45821</v>
      </c>
      <c r="B470" s="11" t="n">
        <f aca="false">C469</f>
        <v>45856</v>
      </c>
      <c r="C470" s="11" t="n">
        <f aca="false">IF(OR(H469,D470&lt;=$G$4),_xlfn.MINIFS('Futures Data'!$B$5:$B$3471,'Futures Data'!$A$5:$A$3471,A470,'Futures Data'!$B$5:$B$3471,"&gt;"&amp;B470),B470)</f>
        <v>45856</v>
      </c>
      <c r="D470" s="3" t="n">
        <f aca="false">COUNTIFS($A$47:$A$790,"&gt;"&amp;A470,$A$47:$A$790,"&lt;="&amp;B470)+IF(B470&gt;$G$5,NETWORKDAYS($G$5+1,B470),0)</f>
        <v>25</v>
      </c>
      <c r="E470" s="3" t="n">
        <f aca="false">SUMIFS('Futures Data'!$E$5:$E$3471,'Futures Data'!$A$5:$A$3471,A470,'Futures Data'!$B$5:$B$3471,C470)</f>
        <v>36485</v>
      </c>
      <c r="F470" s="11" t="n">
        <f aca="false">_xlfn.MINIFS('Futures Data'!$B$5:$B$3471,'Futures Data'!$A$5:$A$3471,A470,'Futures Data'!$B$5:$B$3471,"&gt;"&amp;C470)</f>
        <v>45889</v>
      </c>
      <c r="G470" s="3" t="n">
        <f aca="false">SUMIFS('Futures Data'!$E$5:$E$3471,'Futures Data'!$A$5:$A$3471,A470,'Futures Data'!$B$5:$B$3471,F470)</f>
        <v>2555</v>
      </c>
      <c r="H470" s="9" t="b">
        <f aca="false">G470&gt;E470</f>
        <v>0</v>
      </c>
      <c r="I470" s="9" t="b">
        <f aca="false">C470&lt;&gt;B470</f>
        <v>0</v>
      </c>
      <c r="J470" s="3" t="n">
        <f aca="false">SUMIFS('Futures Data'!$C$5:$C$3471,'Futures Data'!$A$5:$A$3471,A470,'Futures Data'!$B$5:$B$3471,B470)</f>
        <v>6629</v>
      </c>
      <c r="K470" s="3" t="n">
        <f aca="false">SUMIFS('Futures Data'!$C$5:$C$3471,'Futures Data'!$A$5:$A$3471,A470,'Futures Data'!$B$5:$B$3471,C470)</f>
        <v>6629</v>
      </c>
      <c r="L470" s="3" t="n">
        <f aca="false">K470-J470</f>
        <v>0</v>
      </c>
      <c r="M470" s="3" t="n">
        <f aca="false">M471+L470</f>
        <v>1074</v>
      </c>
      <c r="N470" s="3" t="n">
        <f aca="false">J470+M470</f>
        <v>7703</v>
      </c>
      <c r="O470" s="13" t="n">
        <f aca="false">LN(J470/K469)</f>
        <v>-0.00256120667314807</v>
      </c>
      <c r="P470" s="13" t="n">
        <f aca="false">LN(N470/N469)</f>
        <v>-0.00220450066585602</v>
      </c>
      <c r="Q470" s="3" t="n">
        <f aca="false">SUMIFS('Futures Data'!$D$5:$D$3471,'Futures Data'!$A$5:$A$3471,A470,'Futures Data'!$B$5:$B$3471,B470)</f>
        <v>5125</v>
      </c>
      <c r="R470" s="7" t="n">
        <v>45856</v>
      </c>
      <c r="S470" s="9" t="b">
        <f aca="false">C470=R470</f>
        <v>1</v>
      </c>
      <c r="T470" s="9" t="b">
        <f aca="false">ABS(O470-LN(J470/SUMIFS('Futures Data'!$C$5:$C$3471,'Futures Data'!$A$5:$A$3471,A469,'Futures Data'!$B$5:$B$3471,B470)))&lt;0.000000001</f>
        <v>1</v>
      </c>
    </row>
    <row r="471" customFormat="false" ht="15" hidden="false" customHeight="false" outlineLevel="0" collapsed="false">
      <c r="A471" s="7" t="n">
        <v>45824</v>
      </c>
      <c r="B471" s="11" t="n">
        <f aca="false">C470</f>
        <v>45856</v>
      </c>
      <c r="C471" s="11" t="n">
        <f aca="false">IF(OR(H470,D471&lt;=$G$4),_xlfn.MINIFS('Futures Data'!$B$5:$B$3471,'Futures Data'!$A$5:$A$3471,A471,'Futures Data'!$B$5:$B$3471,"&gt;"&amp;B471),B471)</f>
        <v>45856</v>
      </c>
      <c r="D471" s="3" t="n">
        <f aca="false">COUNTIFS($A$47:$A$790,"&gt;"&amp;A471,$A$47:$A$790,"&lt;="&amp;B471)+IF(B471&gt;$G$5,NETWORKDAYS($G$5+1,B471),0)</f>
        <v>24</v>
      </c>
      <c r="E471" s="3" t="n">
        <f aca="false">SUMIFS('Futures Data'!$E$5:$E$3471,'Futures Data'!$A$5:$A$3471,A471,'Futures Data'!$B$5:$B$3471,C471)</f>
        <v>37905</v>
      </c>
      <c r="F471" s="11" t="n">
        <f aca="false">_xlfn.MINIFS('Futures Data'!$B$5:$B$3471,'Futures Data'!$A$5:$A$3471,A471,'Futures Data'!$B$5:$B$3471,"&gt;"&amp;C471)</f>
        <v>45889</v>
      </c>
      <c r="G471" s="3" t="n">
        <f aca="false">SUMIFS('Futures Data'!$E$5:$E$3471,'Futures Data'!$A$5:$A$3471,A471,'Futures Data'!$B$5:$B$3471,F471)</f>
        <v>3350</v>
      </c>
      <c r="H471" s="9" t="b">
        <f aca="false">G471&gt;E471</f>
        <v>0</v>
      </c>
      <c r="I471" s="9" t="b">
        <f aca="false">C471&lt;&gt;B471</f>
        <v>0</v>
      </c>
      <c r="J471" s="3" t="n">
        <f aca="false">SUMIFS('Futures Data'!$C$5:$C$3471,'Futures Data'!$A$5:$A$3471,A471,'Futures Data'!$B$5:$B$3471,B471)</f>
        <v>6703</v>
      </c>
      <c r="K471" s="3" t="n">
        <f aca="false">SUMIFS('Futures Data'!$C$5:$C$3471,'Futures Data'!$A$5:$A$3471,A471,'Futures Data'!$B$5:$B$3471,C471)</f>
        <v>6703</v>
      </c>
      <c r="L471" s="3" t="n">
        <f aca="false">K471-J471</f>
        <v>0</v>
      </c>
      <c r="M471" s="3" t="n">
        <f aca="false">M472+L471</f>
        <v>1074</v>
      </c>
      <c r="N471" s="3" t="n">
        <f aca="false">J471+M471</f>
        <v>7777</v>
      </c>
      <c r="O471" s="13" t="n">
        <f aca="false">LN(J471/K470)</f>
        <v>0.0111012241165661</v>
      </c>
      <c r="P471" s="13" t="n">
        <f aca="false">LN(N471/N470)</f>
        <v>0.0095607963419776</v>
      </c>
      <c r="Q471" s="3" t="n">
        <f aca="false">SUMIFS('Futures Data'!$D$5:$D$3471,'Futures Data'!$A$5:$A$3471,A471,'Futures Data'!$B$5:$B$3471,B471)</f>
        <v>7560</v>
      </c>
      <c r="R471" s="7" t="n">
        <v>45856</v>
      </c>
      <c r="S471" s="9" t="b">
        <f aca="false">C471=R471</f>
        <v>1</v>
      </c>
      <c r="T471" s="9" t="b">
        <f aca="false">ABS(O471-LN(J471/SUMIFS('Futures Data'!$C$5:$C$3471,'Futures Data'!$A$5:$A$3471,A470,'Futures Data'!$B$5:$B$3471,B471)))&lt;0.000000001</f>
        <v>1</v>
      </c>
    </row>
    <row r="472" customFormat="false" ht="15" hidden="false" customHeight="false" outlineLevel="0" collapsed="false">
      <c r="A472" s="7" t="n">
        <v>45825</v>
      </c>
      <c r="B472" s="11" t="n">
        <f aca="false">C471</f>
        <v>45856</v>
      </c>
      <c r="C472" s="11" t="n">
        <f aca="false">IF(OR(H471,D472&lt;=$G$4),_xlfn.MINIFS('Futures Data'!$B$5:$B$3471,'Futures Data'!$A$5:$A$3471,A472,'Futures Data'!$B$5:$B$3471,"&gt;"&amp;B472),B472)</f>
        <v>45856</v>
      </c>
      <c r="D472" s="3" t="n">
        <f aca="false">COUNTIFS($A$47:$A$790,"&gt;"&amp;A472,$A$47:$A$790,"&lt;="&amp;B472)+IF(B472&gt;$G$5,NETWORKDAYS($G$5+1,B472),0)</f>
        <v>23</v>
      </c>
      <c r="E472" s="3" t="n">
        <f aca="false">SUMIFS('Futures Data'!$E$5:$E$3471,'Futures Data'!$A$5:$A$3471,A472,'Futures Data'!$B$5:$B$3471,C472)</f>
        <v>38050</v>
      </c>
      <c r="F472" s="11" t="n">
        <f aca="false">_xlfn.MINIFS('Futures Data'!$B$5:$B$3471,'Futures Data'!$A$5:$A$3471,A472,'Futures Data'!$B$5:$B$3471,"&gt;"&amp;C472)</f>
        <v>45889</v>
      </c>
      <c r="G472" s="3" t="n">
        <f aca="false">SUMIFS('Futures Data'!$E$5:$E$3471,'Futures Data'!$A$5:$A$3471,A472,'Futures Data'!$B$5:$B$3471,F472)</f>
        <v>4125</v>
      </c>
      <c r="H472" s="9" t="b">
        <f aca="false">G472&gt;E472</f>
        <v>0</v>
      </c>
      <c r="I472" s="9" t="b">
        <f aca="false">C472&lt;&gt;B472</f>
        <v>0</v>
      </c>
      <c r="J472" s="3" t="n">
        <f aca="false">SUMIFS('Futures Data'!$C$5:$C$3471,'Futures Data'!$A$5:$A$3471,A472,'Futures Data'!$B$5:$B$3471,B472)</f>
        <v>6669</v>
      </c>
      <c r="K472" s="3" t="n">
        <f aca="false">SUMIFS('Futures Data'!$C$5:$C$3471,'Futures Data'!$A$5:$A$3471,A472,'Futures Data'!$B$5:$B$3471,C472)</f>
        <v>6669</v>
      </c>
      <c r="L472" s="3" t="n">
        <f aca="false">K472-J472</f>
        <v>0</v>
      </c>
      <c r="M472" s="3" t="n">
        <f aca="false">M473+L472</f>
        <v>1074</v>
      </c>
      <c r="N472" s="3" t="n">
        <f aca="false">J472+M472</f>
        <v>7743</v>
      </c>
      <c r="O472" s="13" t="n">
        <f aca="false">LN(J472/K471)</f>
        <v>-0.00508526372565137</v>
      </c>
      <c r="P472" s="13" t="n">
        <f aca="false">LN(N472/N471)</f>
        <v>-0.00438145030821978</v>
      </c>
      <c r="Q472" s="3" t="n">
        <f aca="false">SUMIFS('Futures Data'!$D$5:$D$3471,'Futures Data'!$A$5:$A$3471,A472,'Futures Data'!$B$5:$B$3471,B472)</f>
        <v>4670</v>
      </c>
      <c r="R472" s="7" t="n">
        <v>45856</v>
      </c>
      <c r="S472" s="9" t="b">
        <f aca="false">C472=R472</f>
        <v>1</v>
      </c>
      <c r="T472" s="9" t="b">
        <f aca="false">ABS(O472-LN(J472/SUMIFS('Futures Data'!$C$5:$C$3471,'Futures Data'!$A$5:$A$3471,A471,'Futures Data'!$B$5:$B$3471,B472)))&lt;0.000000001</f>
        <v>1</v>
      </c>
    </row>
    <row r="473" customFormat="false" ht="15" hidden="false" customHeight="false" outlineLevel="0" collapsed="false">
      <c r="A473" s="7" t="n">
        <v>45826</v>
      </c>
      <c r="B473" s="11" t="n">
        <f aca="false">C472</f>
        <v>45856</v>
      </c>
      <c r="C473" s="11" t="n">
        <f aca="false">IF(OR(H472,D473&lt;=$G$4),_xlfn.MINIFS('Futures Data'!$B$5:$B$3471,'Futures Data'!$A$5:$A$3471,A473,'Futures Data'!$B$5:$B$3471,"&gt;"&amp;B473),B473)</f>
        <v>45856</v>
      </c>
      <c r="D473" s="3" t="n">
        <f aca="false">COUNTIFS($A$47:$A$790,"&gt;"&amp;A473,$A$47:$A$790,"&lt;="&amp;B473)+IF(B473&gt;$G$5,NETWORKDAYS($G$5+1,B473),0)</f>
        <v>22</v>
      </c>
      <c r="E473" s="3" t="n">
        <f aca="false">SUMIFS('Futures Data'!$E$5:$E$3471,'Futures Data'!$A$5:$A$3471,A473,'Futures Data'!$B$5:$B$3471,C473)</f>
        <v>37915</v>
      </c>
      <c r="F473" s="11" t="n">
        <f aca="false">_xlfn.MINIFS('Futures Data'!$B$5:$B$3471,'Futures Data'!$A$5:$A$3471,A473,'Futures Data'!$B$5:$B$3471,"&gt;"&amp;C473)</f>
        <v>45889</v>
      </c>
      <c r="G473" s="3" t="n">
        <f aca="false">SUMIFS('Futures Data'!$E$5:$E$3471,'Futures Data'!$A$5:$A$3471,A473,'Futures Data'!$B$5:$B$3471,F473)</f>
        <v>4800</v>
      </c>
      <c r="H473" s="9" t="b">
        <f aca="false">G473&gt;E473</f>
        <v>0</v>
      </c>
      <c r="I473" s="9" t="b">
        <f aca="false">C473&lt;&gt;B473</f>
        <v>0</v>
      </c>
      <c r="J473" s="3" t="n">
        <f aca="false">SUMIFS('Futures Data'!$C$5:$C$3471,'Futures Data'!$A$5:$A$3471,A473,'Futures Data'!$B$5:$B$3471,B473)</f>
        <v>6677</v>
      </c>
      <c r="K473" s="3" t="n">
        <f aca="false">SUMIFS('Futures Data'!$C$5:$C$3471,'Futures Data'!$A$5:$A$3471,A473,'Futures Data'!$B$5:$B$3471,C473)</f>
        <v>6677</v>
      </c>
      <c r="L473" s="3" t="n">
        <f aca="false">K473-J473</f>
        <v>0</v>
      </c>
      <c r="M473" s="3" t="n">
        <f aca="false">M474+L473</f>
        <v>1074</v>
      </c>
      <c r="N473" s="3" t="n">
        <f aca="false">J473+M473</f>
        <v>7751</v>
      </c>
      <c r="O473" s="13" t="n">
        <f aca="false">LN(J473/K472)</f>
        <v>0.00119886122556262</v>
      </c>
      <c r="P473" s="13" t="n">
        <f aca="false">LN(N473/N472)</f>
        <v>0.00103265789478791</v>
      </c>
      <c r="Q473" s="3" t="n">
        <f aca="false">SUMIFS('Futures Data'!$D$5:$D$3471,'Futures Data'!$A$5:$A$3471,A473,'Futures Data'!$B$5:$B$3471,B473)</f>
        <v>3645</v>
      </c>
      <c r="R473" s="7" t="n">
        <v>45856</v>
      </c>
      <c r="S473" s="9" t="b">
        <f aca="false">C473=R473</f>
        <v>1</v>
      </c>
      <c r="T473" s="9" t="b">
        <f aca="false">ABS(O473-LN(J473/SUMIFS('Futures Data'!$C$5:$C$3471,'Futures Data'!$A$5:$A$3471,A472,'Futures Data'!$B$5:$B$3471,B473)))&lt;0.000000001</f>
        <v>1</v>
      </c>
    </row>
    <row r="474" customFormat="false" ht="15" hidden="false" customHeight="false" outlineLevel="0" collapsed="false">
      <c r="A474" s="7" t="n">
        <v>45827</v>
      </c>
      <c r="B474" s="11" t="n">
        <f aca="false">C473</f>
        <v>45856</v>
      </c>
      <c r="C474" s="11" t="n">
        <f aca="false">IF(OR(H473,D474&lt;=$G$4),_xlfn.MINIFS('Futures Data'!$B$5:$B$3471,'Futures Data'!$A$5:$A$3471,A474,'Futures Data'!$B$5:$B$3471,"&gt;"&amp;B474),B474)</f>
        <v>45856</v>
      </c>
      <c r="D474" s="3" t="n">
        <f aca="false">COUNTIFS($A$47:$A$790,"&gt;"&amp;A474,$A$47:$A$790,"&lt;="&amp;B474)+IF(B474&gt;$G$5,NETWORKDAYS($G$5+1,B474),0)</f>
        <v>21</v>
      </c>
      <c r="E474" s="3" t="n">
        <f aca="false">SUMIFS('Futures Data'!$E$5:$E$3471,'Futures Data'!$A$5:$A$3471,A474,'Futures Data'!$B$5:$B$3471,C474)</f>
        <v>37120</v>
      </c>
      <c r="F474" s="11" t="n">
        <f aca="false">_xlfn.MINIFS('Futures Data'!$B$5:$B$3471,'Futures Data'!$A$5:$A$3471,A474,'Futures Data'!$B$5:$B$3471,"&gt;"&amp;C474)</f>
        <v>45889</v>
      </c>
      <c r="G474" s="3" t="n">
        <f aca="false">SUMIFS('Futures Data'!$E$5:$E$3471,'Futures Data'!$A$5:$A$3471,A474,'Futures Data'!$B$5:$B$3471,F474)</f>
        <v>6085</v>
      </c>
      <c r="H474" s="9" t="b">
        <f aca="false">G474&gt;E474</f>
        <v>0</v>
      </c>
      <c r="I474" s="9" t="b">
        <f aca="false">C474&lt;&gt;B474</f>
        <v>0</v>
      </c>
      <c r="J474" s="3" t="n">
        <f aca="false">SUMIFS('Futures Data'!$C$5:$C$3471,'Futures Data'!$A$5:$A$3471,A474,'Futures Data'!$B$5:$B$3471,B474)</f>
        <v>6701</v>
      </c>
      <c r="K474" s="3" t="n">
        <f aca="false">SUMIFS('Futures Data'!$C$5:$C$3471,'Futures Data'!$A$5:$A$3471,A474,'Futures Data'!$B$5:$B$3471,C474)</f>
        <v>6701</v>
      </c>
      <c r="L474" s="3" t="n">
        <f aca="false">K474-J474</f>
        <v>0</v>
      </c>
      <c r="M474" s="3" t="n">
        <f aca="false">M475+L474</f>
        <v>1074</v>
      </c>
      <c r="N474" s="3" t="n">
        <f aca="false">J474+M474</f>
        <v>7775</v>
      </c>
      <c r="O474" s="13" t="n">
        <f aca="false">LN(J474/K473)</f>
        <v>0.00358798411530199</v>
      </c>
      <c r="P474" s="13" t="n">
        <f aca="false">LN(N474/N473)</f>
        <v>0.00309159076592339</v>
      </c>
      <c r="Q474" s="3" t="n">
        <f aca="false">SUMIFS('Futures Data'!$D$5:$D$3471,'Futures Data'!$A$5:$A$3471,A474,'Futures Data'!$B$5:$B$3471,B474)</f>
        <v>3800</v>
      </c>
      <c r="R474" s="7" t="n">
        <v>45856</v>
      </c>
      <c r="S474" s="9" t="b">
        <f aca="false">C474=R474</f>
        <v>1</v>
      </c>
      <c r="T474" s="9" t="b">
        <f aca="false">ABS(O474-LN(J474/SUMIFS('Futures Data'!$C$5:$C$3471,'Futures Data'!$A$5:$A$3471,A473,'Futures Data'!$B$5:$B$3471,B474)))&lt;0.000000001</f>
        <v>1</v>
      </c>
    </row>
    <row r="475" customFormat="false" ht="15" hidden="false" customHeight="false" outlineLevel="0" collapsed="false">
      <c r="A475" s="7" t="n">
        <v>45828</v>
      </c>
      <c r="B475" s="11" t="n">
        <f aca="false">C474</f>
        <v>45856</v>
      </c>
      <c r="C475" s="11" t="n">
        <f aca="false">IF(OR(H474,D475&lt;=$G$4),_xlfn.MINIFS('Futures Data'!$B$5:$B$3471,'Futures Data'!$A$5:$A$3471,A475,'Futures Data'!$B$5:$B$3471,"&gt;"&amp;B475),B475)</f>
        <v>45856</v>
      </c>
      <c r="D475" s="3" t="n">
        <f aca="false">COUNTIFS($A$47:$A$790,"&gt;"&amp;A475,$A$47:$A$790,"&lt;="&amp;B475)+IF(B475&gt;$G$5,NETWORKDAYS($G$5+1,B475),0)</f>
        <v>20</v>
      </c>
      <c r="E475" s="3" t="n">
        <f aca="false">SUMIFS('Futures Data'!$E$5:$E$3471,'Futures Data'!$A$5:$A$3471,A475,'Futures Data'!$B$5:$B$3471,C475)</f>
        <v>35855</v>
      </c>
      <c r="F475" s="11" t="n">
        <f aca="false">_xlfn.MINIFS('Futures Data'!$B$5:$B$3471,'Futures Data'!$A$5:$A$3471,A475,'Futures Data'!$B$5:$B$3471,"&gt;"&amp;C475)</f>
        <v>45889</v>
      </c>
      <c r="G475" s="3" t="n">
        <f aca="false">SUMIFS('Futures Data'!$E$5:$E$3471,'Futures Data'!$A$5:$A$3471,A475,'Futures Data'!$B$5:$B$3471,F475)</f>
        <v>8090</v>
      </c>
      <c r="H475" s="9" t="b">
        <f aca="false">G475&gt;E475</f>
        <v>0</v>
      </c>
      <c r="I475" s="9" t="b">
        <f aca="false">C475&lt;&gt;B475</f>
        <v>0</v>
      </c>
      <c r="J475" s="3" t="n">
        <f aca="false">SUMIFS('Futures Data'!$C$5:$C$3471,'Futures Data'!$A$5:$A$3471,A475,'Futures Data'!$B$5:$B$3471,B475)</f>
        <v>6692</v>
      </c>
      <c r="K475" s="3" t="n">
        <f aca="false">SUMIFS('Futures Data'!$C$5:$C$3471,'Futures Data'!$A$5:$A$3471,A475,'Futures Data'!$B$5:$B$3471,C475)</f>
        <v>6692</v>
      </c>
      <c r="L475" s="3" t="n">
        <f aca="false">K475-J475</f>
        <v>0</v>
      </c>
      <c r="M475" s="3" t="n">
        <f aca="false">M476+L475</f>
        <v>1074</v>
      </c>
      <c r="N475" s="3" t="n">
        <f aca="false">J475+M475</f>
        <v>7766</v>
      </c>
      <c r="O475" s="13" t="n">
        <f aca="false">LN(J475/K474)</f>
        <v>-0.00134398586645613</v>
      </c>
      <c r="P475" s="13" t="n">
        <f aca="false">LN(N475/N474)</f>
        <v>-0.0011582267558223</v>
      </c>
      <c r="Q475" s="3" t="n">
        <f aca="false">SUMIFS('Futures Data'!$D$5:$D$3471,'Futures Data'!$A$5:$A$3471,A475,'Futures Data'!$B$5:$B$3471,B475)</f>
        <v>5305</v>
      </c>
      <c r="R475" s="7" t="n">
        <v>45856</v>
      </c>
      <c r="S475" s="9" t="b">
        <f aca="false">C475=R475</f>
        <v>1</v>
      </c>
      <c r="T475" s="9" t="b">
        <f aca="false">ABS(O475-LN(J475/SUMIFS('Futures Data'!$C$5:$C$3471,'Futures Data'!$A$5:$A$3471,A474,'Futures Data'!$B$5:$B$3471,B475)))&lt;0.000000001</f>
        <v>1</v>
      </c>
    </row>
    <row r="476" customFormat="false" ht="15" hidden="false" customHeight="false" outlineLevel="0" collapsed="false">
      <c r="A476" s="7" t="n">
        <v>45831</v>
      </c>
      <c r="B476" s="11" t="n">
        <f aca="false">C475</f>
        <v>45856</v>
      </c>
      <c r="C476" s="11" t="n">
        <f aca="false">IF(OR(H475,D476&lt;=$G$4),_xlfn.MINIFS('Futures Data'!$B$5:$B$3471,'Futures Data'!$A$5:$A$3471,A476,'Futures Data'!$B$5:$B$3471,"&gt;"&amp;B476),B476)</f>
        <v>45856</v>
      </c>
      <c r="D476" s="3" t="n">
        <f aca="false">COUNTIFS($A$47:$A$790,"&gt;"&amp;A476,$A$47:$A$790,"&lt;="&amp;B476)+IF(B476&gt;$G$5,NETWORKDAYS($G$5+1,B476),0)</f>
        <v>19</v>
      </c>
      <c r="E476" s="3" t="n">
        <f aca="false">SUMIFS('Futures Data'!$E$5:$E$3471,'Futures Data'!$A$5:$A$3471,A476,'Futures Data'!$B$5:$B$3471,C476)</f>
        <v>35085</v>
      </c>
      <c r="F476" s="11" t="n">
        <f aca="false">_xlfn.MINIFS('Futures Data'!$B$5:$B$3471,'Futures Data'!$A$5:$A$3471,A476,'Futures Data'!$B$5:$B$3471,"&gt;"&amp;C476)</f>
        <v>45889</v>
      </c>
      <c r="G476" s="3" t="n">
        <f aca="false">SUMIFS('Futures Data'!$E$5:$E$3471,'Futures Data'!$A$5:$A$3471,A476,'Futures Data'!$B$5:$B$3471,F476)</f>
        <v>10385</v>
      </c>
      <c r="H476" s="9" t="b">
        <f aca="false">G476&gt;E476</f>
        <v>0</v>
      </c>
      <c r="I476" s="9" t="b">
        <f aca="false">C476&lt;&gt;B476</f>
        <v>0</v>
      </c>
      <c r="J476" s="3" t="n">
        <f aca="false">SUMIFS('Futures Data'!$C$5:$C$3471,'Futures Data'!$A$5:$A$3471,A476,'Futures Data'!$B$5:$B$3471,B476)</f>
        <v>6724</v>
      </c>
      <c r="K476" s="3" t="n">
        <f aca="false">SUMIFS('Futures Data'!$C$5:$C$3471,'Futures Data'!$A$5:$A$3471,A476,'Futures Data'!$B$5:$B$3471,C476)</f>
        <v>6724</v>
      </c>
      <c r="L476" s="3" t="n">
        <f aca="false">K476-J476</f>
        <v>0</v>
      </c>
      <c r="M476" s="3" t="n">
        <f aca="false">M477+L476</f>
        <v>1074</v>
      </c>
      <c r="N476" s="3" t="n">
        <f aca="false">J476+M476</f>
        <v>7798</v>
      </c>
      <c r="O476" s="13" t="n">
        <f aca="false">LN(J476/K475)</f>
        <v>0.00477043242179171</v>
      </c>
      <c r="P476" s="13" t="n">
        <f aca="false">LN(N476/N475)</f>
        <v>0.00411205925092999</v>
      </c>
      <c r="Q476" s="3" t="n">
        <f aca="false">SUMIFS('Futures Data'!$D$5:$D$3471,'Futures Data'!$A$5:$A$3471,A476,'Futures Data'!$B$5:$B$3471,B476)</f>
        <v>6670</v>
      </c>
      <c r="R476" s="7" t="n">
        <v>45856</v>
      </c>
      <c r="S476" s="9" t="b">
        <f aca="false">C476=R476</f>
        <v>1</v>
      </c>
      <c r="T476" s="9" t="b">
        <f aca="false">ABS(O476-LN(J476/SUMIFS('Futures Data'!$C$5:$C$3471,'Futures Data'!$A$5:$A$3471,A475,'Futures Data'!$B$5:$B$3471,B476)))&lt;0.000000001</f>
        <v>1</v>
      </c>
    </row>
    <row r="477" customFormat="false" ht="15" hidden="false" customHeight="false" outlineLevel="0" collapsed="false">
      <c r="A477" s="7" t="n">
        <v>45832</v>
      </c>
      <c r="B477" s="11" t="n">
        <f aca="false">C476</f>
        <v>45856</v>
      </c>
      <c r="C477" s="11" t="n">
        <f aca="false">IF(OR(H476,D477&lt;=$G$4),_xlfn.MINIFS('Futures Data'!$B$5:$B$3471,'Futures Data'!$A$5:$A$3471,A477,'Futures Data'!$B$5:$B$3471,"&gt;"&amp;B477),B477)</f>
        <v>45856</v>
      </c>
      <c r="D477" s="3" t="n">
        <f aca="false">COUNTIFS($A$47:$A$790,"&gt;"&amp;A477,$A$47:$A$790,"&lt;="&amp;B477)+IF(B477&gt;$G$5,NETWORKDAYS($G$5+1,B477),0)</f>
        <v>18</v>
      </c>
      <c r="E477" s="3" t="n">
        <f aca="false">SUMIFS('Futures Data'!$E$5:$E$3471,'Futures Data'!$A$5:$A$3471,A477,'Futures Data'!$B$5:$B$3471,C477)</f>
        <v>33180</v>
      </c>
      <c r="F477" s="11" t="n">
        <f aca="false">_xlfn.MINIFS('Futures Data'!$B$5:$B$3471,'Futures Data'!$A$5:$A$3471,A477,'Futures Data'!$B$5:$B$3471,"&gt;"&amp;C477)</f>
        <v>45889</v>
      </c>
      <c r="G477" s="3" t="n">
        <f aca="false">SUMIFS('Futures Data'!$E$5:$E$3471,'Futures Data'!$A$5:$A$3471,A477,'Futures Data'!$B$5:$B$3471,F477)</f>
        <v>12130</v>
      </c>
      <c r="H477" s="9" t="b">
        <f aca="false">G477&gt;E477</f>
        <v>0</v>
      </c>
      <c r="I477" s="9" t="b">
        <f aca="false">C477&lt;&gt;B477</f>
        <v>0</v>
      </c>
      <c r="J477" s="3" t="n">
        <f aca="false">SUMIFS('Futures Data'!$C$5:$C$3471,'Futures Data'!$A$5:$A$3471,A477,'Futures Data'!$B$5:$B$3471,B477)</f>
        <v>6718</v>
      </c>
      <c r="K477" s="3" t="n">
        <f aca="false">SUMIFS('Futures Data'!$C$5:$C$3471,'Futures Data'!$A$5:$A$3471,A477,'Futures Data'!$B$5:$B$3471,C477)</f>
        <v>6718</v>
      </c>
      <c r="L477" s="3" t="n">
        <f aca="false">K477-J477</f>
        <v>0</v>
      </c>
      <c r="M477" s="3" t="n">
        <f aca="false">M478+L477</f>
        <v>1074</v>
      </c>
      <c r="N477" s="3" t="n">
        <f aca="false">J477+M477</f>
        <v>7792</v>
      </c>
      <c r="O477" s="13" t="n">
        <f aca="false">LN(J477/K476)</f>
        <v>-0.000892724356268219</v>
      </c>
      <c r="P477" s="13" t="n">
        <f aca="false">LN(N477/N476)</f>
        <v>-0.000769724220171649</v>
      </c>
      <c r="Q477" s="3" t="n">
        <f aca="false">SUMIFS('Futures Data'!$D$5:$D$3471,'Futures Data'!$A$5:$A$3471,A477,'Futures Data'!$B$5:$B$3471,B477)</f>
        <v>4580</v>
      </c>
      <c r="R477" s="7" t="n">
        <v>45856</v>
      </c>
      <c r="S477" s="9" t="b">
        <f aca="false">C477=R477</f>
        <v>1</v>
      </c>
      <c r="T477" s="9" t="b">
        <f aca="false">ABS(O477-LN(J477/SUMIFS('Futures Data'!$C$5:$C$3471,'Futures Data'!$A$5:$A$3471,A476,'Futures Data'!$B$5:$B$3471,B477)))&lt;0.000000001</f>
        <v>1</v>
      </c>
    </row>
    <row r="478" customFormat="false" ht="15" hidden="false" customHeight="false" outlineLevel="0" collapsed="false">
      <c r="A478" s="7" t="n">
        <v>45833</v>
      </c>
      <c r="B478" s="11" t="n">
        <f aca="false">C477</f>
        <v>45856</v>
      </c>
      <c r="C478" s="11" t="n">
        <f aca="false">IF(OR(H477,D478&lt;=$G$4),_xlfn.MINIFS('Futures Data'!$B$5:$B$3471,'Futures Data'!$A$5:$A$3471,A478,'Futures Data'!$B$5:$B$3471,"&gt;"&amp;B478),B478)</f>
        <v>45856</v>
      </c>
      <c r="D478" s="3" t="n">
        <f aca="false">COUNTIFS($A$47:$A$790,"&gt;"&amp;A478,$A$47:$A$790,"&lt;="&amp;B478)+IF(B478&gt;$G$5,NETWORKDAYS($G$5+1,B478),0)</f>
        <v>17</v>
      </c>
      <c r="E478" s="3" t="n">
        <f aca="false">SUMIFS('Futures Data'!$E$5:$E$3471,'Futures Data'!$A$5:$A$3471,A478,'Futures Data'!$B$5:$B$3471,C478)</f>
        <v>31645</v>
      </c>
      <c r="F478" s="11" t="n">
        <f aca="false">_xlfn.MINIFS('Futures Data'!$B$5:$B$3471,'Futures Data'!$A$5:$A$3471,A478,'Futures Data'!$B$5:$B$3471,"&gt;"&amp;C478)</f>
        <v>45889</v>
      </c>
      <c r="G478" s="3" t="n">
        <f aca="false">SUMIFS('Futures Data'!$E$5:$E$3471,'Futures Data'!$A$5:$A$3471,A478,'Futures Data'!$B$5:$B$3471,F478)</f>
        <v>13870</v>
      </c>
      <c r="H478" s="9" t="b">
        <f aca="false">G478&gt;E478</f>
        <v>0</v>
      </c>
      <c r="I478" s="9" t="b">
        <f aca="false">C478&lt;&gt;B478</f>
        <v>0</v>
      </c>
      <c r="J478" s="3" t="n">
        <f aca="false">SUMIFS('Futures Data'!$C$5:$C$3471,'Futures Data'!$A$5:$A$3471,A478,'Futures Data'!$B$5:$B$3471,B478)</f>
        <v>6710</v>
      </c>
      <c r="K478" s="3" t="n">
        <f aca="false">SUMIFS('Futures Data'!$C$5:$C$3471,'Futures Data'!$A$5:$A$3471,A478,'Futures Data'!$B$5:$B$3471,C478)</f>
        <v>6710</v>
      </c>
      <c r="L478" s="3" t="n">
        <f aca="false">K478-J478</f>
        <v>0</v>
      </c>
      <c r="M478" s="3" t="n">
        <f aca="false">M479+L478</f>
        <v>1074</v>
      </c>
      <c r="N478" s="3" t="n">
        <f aca="false">J478+M478</f>
        <v>7784</v>
      </c>
      <c r="O478" s="13" t="n">
        <f aca="false">LN(J478/K477)</f>
        <v>-0.0011915402065106</v>
      </c>
      <c r="P478" s="13" t="n">
        <f aca="false">LN(N478/N477)</f>
        <v>-0.00102722145653003</v>
      </c>
      <c r="Q478" s="3" t="n">
        <f aca="false">SUMIFS('Futures Data'!$D$5:$D$3471,'Futures Data'!$A$5:$A$3471,A478,'Futures Data'!$B$5:$B$3471,B478)</f>
        <v>4385</v>
      </c>
      <c r="R478" s="7" t="n">
        <v>45856</v>
      </c>
      <c r="S478" s="9" t="b">
        <f aca="false">C478=R478</f>
        <v>1</v>
      </c>
      <c r="T478" s="9" t="b">
        <f aca="false">ABS(O478-LN(J478/SUMIFS('Futures Data'!$C$5:$C$3471,'Futures Data'!$A$5:$A$3471,A477,'Futures Data'!$B$5:$B$3471,B478)))&lt;0.000000001</f>
        <v>1</v>
      </c>
    </row>
    <row r="479" customFormat="false" ht="15" hidden="false" customHeight="false" outlineLevel="0" collapsed="false">
      <c r="A479" s="7" t="n">
        <v>45834</v>
      </c>
      <c r="B479" s="11" t="n">
        <f aca="false">C478</f>
        <v>45856</v>
      </c>
      <c r="C479" s="11" t="n">
        <f aca="false">IF(OR(H478,D479&lt;=$G$4),_xlfn.MINIFS('Futures Data'!$B$5:$B$3471,'Futures Data'!$A$5:$A$3471,A479,'Futures Data'!$B$5:$B$3471,"&gt;"&amp;B479),B479)</f>
        <v>45856</v>
      </c>
      <c r="D479" s="3" t="n">
        <f aca="false">COUNTIFS($A$47:$A$790,"&gt;"&amp;A479,$A$47:$A$790,"&lt;="&amp;B479)+IF(B479&gt;$G$5,NETWORKDAYS($G$5+1,B479),0)</f>
        <v>16</v>
      </c>
      <c r="E479" s="3" t="n">
        <f aca="false">SUMIFS('Futures Data'!$E$5:$E$3471,'Futures Data'!$A$5:$A$3471,A479,'Futures Data'!$B$5:$B$3471,C479)</f>
        <v>30035</v>
      </c>
      <c r="F479" s="11" t="n">
        <f aca="false">_xlfn.MINIFS('Futures Data'!$B$5:$B$3471,'Futures Data'!$A$5:$A$3471,A479,'Futures Data'!$B$5:$B$3471,"&gt;"&amp;C479)</f>
        <v>45889</v>
      </c>
      <c r="G479" s="3" t="n">
        <f aca="false">SUMIFS('Futures Data'!$E$5:$E$3471,'Futures Data'!$A$5:$A$3471,A479,'Futures Data'!$B$5:$B$3471,F479)</f>
        <v>15715</v>
      </c>
      <c r="H479" s="9" t="b">
        <f aca="false">G479&gt;E479</f>
        <v>0</v>
      </c>
      <c r="I479" s="9" t="b">
        <f aca="false">C479&lt;&gt;B479</f>
        <v>0</v>
      </c>
      <c r="J479" s="3" t="n">
        <f aca="false">SUMIFS('Futures Data'!$C$5:$C$3471,'Futures Data'!$A$5:$A$3471,A479,'Futures Data'!$B$5:$B$3471,B479)</f>
        <v>6747</v>
      </c>
      <c r="K479" s="3" t="n">
        <f aca="false">SUMIFS('Futures Data'!$C$5:$C$3471,'Futures Data'!$A$5:$A$3471,A479,'Futures Data'!$B$5:$B$3471,C479)</f>
        <v>6747</v>
      </c>
      <c r="L479" s="3" t="n">
        <f aca="false">K479-J479</f>
        <v>0</v>
      </c>
      <c r="M479" s="3" t="n">
        <f aca="false">M480+L479</f>
        <v>1074</v>
      </c>
      <c r="N479" s="3" t="n">
        <f aca="false">J479+M479</f>
        <v>7821</v>
      </c>
      <c r="O479" s="13" t="n">
        <f aca="false">LN(J479/K478)</f>
        <v>0.00549901066169787</v>
      </c>
      <c r="P479" s="13" t="n">
        <f aca="false">LN(N479/N478)</f>
        <v>0.00474207873577042</v>
      </c>
      <c r="Q479" s="3" t="n">
        <f aca="false">SUMIFS('Futures Data'!$D$5:$D$3471,'Futures Data'!$A$5:$A$3471,A479,'Futures Data'!$B$5:$B$3471,B479)</f>
        <v>5440</v>
      </c>
      <c r="R479" s="7" t="n">
        <v>45856</v>
      </c>
      <c r="S479" s="9" t="b">
        <f aca="false">C479=R479</f>
        <v>1</v>
      </c>
      <c r="T479" s="9" t="b">
        <f aca="false">ABS(O479-LN(J479/SUMIFS('Futures Data'!$C$5:$C$3471,'Futures Data'!$A$5:$A$3471,A478,'Futures Data'!$B$5:$B$3471,B479)))&lt;0.000000001</f>
        <v>1</v>
      </c>
    </row>
    <row r="480" customFormat="false" ht="15" hidden="false" customHeight="false" outlineLevel="0" collapsed="false">
      <c r="A480" s="7" t="n">
        <v>45835</v>
      </c>
      <c r="B480" s="11" t="n">
        <f aca="false">C479</f>
        <v>45856</v>
      </c>
      <c r="C480" s="11" t="n">
        <f aca="false">IF(OR(H479,D480&lt;=$G$4),_xlfn.MINIFS('Futures Data'!$B$5:$B$3471,'Futures Data'!$A$5:$A$3471,A480,'Futures Data'!$B$5:$B$3471,"&gt;"&amp;B480),B480)</f>
        <v>45856</v>
      </c>
      <c r="D480" s="3" t="n">
        <f aca="false">COUNTIFS($A$47:$A$790,"&gt;"&amp;A480,$A$47:$A$790,"&lt;="&amp;B480)+IF(B480&gt;$G$5,NETWORKDAYS($G$5+1,B480),0)</f>
        <v>15</v>
      </c>
      <c r="E480" s="3" t="n">
        <f aca="false">SUMIFS('Futures Data'!$E$5:$E$3471,'Futures Data'!$A$5:$A$3471,A480,'Futures Data'!$B$5:$B$3471,C480)</f>
        <v>28340</v>
      </c>
      <c r="F480" s="11" t="n">
        <f aca="false">_xlfn.MINIFS('Futures Data'!$B$5:$B$3471,'Futures Data'!$A$5:$A$3471,A480,'Futures Data'!$B$5:$B$3471,"&gt;"&amp;C480)</f>
        <v>45889</v>
      </c>
      <c r="G480" s="3" t="n">
        <f aca="false">SUMIFS('Futures Data'!$E$5:$E$3471,'Futures Data'!$A$5:$A$3471,A480,'Futures Data'!$B$5:$B$3471,F480)</f>
        <v>17175</v>
      </c>
      <c r="H480" s="9" t="b">
        <f aca="false">G480&gt;E480</f>
        <v>0</v>
      </c>
      <c r="I480" s="9" t="b">
        <f aca="false">C480&lt;&gt;B480</f>
        <v>0</v>
      </c>
      <c r="J480" s="3" t="n">
        <f aca="false">SUMIFS('Futures Data'!$C$5:$C$3471,'Futures Data'!$A$5:$A$3471,A480,'Futures Data'!$B$5:$B$3471,B480)</f>
        <v>6806</v>
      </c>
      <c r="K480" s="3" t="n">
        <f aca="false">SUMIFS('Futures Data'!$C$5:$C$3471,'Futures Data'!$A$5:$A$3471,A480,'Futures Data'!$B$5:$B$3471,C480)</f>
        <v>6806</v>
      </c>
      <c r="L480" s="3" t="n">
        <f aca="false">K480-J480</f>
        <v>0</v>
      </c>
      <c r="M480" s="3" t="n">
        <f aca="false">M481+L480</f>
        <v>1074</v>
      </c>
      <c r="N480" s="3" t="n">
        <f aca="false">J480+M480</f>
        <v>7880</v>
      </c>
      <c r="O480" s="13" t="n">
        <f aca="false">LN(J480/K479)</f>
        <v>0.00870661443342567</v>
      </c>
      <c r="P480" s="13" t="n">
        <f aca="false">LN(N480/N479)</f>
        <v>0.00751548025031345</v>
      </c>
      <c r="Q480" s="3" t="n">
        <f aca="false">SUMIFS('Futures Data'!$D$5:$D$3471,'Futures Data'!$A$5:$A$3471,A480,'Futures Data'!$B$5:$B$3471,B480)</f>
        <v>5225</v>
      </c>
      <c r="R480" s="7" t="n">
        <v>45856</v>
      </c>
      <c r="S480" s="9" t="b">
        <f aca="false">C480=R480</f>
        <v>1</v>
      </c>
      <c r="T480" s="9" t="b">
        <f aca="false">ABS(O480-LN(J480/SUMIFS('Futures Data'!$C$5:$C$3471,'Futures Data'!$A$5:$A$3471,A479,'Futures Data'!$B$5:$B$3471,B480)))&lt;0.000000001</f>
        <v>1</v>
      </c>
    </row>
    <row r="481" customFormat="false" ht="15" hidden="false" customHeight="false" outlineLevel="0" collapsed="false">
      <c r="A481" s="7" t="n">
        <v>45838</v>
      </c>
      <c r="B481" s="11" t="n">
        <f aca="false">C480</f>
        <v>45856</v>
      </c>
      <c r="C481" s="11" t="n">
        <f aca="false">IF(OR(H480,D481&lt;=$G$4),_xlfn.MINIFS('Futures Data'!$B$5:$B$3471,'Futures Data'!$A$5:$A$3471,A481,'Futures Data'!$B$5:$B$3471,"&gt;"&amp;B481),B481)</f>
        <v>45856</v>
      </c>
      <c r="D481" s="3" t="n">
        <f aca="false">COUNTIFS($A$47:$A$790,"&gt;"&amp;A481,$A$47:$A$790,"&lt;="&amp;B481)+IF(B481&gt;$G$5,NETWORKDAYS($G$5+1,B481),0)</f>
        <v>14</v>
      </c>
      <c r="E481" s="3" t="n">
        <f aca="false">SUMIFS('Futures Data'!$E$5:$E$3471,'Futures Data'!$A$5:$A$3471,A481,'Futures Data'!$B$5:$B$3471,C481)</f>
        <v>24710</v>
      </c>
      <c r="F481" s="11" t="n">
        <f aca="false">_xlfn.MINIFS('Futures Data'!$B$5:$B$3471,'Futures Data'!$A$5:$A$3471,A481,'Futures Data'!$B$5:$B$3471,"&gt;"&amp;C481)</f>
        <v>45889</v>
      </c>
      <c r="G481" s="3" t="n">
        <f aca="false">SUMIFS('Futures Data'!$E$5:$E$3471,'Futures Data'!$A$5:$A$3471,A481,'Futures Data'!$B$5:$B$3471,F481)</f>
        <v>18960</v>
      </c>
      <c r="H481" s="9" t="b">
        <f aca="false">G481&gt;E481</f>
        <v>0</v>
      </c>
      <c r="I481" s="9" t="b">
        <f aca="false">C481&lt;&gt;B481</f>
        <v>0</v>
      </c>
      <c r="J481" s="3" t="n">
        <f aca="false">SUMIFS('Futures Data'!$C$5:$C$3471,'Futures Data'!$A$5:$A$3471,A481,'Futures Data'!$B$5:$B$3471,B481)</f>
        <v>6847</v>
      </c>
      <c r="K481" s="3" t="n">
        <f aca="false">SUMIFS('Futures Data'!$C$5:$C$3471,'Futures Data'!$A$5:$A$3471,A481,'Futures Data'!$B$5:$B$3471,C481)</f>
        <v>6847</v>
      </c>
      <c r="L481" s="3" t="n">
        <f aca="false">K481-J481</f>
        <v>0</v>
      </c>
      <c r="M481" s="3" t="n">
        <f aca="false">M482+L481</f>
        <v>1074</v>
      </c>
      <c r="N481" s="3" t="n">
        <f aca="false">J481+M481</f>
        <v>7921</v>
      </c>
      <c r="O481" s="13" t="n">
        <f aca="false">LN(J481/K480)</f>
        <v>0.00600602406021195</v>
      </c>
      <c r="P481" s="13" t="n">
        <f aca="false">LN(N481/N480)</f>
        <v>0.00518955661235486</v>
      </c>
      <c r="Q481" s="3" t="n">
        <f aca="false">SUMIFS('Futures Data'!$D$5:$D$3471,'Futures Data'!$A$5:$A$3471,A481,'Futures Data'!$B$5:$B$3471,B481)</f>
        <v>7515</v>
      </c>
      <c r="R481" s="7" t="n">
        <v>45856</v>
      </c>
      <c r="S481" s="9" t="b">
        <f aca="false">C481=R481</f>
        <v>1</v>
      </c>
      <c r="T481" s="9" t="b">
        <f aca="false">ABS(O481-LN(J481/SUMIFS('Futures Data'!$C$5:$C$3471,'Futures Data'!$A$5:$A$3471,A480,'Futures Data'!$B$5:$B$3471,B481)))&lt;0.000000001</f>
        <v>1</v>
      </c>
    </row>
    <row r="482" customFormat="false" ht="15" hidden="false" customHeight="false" outlineLevel="0" collapsed="false">
      <c r="A482" s="7" t="n">
        <v>45839</v>
      </c>
      <c r="B482" s="11" t="n">
        <f aca="false">C481</f>
        <v>45856</v>
      </c>
      <c r="C482" s="11" t="n">
        <f aca="false">IF(OR(H481,D482&lt;=$G$4),_xlfn.MINIFS('Futures Data'!$B$5:$B$3471,'Futures Data'!$A$5:$A$3471,A482,'Futures Data'!$B$5:$B$3471,"&gt;"&amp;B482),B482)</f>
        <v>45856</v>
      </c>
      <c r="D482" s="3" t="n">
        <f aca="false">COUNTIFS($A$47:$A$790,"&gt;"&amp;A482,$A$47:$A$790,"&lt;="&amp;B482)+IF(B482&gt;$G$5,NETWORKDAYS($G$5+1,B482),0)</f>
        <v>13</v>
      </c>
      <c r="E482" s="3" t="n">
        <f aca="false">SUMIFS('Futures Data'!$E$5:$E$3471,'Futures Data'!$A$5:$A$3471,A482,'Futures Data'!$B$5:$B$3471,C482)</f>
        <v>21870</v>
      </c>
      <c r="F482" s="11" t="n">
        <f aca="false">_xlfn.MINIFS('Futures Data'!$B$5:$B$3471,'Futures Data'!$A$5:$A$3471,A482,'Futures Data'!$B$5:$B$3471,"&gt;"&amp;C482)</f>
        <v>45889</v>
      </c>
      <c r="G482" s="3" t="n">
        <f aca="false">SUMIFS('Futures Data'!$E$5:$E$3471,'Futures Data'!$A$5:$A$3471,A482,'Futures Data'!$B$5:$B$3471,F482)</f>
        <v>23290</v>
      </c>
      <c r="H482" s="9" t="b">
        <f aca="false">G482&gt;E482</f>
        <v>1</v>
      </c>
      <c r="I482" s="9" t="b">
        <f aca="false">C482&lt;&gt;B482</f>
        <v>0</v>
      </c>
      <c r="J482" s="3" t="n">
        <f aca="false">SUMIFS('Futures Data'!$C$5:$C$3471,'Futures Data'!$A$5:$A$3471,A482,'Futures Data'!$B$5:$B$3471,B482)</f>
        <v>6859</v>
      </c>
      <c r="K482" s="3" t="n">
        <f aca="false">SUMIFS('Futures Data'!$C$5:$C$3471,'Futures Data'!$A$5:$A$3471,A482,'Futures Data'!$B$5:$B$3471,C482)</f>
        <v>6859</v>
      </c>
      <c r="L482" s="3" t="n">
        <f aca="false">K482-J482</f>
        <v>0</v>
      </c>
      <c r="M482" s="3" t="n">
        <f aca="false">M483+L482</f>
        <v>1074</v>
      </c>
      <c r="N482" s="3" t="n">
        <f aca="false">J482+M482</f>
        <v>7933</v>
      </c>
      <c r="O482" s="13" t="n">
        <f aca="false">LN(J482/K481)</f>
        <v>0.00175105837825847</v>
      </c>
      <c r="P482" s="13" t="n">
        <f aca="false">LN(N482/N481)</f>
        <v>0.00151381383772327</v>
      </c>
      <c r="Q482" s="3" t="n">
        <f aca="false">SUMIFS('Futures Data'!$D$5:$D$3471,'Futures Data'!$A$5:$A$3471,A482,'Futures Data'!$B$5:$B$3471,B482)</f>
        <v>7925</v>
      </c>
      <c r="R482" s="7" t="n">
        <v>45856</v>
      </c>
      <c r="S482" s="9" t="b">
        <f aca="false">C482=R482</f>
        <v>1</v>
      </c>
      <c r="T482" s="9" t="b">
        <f aca="false">ABS(O482-LN(J482/SUMIFS('Futures Data'!$C$5:$C$3471,'Futures Data'!$A$5:$A$3471,A481,'Futures Data'!$B$5:$B$3471,B482)))&lt;0.000000001</f>
        <v>1</v>
      </c>
    </row>
    <row r="483" customFormat="false" ht="15" hidden="false" customHeight="false" outlineLevel="0" collapsed="false">
      <c r="A483" s="7" t="n">
        <v>45840</v>
      </c>
      <c r="B483" s="11" t="n">
        <f aca="false">C482</f>
        <v>45856</v>
      </c>
      <c r="C483" s="11" t="n">
        <f aca="false">IF(OR(H482,D483&lt;=$G$4),_xlfn.MINIFS('Futures Data'!$B$5:$B$3471,'Futures Data'!$A$5:$A$3471,A483,'Futures Data'!$B$5:$B$3471,"&gt;"&amp;B483),B483)</f>
        <v>45889</v>
      </c>
      <c r="D483" s="3" t="n">
        <f aca="false">COUNTIFS($A$47:$A$790,"&gt;"&amp;A483,$A$47:$A$790,"&lt;="&amp;B483)+IF(B483&gt;$G$5,NETWORKDAYS($G$5+1,B483),0)</f>
        <v>12</v>
      </c>
      <c r="E483" s="3" t="n">
        <f aca="false">SUMIFS('Futures Data'!$E$5:$E$3471,'Futures Data'!$A$5:$A$3471,A483,'Futures Data'!$B$5:$B$3471,C483)</f>
        <v>27235</v>
      </c>
      <c r="F483" s="11" t="n">
        <f aca="false">_xlfn.MINIFS('Futures Data'!$B$5:$B$3471,'Futures Data'!$A$5:$A$3471,A483,'Futures Data'!$B$5:$B$3471,"&gt;"&amp;C483)</f>
        <v>45919</v>
      </c>
      <c r="G483" s="3" t="n">
        <f aca="false">SUMIFS('Futures Data'!$E$5:$E$3471,'Futures Data'!$A$5:$A$3471,A483,'Futures Data'!$B$5:$B$3471,F483)</f>
        <v>790</v>
      </c>
      <c r="H483" s="9" t="b">
        <f aca="false">G483&gt;E483</f>
        <v>0</v>
      </c>
      <c r="I483" s="9" t="b">
        <f aca="false">C483&lt;&gt;B483</f>
        <v>1</v>
      </c>
      <c r="J483" s="3" t="n">
        <f aca="false">SUMIFS('Futures Data'!$C$5:$C$3471,'Futures Data'!$A$5:$A$3471,A483,'Futures Data'!$B$5:$B$3471,B483)</f>
        <v>6898</v>
      </c>
      <c r="K483" s="3" t="n">
        <f aca="false">SUMIFS('Futures Data'!$C$5:$C$3471,'Futures Data'!$A$5:$A$3471,A483,'Futures Data'!$B$5:$B$3471,C483)</f>
        <v>6974</v>
      </c>
      <c r="L483" s="3" t="n">
        <f aca="false">K483-J483</f>
        <v>76</v>
      </c>
      <c r="M483" s="3" t="n">
        <f aca="false">M484+L483</f>
        <v>1074</v>
      </c>
      <c r="N483" s="3" t="n">
        <f aca="false">J483+M483</f>
        <v>7972</v>
      </c>
      <c r="O483" s="13" t="n">
        <f aca="false">LN(J483/K482)</f>
        <v>0.00566985599746494</v>
      </c>
      <c r="P483" s="13" t="n">
        <f aca="false">LN(N483/N482)</f>
        <v>0.00490412803068246</v>
      </c>
      <c r="Q483" s="3" t="n">
        <f aca="false">SUMIFS('Futures Data'!$D$5:$D$3471,'Futures Data'!$A$5:$A$3471,A483,'Futures Data'!$B$5:$B$3471,B483)</f>
        <v>7690</v>
      </c>
      <c r="R483" s="7" t="n">
        <v>45889</v>
      </c>
      <c r="S483" s="9" t="b">
        <f aca="false">C483=R483</f>
        <v>1</v>
      </c>
      <c r="T483" s="9" t="b">
        <f aca="false">ABS(O483-LN(J483/SUMIFS('Futures Data'!$C$5:$C$3471,'Futures Data'!$A$5:$A$3471,A482,'Futures Data'!$B$5:$B$3471,B483)))&lt;0.000000001</f>
        <v>1</v>
      </c>
    </row>
    <row r="484" customFormat="false" ht="15" hidden="false" customHeight="false" outlineLevel="0" collapsed="false">
      <c r="A484" s="7" t="n">
        <v>45841</v>
      </c>
      <c r="B484" s="11" t="n">
        <f aca="false">C483</f>
        <v>45889</v>
      </c>
      <c r="C484" s="11" t="n">
        <f aca="false">IF(OR(H483,D484&lt;=$G$4),_xlfn.MINIFS('Futures Data'!$B$5:$B$3471,'Futures Data'!$A$5:$A$3471,A484,'Futures Data'!$B$5:$B$3471,"&gt;"&amp;B484),B484)</f>
        <v>45889</v>
      </c>
      <c r="D484" s="3" t="n">
        <f aca="false">COUNTIFS($A$47:$A$790,"&gt;"&amp;A484,$A$47:$A$790,"&lt;="&amp;B484)+IF(B484&gt;$G$5,NETWORKDAYS($G$5+1,B484),0)</f>
        <v>33</v>
      </c>
      <c r="E484" s="3" t="n">
        <f aca="false">SUMIFS('Futures Data'!$E$5:$E$3471,'Futures Data'!$A$5:$A$3471,A484,'Futures Data'!$B$5:$B$3471,C484)</f>
        <v>30345</v>
      </c>
      <c r="F484" s="11" t="n">
        <f aca="false">_xlfn.MINIFS('Futures Data'!$B$5:$B$3471,'Futures Data'!$A$5:$A$3471,A484,'Futures Data'!$B$5:$B$3471,"&gt;"&amp;C484)</f>
        <v>45919</v>
      </c>
      <c r="G484" s="3" t="n">
        <f aca="false">SUMIFS('Futures Data'!$E$5:$E$3471,'Futures Data'!$A$5:$A$3471,A484,'Futures Data'!$B$5:$B$3471,F484)</f>
        <v>1180</v>
      </c>
      <c r="H484" s="9" t="b">
        <f aca="false">G484&gt;E484</f>
        <v>0</v>
      </c>
      <c r="I484" s="9" t="b">
        <f aca="false">C484&lt;&gt;B484</f>
        <v>0</v>
      </c>
      <c r="J484" s="3" t="n">
        <f aca="false">SUMIFS('Futures Data'!$C$5:$C$3471,'Futures Data'!$A$5:$A$3471,A484,'Futures Data'!$B$5:$B$3471,B484)</f>
        <v>6926</v>
      </c>
      <c r="K484" s="3" t="n">
        <f aca="false">SUMIFS('Futures Data'!$C$5:$C$3471,'Futures Data'!$A$5:$A$3471,A484,'Futures Data'!$B$5:$B$3471,C484)</f>
        <v>6926</v>
      </c>
      <c r="L484" s="3" t="n">
        <f aca="false">K484-J484</f>
        <v>0</v>
      </c>
      <c r="M484" s="3" t="n">
        <f aca="false">M485+L484</f>
        <v>998</v>
      </c>
      <c r="N484" s="3" t="n">
        <f aca="false">J484+M484</f>
        <v>7924</v>
      </c>
      <c r="O484" s="13" t="n">
        <f aca="false">LN(J484/K483)</f>
        <v>-0.00690650227322923</v>
      </c>
      <c r="P484" s="13" t="n">
        <f aca="false">LN(N484/N483)</f>
        <v>-0.00603927351424378</v>
      </c>
      <c r="Q484" s="3" t="n">
        <f aca="false">SUMIFS('Futures Data'!$D$5:$D$3471,'Futures Data'!$A$5:$A$3471,A484,'Futures Data'!$B$5:$B$3471,B484)</f>
        <v>8180</v>
      </c>
      <c r="R484" s="7" t="n">
        <v>45889</v>
      </c>
      <c r="S484" s="9" t="b">
        <f aca="false">C484=R484</f>
        <v>1</v>
      </c>
      <c r="T484" s="9" t="b">
        <f aca="false">ABS(O484-LN(J484/SUMIFS('Futures Data'!$C$5:$C$3471,'Futures Data'!$A$5:$A$3471,A483,'Futures Data'!$B$5:$B$3471,B484)))&lt;0.000000001</f>
        <v>1</v>
      </c>
    </row>
    <row r="485" customFormat="false" ht="15" hidden="false" customHeight="false" outlineLevel="0" collapsed="false">
      <c r="A485" s="7" t="n">
        <v>45842</v>
      </c>
      <c r="B485" s="11" t="n">
        <f aca="false">C484</f>
        <v>45889</v>
      </c>
      <c r="C485" s="11" t="n">
        <f aca="false">IF(OR(H484,D485&lt;=$G$4),_xlfn.MINIFS('Futures Data'!$B$5:$B$3471,'Futures Data'!$A$5:$A$3471,A485,'Futures Data'!$B$5:$B$3471,"&gt;"&amp;B485),B485)</f>
        <v>45889</v>
      </c>
      <c r="D485" s="3" t="n">
        <f aca="false">COUNTIFS($A$47:$A$790,"&gt;"&amp;A485,$A$47:$A$790,"&lt;="&amp;B485)+IF(B485&gt;$G$5,NETWORKDAYS($G$5+1,B485),0)</f>
        <v>32</v>
      </c>
      <c r="E485" s="3" t="n">
        <f aca="false">SUMIFS('Futures Data'!$E$5:$E$3471,'Futures Data'!$A$5:$A$3471,A485,'Futures Data'!$B$5:$B$3471,C485)</f>
        <v>32645</v>
      </c>
      <c r="F485" s="11" t="n">
        <f aca="false">_xlfn.MINIFS('Futures Data'!$B$5:$B$3471,'Futures Data'!$A$5:$A$3471,A485,'Futures Data'!$B$5:$B$3471,"&gt;"&amp;C485)</f>
        <v>45919</v>
      </c>
      <c r="G485" s="3" t="n">
        <f aca="false">SUMIFS('Futures Data'!$E$5:$E$3471,'Futures Data'!$A$5:$A$3471,A485,'Futures Data'!$B$5:$B$3471,F485)</f>
        <v>1315</v>
      </c>
      <c r="H485" s="9" t="b">
        <f aca="false">G485&gt;E485</f>
        <v>0</v>
      </c>
      <c r="I485" s="9" t="b">
        <f aca="false">C485&lt;&gt;B485</f>
        <v>0</v>
      </c>
      <c r="J485" s="3" t="n">
        <f aca="false">SUMIFS('Futures Data'!$C$5:$C$3471,'Futures Data'!$A$5:$A$3471,A485,'Futures Data'!$B$5:$B$3471,B485)</f>
        <v>6907</v>
      </c>
      <c r="K485" s="3" t="n">
        <f aca="false">SUMIFS('Futures Data'!$C$5:$C$3471,'Futures Data'!$A$5:$A$3471,A485,'Futures Data'!$B$5:$B$3471,C485)</f>
        <v>6907</v>
      </c>
      <c r="L485" s="3" t="n">
        <f aca="false">K485-J485</f>
        <v>0</v>
      </c>
      <c r="M485" s="3" t="n">
        <f aca="false">M486+L485</f>
        <v>998</v>
      </c>
      <c r="N485" s="3" t="n">
        <f aca="false">J485+M485</f>
        <v>7905</v>
      </c>
      <c r="O485" s="13" t="n">
        <f aca="false">LN(J485/K484)</f>
        <v>-0.0027470558733944</v>
      </c>
      <c r="P485" s="13" t="n">
        <f aca="false">LN(N485/N484)</f>
        <v>-0.00240065817486921</v>
      </c>
      <c r="Q485" s="3" t="n">
        <f aca="false">SUMIFS('Futures Data'!$D$5:$D$3471,'Futures Data'!$A$5:$A$3471,A485,'Futures Data'!$B$5:$B$3471,B485)</f>
        <v>5965</v>
      </c>
      <c r="R485" s="7" t="n">
        <v>45889</v>
      </c>
      <c r="S485" s="9" t="b">
        <f aca="false">C485=R485</f>
        <v>1</v>
      </c>
      <c r="T485" s="9" t="b">
        <f aca="false">ABS(O485-LN(J485/SUMIFS('Futures Data'!$C$5:$C$3471,'Futures Data'!$A$5:$A$3471,A484,'Futures Data'!$B$5:$B$3471,B485)))&lt;0.000000001</f>
        <v>1</v>
      </c>
    </row>
    <row r="486" customFormat="false" ht="15" hidden="false" customHeight="false" outlineLevel="0" collapsed="false">
      <c r="A486" s="7" t="n">
        <v>45845</v>
      </c>
      <c r="B486" s="11" t="n">
        <f aca="false">C485</f>
        <v>45889</v>
      </c>
      <c r="C486" s="11" t="n">
        <f aca="false">IF(OR(H485,D486&lt;=$G$4),_xlfn.MINIFS('Futures Data'!$B$5:$B$3471,'Futures Data'!$A$5:$A$3471,A486,'Futures Data'!$B$5:$B$3471,"&gt;"&amp;B486),B486)</f>
        <v>45889</v>
      </c>
      <c r="D486" s="3" t="n">
        <f aca="false">COUNTIFS($A$47:$A$790,"&gt;"&amp;A486,$A$47:$A$790,"&lt;="&amp;B486)+IF(B486&gt;$G$5,NETWORKDAYS($G$5+1,B486),0)</f>
        <v>31</v>
      </c>
      <c r="E486" s="3" t="n">
        <f aca="false">SUMIFS('Futures Data'!$E$5:$E$3471,'Futures Data'!$A$5:$A$3471,A486,'Futures Data'!$B$5:$B$3471,C486)</f>
        <v>34445</v>
      </c>
      <c r="F486" s="11" t="n">
        <f aca="false">_xlfn.MINIFS('Futures Data'!$B$5:$B$3471,'Futures Data'!$A$5:$A$3471,A486,'Futures Data'!$B$5:$B$3471,"&gt;"&amp;C486)</f>
        <v>45919</v>
      </c>
      <c r="G486" s="3" t="n">
        <f aca="false">SUMIFS('Futures Data'!$E$5:$E$3471,'Futures Data'!$A$5:$A$3471,A486,'Futures Data'!$B$5:$B$3471,F486)</f>
        <v>1315</v>
      </c>
      <c r="H486" s="9" t="b">
        <f aca="false">G486&gt;E486</f>
        <v>0</v>
      </c>
      <c r="I486" s="9" t="b">
        <f aca="false">C486&lt;&gt;B486</f>
        <v>0</v>
      </c>
      <c r="J486" s="3" t="n">
        <f aca="false">SUMIFS('Futures Data'!$C$5:$C$3471,'Futures Data'!$A$5:$A$3471,A486,'Futures Data'!$B$5:$B$3471,B486)</f>
        <v>6868</v>
      </c>
      <c r="K486" s="3" t="n">
        <f aca="false">SUMIFS('Futures Data'!$C$5:$C$3471,'Futures Data'!$A$5:$A$3471,A486,'Futures Data'!$B$5:$B$3471,C486)</f>
        <v>6868</v>
      </c>
      <c r="L486" s="3" t="n">
        <f aca="false">K486-J486</f>
        <v>0</v>
      </c>
      <c r="M486" s="3" t="n">
        <f aca="false">M487+L486</f>
        <v>998</v>
      </c>
      <c r="N486" s="3" t="n">
        <f aca="false">J486+M486</f>
        <v>7866</v>
      </c>
      <c r="O486" s="13" t="n">
        <f aca="false">LN(J486/K485)</f>
        <v>-0.00566244707160674</v>
      </c>
      <c r="P486" s="13" t="n">
        <f aca="false">LN(N486/N485)</f>
        <v>-0.0049457966518175</v>
      </c>
      <c r="Q486" s="3" t="n">
        <f aca="false">SUMIFS('Futures Data'!$D$5:$D$3471,'Futures Data'!$A$5:$A$3471,A486,'Futures Data'!$B$5:$B$3471,B486)</f>
        <v>5710</v>
      </c>
      <c r="R486" s="7" t="n">
        <v>45889</v>
      </c>
      <c r="S486" s="9" t="b">
        <f aca="false">C486=R486</f>
        <v>1</v>
      </c>
      <c r="T486" s="9" t="b">
        <f aca="false">ABS(O486-LN(J486/SUMIFS('Futures Data'!$C$5:$C$3471,'Futures Data'!$A$5:$A$3471,A485,'Futures Data'!$B$5:$B$3471,B486)))&lt;0.000000001</f>
        <v>1</v>
      </c>
    </row>
    <row r="487" customFormat="false" ht="15" hidden="false" customHeight="false" outlineLevel="0" collapsed="false">
      <c r="A487" s="7" t="n">
        <v>45846</v>
      </c>
      <c r="B487" s="11" t="n">
        <f aca="false">C486</f>
        <v>45889</v>
      </c>
      <c r="C487" s="11" t="n">
        <f aca="false">IF(OR(H486,D487&lt;=$G$4),_xlfn.MINIFS('Futures Data'!$B$5:$B$3471,'Futures Data'!$A$5:$A$3471,A487,'Futures Data'!$B$5:$B$3471,"&gt;"&amp;B487),B487)</f>
        <v>45889</v>
      </c>
      <c r="D487" s="3" t="n">
        <f aca="false">COUNTIFS($A$47:$A$790,"&gt;"&amp;A487,$A$47:$A$790,"&lt;="&amp;B487)+IF(B487&gt;$G$5,NETWORKDAYS($G$5+1,B487),0)</f>
        <v>30</v>
      </c>
      <c r="E487" s="3" t="n">
        <f aca="false">SUMIFS('Futures Data'!$E$5:$E$3471,'Futures Data'!$A$5:$A$3471,A487,'Futures Data'!$B$5:$B$3471,C487)</f>
        <v>36095</v>
      </c>
      <c r="F487" s="11" t="n">
        <f aca="false">_xlfn.MINIFS('Futures Data'!$B$5:$B$3471,'Futures Data'!$A$5:$A$3471,A487,'Futures Data'!$B$5:$B$3471,"&gt;"&amp;C487)</f>
        <v>45919</v>
      </c>
      <c r="G487" s="3" t="n">
        <f aca="false">SUMIFS('Futures Data'!$E$5:$E$3471,'Futures Data'!$A$5:$A$3471,A487,'Futures Data'!$B$5:$B$3471,F487)</f>
        <v>1705</v>
      </c>
      <c r="H487" s="9" t="b">
        <f aca="false">G487&gt;E487</f>
        <v>0</v>
      </c>
      <c r="I487" s="9" t="b">
        <f aca="false">C487&lt;&gt;B487</f>
        <v>0</v>
      </c>
      <c r="J487" s="3" t="n">
        <f aca="false">SUMIFS('Futures Data'!$C$5:$C$3471,'Futures Data'!$A$5:$A$3471,A487,'Futures Data'!$B$5:$B$3471,B487)</f>
        <v>6909</v>
      </c>
      <c r="K487" s="3" t="n">
        <f aca="false">SUMIFS('Futures Data'!$C$5:$C$3471,'Futures Data'!$A$5:$A$3471,A487,'Futures Data'!$B$5:$B$3471,C487)</f>
        <v>6909</v>
      </c>
      <c r="L487" s="3" t="n">
        <f aca="false">K487-J487</f>
        <v>0</v>
      </c>
      <c r="M487" s="3" t="n">
        <f aca="false">M488+L487</f>
        <v>998</v>
      </c>
      <c r="N487" s="3" t="n">
        <f aca="false">J487+M487</f>
        <v>7907</v>
      </c>
      <c r="O487" s="13" t="n">
        <f aca="false">LN(J487/K486)</f>
        <v>0.00595196647142876</v>
      </c>
      <c r="P487" s="13" t="n">
        <f aca="false">LN(N487/N486)</f>
        <v>0.00519876907917216</v>
      </c>
      <c r="Q487" s="3" t="n">
        <f aca="false">SUMIFS('Futures Data'!$D$5:$D$3471,'Futures Data'!$A$5:$A$3471,A487,'Futures Data'!$B$5:$B$3471,B487)</f>
        <v>7510</v>
      </c>
      <c r="R487" s="7" t="n">
        <v>45889</v>
      </c>
      <c r="S487" s="9" t="b">
        <f aca="false">C487=R487</f>
        <v>1</v>
      </c>
      <c r="T487" s="9" t="b">
        <f aca="false">ABS(O487-LN(J487/SUMIFS('Futures Data'!$C$5:$C$3471,'Futures Data'!$A$5:$A$3471,A486,'Futures Data'!$B$5:$B$3471,B487)))&lt;0.000000001</f>
        <v>1</v>
      </c>
    </row>
    <row r="488" customFormat="false" ht="15" hidden="false" customHeight="false" outlineLevel="0" collapsed="false">
      <c r="A488" s="7" t="n">
        <v>45847</v>
      </c>
      <c r="B488" s="11" t="n">
        <f aca="false">C487</f>
        <v>45889</v>
      </c>
      <c r="C488" s="11" t="n">
        <f aca="false">IF(OR(H487,D488&lt;=$G$4),_xlfn.MINIFS('Futures Data'!$B$5:$B$3471,'Futures Data'!$A$5:$A$3471,A488,'Futures Data'!$B$5:$B$3471,"&gt;"&amp;B488),B488)</f>
        <v>45889</v>
      </c>
      <c r="D488" s="3" t="n">
        <f aca="false">COUNTIFS($A$47:$A$790,"&gt;"&amp;A488,$A$47:$A$790,"&lt;="&amp;B488)+IF(B488&gt;$G$5,NETWORKDAYS($G$5+1,B488),0)</f>
        <v>29</v>
      </c>
      <c r="E488" s="3" t="n">
        <f aca="false">SUMIFS('Futures Data'!$E$5:$E$3471,'Futures Data'!$A$5:$A$3471,A488,'Futures Data'!$B$5:$B$3471,C488)</f>
        <v>36680</v>
      </c>
      <c r="F488" s="11" t="n">
        <f aca="false">_xlfn.MINIFS('Futures Data'!$B$5:$B$3471,'Futures Data'!$A$5:$A$3471,A488,'Futures Data'!$B$5:$B$3471,"&gt;"&amp;C488)</f>
        <v>45919</v>
      </c>
      <c r="G488" s="3" t="n">
        <f aca="false">SUMIFS('Futures Data'!$E$5:$E$3471,'Futures Data'!$A$5:$A$3471,A488,'Futures Data'!$B$5:$B$3471,F488)</f>
        <v>1925</v>
      </c>
      <c r="H488" s="9" t="b">
        <f aca="false">G488&gt;E488</f>
        <v>0</v>
      </c>
      <c r="I488" s="9" t="b">
        <f aca="false">C488&lt;&gt;B488</f>
        <v>0</v>
      </c>
      <c r="J488" s="3" t="n">
        <f aca="false">SUMIFS('Futures Data'!$C$5:$C$3471,'Futures Data'!$A$5:$A$3471,A488,'Futures Data'!$B$5:$B$3471,B488)</f>
        <v>6871</v>
      </c>
      <c r="K488" s="3" t="n">
        <f aca="false">SUMIFS('Futures Data'!$C$5:$C$3471,'Futures Data'!$A$5:$A$3471,A488,'Futures Data'!$B$5:$B$3471,C488)</f>
        <v>6871</v>
      </c>
      <c r="L488" s="3" t="n">
        <f aca="false">K488-J488</f>
        <v>0</v>
      </c>
      <c r="M488" s="3" t="n">
        <f aca="false">M489+L488</f>
        <v>998</v>
      </c>
      <c r="N488" s="3" t="n">
        <f aca="false">J488+M488</f>
        <v>7869</v>
      </c>
      <c r="O488" s="13" t="n">
        <f aca="false">LN(J488/K487)</f>
        <v>-0.00551525345771898</v>
      </c>
      <c r="P488" s="13" t="n">
        <f aca="false">LN(N488/N487)</f>
        <v>-0.00481745353594366</v>
      </c>
      <c r="Q488" s="3" t="n">
        <f aca="false">SUMIFS('Futures Data'!$D$5:$D$3471,'Futures Data'!$A$5:$A$3471,A488,'Futures Data'!$B$5:$B$3471,B488)</f>
        <v>4300</v>
      </c>
      <c r="R488" s="7" t="n">
        <v>45889</v>
      </c>
      <c r="S488" s="9" t="b">
        <f aca="false">C488=R488</f>
        <v>1</v>
      </c>
      <c r="T488" s="9" t="b">
        <f aca="false">ABS(O488-LN(J488/SUMIFS('Futures Data'!$C$5:$C$3471,'Futures Data'!$A$5:$A$3471,A487,'Futures Data'!$B$5:$B$3471,B488)))&lt;0.000000001</f>
        <v>1</v>
      </c>
    </row>
    <row r="489" customFormat="false" ht="15" hidden="false" customHeight="false" outlineLevel="0" collapsed="false">
      <c r="A489" s="7" t="n">
        <v>45848</v>
      </c>
      <c r="B489" s="11" t="n">
        <f aca="false">C488</f>
        <v>45889</v>
      </c>
      <c r="C489" s="11" t="n">
        <f aca="false">IF(OR(H488,D489&lt;=$G$4),_xlfn.MINIFS('Futures Data'!$B$5:$B$3471,'Futures Data'!$A$5:$A$3471,A489,'Futures Data'!$B$5:$B$3471,"&gt;"&amp;B489),B489)</f>
        <v>45889</v>
      </c>
      <c r="D489" s="3" t="n">
        <f aca="false">COUNTIFS($A$47:$A$790,"&gt;"&amp;A489,$A$47:$A$790,"&lt;="&amp;B489)+IF(B489&gt;$G$5,NETWORKDAYS($G$5+1,B489),0)</f>
        <v>28</v>
      </c>
      <c r="E489" s="3" t="n">
        <f aca="false">SUMIFS('Futures Data'!$E$5:$E$3471,'Futures Data'!$A$5:$A$3471,A489,'Futures Data'!$B$5:$B$3471,C489)</f>
        <v>36405</v>
      </c>
      <c r="F489" s="11" t="n">
        <f aca="false">_xlfn.MINIFS('Futures Data'!$B$5:$B$3471,'Futures Data'!$A$5:$A$3471,A489,'Futures Data'!$B$5:$B$3471,"&gt;"&amp;C489)</f>
        <v>45919</v>
      </c>
      <c r="G489" s="3" t="n">
        <f aca="false">SUMIFS('Futures Data'!$E$5:$E$3471,'Futures Data'!$A$5:$A$3471,A489,'Futures Data'!$B$5:$B$3471,F489)</f>
        <v>1945</v>
      </c>
      <c r="H489" s="9" t="b">
        <f aca="false">G489&gt;E489</f>
        <v>0</v>
      </c>
      <c r="I489" s="9" t="b">
        <f aca="false">C489&lt;&gt;B489</f>
        <v>0</v>
      </c>
      <c r="J489" s="3" t="n">
        <f aca="false">SUMIFS('Futures Data'!$C$5:$C$3471,'Futures Data'!$A$5:$A$3471,A489,'Futures Data'!$B$5:$B$3471,B489)</f>
        <v>6829</v>
      </c>
      <c r="K489" s="3" t="n">
        <f aca="false">SUMIFS('Futures Data'!$C$5:$C$3471,'Futures Data'!$A$5:$A$3471,A489,'Futures Data'!$B$5:$B$3471,C489)</f>
        <v>6829</v>
      </c>
      <c r="L489" s="3" t="n">
        <f aca="false">K489-J489</f>
        <v>0</v>
      </c>
      <c r="M489" s="3" t="n">
        <f aca="false">M490+L489</f>
        <v>998</v>
      </c>
      <c r="N489" s="3" t="n">
        <f aca="false">J489+M489</f>
        <v>7827</v>
      </c>
      <c r="O489" s="13" t="n">
        <f aca="false">LN(J489/K488)</f>
        <v>-0.00613140606998666</v>
      </c>
      <c r="P489" s="13" t="n">
        <f aca="false">LN(N489/N488)</f>
        <v>-0.0053516947301453</v>
      </c>
      <c r="Q489" s="3" t="n">
        <f aca="false">SUMIFS('Futures Data'!$D$5:$D$3471,'Futures Data'!$A$5:$A$3471,A489,'Futures Data'!$B$5:$B$3471,B489)</f>
        <v>3895</v>
      </c>
      <c r="R489" s="7" t="n">
        <v>45889</v>
      </c>
      <c r="S489" s="9" t="b">
        <f aca="false">C489=R489</f>
        <v>1</v>
      </c>
      <c r="T489" s="9" t="b">
        <f aca="false">ABS(O489-LN(J489/SUMIFS('Futures Data'!$C$5:$C$3471,'Futures Data'!$A$5:$A$3471,A488,'Futures Data'!$B$5:$B$3471,B489)))&lt;0.000000001</f>
        <v>1</v>
      </c>
    </row>
    <row r="490" customFormat="false" ht="15" hidden="false" customHeight="false" outlineLevel="0" collapsed="false">
      <c r="A490" s="7" t="n">
        <v>45849</v>
      </c>
      <c r="B490" s="11" t="n">
        <f aca="false">C489</f>
        <v>45889</v>
      </c>
      <c r="C490" s="11" t="n">
        <f aca="false">IF(OR(H489,D490&lt;=$G$4),_xlfn.MINIFS('Futures Data'!$B$5:$B$3471,'Futures Data'!$A$5:$A$3471,A490,'Futures Data'!$B$5:$B$3471,"&gt;"&amp;B490),B490)</f>
        <v>45889</v>
      </c>
      <c r="D490" s="3" t="n">
        <f aca="false">COUNTIFS($A$47:$A$790,"&gt;"&amp;A490,$A$47:$A$790,"&lt;="&amp;B490)+IF(B490&gt;$G$5,NETWORKDAYS($G$5+1,B490),0)</f>
        <v>27</v>
      </c>
      <c r="E490" s="3" t="n">
        <f aca="false">SUMIFS('Futures Data'!$E$5:$E$3471,'Futures Data'!$A$5:$A$3471,A490,'Futures Data'!$B$5:$B$3471,C490)</f>
        <v>37705</v>
      </c>
      <c r="F490" s="11" t="n">
        <f aca="false">_xlfn.MINIFS('Futures Data'!$B$5:$B$3471,'Futures Data'!$A$5:$A$3471,A490,'Futures Data'!$B$5:$B$3471,"&gt;"&amp;C490)</f>
        <v>45919</v>
      </c>
      <c r="G490" s="3" t="n">
        <f aca="false">SUMIFS('Futures Data'!$E$5:$E$3471,'Futures Data'!$A$5:$A$3471,A490,'Futures Data'!$B$5:$B$3471,F490)</f>
        <v>2125</v>
      </c>
      <c r="H490" s="9" t="b">
        <f aca="false">G490&gt;E490</f>
        <v>0</v>
      </c>
      <c r="I490" s="9" t="b">
        <f aca="false">C490&lt;&gt;B490</f>
        <v>0</v>
      </c>
      <c r="J490" s="3" t="n">
        <f aca="false">SUMIFS('Futures Data'!$C$5:$C$3471,'Futures Data'!$A$5:$A$3471,A490,'Futures Data'!$B$5:$B$3471,B490)</f>
        <v>6776</v>
      </c>
      <c r="K490" s="3" t="n">
        <f aca="false">SUMIFS('Futures Data'!$C$5:$C$3471,'Futures Data'!$A$5:$A$3471,A490,'Futures Data'!$B$5:$B$3471,C490)</f>
        <v>6776</v>
      </c>
      <c r="L490" s="3" t="n">
        <f aca="false">K490-J490</f>
        <v>0</v>
      </c>
      <c r="M490" s="3" t="n">
        <f aca="false">M491+L490</f>
        <v>998</v>
      </c>
      <c r="N490" s="3" t="n">
        <f aca="false">J490+M490</f>
        <v>7774</v>
      </c>
      <c r="O490" s="13" t="n">
        <f aca="false">LN(J490/K489)</f>
        <v>-0.00779129262919898</v>
      </c>
      <c r="P490" s="13" t="n">
        <f aca="false">LN(N490/N489)</f>
        <v>-0.00679446239266963</v>
      </c>
      <c r="Q490" s="3" t="n">
        <f aca="false">SUMIFS('Futures Data'!$D$5:$D$3471,'Futures Data'!$A$5:$A$3471,A490,'Futures Data'!$B$5:$B$3471,B490)</f>
        <v>7430</v>
      </c>
      <c r="R490" s="7" t="n">
        <v>45889</v>
      </c>
      <c r="S490" s="9" t="b">
        <f aca="false">C490=R490</f>
        <v>1</v>
      </c>
      <c r="T490" s="9" t="b">
        <f aca="false">ABS(O490-LN(J490/SUMIFS('Futures Data'!$C$5:$C$3471,'Futures Data'!$A$5:$A$3471,A489,'Futures Data'!$B$5:$B$3471,B490)))&lt;0.000000001</f>
        <v>1</v>
      </c>
    </row>
    <row r="491" customFormat="false" ht="15" hidden="false" customHeight="false" outlineLevel="0" collapsed="false">
      <c r="A491" s="7" t="n">
        <v>45852</v>
      </c>
      <c r="B491" s="11" t="n">
        <f aca="false">C490</f>
        <v>45889</v>
      </c>
      <c r="C491" s="11" t="n">
        <f aca="false">IF(OR(H490,D491&lt;=$G$4),_xlfn.MINIFS('Futures Data'!$B$5:$B$3471,'Futures Data'!$A$5:$A$3471,A491,'Futures Data'!$B$5:$B$3471,"&gt;"&amp;B491),B491)</f>
        <v>45889</v>
      </c>
      <c r="D491" s="3" t="n">
        <f aca="false">COUNTIFS($A$47:$A$790,"&gt;"&amp;A491,$A$47:$A$790,"&lt;="&amp;B491)+IF(B491&gt;$G$5,NETWORKDAYS($G$5+1,B491),0)</f>
        <v>26</v>
      </c>
      <c r="E491" s="3" t="n">
        <f aca="false">SUMIFS('Futures Data'!$E$5:$E$3471,'Futures Data'!$A$5:$A$3471,A491,'Futures Data'!$B$5:$B$3471,C491)</f>
        <v>39225</v>
      </c>
      <c r="F491" s="11" t="n">
        <f aca="false">_xlfn.MINIFS('Futures Data'!$B$5:$B$3471,'Futures Data'!$A$5:$A$3471,A491,'Futures Data'!$B$5:$B$3471,"&gt;"&amp;C491)</f>
        <v>45919</v>
      </c>
      <c r="G491" s="3" t="n">
        <f aca="false">SUMIFS('Futures Data'!$E$5:$E$3471,'Futures Data'!$A$5:$A$3471,A491,'Futures Data'!$B$5:$B$3471,F491)</f>
        <v>2345</v>
      </c>
      <c r="H491" s="9" t="b">
        <f aca="false">G491&gt;E491</f>
        <v>0</v>
      </c>
      <c r="I491" s="9" t="b">
        <f aca="false">C491&lt;&gt;B491</f>
        <v>0</v>
      </c>
      <c r="J491" s="3" t="n">
        <f aca="false">SUMIFS('Futures Data'!$C$5:$C$3471,'Futures Data'!$A$5:$A$3471,A491,'Futures Data'!$B$5:$B$3471,B491)</f>
        <v>6811</v>
      </c>
      <c r="K491" s="3" t="n">
        <f aca="false">SUMIFS('Futures Data'!$C$5:$C$3471,'Futures Data'!$A$5:$A$3471,A491,'Futures Data'!$B$5:$B$3471,C491)</f>
        <v>6811</v>
      </c>
      <c r="L491" s="3" t="n">
        <f aca="false">K491-J491</f>
        <v>0</v>
      </c>
      <c r="M491" s="3" t="n">
        <f aca="false">M492+L491</f>
        <v>998</v>
      </c>
      <c r="N491" s="3" t="n">
        <f aca="false">J491+M491</f>
        <v>7809</v>
      </c>
      <c r="O491" s="13" t="n">
        <f aca="false">LN(J491/K490)</f>
        <v>0.00515199490942811</v>
      </c>
      <c r="P491" s="13" t="n">
        <f aca="false">LN(N491/N490)</f>
        <v>0.00449208225050665</v>
      </c>
      <c r="Q491" s="3" t="n">
        <f aca="false">SUMIFS('Futures Data'!$D$5:$D$3471,'Futures Data'!$A$5:$A$3471,A491,'Futures Data'!$B$5:$B$3471,B491)</f>
        <v>6735</v>
      </c>
      <c r="R491" s="7" t="n">
        <v>45889</v>
      </c>
      <c r="S491" s="9" t="b">
        <f aca="false">C491=R491</f>
        <v>1</v>
      </c>
      <c r="T491" s="9" t="b">
        <f aca="false">ABS(O491-LN(J491/SUMIFS('Futures Data'!$C$5:$C$3471,'Futures Data'!$A$5:$A$3471,A490,'Futures Data'!$B$5:$B$3471,B491)))&lt;0.000000001</f>
        <v>1</v>
      </c>
    </row>
    <row r="492" customFormat="false" ht="15" hidden="false" customHeight="false" outlineLevel="0" collapsed="false">
      <c r="A492" s="7" t="n">
        <v>45853</v>
      </c>
      <c r="B492" s="11" t="n">
        <f aca="false">C491</f>
        <v>45889</v>
      </c>
      <c r="C492" s="11" t="n">
        <f aca="false">IF(OR(H491,D492&lt;=$G$4),_xlfn.MINIFS('Futures Data'!$B$5:$B$3471,'Futures Data'!$A$5:$A$3471,A492,'Futures Data'!$B$5:$B$3471,"&gt;"&amp;B492),B492)</f>
        <v>45889</v>
      </c>
      <c r="D492" s="3" t="n">
        <f aca="false">COUNTIFS($A$47:$A$790,"&gt;"&amp;A492,$A$47:$A$790,"&lt;="&amp;B492)+IF(B492&gt;$G$5,NETWORKDAYS($G$5+1,B492),0)</f>
        <v>25</v>
      </c>
      <c r="E492" s="3" t="n">
        <f aca="false">SUMIFS('Futures Data'!$E$5:$E$3471,'Futures Data'!$A$5:$A$3471,A492,'Futures Data'!$B$5:$B$3471,C492)</f>
        <v>41970</v>
      </c>
      <c r="F492" s="11" t="n">
        <f aca="false">_xlfn.MINIFS('Futures Data'!$B$5:$B$3471,'Futures Data'!$A$5:$A$3471,A492,'Futures Data'!$B$5:$B$3471,"&gt;"&amp;C492)</f>
        <v>45919</v>
      </c>
      <c r="G492" s="3" t="n">
        <f aca="false">SUMIFS('Futures Data'!$E$5:$E$3471,'Futures Data'!$A$5:$A$3471,A492,'Futures Data'!$B$5:$B$3471,F492)</f>
        <v>2500</v>
      </c>
      <c r="H492" s="9" t="b">
        <f aca="false">G492&gt;E492</f>
        <v>0</v>
      </c>
      <c r="I492" s="9" t="b">
        <f aca="false">C492&lt;&gt;B492</f>
        <v>0</v>
      </c>
      <c r="J492" s="3" t="n">
        <f aca="false">SUMIFS('Futures Data'!$C$5:$C$3471,'Futures Data'!$A$5:$A$3471,A492,'Futures Data'!$B$5:$B$3471,B492)</f>
        <v>6815</v>
      </c>
      <c r="K492" s="3" t="n">
        <f aca="false">SUMIFS('Futures Data'!$C$5:$C$3471,'Futures Data'!$A$5:$A$3471,A492,'Futures Data'!$B$5:$B$3471,C492)</f>
        <v>6815</v>
      </c>
      <c r="L492" s="3" t="n">
        <f aca="false">K492-J492</f>
        <v>0</v>
      </c>
      <c r="M492" s="3" t="n">
        <f aca="false">M493+L492</f>
        <v>998</v>
      </c>
      <c r="N492" s="3" t="n">
        <f aca="false">J492+M492</f>
        <v>7813</v>
      </c>
      <c r="O492" s="13" t="n">
        <f aca="false">LN(J492/K491)</f>
        <v>0.000587112889314654</v>
      </c>
      <c r="P492" s="13" t="n">
        <f aca="false">LN(N492/N491)</f>
        <v>0.000512098334069213</v>
      </c>
      <c r="Q492" s="3" t="n">
        <f aca="false">SUMIFS('Futures Data'!$D$5:$D$3471,'Futures Data'!$A$5:$A$3471,A492,'Futures Data'!$B$5:$B$3471,B492)</f>
        <v>5950</v>
      </c>
      <c r="R492" s="7" t="n">
        <v>45889</v>
      </c>
      <c r="S492" s="9" t="b">
        <f aca="false">C492=R492</f>
        <v>1</v>
      </c>
      <c r="T492" s="9" t="b">
        <f aca="false">ABS(O492-LN(J492/SUMIFS('Futures Data'!$C$5:$C$3471,'Futures Data'!$A$5:$A$3471,A491,'Futures Data'!$B$5:$B$3471,B492)))&lt;0.000000001</f>
        <v>1</v>
      </c>
    </row>
    <row r="493" customFormat="false" ht="15" hidden="false" customHeight="false" outlineLevel="0" collapsed="false">
      <c r="A493" s="7" t="n">
        <v>45854</v>
      </c>
      <c r="B493" s="11" t="n">
        <f aca="false">C492</f>
        <v>45889</v>
      </c>
      <c r="C493" s="11" t="n">
        <f aca="false">IF(OR(H492,D493&lt;=$G$4),_xlfn.MINIFS('Futures Data'!$B$5:$B$3471,'Futures Data'!$A$5:$A$3471,A493,'Futures Data'!$B$5:$B$3471,"&gt;"&amp;B493),B493)</f>
        <v>45889</v>
      </c>
      <c r="D493" s="3" t="n">
        <f aca="false">COUNTIFS($A$47:$A$790,"&gt;"&amp;A493,$A$47:$A$790,"&lt;="&amp;B493)+IF(B493&gt;$G$5,NETWORKDAYS($G$5+1,B493),0)</f>
        <v>24</v>
      </c>
      <c r="E493" s="3" t="n">
        <f aca="false">SUMIFS('Futures Data'!$E$5:$E$3471,'Futures Data'!$A$5:$A$3471,A493,'Futures Data'!$B$5:$B$3471,C493)</f>
        <v>42235</v>
      </c>
      <c r="F493" s="11" t="n">
        <f aca="false">_xlfn.MINIFS('Futures Data'!$B$5:$B$3471,'Futures Data'!$A$5:$A$3471,A493,'Futures Data'!$B$5:$B$3471,"&gt;"&amp;C493)</f>
        <v>45919</v>
      </c>
      <c r="G493" s="3" t="n">
        <f aca="false">SUMIFS('Futures Data'!$E$5:$E$3471,'Futures Data'!$A$5:$A$3471,A493,'Futures Data'!$B$5:$B$3471,F493)</f>
        <v>2790</v>
      </c>
      <c r="H493" s="9" t="b">
        <f aca="false">G493&gt;E493</f>
        <v>0</v>
      </c>
      <c r="I493" s="9" t="b">
        <f aca="false">C493&lt;&gt;B493</f>
        <v>0</v>
      </c>
      <c r="J493" s="3" t="n">
        <f aca="false">SUMIFS('Futures Data'!$C$5:$C$3471,'Futures Data'!$A$5:$A$3471,A493,'Futures Data'!$B$5:$B$3471,B493)</f>
        <v>6770</v>
      </c>
      <c r="K493" s="3" t="n">
        <f aca="false">SUMIFS('Futures Data'!$C$5:$C$3471,'Futures Data'!$A$5:$A$3471,A493,'Futures Data'!$B$5:$B$3471,C493)</f>
        <v>6770</v>
      </c>
      <c r="L493" s="3" t="n">
        <f aca="false">K493-J493</f>
        <v>0</v>
      </c>
      <c r="M493" s="3" t="n">
        <f aca="false">M494+L493</f>
        <v>998</v>
      </c>
      <c r="N493" s="3" t="n">
        <f aca="false">J493+M493</f>
        <v>7768</v>
      </c>
      <c r="O493" s="13" t="n">
        <f aca="false">LN(J493/K492)</f>
        <v>-0.00662497822431228</v>
      </c>
      <c r="P493" s="13" t="n">
        <f aca="false">LN(N493/N492)</f>
        <v>-0.00577628202558351</v>
      </c>
      <c r="Q493" s="3" t="n">
        <f aca="false">SUMIFS('Futures Data'!$D$5:$D$3471,'Futures Data'!$A$5:$A$3471,A493,'Futures Data'!$B$5:$B$3471,B493)</f>
        <v>5100</v>
      </c>
      <c r="R493" s="7" t="n">
        <v>45889</v>
      </c>
      <c r="S493" s="9" t="b">
        <f aca="false">C493=R493</f>
        <v>1</v>
      </c>
      <c r="T493" s="9" t="b">
        <f aca="false">ABS(O493-LN(J493/SUMIFS('Futures Data'!$C$5:$C$3471,'Futures Data'!$A$5:$A$3471,A492,'Futures Data'!$B$5:$B$3471,B493)))&lt;0.000000001</f>
        <v>1</v>
      </c>
    </row>
    <row r="494" customFormat="false" ht="15" hidden="false" customHeight="false" outlineLevel="0" collapsed="false">
      <c r="A494" s="7" t="n">
        <v>45855</v>
      </c>
      <c r="B494" s="11" t="n">
        <f aca="false">C493</f>
        <v>45889</v>
      </c>
      <c r="C494" s="11" t="n">
        <f aca="false">IF(OR(H493,D494&lt;=$G$4),_xlfn.MINIFS('Futures Data'!$B$5:$B$3471,'Futures Data'!$A$5:$A$3471,A494,'Futures Data'!$B$5:$B$3471,"&gt;"&amp;B494),B494)</f>
        <v>45889</v>
      </c>
      <c r="D494" s="3" t="n">
        <f aca="false">COUNTIFS($A$47:$A$790,"&gt;"&amp;A494,$A$47:$A$790,"&lt;="&amp;B494)+IF(B494&gt;$G$5,NETWORKDAYS($G$5+1,B494),0)</f>
        <v>23</v>
      </c>
      <c r="E494" s="3" t="n">
        <f aca="false">SUMIFS('Futures Data'!$E$5:$E$3471,'Futures Data'!$A$5:$A$3471,A494,'Futures Data'!$B$5:$B$3471,C494)</f>
        <v>42245</v>
      </c>
      <c r="F494" s="11" t="n">
        <f aca="false">_xlfn.MINIFS('Futures Data'!$B$5:$B$3471,'Futures Data'!$A$5:$A$3471,A494,'Futures Data'!$B$5:$B$3471,"&gt;"&amp;C494)</f>
        <v>45919</v>
      </c>
      <c r="G494" s="3" t="n">
        <f aca="false">SUMIFS('Futures Data'!$E$5:$E$3471,'Futures Data'!$A$5:$A$3471,A494,'Futures Data'!$B$5:$B$3471,F494)</f>
        <v>3085</v>
      </c>
      <c r="H494" s="9" t="b">
        <f aca="false">G494&gt;E494</f>
        <v>0</v>
      </c>
      <c r="I494" s="9" t="b">
        <f aca="false">C494&lt;&gt;B494</f>
        <v>0</v>
      </c>
      <c r="J494" s="3" t="n">
        <f aca="false">SUMIFS('Futures Data'!$C$5:$C$3471,'Futures Data'!$A$5:$A$3471,A494,'Futures Data'!$B$5:$B$3471,B494)</f>
        <v>6769</v>
      </c>
      <c r="K494" s="3" t="n">
        <f aca="false">SUMIFS('Futures Data'!$C$5:$C$3471,'Futures Data'!$A$5:$A$3471,A494,'Futures Data'!$B$5:$B$3471,C494)</f>
        <v>6769</v>
      </c>
      <c r="L494" s="3" t="n">
        <f aca="false">K494-J494</f>
        <v>0</v>
      </c>
      <c r="M494" s="3" t="n">
        <f aca="false">M495+L494</f>
        <v>998</v>
      </c>
      <c r="N494" s="3" t="n">
        <f aca="false">J494+M494</f>
        <v>7767</v>
      </c>
      <c r="O494" s="13" t="n">
        <f aca="false">LN(J494/K493)</f>
        <v>-0.000147721397713101</v>
      </c>
      <c r="P494" s="13" t="n">
        <f aca="false">LN(N494/N493)</f>
        <v>-0.00012874155151347</v>
      </c>
      <c r="Q494" s="3" t="n">
        <f aca="false">SUMIFS('Futures Data'!$D$5:$D$3471,'Futures Data'!$A$5:$A$3471,A494,'Futures Data'!$B$5:$B$3471,B494)</f>
        <v>2345</v>
      </c>
      <c r="R494" s="7" t="n">
        <v>45889</v>
      </c>
      <c r="S494" s="9" t="b">
        <f aca="false">C494=R494</f>
        <v>1</v>
      </c>
      <c r="T494" s="9" t="b">
        <f aca="false">ABS(O494-LN(J494/SUMIFS('Futures Data'!$C$5:$C$3471,'Futures Data'!$A$5:$A$3471,A493,'Futures Data'!$B$5:$B$3471,B494)))&lt;0.000000001</f>
        <v>1</v>
      </c>
    </row>
    <row r="495" customFormat="false" ht="15" hidden="false" customHeight="false" outlineLevel="0" collapsed="false">
      <c r="A495" s="7" t="n">
        <v>45856</v>
      </c>
      <c r="B495" s="11" t="n">
        <f aca="false">C494</f>
        <v>45889</v>
      </c>
      <c r="C495" s="11" t="n">
        <f aca="false">IF(OR(H494,D495&lt;=$G$4),_xlfn.MINIFS('Futures Data'!$B$5:$B$3471,'Futures Data'!$A$5:$A$3471,A495,'Futures Data'!$B$5:$B$3471,"&gt;"&amp;B495),B495)</f>
        <v>45889</v>
      </c>
      <c r="D495" s="3" t="n">
        <f aca="false">COUNTIFS($A$47:$A$790,"&gt;"&amp;A495,$A$47:$A$790,"&lt;="&amp;B495)+IF(B495&gt;$G$5,NETWORKDAYS($G$5+1,B495),0)</f>
        <v>22</v>
      </c>
      <c r="E495" s="3" t="n">
        <f aca="false">SUMIFS('Futures Data'!$E$5:$E$3471,'Futures Data'!$A$5:$A$3471,A495,'Futures Data'!$B$5:$B$3471,C495)</f>
        <v>40760</v>
      </c>
      <c r="F495" s="11" t="n">
        <f aca="false">_xlfn.MINIFS('Futures Data'!$B$5:$B$3471,'Futures Data'!$A$5:$A$3471,A495,'Futures Data'!$B$5:$B$3471,"&gt;"&amp;C495)</f>
        <v>45919</v>
      </c>
      <c r="G495" s="3" t="n">
        <f aca="false">SUMIFS('Futures Data'!$E$5:$E$3471,'Futures Data'!$A$5:$A$3471,A495,'Futures Data'!$B$5:$B$3471,F495)</f>
        <v>6115</v>
      </c>
      <c r="H495" s="9" t="b">
        <f aca="false">G495&gt;E495</f>
        <v>0</v>
      </c>
      <c r="I495" s="9" t="b">
        <f aca="false">C495&lt;&gt;B495</f>
        <v>0</v>
      </c>
      <c r="J495" s="3" t="n">
        <f aca="false">SUMIFS('Futures Data'!$C$5:$C$3471,'Futures Data'!$A$5:$A$3471,A495,'Futures Data'!$B$5:$B$3471,B495)</f>
        <v>6758</v>
      </c>
      <c r="K495" s="3" t="n">
        <f aca="false">SUMIFS('Futures Data'!$C$5:$C$3471,'Futures Data'!$A$5:$A$3471,A495,'Futures Data'!$B$5:$B$3471,C495)</f>
        <v>6758</v>
      </c>
      <c r="L495" s="3" t="n">
        <f aca="false">K495-J495</f>
        <v>0</v>
      </c>
      <c r="M495" s="3" t="n">
        <f aca="false">M496+L495</f>
        <v>998</v>
      </c>
      <c r="N495" s="3" t="n">
        <f aca="false">J495+M495</f>
        <v>7756</v>
      </c>
      <c r="O495" s="13" t="n">
        <f aca="false">LN(J495/K494)</f>
        <v>-0.00162637723437236</v>
      </c>
      <c r="P495" s="13" t="n">
        <f aca="false">LN(N495/N494)</f>
        <v>-0.00141725205710486</v>
      </c>
      <c r="Q495" s="3" t="n">
        <f aca="false">SUMIFS('Futures Data'!$D$5:$D$3471,'Futures Data'!$A$5:$A$3471,A495,'Futures Data'!$B$5:$B$3471,B495)</f>
        <v>8450</v>
      </c>
      <c r="R495" s="7" t="n">
        <v>45889</v>
      </c>
      <c r="S495" s="9" t="b">
        <f aca="false">C495=R495</f>
        <v>1</v>
      </c>
      <c r="T495" s="9" t="b">
        <f aca="false">ABS(O495-LN(J495/SUMIFS('Futures Data'!$C$5:$C$3471,'Futures Data'!$A$5:$A$3471,A494,'Futures Data'!$B$5:$B$3471,B495)))&lt;0.000000001</f>
        <v>1</v>
      </c>
    </row>
    <row r="496" customFormat="false" ht="15" hidden="false" customHeight="false" outlineLevel="0" collapsed="false">
      <c r="A496" s="7" t="n">
        <v>45859</v>
      </c>
      <c r="B496" s="11" t="n">
        <f aca="false">C495</f>
        <v>45889</v>
      </c>
      <c r="C496" s="11" t="n">
        <f aca="false">IF(OR(H495,D496&lt;=$G$4),_xlfn.MINIFS('Futures Data'!$B$5:$B$3471,'Futures Data'!$A$5:$A$3471,A496,'Futures Data'!$B$5:$B$3471,"&gt;"&amp;B496),B496)</f>
        <v>45889</v>
      </c>
      <c r="D496" s="3" t="n">
        <f aca="false">COUNTIFS($A$47:$A$790,"&gt;"&amp;A496,$A$47:$A$790,"&lt;="&amp;B496)+IF(B496&gt;$G$5,NETWORKDAYS($G$5+1,B496),0)</f>
        <v>21</v>
      </c>
      <c r="E496" s="3" t="n">
        <f aca="false">SUMIFS('Futures Data'!$E$5:$E$3471,'Futures Data'!$A$5:$A$3471,A496,'Futures Data'!$B$5:$B$3471,C496)</f>
        <v>37920</v>
      </c>
      <c r="F496" s="11" t="n">
        <f aca="false">_xlfn.MINIFS('Futures Data'!$B$5:$B$3471,'Futures Data'!$A$5:$A$3471,A496,'Futures Data'!$B$5:$B$3471,"&gt;"&amp;C496)</f>
        <v>45919</v>
      </c>
      <c r="G496" s="3" t="n">
        <f aca="false">SUMIFS('Futures Data'!$E$5:$E$3471,'Futures Data'!$A$5:$A$3471,A496,'Futures Data'!$B$5:$B$3471,F496)</f>
        <v>8630</v>
      </c>
      <c r="H496" s="9" t="b">
        <f aca="false">G496&gt;E496</f>
        <v>0</v>
      </c>
      <c r="I496" s="9" t="b">
        <f aca="false">C496&lt;&gt;B496</f>
        <v>0</v>
      </c>
      <c r="J496" s="3" t="n">
        <f aca="false">SUMIFS('Futures Data'!$C$5:$C$3471,'Futures Data'!$A$5:$A$3471,A496,'Futures Data'!$B$5:$B$3471,B496)</f>
        <v>6682</v>
      </c>
      <c r="K496" s="3" t="n">
        <f aca="false">SUMIFS('Futures Data'!$C$5:$C$3471,'Futures Data'!$A$5:$A$3471,A496,'Futures Data'!$B$5:$B$3471,C496)</f>
        <v>6682</v>
      </c>
      <c r="L496" s="3" t="n">
        <f aca="false">K496-J496</f>
        <v>0</v>
      </c>
      <c r="M496" s="3" t="n">
        <f aca="false">M497+L496</f>
        <v>998</v>
      </c>
      <c r="N496" s="3" t="n">
        <f aca="false">J496+M496</f>
        <v>7680</v>
      </c>
      <c r="O496" s="13" t="n">
        <f aca="false">LN(J496/K495)</f>
        <v>-0.0113096443575334</v>
      </c>
      <c r="P496" s="13" t="n">
        <f aca="false">LN(N496/N495)</f>
        <v>-0.00984719022082454</v>
      </c>
      <c r="Q496" s="3" t="n">
        <f aca="false">SUMIFS('Futures Data'!$D$5:$D$3471,'Futures Data'!$A$5:$A$3471,A496,'Futures Data'!$B$5:$B$3471,B496)</f>
        <v>7210</v>
      </c>
      <c r="R496" s="7" t="n">
        <v>45889</v>
      </c>
      <c r="S496" s="9" t="b">
        <f aca="false">C496=R496</f>
        <v>1</v>
      </c>
      <c r="T496" s="9" t="b">
        <f aca="false">ABS(O496-LN(J496/SUMIFS('Futures Data'!$C$5:$C$3471,'Futures Data'!$A$5:$A$3471,A495,'Futures Data'!$B$5:$B$3471,B496)))&lt;0.000000001</f>
        <v>1</v>
      </c>
    </row>
    <row r="497" customFormat="false" ht="15" hidden="false" customHeight="false" outlineLevel="0" collapsed="false">
      <c r="A497" s="7" t="n">
        <v>45860</v>
      </c>
      <c r="B497" s="11" t="n">
        <f aca="false">C496</f>
        <v>45889</v>
      </c>
      <c r="C497" s="11" t="n">
        <f aca="false">IF(OR(H496,D497&lt;=$G$4),_xlfn.MINIFS('Futures Data'!$B$5:$B$3471,'Futures Data'!$A$5:$A$3471,A497,'Futures Data'!$B$5:$B$3471,"&gt;"&amp;B497),B497)</f>
        <v>45889</v>
      </c>
      <c r="D497" s="3" t="n">
        <f aca="false">COUNTIFS($A$47:$A$790,"&gt;"&amp;A497,$A$47:$A$790,"&lt;="&amp;B497)+IF(B497&gt;$G$5,NETWORKDAYS($G$5+1,B497),0)</f>
        <v>20</v>
      </c>
      <c r="E497" s="3" t="n">
        <f aca="false">SUMIFS('Futures Data'!$E$5:$E$3471,'Futures Data'!$A$5:$A$3471,A497,'Futures Data'!$B$5:$B$3471,C497)</f>
        <v>37705</v>
      </c>
      <c r="F497" s="11" t="n">
        <f aca="false">_xlfn.MINIFS('Futures Data'!$B$5:$B$3471,'Futures Data'!$A$5:$A$3471,A497,'Futures Data'!$B$5:$B$3471,"&gt;"&amp;C497)</f>
        <v>45919</v>
      </c>
      <c r="G497" s="3" t="n">
        <f aca="false">SUMIFS('Futures Data'!$E$5:$E$3471,'Futures Data'!$A$5:$A$3471,A497,'Futures Data'!$B$5:$B$3471,F497)</f>
        <v>9170</v>
      </c>
      <c r="H497" s="9" t="b">
        <f aca="false">G497&gt;E497</f>
        <v>0</v>
      </c>
      <c r="I497" s="9" t="b">
        <f aca="false">C497&lt;&gt;B497</f>
        <v>0</v>
      </c>
      <c r="J497" s="3" t="n">
        <f aca="false">SUMIFS('Futures Data'!$C$5:$C$3471,'Futures Data'!$A$5:$A$3471,A497,'Futures Data'!$B$5:$B$3471,B497)</f>
        <v>6698</v>
      </c>
      <c r="K497" s="3" t="n">
        <f aca="false">SUMIFS('Futures Data'!$C$5:$C$3471,'Futures Data'!$A$5:$A$3471,A497,'Futures Data'!$B$5:$B$3471,C497)</f>
        <v>6698</v>
      </c>
      <c r="L497" s="3" t="n">
        <f aca="false">K497-J497</f>
        <v>0</v>
      </c>
      <c r="M497" s="3" t="n">
        <f aca="false">M498+L497</f>
        <v>998</v>
      </c>
      <c r="N497" s="3" t="n">
        <f aca="false">J497+M497</f>
        <v>7696</v>
      </c>
      <c r="O497" s="13" t="n">
        <f aca="false">LN(J497/K496)</f>
        <v>0.00239163043744804</v>
      </c>
      <c r="P497" s="13" t="n">
        <f aca="false">LN(N497/N496)</f>
        <v>0.00208116620382467</v>
      </c>
      <c r="Q497" s="3" t="n">
        <f aca="false">SUMIFS('Futures Data'!$D$5:$D$3471,'Futures Data'!$A$5:$A$3471,A497,'Futures Data'!$B$5:$B$3471,B497)</f>
        <v>3255</v>
      </c>
      <c r="R497" s="7" t="n">
        <v>45889</v>
      </c>
      <c r="S497" s="9" t="b">
        <f aca="false">C497=R497</f>
        <v>1</v>
      </c>
      <c r="T497" s="9" t="b">
        <f aca="false">ABS(O497-LN(J497/SUMIFS('Futures Data'!$C$5:$C$3471,'Futures Data'!$A$5:$A$3471,A496,'Futures Data'!$B$5:$B$3471,B497)))&lt;0.000000001</f>
        <v>1</v>
      </c>
    </row>
    <row r="498" customFormat="false" ht="15" hidden="false" customHeight="false" outlineLevel="0" collapsed="false">
      <c r="A498" s="7" t="n">
        <v>45861</v>
      </c>
      <c r="B498" s="11" t="n">
        <f aca="false">C497</f>
        <v>45889</v>
      </c>
      <c r="C498" s="11" t="n">
        <f aca="false">IF(OR(H497,D498&lt;=$G$4),_xlfn.MINIFS('Futures Data'!$B$5:$B$3471,'Futures Data'!$A$5:$A$3471,A498,'Futures Data'!$B$5:$B$3471,"&gt;"&amp;B498),B498)</f>
        <v>45889</v>
      </c>
      <c r="D498" s="3" t="n">
        <f aca="false">COUNTIFS($A$47:$A$790,"&gt;"&amp;A498,$A$47:$A$790,"&lt;="&amp;B498)+IF(B498&gt;$G$5,NETWORKDAYS($G$5+1,B498),0)</f>
        <v>19</v>
      </c>
      <c r="E498" s="3" t="n">
        <f aca="false">SUMIFS('Futures Data'!$E$5:$E$3471,'Futures Data'!$A$5:$A$3471,A498,'Futures Data'!$B$5:$B$3471,C498)</f>
        <v>36750</v>
      </c>
      <c r="F498" s="11" t="n">
        <f aca="false">_xlfn.MINIFS('Futures Data'!$B$5:$B$3471,'Futures Data'!$A$5:$A$3471,A498,'Futures Data'!$B$5:$B$3471,"&gt;"&amp;C498)</f>
        <v>45919</v>
      </c>
      <c r="G498" s="3" t="n">
        <f aca="false">SUMIFS('Futures Data'!$E$5:$E$3471,'Futures Data'!$A$5:$A$3471,A498,'Futures Data'!$B$5:$B$3471,F498)</f>
        <v>10700</v>
      </c>
      <c r="H498" s="9" t="b">
        <f aca="false">G498&gt;E498</f>
        <v>0</v>
      </c>
      <c r="I498" s="9" t="b">
        <f aca="false">C498&lt;&gt;B498</f>
        <v>0</v>
      </c>
      <c r="J498" s="3" t="n">
        <f aca="false">SUMIFS('Futures Data'!$C$5:$C$3471,'Futures Data'!$A$5:$A$3471,A498,'Futures Data'!$B$5:$B$3471,B498)</f>
        <v>6686</v>
      </c>
      <c r="K498" s="3" t="n">
        <f aca="false">SUMIFS('Futures Data'!$C$5:$C$3471,'Futures Data'!$A$5:$A$3471,A498,'Futures Data'!$B$5:$B$3471,C498)</f>
        <v>6686</v>
      </c>
      <c r="L498" s="3" t="n">
        <f aca="false">K498-J498</f>
        <v>0</v>
      </c>
      <c r="M498" s="3" t="n">
        <f aca="false">M499+L498</f>
        <v>998</v>
      </c>
      <c r="N498" s="3" t="n">
        <f aca="false">J498+M498</f>
        <v>7684</v>
      </c>
      <c r="O498" s="13" t="n">
        <f aca="false">LN(J498/K497)</f>
        <v>-0.001793186374106</v>
      </c>
      <c r="P498" s="13" t="n">
        <f aca="false">LN(N498/N497)</f>
        <v>-0.00156046845709511</v>
      </c>
      <c r="Q498" s="3" t="n">
        <f aca="false">SUMIFS('Futures Data'!$D$5:$D$3471,'Futures Data'!$A$5:$A$3471,A498,'Futures Data'!$B$5:$B$3471,B498)</f>
        <v>4775</v>
      </c>
      <c r="R498" s="7" t="n">
        <v>45889</v>
      </c>
      <c r="S498" s="9" t="b">
        <f aca="false">C498=R498</f>
        <v>1</v>
      </c>
      <c r="T498" s="9" t="b">
        <f aca="false">ABS(O498-LN(J498/SUMIFS('Futures Data'!$C$5:$C$3471,'Futures Data'!$A$5:$A$3471,A497,'Futures Data'!$B$5:$B$3471,B498)))&lt;0.000000001</f>
        <v>1</v>
      </c>
    </row>
    <row r="499" customFormat="false" ht="15" hidden="false" customHeight="false" outlineLevel="0" collapsed="false">
      <c r="A499" s="7" t="n">
        <v>45862</v>
      </c>
      <c r="B499" s="11" t="n">
        <f aca="false">C498</f>
        <v>45889</v>
      </c>
      <c r="C499" s="11" t="n">
        <f aca="false">IF(OR(H498,D499&lt;=$G$4),_xlfn.MINIFS('Futures Data'!$B$5:$B$3471,'Futures Data'!$A$5:$A$3471,A499,'Futures Data'!$B$5:$B$3471,"&gt;"&amp;B499),B499)</f>
        <v>45889</v>
      </c>
      <c r="D499" s="3" t="n">
        <f aca="false">COUNTIFS($A$47:$A$790,"&gt;"&amp;A499,$A$47:$A$790,"&lt;="&amp;B499)+IF(B499&gt;$G$5,NETWORKDAYS($G$5+1,B499),0)</f>
        <v>18</v>
      </c>
      <c r="E499" s="3" t="n">
        <f aca="false">SUMIFS('Futures Data'!$E$5:$E$3471,'Futures Data'!$A$5:$A$3471,A499,'Futures Data'!$B$5:$B$3471,C499)</f>
        <v>35675</v>
      </c>
      <c r="F499" s="11" t="n">
        <f aca="false">_xlfn.MINIFS('Futures Data'!$B$5:$B$3471,'Futures Data'!$A$5:$A$3471,A499,'Futures Data'!$B$5:$B$3471,"&gt;"&amp;C499)</f>
        <v>45919</v>
      </c>
      <c r="G499" s="3" t="n">
        <f aca="false">SUMIFS('Futures Data'!$E$5:$E$3471,'Futures Data'!$A$5:$A$3471,A499,'Futures Data'!$B$5:$B$3471,F499)</f>
        <v>11355</v>
      </c>
      <c r="H499" s="9" t="b">
        <f aca="false">G499&gt;E499</f>
        <v>0</v>
      </c>
      <c r="I499" s="9" t="b">
        <f aca="false">C499&lt;&gt;B499</f>
        <v>0</v>
      </c>
      <c r="J499" s="3" t="n">
        <f aca="false">SUMIFS('Futures Data'!$C$5:$C$3471,'Futures Data'!$A$5:$A$3471,A499,'Futures Data'!$B$5:$B$3471,B499)</f>
        <v>6728</v>
      </c>
      <c r="K499" s="3" t="n">
        <f aca="false">SUMIFS('Futures Data'!$C$5:$C$3471,'Futures Data'!$A$5:$A$3471,A499,'Futures Data'!$B$5:$B$3471,C499)</f>
        <v>6728</v>
      </c>
      <c r="L499" s="3" t="n">
        <f aca="false">K499-J499</f>
        <v>0</v>
      </c>
      <c r="M499" s="3" t="n">
        <f aca="false">M500+L499</f>
        <v>998</v>
      </c>
      <c r="N499" s="3" t="n">
        <f aca="false">J499+M499</f>
        <v>7726</v>
      </c>
      <c r="O499" s="13" t="n">
        <f aca="false">LN(J499/K498)</f>
        <v>0.0062621346727401</v>
      </c>
      <c r="P499" s="13" t="n">
        <f aca="false">LN(N499/N498)</f>
        <v>0.00545101933777927</v>
      </c>
      <c r="Q499" s="3" t="n">
        <f aca="false">SUMIFS('Futures Data'!$D$5:$D$3471,'Futures Data'!$A$5:$A$3471,A499,'Futures Data'!$B$5:$B$3471,B499)</f>
        <v>3725</v>
      </c>
      <c r="R499" s="7" t="n">
        <v>45889</v>
      </c>
      <c r="S499" s="9" t="b">
        <f aca="false">C499=R499</f>
        <v>1</v>
      </c>
      <c r="T499" s="9" t="b">
        <f aca="false">ABS(O499-LN(J499/SUMIFS('Futures Data'!$C$5:$C$3471,'Futures Data'!$A$5:$A$3471,A498,'Futures Data'!$B$5:$B$3471,B499)))&lt;0.000000001</f>
        <v>1</v>
      </c>
    </row>
    <row r="500" customFormat="false" ht="15" hidden="false" customHeight="false" outlineLevel="0" collapsed="false">
      <c r="A500" s="7" t="n">
        <v>45863</v>
      </c>
      <c r="B500" s="11" t="n">
        <f aca="false">C499</f>
        <v>45889</v>
      </c>
      <c r="C500" s="11" t="n">
        <f aca="false">IF(OR(H499,D500&lt;=$G$4),_xlfn.MINIFS('Futures Data'!$B$5:$B$3471,'Futures Data'!$A$5:$A$3471,A500,'Futures Data'!$B$5:$B$3471,"&gt;"&amp;B500),B500)</f>
        <v>45889</v>
      </c>
      <c r="D500" s="3" t="n">
        <f aca="false">COUNTIFS($A$47:$A$790,"&gt;"&amp;A500,$A$47:$A$790,"&lt;="&amp;B500)+IF(B500&gt;$G$5,NETWORKDAYS($G$5+1,B500),0)</f>
        <v>17</v>
      </c>
      <c r="E500" s="3" t="n">
        <f aca="false">SUMIFS('Futures Data'!$E$5:$E$3471,'Futures Data'!$A$5:$A$3471,A500,'Futures Data'!$B$5:$B$3471,C500)</f>
        <v>34740</v>
      </c>
      <c r="F500" s="11" t="n">
        <f aca="false">_xlfn.MINIFS('Futures Data'!$B$5:$B$3471,'Futures Data'!$A$5:$A$3471,A500,'Futures Data'!$B$5:$B$3471,"&gt;"&amp;C500)</f>
        <v>45919</v>
      </c>
      <c r="G500" s="3" t="n">
        <f aca="false">SUMIFS('Futures Data'!$E$5:$E$3471,'Futures Data'!$A$5:$A$3471,A500,'Futures Data'!$B$5:$B$3471,F500)</f>
        <v>11865</v>
      </c>
      <c r="H500" s="9" t="b">
        <f aca="false">G500&gt;E500</f>
        <v>0</v>
      </c>
      <c r="I500" s="9" t="b">
        <f aca="false">C500&lt;&gt;B500</f>
        <v>0</v>
      </c>
      <c r="J500" s="3" t="n">
        <f aca="false">SUMIFS('Futures Data'!$C$5:$C$3471,'Futures Data'!$A$5:$A$3471,A500,'Futures Data'!$B$5:$B$3471,B500)</f>
        <v>6709</v>
      </c>
      <c r="K500" s="3" t="n">
        <f aca="false">SUMIFS('Futures Data'!$C$5:$C$3471,'Futures Data'!$A$5:$A$3471,A500,'Futures Data'!$B$5:$B$3471,C500)</f>
        <v>6709</v>
      </c>
      <c r="L500" s="3" t="n">
        <f aca="false">K500-J500</f>
        <v>0</v>
      </c>
      <c r="M500" s="3" t="n">
        <f aca="false">M501+L500</f>
        <v>998</v>
      </c>
      <c r="N500" s="3" t="n">
        <f aca="false">J500+M500</f>
        <v>7707</v>
      </c>
      <c r="O500" s="13" t="n">
        <f aca="false">LN(J500/K499)</f>
        <v>-0.00282801408989597</v>
      </c>
      <c r="P500" s="13" t="n">
        <f aca="false">LN(N500/N499)</f>
        <v>-0.00246225744823335</v>
      </c>
      <c r="Q500" s="3" t="n">
        <f aca="false">SUMIFS('Futures Data'!$D$5:$D$3471,'Futures Data'!$A$5:$A$3471,A500,'Futures Data'!$B$5:$B$3471,B500)</f>
        <v>3040</v>
      </c>
      <c r="R500" s="7" t="n">
        <v>45889</v>
      </c>
      <c r="S500" s="9" t="b">
        <f aca="false">C500=R500</f>
        <v>1</v>
      </c>
      <c r="T500" s="9" t="b">
        <f aca="false">ABS(O500-LN(J500/SUMIFS('Futures Data'!$C$5:$C$3471,'Futures Data'!$A$5:$A$3471,A499,'Futures Data'!$B$5:$B$3471,B500)))&lt;0.000000001</f>
        <v>1</v>
      </c>
    </row>
    <row r="501" customFormat="false" ht="15" hidden="false" customHeight="false" outlineLevel="0" collapsed="false">
      <c r="A501" s="7" t="n">
        <v>45866</v>
      </c>
      <c r="B501" s="11" t="n">
        <f aca="false">C500</f>
        <v>45889</v>
      </c>
      <c r="C501" s="11" t="n">
        <f aca="false">IF(OR(H500,D501&lt;=$G$4),_xlfn.MINIFS('Futures Data'!$B$5:$B$3471,'Futures Data'!$A$5:$A$3471,A501,'Futures Data'!$B$5:$B$3471,"&gt;"&amp;B501),B501)</f>
        <v>45889</v>
      </c>
      <c r="D501" s="3" t="n">
        <f aca="false">COUNTIFS($A$47:$A$790,"&gt;"&amp;A501,$A$47:$A$790,"&lt;="&amp;B501)+IF(B501&gt;$G$5,NETWORKDAYS($G$5+1,B501),0)</f>
        <v>16</v>
      </c>
      <c r="E501" s="3" t="n">
        <f aca="false">SUMIFS('Futures Data'!$E$5:$E$3471,'Futures Data'!$A$5:$A$3471,A501,'Futures Data'!$B$5:$B$3471,C501)</f>
        <v>32710</v>
      </c>
      <c r="F501" s="11" t="n">
        <f aca="false">_xlfn.MINIFS('Futures Data'!$B$5:$B$3471,'Futures Data'!$A$5:$A$3471,A501,'Futures Data'!$B$5:$B$3471,"&gt;"&amp;C501)</f>
        <v>45919</v>
      </c>
      <c r="G501" s="3" t="n">
        <f aca="false">SUMIFS('Futures Data'!$E$5:$E$3471,'Futures Data'!$A$5:$A$3471,A501,'Futures Data'!$B$5:$B$3471,F501)</f>
        <v>13375</v>
      </c>
      <c r="H501" s="9" t="b">
        <f aca="false">G501&gt;E501</f>
        <v>0</v>
      </c>
      <c r="I501" s="9" t="b">
        <f aca="false">C501&lt;&gt;B501</f>
        <v>0</v>
      </c>
      <c r="J501" s="3" t="n">
        <f aca="false">SUMIFS('Futures Data'!$C$5:$C$3471,'Futures Data'!$A$5:$A$3471,A501,'Futures Data'!$B$5:$B$3471,B501)</f>
        <v>6626</v>
      </c>
      <c r="K501" s="3" t="n">
        <f aca="false">SUMIFS('Futures Data'!$C$5:$C$3471,'Futures Data'!$A$5:$A$3471,A501,'Futures Data'!$B$5:$B$3471,C501)</f>
        <v>6626</v>
      </c>
      <c r="L501" s="3" t="n">
        <f aca="false">K501-J501</f>
        <v>0</v>
      </c>
      <c r="M501" s="3" t="n">
        <f aca="false">M502+L501</f>
        <v>998</v>
      </c>
      <c r="N501" s="3" t="n">
        <f aca="false">J501+M501</f>
        <v>7624</v>
      </c>
      <c r="O501" s="13" t="n">
        <f aca="false">LN(J501/K500)</f>
        <v>-0.0124486047030469</v>
      </c>
      <c r="P501" s="13" t="n">
        <f aca="false">LN(N501/N500)</f>
        <v>-0.0108278404439552</v>
      </c>
      <c r="Q501" s="3" t="n">
        <f aca="false">SUMIFS('Futures Data'!$D$5:$D$3471,'Futures Data'!$A$5:$A$3471,A501,'Futures Data'!$B$5:$B$3471,B501)</f>
        <v>6390</v>
      </c>
      <c r="R501" s="7" t="n">
        <v>45889</v>
      </c>
      <c r="S501" s="9" t="b">
        <f aca="false">C501=R501</f>
        <v>1</v>
      </c>
      <c r="T501" s="9" t="b">
        <f aca="false">ABS(O501-LN(J501/SUMIFS('Futures Data'!$C$5:$C$3471,'Futures Data'!$A$5:$A$3471,A500,'Futures Data'!$B$5:$B$3471,B501)))&lt;0.000000001</f>
        <v>1</v>
      </c>
    </row>
    <row r="502" customFormat="false" ht="15" hidden="false" customHeight="false" outlineLevel="0" collapsed="false">
      <c r="A502" s="7" t="n">
        <v>45867</v>
      </c>
      <c r="B502" s="11" t="n">
        <f aca="false">C501</f>
        <v>45889</v>
      </c>
      <c r="C502" s="11" t="n">
        <f aca="false">IF(OR(H501,D502&lt;=$G$4),_xlfn.MINIFS('Futures Data'!$B$5:$B$3471,'Futures Data'!$A$5:$A$3471,A502,'Futures Data'!$B$5:$B$3471,"&gt;"&amp;B502),B502)</f>
        <v>45889</v>
      </c>
      <c r="D502" s="3" t="n">
        <f aca="false">COUNTIFS($A$47:$A$790,"&gt;"&amp;A502,$A$47:$A$790,"&lt;="&amp;B502)+IF(B502&gt;$G$5,NETWORKDAYS($G$5+1,B502),0)</f>
        <v>15</v>
      </c>
      <c r="E502" s="3" t="n">
        <f aca="false">SUMIFS('Futures Data'!$E$5:$E$3471,'Futures Data'!$A$5:$A$3471,A502,'Futures Data'!$B$5:$B$3471,C502)</f>
        <v>30775</v>
      </c>
      <c r="F502" s="11" t="n">
        <f aca="false">_xlfn.MINIFS('Futures Data'!$B$5:$B$3471,'Futures Data'!$A$5:$A$3471,A502,'Futures Data'!$B$5:$B$3471,"&gt;"&amp;C502)</f>
        <v>45919</v>
      </c>
      <c r="G502" s="3" t="n">
        <f aca="false">SUMIFS('Futures Data'!$E$5:$E$3471,'Futures Data'!$A$5:$A$3471,A502,'Futures Data'!$B$5:$B$3471,F502)</f>
        <v>14455</v>
      </c>
      <c r="H502" s="9" t="b">
        <f aca="false">G502&gt;E502</f>
        <v>0</v>
      </c>
      <c r="I502" s="9" t="b">
        <f aca="false">C502&lt;&gt;B502</f>
        <v>0</v>
      </c>
      <c r="J502" s="3" t="n">
        <f aca="false">SUMIFS('Futures Data'!$C$5:$C$3471,'Futures Data'!$A$5:$A$3471,A502,'Futures Data'!$B$5:$B$3471,B502)</f>
        <v>6602</v>
      </c>
      <c r="K502" s="3" t="n">
        <f aca="false">SUMIFS('Futures Data'!$C$5:$C$3471,'Futures Data'!$A$5:$A$3471,A502,'Futures Data'!$B$5:$B$3471,C502)</f>
        <v>6602</v>
      </c>
      <c r="L502" s="3" t="n">
        <f aca="false">K502-J502</f>
        <v>0</v>
      </c>
      <c r="M502" s="3" t="n">
        <f aca="false">M503+L502</f>
        <v>998</v>
      </c>
      <c r="N502" s="3" t="n">
        <f aca="false">J502+M502</f>
        <v>7600</v>
      </c>
      <c r="O502" s="13" t="n">
        <f aca="false">LN(J502/K501)</f>
        <v>-0.00362867044670283</v>
      </c>
      <c r="P502" s="13" t="n">
        <f aca="false">LN(N502/N501)</f>
        <v>-0.00315291905961564</v>
      </c>
      <c r="Q502" s="3" t="n">
        <f aca="false">SUMIFS('Futures Data'!$D$5:$D$3471,'Futures Data'!$A$5:$A$3471,A502,'Futures Data'!$B$5:$B$3471,B502)</f>
        <v>4905</v>
      </c>
      <c r="R502" s="7" t="n">
        <v>45889</v>
      </c>
      <c r="S502" s="9" t="b">
        <f aca="false">C502=R502</f>
        <v>1</v>
      </c>
      <c r="T502" s="9" t="b">
        <f aca="false">ABS(O502-LN(J502/SUMIFS('Futures Data'!$C$5:$C$3471,'Futures Data'!$A$5:$A$3471,A501,'Futures Data'!$B$5:$B$3471,B502)))&lt;0.000000001</f>
        <v>1</v>
      </c>
    </row>
    <row r="503" customFormat="false" ht="15" hidden="false" customHeight="false" outlineLevel="0" collapsed="false">
      <c r="A503" s="7" t="n">
        <v>45868</v>
      </c>
      <c r="B503" s="11" t="n">
        <f aca="false">C502</f>
        <v>45889</v>
      </c>
      <c r="C503" s="11" t="n">
        <f aca="false">IF(OR(H502,D503&lt;=$G$4),_xlfn.MINIFS('Futures Data'!$B$5:$B$3471,'Futures Data'!$A$5:$A$3471,A503,'Futures Data'!$B$5:$B$3471,"&gt;"&amp;B503),B503)</f>
        <v>45889</v>
      </c>
      <c r="D503" s="3" t="n">
        <f aca="false">COUNTIFS($A$47:$A$790,"&gt;"&amp;A503,$A$47:$A$790,"&lt;="&amp;B503)+IF(B503&gt;$G$5,NETWORKDAYS($G$5+1,B503),0)</f>
        <v>14</v>
      </c>
      <c r="E503" s="3" t="n">
        <f aca="false">SUMIFS('Futures Data'!$E$5:$E$3471,'Futures Data'!$A$5:$A$3471,A503,'Futures Data'!$B$5:$B$3471,C503)</f>
        <v>29120</v>
      </c>
      <c r="F503" s="11" t="n">
        <f aca="false">_xlfn.MINIFS('Futures Data'!$B$5:$B$3471,'Futures Data'!$A$5:$A$3471,A503,'Futures Data'!$B$5:$B$3471,"&gt;"&amp;C503)</f>
        <v>45919</v>
      </c>
      <c r="G503" s="3" t="n">
        <f aca="false">SUMIFS('Futures Data'!$E$5:$E$3471,'Futures Data'!$A$5:$A$3471,A503,'Futures Data'!$B$5:$B$3471,F503)</f>
        <v>15920</v>
      </c>
      <c r="H503" s="9" t="b">
        <f aca="false">G503&gt;E503</f>
        <v>0</v>
      </c>
      <c r="I503" s="9" t="b">
        <f aca="false">C503&lt;&gt;B503</f>
        <v>0</v>
      </c>
      <c r="J503" s="3" t="n">
        <f aca="false">SUMIFS('Futures Data'!$C$5:$C$3471,'Futures Data'!$A$5:$A$3471,A503,'Futures Data'!$B$5:$B$3471,B503)</f>
        <v>6604</v>
      </c>
      <c r="K503" s="3" t="n">
        <f aca="false">SUMIFS('Futures Data'!$C$5:$C$3471,'Futures Data'!$A$5:$A$3471,A503,'Futures Data'!$B$5:$B$3471,C503)</f>
        <v>6604</v>
      </c>
      <c r="L503" s="3" t="n">
        <f aca="false">K503-J503</f>
        <v>0</v>
      </c>
      <c r="M503" s="3" t="n">
        <f aca="false">M504+L503</f>
        <v>998</v>
      </c>
      <c r="N503" s="3" t="n">
        <f aca="false">J503+M503</f>
        <v>7602</v>
      </c>
      <c r="O503" s="13" t="n">
        <f aca="false">LN(J503/K502)</f>
        <v>0.000302892626880353</v>
      </c>
      <c r="P503" s="13" t="n">
        <f aca="false">LN(N503/N502)</f>
        <v>0.000263123274771507</v>
      </c>
      <c r="Q503" s="3" t="n">
        <f aca="false">SUMIFS('Futures Data'!$D$5:$D$3471,'Futures Data'!$A$5:$A$3471,A503,'Futures Data'!$B$5:$B$3471,B503)</f>
        <v>4485</v>
      </c>
      <c r="R503" s="7" t="n">
        <v>45889</v>
      </c>
      <c r="S503" s="9" t="b">
        <f aca="false">C503=R503</f>
        <v>1</v>
      </c>
      <c r="T503" s="9" t="b">
        <f aca="false">ABS(O503-LN(J503/SUMIFS('Futures Data'!$C$5:$C$3471,'Futures Data'!$A$5:$A$3471,A502,'Futures Data'!$B$5:$B$3471,B503)))&lt;0.000000001</f>
        <v>1</v>
      </c>
    </row>
    <row r="504" customFormat="false" ht="15" hidden="false" customHeight="false" outlineLevel="0" collapsed="false">
      <c r="A504" s="7" t="n">
        <v>45869</v>
      </c>
      <c r="B504" s="11" t="n">
        <f aca="false">C503</f>
        <v>45889</v>
      </c>
      <c r="C504" s="11" t="n">
        <f aca="false">IF(OR(H503,D504&lt;=$G$4),_xlfn.MINIFS('Futures Data'!$B$5:$B$3471,'Futures Data'!$A$5:$A$3471,A504,'Futures Data'!$B$5:$B$3471,"&gt;"&amp;B504),B504)</f>
        <v>45889</v>
      </c>
      <c r="D504" s="3" t="n">
        <f aca="false">COUNTIFS($A$47:$A$790,"&gt;"&amp;A504,$A$47:$A$790,"&lt;="&amp;B504)+IF(B504&gt;$G$5,NETWORKDAYS($G$5+1,B504),0)</f>
        <v>13</v>
      </c>
      <c r="E504" s="3" t="n">
        <f aca="false">SUMIFS('Futures Data'!$E$5:$E$3471,'Futures Data'!$A$5:$A$3471,A504,'Futures Data'!$B$5:$B$3471,C504)</f>
        <v>27670</v>
      </c>
      <c r="F504" s="11" t="n">
        <f aca="false">_xlfn.MINIFS('Futures Data'!$B$5:$B$3471,'Futures Data'!$A$5:$A$3471,A504,'Futures Data'!$B$5:$B$3471,"&gt;"&amp;C504)</f>
        <v>45919</v>
      </c>
      <c r="G504" s="3" t="n">
        <f aca="false">SUMIFS('Futures Data'!$E$5:$E$3471,'Futures Data'!$A$5:$A$3471,A504,'Futures Data'!$B$5:$B$3471,F504)</f>
        <v>16830</v>
      </c>
      <c r="H504" s="9" t="b">
        <f aca="false">G504&gt;E504</f>
        <v>0</v>
      </c>
      <c r="I504" s="9" t="b">
        <f aca="false">C504&lt;&gt;B504</f>
        <v>0</v>
      </c>
      <c r="J504" s="3" t="n">
        <f aca="false">SUMIFS('Futures Data'!$C$5:$C$3471,'Futures Data'!$A$5:$A$3471,A504,'Futures Data'!$B$5:$B$3471,B504)</f>
        <v>6641</v>
      </c>
      <c r="K504" s="3" t="n">
        <f aca="false">SUMIFS('Futures Data'!$C$5:$C$3471,'Futures Data'!$A$5:$A$3471,A504,'Futures Data'!$B$5:$B$3471,C504)</f>
        <v>6641</v>
      </c>
      <c r="L504" s="3" t="n">
        <f aca="false">K504-J504</f>
        <v>0</v>
      </c>
      <c r="M504" s="3" t="n">
        <f aca="false">M505+L504</f>
        <v>998</v>
      </c>
      <c r="N504" s="3" t="n">
        <f aca="false">J504+M504</f>
        <v>7639</v>
      </c>
      <c r="O504" s="13" t="n">
        <f aca="false">LN(J504/K503)</f>
        <v>0.00558702850069509</v>
      </c>
      <c r="P504" s="13" t="n">
        <f aca="false">LN(N504/N503)</f>
        <v>0.00485533399216574</v>
      </c>
      <c r="Q504" s="3" t="n">
        <f aca="false">SUMIFS('Futures Data'!$D$5:$D$3471,'Futures Data'!$A$5:$A$3471,A504,'Futures Data'!$B$5:$B$3471,B504)</f>
        <v>2815</v>
      </c>
      <c r="R504" s="7" t="n">
        <v>45889</v>
      </c>
      <c r="S504" s="9" t="b">
        <f aca="false">C504=R504</f>
        <v>1</v>
      </c>
      <c r="T504" s="9" t="b">
        <f aca="false">ABS(O504-LN(J504/SUMIFS('Futures Data'!$C$5:$C$3471,'Futures Data'!$A$5:$A$3471,A503,'Futures Data'!$B$5:$B$3471,B504)))&lt;0.000000001</f>
        <v>1</v>
      </c>
    </row>
    <row r="505" customFormat="false" ht="15" hidden="false" customHeight="false" outlineLevel="0" collapsed="false">
      <c r="A505" s="7" t="n">
        <v>45870</v>
      </c>
      <c r="B505" s="11" t="n">
        <f aca="false">C504</f>
        <v>45889</v>
      </c>
      <c r="C505" s="11" t="n">
        <f aca="false">IF(OR(H504,D505&lt;=$G$4),_xlfn.MINIFS('Futures Data'!$B$5:$B$3471,'Futures Data'!$A$5:$A$3471,A505,'Futures Data'!$B$5:$B$3471,"&gt;"&amp;B505),B505)</f>
        <v>45889</v>
      </c>
      <c r="D505" s="3" t="n">
        <f aca="false">COUNTIFS($A$47:$A$790,"&gt;"&amp;A505,$A$47:$A$790,"&lt;="&amp;B505)+IF(B505&gt;$G$5,NETWORKDAYS($G$5+1,B505),0)</f>
        <v>12</v>
      </c>
      <c r="E505" s="3" t="n">
        <f aca="false">SUMIFS('Futures Data'!$E$5:$E$3471,'Futures Data'!$A$5:$A$3471,A505,'Futures Data'!$B$5:$B$3471,C505)</f>
        <v>27060</v>
      </c>
      <c r="F505" s="11" t="n">
        <f aca="false">_xlfn.MINIFS('Futures Data'!$B$5:$B$3471,'Futures Data'!$A$5:$A$3471,A505,'Futures Data'!$B$5:$B$3471,"&gt;"&amp;C505)</f>
        <v>45919</v>
      </c>
      <c r="G505" s="3" t="n">
        <f aca="false">SUMIFS('Futures Data'!$E$5:$E$3471,'Futures Data'!$A$5:$A$3471,A505,'Futures Data'!$B$5:$B$3471,F505)</f>
        <v>17450</v>
      </c>
      <c r="H505" s="9" t="b">
        <f aca="false">G505&gt;E505</f>
        <v>0</v>
      </c>
      <c r="I505" s="9" t="b">
        <f aca="false">C505&lt;&gt;B505</f>
        <v>0</v>
      </c>
      <c r="J505" s="3" t="n">
        <f aca="false">SUMIFS('Futures Data'!$C$5:$C$3471,'Futures Data'!$A$5:$A$3471,A505,'Futures Data'!$B$5:$B$3471,B505)</f>
        <v>6619</v>
      </c>
      <c r="K505" s="3" t="n">
        <f aca="false">SUMIFS('Futures Data'!$C$5:$C$3471,'Futures Data'!$A$5:$A$3471,A505,'Futures Data'!$B$5:$B$3471,C505)</f>
        <v>6619</v>
      </c>
      <c r="L505" s="3" t="n">
        <f aca="false">K505-J505</f>
        <v>0</v>
      </c>
      <c r="M505" s="3" t="n">
        <f aca="false">M506+L505</f>
        <v>998</v>
      </c>
      <c r="N505" s="3" t="n">
        <f aca="false">J505+M505</f>
        <v>7617</v>
      </c>
      <c r="O505" s="13" t="n">
        <f aca="false">LN(J505/K504)</f>
        <v>-0.00331825342179086</v>
      </c>
      <c r="P505" s="13" t="n">
        <f aca="false">LN(N505/N504)</f>
        <v>-0.00288411316857156</v>
      </c>
      <c r="Q505" s="3" t="n">
        <f aca="false">SUMIFS('Futures Data'!$D$5:$D$3471,'Futures Data'!$A$5:$A$3471,A505,'Futures Data'!$B$5:$B$3471,B505)</f>
        <v>2660</v>
      </c>
      <c r="R505" s="7" t="n">
        <v>45889</v>
      </c>
      <c r="S505" s="9" t="b">
        <f aca="false">C505=R505</f>
        <v>1</v>
      </c>
      <c r="T505" s="9" t="b">
        <f aca="false">ABS(O505-LN(J505/SUMIFS('Futures Data'!$C$5:$C$3471,'Futures Data'!$A$5:$A$3471,A504,'Futures Data'!$B$5:$B$3471,B505)))&lt;0.000000001</f>
        <v>1</v>
      </c>
    </row>
    <row r="506" customFormat="false" ht="15" hidden="false" customHeight="false" outlineLevel="0" collapsed="false">
      <c r="A506" s="7" t="n">
        <v>45873</v>
      </c>
      <c r="B506" s="11" t="n">
        <f aca="false">C505</f>
        <v>45889</v>
      </c>
      <c r="C506" s="11" t="n">
        <f aca="false">IF(OR(H505,D506&lt;=$G$4),_xlfn.MINIFS('Futures Data'!$B$5:$B$3471,'Futures Data'!$A$5:$A$3471,A506,'Futures Data'!$B$5:$B$3471,"&gt;"&amp;B506),B506)</f>
        <v>45889</v>
      </c>
      <c r="D506" s="3" t="n">
        <f aca="false">COUNTIFS($A$47:$A$790,"&gt;"&amp;A506,$A$47:$A$790,"&lt;="&amp;B506)+IF(B506&gt;$G$5,NETWORKDAYS($G$5+1,B506),0)</f>
        <v>11</v>
      </c>
      <c r="E506" s="3" t="n">
        <f aca="false">SUMIFS('Futures Data'!$E$5:$E$3471,'Futures Data'!$A$5:$A$3471,A506,'Futures Data'!$B$5:$B$3471,C506)</f>
        <v>25580</v>
      </c>
      <c r="F506" s="11" t="n">
        <f aca="false">_xlfn.MINIFS('Futures Data'!$B$5:$B$3471,'Futures Data'!$A$5:$A$3471,A506,'Futures Data'!$B$5:$B$3471,"&gt;"&amp;C506)</f>
        <v>45919</v>
      </c>
      <c r="G506" s="3" t="n">
        <f aca="false">SUMIFS('Futures Data'!$E$5:$E$3471,'Futures Data'!$A$5:$A$3471,A506,'Futures Data'!$B$5:$B$3471,F506)</f>
        <v>18915</v>
      </c>
      <c r="H506" s="9" t="b">
        <f aca="false">G506&gt;E506</f>
        <v>0</v>
      </c>
      <c r="I506" s="9" t="b">
        <f aca="false">C506&lt;&gt;B506</f>
        <v>0</v>
      </c>
      <c r="J506" s="3" t="n">
        <f aca="false">SUMIFS('Futures Data'!$C$5:$C$3471,'Futures Data'!$A$5:$A$3471,A506,'Futures Data'!$B$5:$B$3471,B506)</f>
        <v>6595</v>
      </c>
      <c r="K506" s="3" t="n">
        <f aca="false">SUMIFS('Futures Data'!$C$5:$C$3471,'Futures Data'!$A$5:$A$3471,A506,'Futures Data'!$B$5:$B$3471,C506)</f>
        <v>6595</v>
      </c>
      <c r="L506" s="3" t="n">
        <f aca="false">K506-J506</f>
        <v>0</v>
      </c>
      <c r="M506" s="3" t="n">
        <f aca="false">M507+L506</f>
        <v>998</v>
      </c>
      <c r="N506" s="3" t="n">
        <f aca="false">J506+M506</f>
        <v>7593</v>
      </c>
      <c r="O506" s="13" t="n">
        <f aca="false">LN(J506/K505)</f>
        <v>-0.0036325149675078</v>
      </c>
      <c r="P506" s="13" t="n">
        <f aca="false">LN(N506/N505)</f>
        <v>-0.00315582115955437</v>
      </c>
      <c r="Q506" s="3" t="n">
        <f aca="false">SUMIFS('Futures Data'!$D$5:$D$3471,'Futures Data'!$A$5:$A$3471,A506,'Futures Data'!$B$5:$B$3471,B506)</f>
        <v>4245</v>
      </c>
      <c r="R506" s="7" t="n">
        <v>45889</v>
      </c>
      <c r="S506" s="9" t="b">
        <f aca="false">C506=R506</f>
        <v>1</v>
      </c>
      <c r="T506" s="9" t="b">
        <f aca="false">ABS(O506-LN(J506/SUMIFS('Futures Data'!$C$5:$C$3471,'Futures Data'!$A$5:$A$3471,A505,'Futures Data'!$B$5:$B$3471,B506)))&lt;0.000000001</f>
        <v>1</v>
      </c>
    </row>
    <row r="507" customFormat="false" ht="15" hidden="false" customHeight="false" outlineLevel="0" collapsed="false">
      <c r="A507" s="7" t="n">
        <v>45874</v>
      </c>
      <c r="B507" s="11" t="n">
        <f aca="false">C506</f>
        <v>45889</v>
      </c>
      <c r="C507" s="11" t="n">
        <f aca="false">IF(OR(H506,D507&lt;=$G$4),_xlfn.MINIFS('Futures Data'!$B$5:$B$3471,'Futures Data'!$A$5:$A$3471,A507,'Futures Data'!$B$5:$B$3471,"&gt;"&amp;B507),B507)</f>
        <v>45889</v>
      </c>
      <c r="D507" s="3" t="n">
        <f aca="false">COUNTIFS($A$47:$A$790,"&gt;"&amp;A507,$A$47:$A$790,"&lt;="&amp;B507)+IF(B507&gt;$G$5,NETWORKDAYS($G$5+1,B507),0)</f>
        <v>10</v>
      </c>
      <c r="E507" s="3" t="n">
        <f aca="false">SUMIFS('Futures Data'!$E$5:$E$3471,'Futures Data'!$A$5:$A$3471,A507,'Futures Data'!$B$5:$B$3471,C507)</f>
        <v>23515</v>
      </c>
      <c r="F507" s="11" t="n">
        <f aca="false">_xlfn.MINIFS('Futures Data'!$B$5:$B$3471,'Futures Data'!$A$5:$A$3471,A507,'Futures Data'!$B$5:$B$3471,"&gt;"&amp;C507)</f>
        <v>45919</v>
      </c>
      <c r="G507" s="3" t="n">
        <f aca="false">SUMIFS('Futures Data'!$E$5:$E$3471,'Futures Data'!$A$5:$A$3471,A507,'Futures Data'!$B$5:$B$3471,F507)</f>
        <v>21020</v>
      </c>
      <c r="H507" s="9" t="b">
        <f aca="false">G507&gt;E507</f>
        <v>0</v>
      </c>
      <c r="I507" s="9" t="b">
        <f aca="false">C507&lt;&gt;B507</f>
        <v>0</v>
      </c>
      <c r="J507" s="3" t="n">
        <f aca="false">SUMIFS('Futures Data'!$C$5:$C$3471,'Futures Data'!$A$5:$A$3471,A507,'Futures Data'!$B$5:$B$3471,B507)</f>
        <v>6594</v>
      </c>
      <c r="K507" s="3" t="n">
        <f aca="false">SUMIFS('Futures Data'!$C$5:$C$3471,'Futures Data'!$A$5:$A$3471,A507,'Futures Data'!$B$5:$B$3471,C507)</f>
        <v>6594</v>
      </c>
      <c r="L507" s="3" t="n">
        <f aca="false">K507-J507</f>
        <v>0</v>
      </c>
      <c r="M507" s="3" t="n">
        <f aca="false">M508+L507</f>
        <v>998</v>
      </c>
      <c r="N507" s="3" t="n">
        <f aca="false">J507+M507</f>
        <v>7592</v>
      </c>
      <c r="O507" s="13" t="n">
        <f aca="false">LN(J507/K506)</f>
        <v>-0.000151641519738649</v>
      </c>
      <c r="P507" s="13" t="n">
        <f aca="false">LN(N507/N506)</f>
        <v>-0.000131708923469935</v>
      </c>
      <c r="Q507" s="3" t="n">
        <f aca="false">SUMIFS('Futures Data'!$D$5:$D$3471,'Futures Data'!$A$5:$A$3471,A507,'Futures Data'!$B$5:$B$3471,B507)</f>
        <v>4935</v>
      </c>
      <c r="R507" s="7" t="n">
        <v>45889</v>
      </c>
      <c r="S507" s="9" t="b">
        <f aca="false">C507=R507</f>
        <v>1</v>
      </c>
      <c r="T507" s="9" t="b">
        <f aca="false">ABS(O507-LN(J507/SUMIFS('Futures Data'!$C$5:$C$3471,'Futures Data'!$A$5:$A$3471,A506,'Futures Data'!$B$5:$B$3471,B507)))&lt;0.000000001</f>
        <v>1</v>
      </c>
    </row>
    <row r="508" customFormat="false" ht="15" hidden="false" customHeight="false" outlineLevel="0" collapsed="false">
      <c r="A508" s="7" t="n">
        <v>45875</v>
      </c>
      <c r="B508" s="11" t="n">
        <f aca="false">C507</f>
        <v>45889</v>
      </c>
      <c r="C508" s="11" t="n">
        <f aca="false">IF(OR(H507,D508&lt;=$G$4),_xlfn.MINIFS('Futures Data'!$B$5:$B$3471,'Futures Data'!$A$5:$A$3471,A508,'Futures Data'!$B$5:$B$3471,"&gt;"&amp;B508),B508)</f>
        <v>45889</v>
      </c>
      <c r="D508" s="3" t="n">
        <f aca="false">COUNTIFS($A$47:$A$790,"&gt;"&amp;A508,$A$47:$A$790,"&lt;="&amp;B508)+IF(B508&gt;$G$5,NETWORKDAYS($G$5+1,B508),0)</f>
        <v>9</v>
      </c>
      <c r="E508" s="3" t="n">
        <f aca="false">SUMIFS('Futures Data'!$E$5:$E$3471,'Futures Data'!$A$5:$A$3471,A508,'Futures Data'!$B$5:$B$3471,C508)</f>
        <v>21840</v>
      </c>
      <c r="F508" s="11" t="n">
        <f aca="false">_xlfn.MINIFS('Futures Data'!$B$5:$B$3471,'Futures Data'!$A$5:$A$3471,A508,'Futures Data'!$B$5:$B$3471,"&gt;"&amp;C508)</f>
        <v>45919</v>
      </c>
      <c r="G508" s="3" t="n">
        <f aca="false">SUMIFS('Futures Data'!$E$5:$E$3471,'Futures Data'!$A$5:$A$3471,A508,'Futures Data'!$B$5:$B$3471,F508)</f>
        <v>22505</v>
      </c>
      <c r="H508" s="9" t="b">
        <f aca="false">G508&gt;E508</f>
        <v>1</v>
      </c>
      <c r="I508" s="9" t="b">
        <f aca="false">C508&lt;&gt;B508</f>
        <v>0</v>
      </c>
      <c r="J508" s="3" t="n">
        <f aca="false">SUMIFS('Futures Data'!$C$5:$C$3471,'Futures Data'!$A$5:$A$3471,A508,'Futures Data'!$B$5:$B$3471,B508)</f>
        <v>6632</v>
      </c>
      <c r="K508" s="3" t="n">
        <f aca="false">SUMIFS('Futures Data'!$C$5:$C$3471,'Futures Data'!$A$5:$A$3471,A508,'Futures Data'!$B$5:$B$3471,C508)</f>
        <v>6632</v>
      </c>
      <c r="L508" s="3" t="n">
        <f aca="false">K508-J508</f>
        <v>0</v>
      </c>
      <c r="M508" s="3" t="n">
        <f aca="false">M509+L508</f>
        <v>998</v>
      </c>
      <c r="N508" s="3" t="n">
        <f aca="false">J508+M508</f>
        <v>7630</v>
      </c>
      <c r="O508" s="13" t="n">
        <f aca="false">LN(J508/K507)</f>
        <v>0.00574627318345457</v>
      </c>
      <c r="P508" s="13" t="n">
        <f aca="false">LN(N508/N507)</f>
        <v>0.00499278398873889</v>
      </c>
      <c r="Q508" s="3" t="n">
        <f aca="false">SUMIFS('Futures Data'!$D$5:$D$3471,'Futures Data'!$A$5:$A$3471,A508,'Futures Data'!$B$5:$B$3471,B508)</f>
        <v>4770</v>
      </c>
      <c r="R508" s="7" t="n">
        <v>45889</v>
      </c>
      <c r="S508" s="9" t="b">
        <f aca="false">C508=R508</f>
        <v>1</v>
      </c>
      <c r="T508" s="9" t="b">
        <f aca="false">ABS(O508-LN(J508/SUMIFS('Futures Data'!$C$5:$C$3471,'Futures Data'!$A$5:$A$3471,A507,'Futures Data'!$B$5:$B$3471,B508)))&lt;0.000000001</f>
        <v>1</v>
      </c>
    </row>
    <row r="509" customFormat="false" ht="15" hidden="false" customHeight="false" outlineLevel="0" collapsed="false">
      <c r="A509" s="7" t="n">
        <v>45876</v>
      </c>
      <c r="B509" s="11" t="n">
        <f aca="false">C508</f>
        <v>45889</v>
      </c>
      <c r="C509" s="11" t="n">
        <f aca="false">IF(OR(H508,D509&lt;=$G$4),_xlfn.MINIFS('Futures Data'!$B$5:$B$3471,'Futures Data'!$A$5:$A$3471,A509,'Futures Data'!$B$5:$B$3471,"&gt;"&amp;B509),B509)</f>
        <v>45919</v>
      </c>
      <c r="D509" s="3" t="n">
        <f aca="false">COUNTIFS($A$47:$A$790,"&gt;"&amp;A509,$A$47:$A$790,"&lt;="&amp;B509)+IF(B509&gt;$G$5,NETWORKDAYS($G$5+1,B509),0)</f>
        <v>8</v>
      </c>
      <c r="E509" s="3" t="n">
        <f aca="false">SUMIFS('Futures Data'!$E$5:$E$3471,'Futures Data'!$A$5:$A$3471,A509,'Futures Data'!$B$5:$B$3471,C509)</f>
        <v>23495</v>
      </c>
      <c r="F509" s="11" t="n">
        <f aca="false">_xlfn.MINIFS('Futures Data'!$B$5:$B$3471,'Futures Data'!$A$5:$A$3471,A509,'Futures Data'!$B$5:$B$3471,"&gt;"&amp;C509)</f>
        <v>45950</v>
      </c>
      <c r="G509" s="3" t="n">
        <f aca="false">SUMIFS('Futures Data'!$E$5:$E$3471,'Futures Data'!$A$5:$A$3471,A509,'Futures Data'!$B$5:$B$3471,F509)</f>
        <v>270</v>
      </c>
      <c r="H509" s="9" t="b">
        <f aca="false">G509&gt;E509</f>
        <v>0</v>
      </c>
      <c r="I509" s="9" t="b">
        <f aca="false">C509&lt;&gt;B509</f>
        <v>1</v>
      </c>
      <c r="J509" s="3" t="n">
        <f aca="false">SUMIFS('Futures Data'!$C$5:$C$3471,'Futures Data'!$A$5:$A$3471,A509,'Futures Data'!$B$5:$B$3471,B509)</f>
        <v>6638</v>
      </c>
      <c r="K509" s="3" t="n">
        <f aca="false">SUMIFS('Futures Data'!$C$5:$C$3471,'Futures Data'!$A$5:$A$3471,A509,'Futures Data'!$B$5:$B$3471,C509)</f>
        <v>6704</v>
      </c>
      <c r="L509" s="3" t="n">
        <f aca="false">K509-J509</f>
        <v>66</v>
      </c>
      <c r="M509" s="3" t="n">
        <f aca="false">M510+L509</f>
        <v>998</v>
      </c>
      <c r="N509" s="3" t="n">
        <f aca="false">J509+M509</f>
        <v>7636</v>
      </c>
      <c r="O509" s="13" t="n">
        <f aca="false">LN(J509/K508)</f>
        <v>0.000904295464789006</v>
      </c>
      <c r="P509" s="13" t="n">
        <f aca="false">LN(N509/N508)</f>
        <v>0.000786060567135647</v>
      </c>
      <c r="Q509" s="3" t="n">
        <f aca="false">SUMIFS('Futures Data'!$D$5:$D$3471,'Futures Data'!$A$5:$A$3471,A509,'Futures Data'!$B$5:$B$3471,B509)</f>
        <v>4640</v>
      </c>
      <c r="R509" s="7" t="n">
        <v>45919</v>
      </c>
      <c r="S509" s="9" t="b">
        <f aca="false">C509=R509</f>
        <v>1</v>
      </c>
      <c r="T509" s="9" t="b">
        <f aca="false">ABS(O509-LN(J509/SUMIFS('Futures Data'!$C$5:$C$3471,'Futures Data'!$A$5:$A$3471,A508,'Futures Data'!$B$5:$B$3471,B509)))&lt;0.000000001</f>
        <v>1</v>
      </c>
    </row>
    <row r="510" customFormat="false" ht="15" hidden="false" customHeight="false" outlineLevel="0" collapsed="false">
      <c r="A510" s="7" t="n">
        <v>45877</v>
      </c>
      <c r="B510" s="11" t="n">
        <f aca="false">C509</f>
        <v>45919</v>
      </c>
      <c r="C510" s="11" t="n">
        <f aca="false">IF(OR(H509,D510&lt;=$G$4),_xlfn.MINIFS('Futures Data'!$B$5:$B$3471,'Futures Data'!$A$5:$A$3471,A510,'Futures Data'!$B$5:$B$3471,"&gt;"&amp;B510),B510)</f>
        <v>45919</v>
      </c>
      <c r="D510" s="3" t="n">
        <f aca="false">COUNTIFS($A$47:$A$790,"&gt;"&amp;A510,$A$47:$A$790,"&lt;="&amp;B510)+IF(B510&gt;$G$5,NETWORKDAYS($G$5+1,B510),0)</f>
        <v>28</v>
      </c>
      <c r="E510" s="3" t="n">
        <f aca="false">SUMIFS('Futures Data'!$E$5:$E$3471,'Futures Data'!$A$5:$A$3471,A510,'Futures Data'!$B$5:$B$3471,C510)</f>
        <v>26180</v>
      </c>
      <c r="F510" s="11" t="n">
        <f aca="false">_xlfn.MINIFS('Futures Data'!$B$5:$B$3471,'Futures Data'!$A$5:$A$3471,A510,'Futures Data'!$B$5:$B$3471,"&gt;"&amp;C510)</f>
        <v>45950</v>
      </c>
      <c r="G510" s="3" t="n">
        <f aca="false">SUMIFS('Futures Data'!$E$5:$E$3471,'Futures Data'!$A$5:$A$3471,A510,'Futures Data'!$B$5:$B$3471,F510)</f>
        <v>275</v>
      </c>
      <c r="H510" s="9" t="b">
        <f aca="false">G510&gt;E510</f>
        <v>0</v>
      </c>
      <c r="I510" s="9" t="b">
        <f aca="false">C510&lt;&gt;B510</f>
        <v>0</v>
      </c>
      <c r="J510" s="3" t="n">
        <f aca="false">SUMIFS('Futures Data'!$C$5:$C$3471,'Futures Data'!$A$5:$A$3471,A510,'Futures Data'!$B$5:$B$3471,B510)</f>
        <v>6684</v>
      </c>
      <c r="K510" s="3" t="n">
        <f aca="false">SUMIFS('Futures Data'!$C$5:$C$3471,'Futures Data'!$A$5:$A$3471,A510,'Futures Data'!$B$5:$B$3471,C510)</f>
        <v>6684</v>
      </c>
      <c r="L510" s="3" t="n">
        <f aca="false">K510-J510</f>
        <v>0</v>
      </c>
      <c r="M510" s="3" t="n">
        <f aca="false">M511+L510</f>
        <v>932</v>
      </c>
      <c r="N510" s="3" t="n">
        <f aca="false">J510+M510</f>
        <v>7616</v>
      </c>
      <c r="O510" s="13" t="n">
        <f aca="false">LN(J510/K509)</f>
        <v>-0.00298775244663467</v>
      </c>
      <c r="P510" s="13" t="n">
        <f aca="false">LN(N510/N509)</f>
        <v>-0.00262260837443699</v>
      </c>
      <c r="Q510" s="3" t="n">
        <f aca="false">SUMIFS('Futures Data'!$D$5:$D$3471,'Futures Data'!$A$5:$A$3471,A510,'Futures Data'!$B$5:$B$3471,B510)</f>
        <v>5775</v>
      </c>
      <c r="R510" s="7" t="n">
        <v>45919</v>
      </c>
      <c r="S510" s="9" t="b">
        <f aca="false">C510=R510</f>
        <v>1</v>
      </c>
      <c r="T510" s="9" t="b">
        <f aca="false">ABS(O510-LN(J510/SUMIFS('Futures Data'!$C$5:$C$3471,'Futures Data'!$A$5:$A$3471,A509,'Futures Data'!$B$5:$B$3471,B510)))&lt;0.000000001</f>
        <v>1</v>
      </c>
    </row>
    <row r="511" customFormat="false" ht="15" hidden="false" customHeight="false" outlineLevel="0" collapsed="false">
      <c r="A511" s="7" t="n">
        <v>45880</v>
      </c>
      <c r="B511" s="11" t="n">
        <f aca="false">C510</f>
        <v>45919</v>
      </c>
      <c r="C511" s="11" t="n">
        <f aca="false">IF(OR(H510,D511&lt;=$G$4),_xlfn.MINIFS('Futures Data'!$B$5:$B$3471,'Futures Data'!$A$5:$A$3471,A511,'Futures Data'!$B$5:$B$3471,"&gt;"&amp;B511),B511)</f>
        <v>45919</v>
      </c>
      <c r="D511" s="3" t="n">
        <f aca="false">COUNTIFS($A$47:$A$790,"&gt;"&amp;A511,$A$47:$A$790,"&lt;="&amp;B511)+IF(B511&gt;$G$5,NETWORKDAYS($G$5+1,B511),0)</f>
        <v>27</v>
      </c>
      <c r="E511" s="3" t="n">
        <f aca="false">SUMIFS('Futures Data'!$E$5:$E$3471,'Futures Data'!$A$5:$A$3471,A511,'Futures Data'!$B$5:$B$3471,C511)</f>
        <v>28445</v>
      </c>
      <c r="F511" s="11" t="n">
        <f aca="false">_xlfn.MINIFS('Futures Data'!$B$5:$B$3471,'Futures Data'!$A$5:$A$3471,A511,'Futures Data'!$B$5:$B$3471,"&gt;"&amp;C511)</f>
        <v>45950</v>
      </c>
      <c r="G511" s="3" t="n">
        <f aca="false">SUMIFS('Futures Data'!$E$5:$E$3471,'Futures Data'!$A$5:$A$3471,A511,'Futures Data'!$B$5:$B$3471,F511)</f>
        <v>275</v>
      </c>
      <c r="H511" s="9" t="b">
        <f aca="false">G511&gt;E511</f>
        <v>0</v>
      </c>
      <c r="I511" s="9" t="b">
        <f aca="false">C511&lt;&gt;B511</f>
        <v>0</v>
      </c>
      <c r="J511" s="3" t="n">
        <f aca="false">SUMIFS('Futures Data'!$C$5:$C$3471,'Futures Data'!$A$5:$A$3471,A511,'Futures Data'!$B$5:$B$3471,B511)</f>
        <v>6655</v>
      </c>
      <c r="K511" s="3" t="n">
        <f aca="false">SUMIFS('Futures Data'!$C$5:$C$3471,'Futures Data'!$A$5:$A$3471,A511,'Futures Data'!$B$5:$B$3471,C511)</f>
        <v>6655</v>
      </c>
      <c r="L511" s="3" t="n">
        <f aca="false">K511-J511</f>
        <v>0</v>
      </c>
      <c r="M511" s="3" t="n">
        <f aca="false">M512+L511</f>
        <v>932</v>
      </c>
      <c r="N511" s="3" t="n">
        <f aca="false">J511+M511</f>
        <v>7587</v>
      </c>
      <c r="O511" s="13" t="n">
        <f aca="false">LN(J511/K510)</f>
        <v>-0.00434815888607238</v>
      </c>
      <c r="P511" s="13" t="n">
        <f aca="false">LN(N511/N510)</f>
        <v>-0.00381504113312644</v>
      </c>
      <c r="Q511" s="3" t="n">
        <f aca="false">SUMIFS('Futures Data'!$D$5:$D$3471,'Futures Data'!$A$5:$A$3471,A511,'Futures Data'!$B$5:$B$3471,B511)</f>
        <v>6345</v>
      </c>
      <c r="R511" s="7" t="n">
        <v>45919</v>
      </c>
      <c r="S511" s="9" t="b">
        <f aca="false">C511=R511</f>
        <v>1</v>
      </c>
      <c r="T511" s="9" t="b">
        <f aca="false">ABS(O511-LN(J511/SUMIFS('Futures Data'!$C$5:$C$3471,'Futures Data'!$A$5:$A$3471,A510,'Futures Data'!$B$5:$B$3471,B511)))&lt;0.000000001</f>
        <v>1</v>
      </c>
    </row>
    <row r="512" customFormat="false" ht="15" hidden="false" customHeight="false" outlineLevel="0" collapsed="false">
      <c r="A512" s="7" t="n">
        <v>45881</v>
      </c>
      <c r="B512" s="11" t="n">
        <f aca="false">C511</f>
        <v>45919</v>
      </c>
      <c r="C512" s="11" t="n">
        <f aca="false">IF(OR(H511,D512&lt;=$G$4),_xlfn.MINIFS('Futures Data'!$B$5:$B$3471,'Futures Data'!$A$5:$A$3471,A512,'Futures Data'!$B$5:$B$3471,"&gt;"&amp;B512),B512)</f>
        <v>45919</v>
      </c>
      <c r="D512" s="3" t="n">
        <f aca="false">COUNTIFS($A$47:$A$790,"&gt;"&amp;A512,$A$47:$A$790,"&lt;="&amp;B512)+IF(B512&gt;$G$5,NETWORKDAYS($G$5+1,B512),0)</f>
        <v>26</v>
      </c>
      <c r="E512" s="3" t="n">
        <f aca="false">SUMIFS('Futures Data'!$E$5:$E$3471,'Futures Data'!$A$5:$A$3471,A512,'Futures Data'!$B$5:$B$3471,C512)</f>
        <v>31145</v>
      </c>
      <c r="F512" s="11" t="n">
        <f aca="false">_xlfn.MINIFS('Futures Data'!$B$5:$B$3471,'Futures Data'!$A$5:$A$3471,A512,'Futures Data'!$B$5:$B$3471,"&gt;"&amp;C512)</f>
        <v>45950</v>
      </c>
      <c r="G512" s="3" t="n">
        <f aca="false">SUMIFS('Futures Data'!$E$5:$E$3471,'Futures Data'!$A$5:$A$3471,A512,'Futures Data'!$B$5:$B$3471,F512)</f>
        <v>270</v>
      </c>
      <c r="H512" s="9" t="b">
        <f aca="false">G512&gt;E512</f>
        <v>0</v>
      </c>
      <c r="I512" s="9" t="b">
        <f aca="false">C512&lt;&gt;B512</f>
        <v>0</v>
      </c>
      <c r="J512" s="3" t="n">
        <f aca="false">SUMIFS('Futures Data'!$C$5:$C$3471,'Futures Data'!$A$5:$A$3471,A512,'Futures Data'!$B$5:$B$3471,B512)</f>
        <v>6617</v>
      </c>
      <c r="K512" s="3" t="n">
        <f aca="false">SUMIFS('Futures Data'!$C$5:$C$3471,'Futures Data'!$A$5:$A$3471,A512,'Futures Data'!$B$5:$B$3471,C512)</f>
        <v>6617</v>
      </c>
      <c r="L512" s="3" t="n">
        <f aca="false">K512-J512</f>
        <v>0</v>
      </c>
      <c r="M512" s="3" t="n">
        <f aca="false">M513+L512</f>
        <v>932</v>
      </c>
      <c r="N512" s="3" t="n">
        <f aca="false">J512+M512</f>
        <v>7549</v>
      </c>
      <c r="O512" s="13" t="n">
        <f aca="false">LN(J512/K511)</f>
        <v>-0.00572635681715254</v>
      </c>
      <c r="P512" s="13" t="n">
        <f aca="false">LN(N512/N511)</f>
        <v>-0.00502115219845004</v>
      </c>
      <c r="Q512" s="3" t="n">
        <f aca="false">SUMIFS('Futures Data'!$D$5:$D$3471,'Futures Data'!$A$5:$A$3471,A512,'Futures Data'!$B$5:$B$3471,B512)</f>
        <v>6430</v>
      </c>
      <c r="R512" s="7" t="n">
        <v>45919</v>
      </c>
      <c r="S512" s="9" t="b">
        <f aca="false">C512=R512</f>
        <v>1</v>
      </c>
      <c r="T512" s="9" t="b">
        <f aca="false">ABS(O512-LN(J512/SUMIFS('Futures Data'!$C$5:$C$3471,'Futures Data'!$A$5:$A$3471,A511,'Futures Data'!$B$5:$B$3471,B512)))&lt;0.000000001</f>
        <v>1</v>
      </c>
    </row>
    <row r="513" customFormat="false" ht="15" hidden="false" customHeight="false" outlineLevel="0" collapsed="false">
      <c r="A513" s="7" t="n">
        <v>45882</v>
      </c>
      <c r="B513" s="11" t="n">
        <f aca="false">C512</f>
        <v>45919</v>
      </c>
      <c r="C513" s="11" t="n">
        <f aca="false">IF(OR(H512,D513&lt;=$G$4),_xlfn.MINIFS('Futures Data'!$B$5:$B$3471,'Futures Data'!$A$5:$A$3471,A513,'Futures Data'!$B$5:$B$3471,"&gt;"&amp;B513),B513)</f>
        <v>45919</v>
      </c>
      <c r="D513" s="3" t="n">
        <f aca="false">COUNTIFS($A$47:$A$790,"&gt;"&amp;A513,$A$47:$A$790,"&lt;="&amp;B513)+IF(B513&gt;$G$5,NETWORKDAYS($G$5+1,B513),0)</f>
        <v>25</v>
      </c>
      <c r="E513" s="3" t="n">
        <f aca="false">SUMIFS('Futures Data'!$E$5:$E$3471,'Futures Data'!$A$5:$A$3471,A513,'Futures Data'!$B$5:$B$3471,C513)</f>
        <v>32955</v>
      </c>
      <c r="F513" s="11" t="n">
        <f aca="false">_xlfn.MINIFS('Futures Data'!$B$5:$B$3471,'Futures Data'!$A$5:$A$3471,A513,'Futures Data'!$B$5:$B$3471,"&gt;"&amp;C513)</f>
        <v>45950</v>
      </c>
      <c r="G513" s="3" t="n">
        <f aca="false">SUMIFS('Futures Data'!$E$5:$E$3471,'Futures Data'!$A$5:$A$3471,A513,'Futures Data'!$B$5:$B$3471,F513)</f>
        <v>275</v>
      </c>
      <c r="H513" s="9" t="b">
        <f aca="false">G513&gt;E513</f>
        <v>0</v>
      </c>
      <c r="I513" s="9" t="b">
        <f aca="false">C513&lt;&gt;B513</f>
        <v>0</v>
      </c>
      <c r="J513" s="3" t="n">
        <f aca="false">SUMIFS('Futures Data'!$C$5:$C$3471,'Futures Data'!$A$5:$A$3471,A513,'Futures Data'!$B$5:$B$3471,B513)</f>
        <v>6605</v>
      </c>
      <c r="K513" s="3" t="n">
        <f aca="false">SUMIFS('Futures Data'!$C$5:$C$3471,'Futures Data'!$A$5:$A$3471,A513,'Futures Data'!$B$5:$B$3471,C513)</f>
        <v>6605</v>
      </c>
      <c r="L513" s="3" t="n">
        <f aca="false">K513-J513</f>
        <v>0</v>
      </c>
      <c r="M513" s="3" t="n">
        <f aca="false">M514+L513</f>
        <v>932</v>
      </c>
      <c r="N513" s="3" t="n">
        <f aca="false">J513+M513</f>
        <v>7537</v>
      </c>
      <c r="O513" s="13" t="n">
        <f aca="false">LN(J513/K512)</f>
        <v>-0.00181515705563376</v>
      </c>
      <c r="P513" s="13" t="n">
        <f aca="false">LN(N513/N512)</f>
        <v>-0.00159087929615496</v>
      </c>
      <c r="Q513" s="3" t="n">
        <f aca="false">SUMIFS('Futures Data'!$D$5:$D$3471,'Futures Data'!$A$5:$A$3471,A513,'Futures Data'!$B$5:$B$3471,B513)</f>
        <v>4335</v>
      </c>
      <c r="R513" s="7" t="n">
        <v>45919</v>
      </c>
      <c r="S513" s="9" t="b">
        <f aca="false">C513=R513</f>
        <v>1</v>
      </c>
      <c r="T513" s="9" t="b">
        <f aca="false">ABS(O513-LN(J513/SUMIFS('Futures Data'!$C$5:$C$3471,'Futures Data'!$A$5:$A$3471,A512,'Futures Data'!$B$5:$B$3471,B513)))&lt;0.000000001</f>
        <v>1</v>
      </c>
    </row>
    <row r="514" customFormat="false" ht="15" hidden="false" customHeight="false" outlineLevel="0" collapsed="false">
      <c r="A514" s="7" t="n">
        <v>45883</v>
      </c>
      <c r="B514" s="11" t="n">
        <f aca="false">C513</f>
        <v>45919</v>
      </c>
      <c r="C514" s="11" t="n">
        <f aca="false">IF(OR(H513,D514&lt;=$G$4),_xlfn.MINIFS('Futures Data'!$B$5:$B$3471,'Futures Data'!$A$5:$A$3471,A514,'Futures Data'!$B$5:$B$3471,"&gt;"&amp;B514),B514)</f>
        <v>45919</v>
      </c>
      <c r="D514" s="3" t="n">
        <f aca="false">COUNTIFS($A$47:$A$790,"&gt;"&amp;A514,$A$47:$A$790,"&lt;="&amp;B514)+IF(B514&gt;$G$5,NETWORKDAYS($G$5+1,B514),0)</f>
        <v>24</v>
      </c>
      <c r="E514" s="3" t="n">
        <f aca="false">SUMIFS('Futures Data'!$E$5:$E$3471,'Futures Data'!$A$5:$A$3471,A514,'Futures Data'!$B$5:$B$3471,C514)</f>
        <v>34725</v>
      </c>
      <c r="F514" s="11" t="n">
        <f aca="false">_xlfn.MINIFS('Futures Data'!$B$5:$B$3471,'Futures Data'!$A$5:$A$3471,A514,'Futures Data'!$B$5:$B$3471,"&gt;"&amp;C514)</f>
        <v>45950</v>
      </c>
      <c r="G514" s="3" t="n">
        <f aca="false">SUMIFS('Futures Data'!$E$5:$E$3471,'Futures Data'!$A$5:$A$3471,A514,'Futures Data'!$B$5:$B$3471,F514)</f>
        <v>280</v>
      </c>
      <c r="H514" s="9" t="b">
        <f aca="false">G514&gt;E514</f>
        <v>0</v>
      </c>
      <c r="I514" s="9" t="b">
        <f aca="false">C514&lt;&gt;B514</f>
        <v>0</v>
      </c>
      <c r="J514" s="3" t="n">
        <f aca="false">SUMIFS('Futures Data'!$C$5:$C$3471,'Futures Data'!$A$5:$A$3471,A514,'Futures Data'!$B$5:$B$3471,B514)</f>
        <v>6606</v>
      </c>
      <c r="K514" s="3" t="n">
        <f aca="false">SUMIFS('Futures Data'!$C$5:$C$3471,'Futures Data'!$A$5:$A$3471,A514,'Futures Data'!$B$5:$B$3471,C514)</f>
        <v>6606</v>
      </c>
      <c r="L514" s="3" t="n">
        <f aca="false">K514-J514</f>
        <v>0</v>
      </c>
      <c r="M514" s="3" t="n">
        <f aca="false">M515+L514</f>
        <v>932</v>
      </c>
      <c r="N514" s="3" t="n">
        <f aca="false">J514+M514</f>
        <v>7538</v>
      </c>
      <c r="O514" s="13" t="n">
        <f aca="false">LN(J514/K513)</f>
        <v>0.000151388994309275</v>
      </c>
      <c r="P514" s="13" t="n">
        <f aca="false">LN(N514/N513)</f>
        <v>0.000132669983610794</v>
      </c>
      <c r="Q514" s="3" t="n">
        <f aca="false">SUMIFS('Futures Data'!$D$5:$D$3471,'Futures Data'!$A$5:$A$3471,A514,'Futures Data'!$B$5:$B$3471,B514)</f>
        <v>3535</v>
      </c>
      <c r="R514" s="7" t="n">
        <v>45919</v>
      </c>
      <c r="S514" s="9" t="b">
        <f aca="false">C514=R514</f>
        <v>1</v>
      </c>
      <c r="T514" s="9" t="b">
        <f aca="false">ABS(O514-LN(J514/SUMIFS('Futures Data'!$C$5:$C$3471,'Futures Data'!$A$5:$A$3471,A513,'Futures Data'!$B$5:$B$3471,B514)))&lt;0.000000001</f>
        <v>1</v>
      </c>
    </row>
    <row r="515" customFormat="false" ht="15" hidden="false" customHeight="false" outlineLevel="0" collapsed="false">
      <c r="A515" s="7" t="n">
        <v>45887</v>
      </c>
      <c r="B515" s="11" t="n">
        <f aca="false">C514</f>
        <v>45919</v>
      </c>
      <c r="C515" s="11" t="n">
        <f aca="false">IF(OR(H514,D515&lt;=$G$4),_xlfn.MINIFS('Futures Data'!$B$5:$B$3471,'Futures Data'!$A$5:$A$3471,A515,'Futures Data'!$B$5:$B$3471,"&gt;"&amp;B515),B515)</f>
        <v>45919</v>
      </c>
      <c r="D515" s="3" t="n">
        <f aca="false">COUNTIFS($A$47:$A$790,"&gt;"&amp;A515,$A$47:$A$790,"&lt;="&amp;B515)+IF(B515&gt;$G$5,NETWORKDAYS($G$5+1,B515),0)</f>
        <v>23</v>
      </c>
      <c r="E515" s="3" t="n">
        <f aca="false">SUMIFS('Futures Data'!$E$5:$E$3471,'Futures Data'!$A$5:$A$3471,A515,'Futures Data'!$B$5:$B$3471,C515)</f>
        <v>37400</v>
      </c>
      <c r="F515" s="11" t="n">
        <f aca="false">_xlfn.MINIFS('Futures Data'!$B$5:$B$3471,'Futures Data'!$A$5:$A$3471,A515,'Futures Data'!$B$5:$B$3471,"&gt;"&amp;C515)</f>
        <v>45950</v>
      </c>
      <c r="G515" s="3" t="n">
        <f aca="false">SUMIFS('Futures Data'!$E$5:$E$3471,'Futures Data'!$A$5:$A$3471,A515,'Futures Data'!$B$5:$B$3471,F515)</f>
        <v>380</v>
      </c>
      <c r="H515" s="9" t="b">
        <f aca="false">G515&gt;E515</f>
        <v>0</v>
      </c>
      <c r="I515" s="9" t="b">
        <f aca="false">C515&lt;&gt;B515</f>
        <v>0</v>
      </c>
      <c r="J515" s="3" t="n">
        <f aca="false">SUMIFS('Futures Data'!$C$5:$C$3471,'Futures Data'!$A$5:$A$3471,A515,'Futures Data'!$B$5:$B$3471,B515)</f>
        <v>6643</v>
      </c>
      <c r="K515" s="3" t="n">
        <f aca="false">SUMIFS('Futures Data'!$C$5:$C$3471,'Futures Data'!$A$5:$A$3471,A515,'Futures Data'!$B$5:$B$3471,C515)</f>
        <v>6643</v>
      </c>
      <c r="L515" s="3" t="n">
        <f aca="false">K515-J515</f>
        <v>0</v>
      </c>
      <c r="M515" s="3" t="n">
        <f aca="false">M516+L515</f>
        <v>932</v>
      </c>
      <c r="N515" s="3" t="n">
        <f aca="false">J515+M515</f>
        <v>7575</v>
      </c>
      <c r="O515" s="13" t="n">
        <f aca="false">LN(J515/K514)</f>
        <v>0.00558534171450627</v>
      </c>
      <c r="P515" s="13" t="n">
        <f aca="false">LN(N515/N514)</f>
        <v>0.00489645655048906</v>
      </c>
      <c r="Q515" s="3" t="n">
        <f aca="false">SUMIFS('Futures Data'!$D$5:$D$3471,'Futures Data'!$A$5:$A$3471,A515,'Futures Data'!$B$5:$B$3471,B515)</f>
        <v>6505</v>
      </c>
      <c r="R515" s="7" t="n">
        <v>45919</v>
      </c>
      <c r="S515" s="9" t="b">
        <f aca="false">C515=R515</f>
        <v>1</v>
      </c>
      <c r="T515" s="9" t="b">
        <f aca="false">ABS(O515-LN(J515/SUMIFS('Futures Data'!$C$5:$C$3471,'Futures Data'!$A$5:$A$3471,A514,'Futures Data'!$B$5:$B$3471,B515)))&lt;0.000000001</f>
        <v>1</v>
      </c>
    </row>
    <row r="516" customFormat="false" ht="15" hidden="false" customHeight="false" outlineLevel="0" collapsed="false">
      <c r="A516" s="7" t="n">
        <v>45888</v>
      </c>
      <c r="B516" s="11" t="n">
        <f aca="false">C515</f>
        <v>45919</v>
      </c>
      <c r="C516" s="11" t="n">
        <f aca="false">IF(OR(H515,D516&lt;=$G$4),_xlfn.MINIFS('Futures Data'!$B$5:$B$3471,'Futures Data'!$A$5:$A$3471,A516,'Futures Data'!$B$5:$B$3471,"&gt;"&amp;B516),B516)</f>
        <v>45919</v>
      </c>
      <c r="D516" s="3" t="n">
        <f aca="false">COUNTIFS($A$47:$A$790,"&gt;"&amp;A516,$A$47:$A$790,"&lt;="&amp;B516)+IF(B516&gt;$G$5,NETWORKDAYS($G$5+1,B516),0)</f>
        <v>22</v>
      </c>
      <c r="E516" s="3" t="n">
        <f aca="false">SUMIFS('Futures Data'!$E$5:$E$3471,'Futures Data'!$A$5:$A$3471,A516,'Futures Data'!$B$5:$B$3471,C516)</f>
        <v>36760</v>
      </c>
      <c r="F516" s="11" t="n">
        <f aca="false">_xlfn.MINIFS('Futures Data'!$B$5:$B$3471,'Futures Data'!$A$5:$A$3471,A516,'Futures Data'!$B$5:$B$3471,"&gt;"&amp;C516)</f>
        <v>45950</v>
      </c>
      <c r="G516" s="3" t="n">
        <f aca="false">SUMIFS('Futures Data'!$E$5:$E$3471,'Futures Data'!$A$5:$A$3471,A516,'Futures Data'!$B$5:$B$3471,F516)</f>
        <v>460</v>
      </c>
      <c r="H516" s="9" t="b">
        <f aca="false">G516&gt;E516</f>
        <v>0</v>
      </c>
      <c r="I516" s="9" t="b">
        <f aca="false">C516&lt;&gt;B516</f>
        <v>0</v>
      </c>
      <c r="J516" s="3" t="n">
        <f aca="false">SUMIFS('Futures Data'!$C$5:$C$3471,'Futures Data'!$A$5:$A$3471,A516,'Futures Data'!$B$5:$B$3471,B516)</f>
        <v>6650</v>
      </c>
      <c r="K516" s="3" t="n">
        <f aca="false">SUMIFS('Futures Data'!$C$5:$C$3471,'Futures Data'!$A$5:$A$3471,A516,'Futures Data'!$B$5:$B$3471,C516)</f>
        <v>6650</v>
      </c>
      <c r="L516" s="3" t="n">
        <f aca="false">K516-J516</f>
        <v>0</v>
      </c>
      <c r="M516" s="3" t="n">
        <f aca="false">M517+L516</f>
        <v>932</v>
      </c>
      <c r="N516" s="3" t="n">
        <f aca="false">J516+M516</f>
        <v>7582</v>
      </c>
      <c r="O516" s="13" t="n">
        <f aca="false">LN(J516/K515)</f>
        <v>0.00105318598465864</v>
      </c>
      <c r="P516" s="13" t="n">
        <f aca="false">LN(N516/N515)</f>
        <v>0.000923665698710184</v>
      </c>
      <c r="Q516" s="3" t="n">
        <f aca="false">SUMIFS('Futures Data'!$D$5:$D$3471,'Futures Data'!$A$5:$A$3471,A516,'Futures Data'!$B$5:$B$3471,B516)</f>
        <v>3920</v>
      </c>
      <c r="R516" s="7" t="n">
        <v>45919</v>
      </c>
      <c r="S516" s="9" t="b">
        <f aca="false">C516=R516</f>
        <v>1</v>
      </c>
      <c r="T516" s="9" t="b">
        <f aca="false">ABS(O516-LN(J516/SUMIFS('Futures Data'!$C$5:$C$3471,'Futures Data'!$A$5:$A$3471,A515,'Futures Data'!$B$5:$B$3471,B516)))&lt;0.000000001</f>
        <v>1</v>
      </c>
    </row>
    <row r="517" customFormat="false" ht="15" hidden="false" customHeight="false" outlineLevel="0" collapsed="false">
      <c r="A517" s="7" t="n">
        <v>45889</v>
      </c>
      <c r="B517" s="11" t="n">
        <f aca="false">C516</f>
        <v>45919</v>
      </c>
      <c r="C517" s="11" t="n">
        <f aca="false">IF(OR(H516,D517&lt;=$G$4),_xlfn.MINIFS('Futures Data'!$B$5:$B$3471,'Futures Data'!$A$5:$A$3471,A517,'Futures Data'!$B$5:$B$3471,"&gt;"&amp;B517),B517)</f>
        <v>45919</v>
      </c>
      <c r="D517" s="3" t="n">
        <f aca="false">COUNTIFS($A$47:$A$790,"&gt;"&amp;A517,$A$47:$A$790,"&lt;="&amp;B517)+IF(B517&gt;$G$5,NETWORKDAYS($G$5+1,B517),0)</f>
        <v>21</v>
      </c>
      <c r="E517" s="3" t="n">
        <f aca="false">SUMIFS('Futures Data'!$E$5:$E$3471,'Futures Data'!$A$5:$A$3471,A517,'Futures Data'!$B$5:$B$3471,C517)</f>
        <v>36080</v>
      </c>
      <c r="F517" s="11" t="n">
        <f aca="false">_xlfn.MINIFS('Futures Data'!$B$5:$B$3471,'Futures Data'!$A$5:$A$3471,A517,'Futures Data'!$B$5:$B$3471,"&gt;"&amp;C517)</f>
        <v>45950</v>
      </c>
      <c r="G517" s="3" t="n">
        <f aca="false">SUMIFS('Futures Data'!$E$5:$E$3471,'Futures Data'!$A$5:$A$3471,A517,'Futures Data'!$B$5:$B$3471,F517)</f>
        <v>950</v>
      </c>
      <c r="H517" s="9" t="b">
        <f aca="false">G517&gt;E517</f>
        <v>0</v>
      </c>
      <c r="I517" s="9" t="b">
        <f aca="false">C517&lt;&gt;B517</f>
        <v>0</v>
      </c>
      <c r="J517" s="3" t="n">
        <f aca="false">SUMIFS('Futures Data'!$C$5:$C$3471,'Futures Data'!$A$5:$A$3471,A517,'Futures Data'!$B$5:$B$3471,B517)</f>
        <v>6695</v>
      </c>
      <c r="K517" s="3" t="n">
        <f aca="false">SUMIFS('Futures Data'!$C$5:$C$3471,'Futures Data'!$A$5:$A$3471,A517,'Futures Data'!$B$5:$B$3471,C517)</f>
        <v>6695</v>
      </c>
      <c r="L517" s="3" t="n">
        <f aca="false">K517-J517</f>
        <v>0</v>
      </c>
      <c r="M517" s="3" t="n">
        <f aca="false">M518+L517</f>
        <v>932</v>
      </c>
      <c r="N517" s="3" t="n">
        <f aca="false">J517+M517</f>
        <v>7627</v>
      </c>
      <c r="O517" s="13" t="n">
        <f aca="false">LN(J517/K516)</f>
        <v>0.00674412447537295</v>
      </c>
      <c r="P517" s="13" t="n">
        <f aca="false">LN(N517/N516)</f>
        <v>0.00591756608795835</v>
      </c>
      <c r="Q517" s="3" t="n">
        <f aca="false">SUMIFS('Futures Data'!$D$5:$D$3471,'Futures Data'!$A$5:$A$3471,A517,'Futures Data'!$B$5:$B$3471,B517)</f>
        <v>5290</v>
      </c>
      <c r="R517" s="7" t="n">
        <v>45919</v>
      </c>
      <c r="S517" s="9" t="b">
        <f aca="false">C517=R517</f>
        <v>1</v>
      </c>
      <c r="T517" s="9" t="b">
        <f aca="false">ABS(O517-LN(J517/SUMIFS('Futures Data'!$C$5:$C$3471,'Futures Data'!$A$5:$A$3471,A516,'Futures Data'!$B$5:$B$3471,B517)))&lt;0.000000001</f>
        <v>1</v>
      </c>
    </row>
    <row r="518" customFormat="false" ht="15" hidden="false" customHeight="false" outlineLevel="0" collapsed="false">
      <c r="A518" s="7" t="n">
        <v>45890</v>
      </c>
      <c r="B518" s="11" t="n">
        <f aca="false">C517</f>
        <v>45919</v>
      </c>
      <c r="C518" s="11" t="n">
        <f aca="false">IF(OR(H517,D518&lt;=$G$4),_xlfn.MINIFS('Futures Data'!$B$5:$B$3471,'Futures Data'!$A$5:$A$3471,A518,'Futures Data'!$B$5:$B$3471,"&gt;"&amp;B518),B518)</f>
        <v>45919</v>
      </c>
      <c r="D518" s="3" t="n">
        <f aca="false">COUNTIFS($A$47:$A$790,"&gt;"&amp;A518,$A$47:$A$790,"&lt;="&amp;B518)+IF(B518&gt;$G$5,NETWORKDAYS($G$5+1,B518),0)</f>
        <v>20</v>
      </c>
      <c r="E518" s="3" t="n">
        <f aca="false">SUMIFS('Futures Data'!$E$5:$E$3471,'Futures Data'!$A$5:$A$3471,A518,'Futures Data'!$B$5:$B$3471,C518)</f>
        <v>35260</v>
      </c>
      <c r="F518" s="11" t="n">
        <f aca="false">_xlfn.MINIFS('Futures Data'!$B$5:$B$3471,'Futures Data'!$A$5:$A$3471,A518,'Futures Data'!$B$5:$B$3471,"&gt;"&amp;C518)</f>
        <v>45950</v>
      </c>
      <c r="G518" s="3" t="n">
        <f aca="false">SUMIFS('Futures Data'!$E$5:$E$3471,'Futures Data'!$A$5:$A$3471,A518,'Futures Data'!$B$5:$B$3471,F518)</f>
        <v>1170</v>
      </c>
      <c r="H518" s="9" t="b">
        <f aca="false">G518&gt;E518</f>
        <v>0</v>
      </c>
      <c r="I518" s="9" t="b">
        <f aca="false">C518&lt;&gt;B518</f>
        <v>0</v>
      </c>
      <c r="J518" s="3" t="n">
        <f aca="false">SUMIFS('Futures Data'!$C$5:$C$3471,'Futures Data'!$A$5:$A$3471,A518,'Futures Data'!$B$5:$B$3471,B518)</f>
        <v>6698</v>
      </c>
      <c r="K518" s="3" t="n">
        <f aca="false">SUMIFS('Futures Data'!$C$5:$C$3471,'Futures Data'!$A$5:$A$3471,A518,'Futures Data'!$B$5:$B$3471,C518)</f>
        <v>6698</v>
      </c>
      <c r="L518" s="3" t="n">
        <f aca="false">K518-J518</f>
        <v>0</v>
      </c>
      <c r="M518" s="3" t="n">
        <f aca="false">M519+L518</f>
        <v>932</v>
      </c>
      <c r="N518" s="3" t="n">
        <f aca="false">J518+M518</f>
        <v>7630</v>
      </c>
      <c r="O518" s="13" t="n">
        <f aca="false">LN(J518/K517)</f>
        <v>0.000447995228877069</v>
      </c>
      <c r="P518" s="13" t="n">
        <f aca="false">LN(N518/N517)</f>
        <v>0.000393262114264164</v>
      </c>
      <c r="Q518" s="3" t="n">
        <f aca="false">SUMIFS('Futures Data'!$D$5:$D$3471,'Futures Data'!$A$5:$A$3471,A518,'Futures Data'!$B$5:$B$3471,B518)</f>
        <v>3320</v>
      </c>
      <c r="R518" s="7" t="n">
        <v>45919</v>
      </c>
      <c r="S518" s="9" t="b">
        <f aca="false">C518=R518</f>
        <v>1</v>
      </c>
      <c r="T518" s="9" t="b">
        <f aca="false">ABS(O518-LN(J518/SUMIFS('Futures Data'!$C$5:$C$3471,'Futures Data'!$A$5:$A$3471,A517,'Futures Data'!$B$5:$B$3471,B518)))&lt;0.000000001</f>
        <v>1</v>
      </c>
    </row>
    <row r="519" customFormat="false" ht="15" hidden="false" customHeight="false" outlineLevel="0" collapsed="false">
      <c r="A519" s="7" t="n">
        <v>45891</v>
      </c>
      <c r="B519" s="11" t="n">
        <f aca="false">C518</f>
        <v>45919</v>
      </c>
      <c r="C519" s="11" t="n">
        <f aca="false">IF(OR(H518,D519&lt;=$G$4),_xlfn.MINIFS('Futures Data'!$B$5:$B$3471,'Futures Data'!$A$5:$A$3471,A519,'Futures Data'!$B$5:$B$3471,"&gt;"&amp;B519),B519)</f>
        <v>45919</v>
      </c>
      <c r="D519" s="3" t="n">
        <f aca="false">COUNTIFS($A$47:$A$790,"&gt;"&amp;A519,$A$47:$A$790,"&lt;="&amp;B519)+IF(B519&gt;$G$5,NETWORKDAYS($G$5+1,B519),0)</f>
        <v>19</v>
      </c>
      <c r="E519" s="3" t="n">
        <f aca="false">SUMIFS('Futures Data'!$E$5:$E$3471,'Futures Data'!$A$5:$A$3471,A519,'Futures Data'!$B$5:$B$3471,C519)</f>
        <v>29880</v>
      </c>
      <c r="F519" s="11" t="n">
        <f aca="false">_xlfn.MINIFS('Futures Data'!$B$5:$B$3471,'Futures Data'!$A$5:$A$3471,A519,'Futures Data'!$B$5:$B$3471,"&gt;"&amp;C519)</f>
        <v>45950</v>
      </c>
      <c r="G519" s="3" t="n">
        <f aca="false">SUMIFS('Futures Data'!$E$5:$E$3471,'Futures Data'!$A$5:$A$3471,A519,'Futures Data'!$B$5:$B$3471,F519)</f>
        <v>7120</v>
      </c>
      <c r="H519" s="9" t="b">
        <f aca="false">G519&gt;E519</f>
        <v>0</v>
      </c>
      <c r="I519" s="9" t="b">
        <f aca="false">C519&lt;&gt;B519</f>
        <v>0</v>
      </c>
      <c r="J519" s="3" t="n">
        <f aca="false">SUMIFS('Futures Data'!$C$5:$C$3471,'Futures Data'!$A$5:$A$3471,A519,'Futures Data'!$B$5:$B$3471,B519)</f>
        <v>6728</v>
      </c>
      <c r="K519" s="3" t="n">
        <f aca="false">SUMIFS('Futures Data'!$C$5:$C$3471,'Futures Data'!$A$5:$A$3471,A519,'Futures Data'!$B$5:$B$3471,C519)</f>
        <v>6728</v>
      </c>
      <c r="L519" s="3" t="n">
        <f aca="false">K519-J519</f>
        <v>0</v>
      </c>
      <c r="M519" s="3" t="n">
        <f aca="false">M520+L519</f>
        <v>932</v>
      </c>
      <c r="N519" s="3" t="n">
        <f aca="false">J519+M519</f>
        <v>7660</v>
      </c>
      <c r="O519" s="13" t="n">
        <f aca="false">LN(J519/K518)</f>
        <v>0.00446894829863413</v>
      </c>
      <c r="P519" s="13" t="n">
        <f aca="false">LN(N519/N518)</f>
        <v>0.00392413845613437</v>
      </c>
      <c r="Q519" s="3" t="n">
        <f aca="false">SUMIFS('Futures Data'!$D$5:$D$3471,'Futures Data'!$A$5:$A$3471,A519,'Futures Data'!$B$5:$B$3471,B519)</f>
        <v>8595</v>
      </c>
      <c r="R519" s="7" t="n">
        <v>45919</v>
      </c>
      <c r="S519" s="9" t="b">
        <f aca="false">C519=R519</f>
        <v>1</v>
      </c>
      <c r="T519" s="9" t="b">
        <f aca="false">ABS(O519-LN(J519/SUMIFS('Futures Data'!$C$5:$C$3471,'Futures Data'!$A$5:$A$3471,A518,'Futures Data'!$B$5:$B$3471,B519)))&lt;0.000000001</f>
        <v>1</v>
      </c>
    </row>
    <row r="520" customFormat="false" ht="15" hidden="false" customHeight="false" outlineLevel="0" collapsed="false">
      <c r="A520" s="7" t="n">
        <v>45894</v>
      </c>
      <c r="B520" s="11" t="n">
        <f aca="false">C519</f>
        <v>45919</v>
      </c>
      <c r="C520" s="11" t="n">
        <f aca="false">IF(OR(H519,D520&lt;=$G$4),_xlfn.MINIFS('Futures Data'!$B$5:$B$3471,'Futures Data'!$A$5:$A$3471,A520,'Futures Data'!$B$5:$B$3471,"&gt;"&amp;B520),B520)</f>
        <v>45919</v>
      </c>
      <c r="D520" s="3" t="n">
        <f aca="false">COUNTIFS($A$47:$A$790,"&gt;"&amp;A520,$A$47:$A$790,"&lt;="&amp;B520)+IF(B520&gt;$G$5,NETWORKDAYS($G$5+1,B520),0)</f>
        <v>18</v>
      </c>
      <c r="E520" s="3" t="n">
        <f aca="false">SUMIFS('Futures Data'!$E$5:$E$3471,'Futures Data'!$A$5:$A$3471,A520,'Futures Data'!$B$5:$B$3471,C520)</f>
        <v>25865</v>
      </c>
      <c r="F520" s="11" t="n">
        <f aca="false">_xlfn.MINIFS('Futures Data'!$B$5:$B$3471,'Futures Data'!$A$5:$A$3471,A520,'Futures Data'!$B$5:$B$3471,"&gt;"&amp;C520)</f>
        <v>45950</v>
      </c>
      <c r="G520" s="3" t="n">
        <f aca="false">SUMIFS('Futures Data'!$E$5:$E$3471,'Futures Data'!$A$5:$A$3471,A520,'Futures Data'!$B$5:$B$3471,F520)</f>
        <v>11330</v>
      </c>
      <c r="H520" s="9" t="b">
        <f aca="false">G520&gt;E520</f>
        <v>0</v>
      </c>
      <c r="I520" s="9" t="b">
        <f aca="false">C520&lt;&gt;B520</f>
        <v>0</v>
      </c>
      <c r="J520" s="3" t="n">
        <f aca="false">SUMIFS('Futures Data'!$C$5:$C$3471,'Futures Data'!$A$5:$A$3471,A520,'Futures Data'!$B$5:$B$3471,B520)</f>
        <v>6694</v>
      </c>
      <c r="K520" s="3" t="n">
        <f aca="false">SUMIFS('Futures Data'!$C$5:$C$3471,'Futures Data'!$A$5:$A$3471,A520,'Futures Data'!$B$5:$B$3471,C520)</f>
        <v>6694</v>
      </c>
      <c r="L520" s="3" t="n">
        <f aca="false">K520-J520</f>
        <v>0</v>
      </c>
      <c r="M520" s="3" t="n">
        <f aca="false">M521+L520</f>
        <v>932</v>
      </c>
      <c r="N520" s="3" t="n">
        <f aca="false">J520+M520</f>
        <v>7626</v>
      </c>
      <c r="O520" s="13" t="n">
        <f aca="false">LN(J520/K519)</f>
        <v>-0.00506631988151201</v>
      </c>
      <c r="P520" s="13" t="n">
        <f aca="false">LN(N520/N519)</f>
        <v>-0.00444852231712792</v>
      </c>
      <c r="Q520" s="3" t="n">
        <f aca="false">SUMIFS('Futures Data'!$D$5:$D$3471,'Futures Data'!$A$5:$A$3471,A520,'Futures Data'!$B$5:$B$3471,B520)</f>
        <v>9050</v>
      </c>
      <c r="R520" s="7" t="n">
        <v>45919</v>
      </c>
      <c r="S520" s="9" t="b">
        <f aca="false">C520=R520</f>
        <v>1</v>
      </c>
      <c r="T520" s="9" t="b">
        <f aca="false">ABS(O520-LN(J520/SUMIFS('Futures Data'!$C$5:$C$3471,'Futures Data'!$A$5:$A$3471,A519,'Futures Data'!$B$5:$B$3471,B520)))&lt;0.000000001</f>
        <v>1</v>
      </c>
    </row>
    <row r="521" customFormat="false" ht="15" hidden="false" customHeight="false" outlineLevel="0" collapsed="false">
      <c r="A521" s="7" t="n">
        <v>45895</v>
      </c>
      <c r="B521" s="11" t="n">
        <f aca="false">C520</f>
        <v>45919</v>
      </c>
      <c r="C521" s="11" t="n">
        <f aca="false">IF(OR(H520,D521&lt;=$G$4),_xlfn.MINIFS('Futures Data'!$B$5:$B$3471,'Futures Data'!$A$5:$A$3471,A521,'Futures Data'!$B$5:$B$3471,"&gt;"&amp;B521),B521)</f>
        <v>45919</v>
      </c>
      <c r="D521" s="3" t="n">
        <f aca="false">COUNTIFS($A$47:$A$790,"&gt;"&amp;A521,$A$47:$A$790,"&lt;="&amp;B521)+IF(B521&gt;$G$5,NETWORKDAYS($G$5+1,B521),0)</f>
        <v>17</v>
      </c>
      <c r="E521" s="3" t="n">
        <f aca="false">SUMIFS('Futures Data'!$E$5:$E$3471,'Futures Data'!$A$5:$A$3471,A521,'Futures Data'!$B$5:$B$3471,C521)</f>
        <v>25150</v>
      </c>
      <c r="F521" s="11" t="n">
        <f aca="false">_xlfn.MINIFS('Futures Data'!$B$5:$B$3471,'Futures Data'!$A$5:$A$3471,A521,'Futures Data'!$B$5:$B$3471,"&gt;"&amp;C521)</f>
        <v>45950</v>
      </c>
      <c r="G521" s="3" t="n">
        <f aca="false">SUMIFS('Futures Data'!$E$5:$E$3471,'Futures Data'!$A$5:$A$3471,A521,'Futures Data'!$B$5:$B$3471,F521)</f>
        <v>11945</v>
      </c>
      <c r="H521" s="9" t="b">
        <f aca="false">G521&gt;E521</f>
        <v>0</v>
      </c>
      <c r="I521" s="9" t="b">
        <f aca="false">C521&lt;&gt;B521</f>
        <v>0</v>
      </c>
      <c r="J521" s="3" t="n">
        <f aca="false">SUMIFS('Futures Data'!$C$5:$C$3471,'Futures Data'!$A$5:$A$3471,A521,'Futures Data'!$B$5:$B$3471,B521)</f>
        <v>6671</v>
      </c>
      <c r="K521" s="3" t="n">
        <f aca="false">SUMIFS('Futures Data'!$C$5:$C$3471,'Futures Data'!$A$5:$A$3471,A521,'Futures Data'!$B$5:$B$3471,C521)</f>
        <v>6671</v>
      </c>
      <c r="L521" s="3" t="n">
        <f aca="false">K521-J521</f>
        <v>0</v>
      </c>
      <c r="M521" s="3" t="n">
        <f aca="false">M522+L521</f>
        <v>932</v>
      </c>
      <c r="N521" s="3" t="n">
        <f aca="false">J521+M521</f>
        <v>7603</v>
      </c>
      <c r="O521" s="13" t="n">
        <f aca="false">LN(J521/K520)</f>
        <v>-0.00344182906175655</v>
      </c>
      <c r="P521" s="13" t="n">
        <f aca="false">LN(N521/N520)</f>
        <v>-0.00302055518907244</v>
      </c>
      <c r="Q521" s="3" t="n">
        <f aca="false">SUMIFS('Futures Data'!$D$5:$D$3471,'Futures Data'!$A$5:$A$3471,A521,'Futures Data'!$B$5:$B$3471,B521)</f>
        <v>3345</v>
      </c>
      <c r="R521" s="7" t="n">
        <v>45919</v>
      </c>
      <c r="S521" s="9" t="b">
        <f aca="false">C521=R521</f>
        <v>1</v>
      </c>
      <c r="T521" s="9" t="b">
        <f aca="false">ABS(O521-LN(J521/SUMIFS('Futures Data'!$C$5:$C$3471,'Futures Data'!$A$5:$A$3471,A520,'Futures Data'!$B$5:$B$3471,B521)))&lt;0.000000001</f>
        <v>1</v>
      </c>
    </row>
    <row r="522" customFormat="false" ht="15" hidden="false" customHeight="false" outlineLevel="0" collapsed="false">
      <c r="A522" s="7" t="n">
        <v>45897</v>
      </c>
      <c r="B522" s="11" t="n">
        <f aca="false">C521</f>
        <v>45919</v>
      </c>
      <c r="C522" s="11" t="n">
        <f aca="false">IF(OR(H521,D522&lt;=$G$4),_xlfn.MINIFS('Futures Data'!$B$5:$B$3471,'Futures Data'!$A$5:$A$3471,A522,'Futures Data'!$B$5:$B$3471,"&gt;"&amp;B522),B522)</f>
        <v>45919</v>
      </c>
      <c r="D522" s="3" t="n">
        <f aca="false">COUNTIFS($A$47:$A$790,"&gt;"&amp;A522,$A$47:$A$790,"&lt;="&amp;B522)+IF(B522&gt;$G$5,NETWORKDAYS($G$5+1,B522),0)</f>
        <v>16</v>
      </c>
      <c r="E522" s="3" t="n">
        <f aca="false">SUMIFS('Futures Data'!$E$5:$E$3471,'Futures Data'!$A$5:$A$3471,A522,'Futures Data'!$B$5:$B$3471,C522)</f>
        <v>24275</v>
      </c>
      <c r="F522" s="11" t="n">
        <f aca="false">_xlfn.MINIFS('Futures Data'!$B$5:$B$3471,'Futures Data'!$A$5:$A$3471,A522,'Futures Data'!$B$5:$B$3471,"&gt;"&amp;C522)</f>
        <v>45950</v>
      </c>
      <c r="G522" s="3" t="n">
        <f aca="false">SUMIFS('Futures Data'!$E$5:$E$3471,'Futures Data'!$A$5:$A$3471,A522,'Futures Data'!$B$5:$B$3471,F522)</f>
        <v>13015</v>
      </c>
      <c r="H522" s="9" t="b">
        <f aca="false">G522&gt;E522</f>
        <v>0</v>
      </c>
      <c r="I522" s="9" t="b">
        <f aca="false">C522&lt;&gt;B522</f>
        <v>0</v>
      </c>
      <c r="J522" s="3" t="n">
        <f aca="false">SUMIFS('Futures Data'!$C$5:$C$3471,'Futures Data'!$A$5:$A$3471,A522,'Futures Data'!$B$5:$B$3471,B522)</f>
        <v>6631</v>
      </c>
      <c r="K522" s="3" t="n">
        <f aca="false">SUMIFS('Futures Data'!$C$5:$C$3471,'Futures Data'!$A$5:$A$3471,A522,'Futures Data'!$B$5:$B$3471,C522)</f>
        <v>6631</v>
      </c>
      <c r="L522" s="3" t="n">
        <f aca="false">K522-J522</f>
        <v>0</v>
      </c>
      <c r="M522" s="3" t="n">
        <f aca="false">M523+L522</f>
        <v>932</v>
      </c>
      <c r="N522" s="3" t="n">
        <f aca="false">J522+M522</f>
        <v>7563</v>
      </c>
      <c r="O522" s="13" t="n">
        <f aca="false">LN(J522/K521)</f>
        <v>-0.00601415134064784</v>
      </c>
      <c r="P522" s="13" t="n">
        <f aca="false">LN(N522/N521)</f>
        <v>-0.00527496937240718</v>
      </c>
      <c r="Q522" s="3" t="n">
        <f aca="false">SUMIFS('Futures Data'!$D$5:$D$3471,'Futures Data'!$A$5:$A$3471,A522,'Futures Data'!$B$5:$B$3471,B522)</f>
        <v>3615</v>
      </c>
      <c r="R522" s="7" t="n">
        <v>45919</v>
      </c>
      <c r="S522" s="9" t="b">
        <f aca="false">C522=R522</f>
        <v>1</v>
      </c>
      <c r="T522" s="9" t="b">
        <f aca="false">ABS(O522-LN(J522/SUMIFS('Futures Data'!$C$5:$C$3471,'Futures Data'!$A$5:$A$3471,A521,'Futures Data'!$B$5:$B$3471,B522)))&lt;0.000000001</f>
        <v>1</v>
      </c>
    </row>
    <row r="523" customFormat="false" ht="15" hidden="false" customHeight="false" outlineLevel="0" collapsed="false">
      <c r="A523" s="7" t="n">
        <v>45898</v>
      </c>
      <c r="B523" s="11" t="n">
        <f aca="false">C522</f>
        <v>45919</v>
      </c>
      <c r="C523" s="11" t="n">
        <f aca="false">IF(OR(H522,D523&lt;=$G$4),_xlfn.MINIFS('Futures Data'!$B$5:$B$3471,'Futures Data'!$A$5:$A$3471,A523,'Futures Data'!$B$5:$B$3471,"&gt;"&amp;B523),B523)</f>
        <v>45919</v>
      </c>
      <c r="D523" s="3" t="n">
        <f aca="false">COUNTIFS($A$47:$A$790,"&gt;"&amp;A523,$A$47:$A$790,"&lt;="&amp;B523)+IF(B523&gt;$G$5,NETWORKDAYS($G$5+1,B523),0)</f>
        <v>15</v>
      </c>
      <c r="E523" s="3" t="n">
        <f aca="false">SUMIFS('Futures Data'!$E$5:$E$3471,'Futures Data'!$A$5:$A$3471,A523,'Futures Data'!$B$5:$B$3471,C523)</f>
        <v>24015</v>
      </c>
      <c r="F523" s="11" t="n">
        <f aca="false">_xlfn.MINIFS('Futures Data'!$B$5:$B$3471,'Futures Data'!$A$5:$A$3471,A523,'Futures Data'!$B$5:$B$3471,"&gt;"&amp;C523)</f>
        <v>45950</v>
      </c>
      <c r="G523" s="3" t="n">
        <f aca="false">SUMIFS('Futures Data'!$E$5:$E$3471,'Futures Data'!$A$5:$A$3471,A523,'Futures Data'!$B$5:$B$3471,F523)</f>
        <v>13790</v>
      </c>
      <c r="H523" s="9" t="b">
        <f aca="false">G523&gt;E523</f>
        <v>0</v>
      </c>
      <c r="I523" s="9" t="b">
        <f aca="false">C523&lt;&gt;B523</f>
        <v>0</v>
      </c>
      <c r="J523" s="3" t="n">
        <f aca="false">SUMIFS('Futures Data'!$C$5:$C$3471,'Futures Data'!$A$5:$A$3471,A523,'Futures Data'!$B$5:$B$3471,B523)</f>
        <v>6625</v>
      </c>
      <c r="K523" s="3" t="n">
        <f aca="false">SUMIFS('Futures Data'!$C$5:$C$3471,'Futures Data'!$A$5:$A$3471,A523,'Futures Data'!$B$5:$B$3471,C523)</f>
        <v>6625</v>
      </c>
      <c r="L523" s="3" t="n">
        <f aca="false">K523-J523</f>
        <v>0</v>
      </c>
      <c r="M523" s="3" t="n">
        <f aca="false">M524+L523</f>
        <v>932</v>
      </c>
      <c r="N523" s="3" t="n">
        <f aca="false">J523+M523</f>
        <v>7557</v>
      </c>
      <c r="O523" s="13" t="n">
        <f aca="false">LN(J523/K522)</f>
        <v>-0.00090525051444464</v>
      </c>
      <c r="P523" s="13" t="n">
        <f aca="false">LN(N523/N522)</f>
        <v>-0.000793650835309675</v>
      </c>
      <c r="Q523" s="3" t="n">
        <f aca="false">SUMIFS('Futures Data'!$D$5:$D$3471,'Futures Data'!$A$5:$A$3471,A523,'Futures Data'!$B$5:$B$3471,B523)</f>
        <v>2350</v>
      </c>
      <c r="R523" s="7" t="n">
        <v>45919</v>
      </c>
      <c r="S523" s="9" t="b">
        <f aca="false">C523=R523</f>
        <v>1</v>
      </c>
      <c r="T523" s="9" t="b">
        <f aca="false">ABS(O523-LN(J523/SUMIFS('Futures Data'!$C$5:$C$3471,'Futures Data'!$A$5:$A$3471,A522,'Futures Data'!$B$5:$B$3471,B523)))&lt;0.000000001</f>
        <v>1</v>
      </c>
    </row>
    <row r="524" customFormat="false" ht="15" hidden="false" customHeight="false" outlineLevel="0" collapsed="false">
      <c r="A524" s="7" t="n">
        <v>45901</v>
      </c>
      <c r="B524" s="11" t="n">
        <f aca="false">C523</f>
        <v>45919</v>
      </c>
      <c r="C524" s="11" t="n">
        <f aca="false">IF(OR(H523,D524&lt;=$G$4),_xlfn.MINIFS('Futures Data'!$B$5:$B$3471,'Futures Data'!$A$5:$A$3471,A524,'Futures Data'!$B$5:$B$3471,"&gt;"&amp;B524),B524)</f>
        <v>45919</v>
      </c>
      <c r="D524" s="3" t="n">
        <f aca="false">COUNTIFS($A$47:$A$790,"&gt;"&amp;A524,$A$47:$A$790,"&lt;="&amp;B524)+IF(B524&gt;$G$5,NETWORKDAYS($G$5+1,B524),0)</f>
        <v>14</v>
      </c>
      <c r="E524" s="3" t="n">
        <f aca="false">SUMIFS('Futures Data'!$E$5:$E$3471,'Futures Data'!$A$5:$A$3471,A524,'Futures Data'!$B$5:$B$3471,C524)</f>
        <v>21905</v>
      </c>
      <c r="F524" s="11" t="n">
        <f aca="false">_xlfn.MINIFS('Futures Data'!$B$5:$B$3471,'Futures Data'!$A$5:$A$3471,A524,'Futures Data'!$B$5:$B$3471,"&gt;"&amp;C524)</f>
        <v>45950</v>
      </c>
      <c r="G524" s="3" t="n">
        <f aca="false">SUMIFS('Futures Data'!$E$5:$E$3471,'Futures Data'!$A$5:$A$3471,A524,'Futures Data'!$B$5:$B$3471,F524)</f>
        <v>15560</v>
      </c>
      <c r="H524" s="9" t="b">
        <f aca="false">G524&gt;E524</f>
        <v>0</v>
      </c>
      <c r="I524" s="9" t="b">
        <f aca="false">C524&lt;&gt;B524</f>
        <v>0</v>
      </c>
      <c r="J524" s="3" t="n">
        <f aca="false">SUMIFS('Futures Data'!$C$5:$C$3471,'Futures Data'!$A$5:$A$3471,A524,'Futures Data'!$B$5:$B$3471,B524)</f>
        <v>6570</v>
      </c>
      <c r="K524" s="3" t="n">
        <f aca="false">SUMIFS('Futures Data'!$C$5:$C$3471,'Futures Data'!$A$5:$A$3471,A524,'Futures Data'!$B$5:$B$3471,C524)</f>
        <v>6570</v>
      </c>
      <c r="L524" s="3" t="n">
        <f aca="false">K524-J524</f>
        <v>0</v>
      </c>
      <c r="M524" s="3" t="n">
        <f aca="false">M525+L524</f>
        <v>932</v>
      </c>
      <c r="N524" s="3" t="n">
        <f aca="false">J524+M524</f>
        <v>7502</v>
      </c>
      <c r="O524" s="13" t="n">
        <f aca="false">LN(J524/K523)</f>
        <v>-0.00833653937576674</v>
      </c>
      <c r="P524" s="13" t="n">
        <f aca="false">LN(N524/N523)</f>
        <v>-0.00730463437888722</v>
      </c>
      <c r="Q524" s="3" t="n">
        <f aca="false">SUMIFS('Futures Data'!$D$5:$D$3471,'Futures Data'!$A$5:$A$3471,A524,'Futures Data'!$B$5:$B$3471,B524)</f>
        <v>5410</v>
      </c>
      <c r="R524" s="7" t="n">
        <v>45919</v>
      </c>
      <c r="S524" s="9" t="b">
        <f aca="false">C524=R524</f>
        <v>1</v>
      </c>
      <c r="T524" s="9" t="b">
        <f aca="false">ABS(O524-LN(J524/SUMIFS('Futures Data'!$C$5:$C$3471,'Futures Data'!$A$5:$A$3471,A523,'Futures Data'!$B$5:$B$3471,B524)))&lt;0.000000001</f>
        <v>1</v>
      </c>
    </row>
    <row r="525" customFormat="false" ht="15" hidden="false" customHeight="false" outlineLevel="0" collapsed="false">
      <c r="A525" s="7" t="n">
        <v>45902</v>
      </c>
      <c r="B525" s="11" t="n">
        <f aca="false">C524</f>
        <v>45919</v>
      </c>
      <c r="C525" s="11" t="n">
        <f aca="false">IF(OR(H524,D525&lt;=$G$4),_xlfn.MINIFS('Futures Data'!$B$5:$B$3471,'Futures Data'!$A$5:$A$3471,A525,'Futures Data'!$B$5:$B$3471,"&gt;"&amp;B525),B525)</f>
        <v>45919</v>
      </c>
      <c r="D525" s="3" t="n">
        <f aca="false">COUNTIFS($A$47:$A$790,"&gt;"&amp;A525,$A$47:$A$790,"&lt;="&amp;B525)+IF(B525&gt;$G$5,NETWORKDAYS($G$5+1,B525),0)</f>
        <v>13</v>
      </c>
      <c r="E525" s="3" t="n">
        <f aca="false">SUMIFS('Futures Data'!$E$5:$E$3471,'Futures Data'!$A$5:$A$3471,A525,'Futures Data'!$B$5:$B$3471,C525)</f>
        <v>19620</v>
      </c>
      <c r="F525" s="11" t="n">
        <f aca="false">_xlfn.MINIFS('Futures Data'!$B$5:$B$3471,'Futures Data'!$A$5:$A$3471,A525,'Futures Data'!$B$5:$B$3471,"&gt;"&amp;C525)</f>
        <v>45950</v>
      </c>
      <c r="G525" s="3" t="n">
        <f aca="false">SUMIFS('Futures Data'!$E$5:$E$3471,'Futures Data'!$A$5:$A$3471,A525,'Futures Data'!$B$5:$B$3471,F525)</f>
        <v>17700</v>
      </c>
      <c r="H525" s="9" t="b">
        <f aca="false">G525&gt;E525</f>
        <v>0</v>
      </c>
      <c r="I525" s="9" t="b">
        <f aca="false">C525&lt;&gt;B525</f>
        <v>0</v>
      </c>
      <c r="J525" s="3" t="n">
        <f aca="false">SUMIFS('Futures Data'!$C$5:$C$3471,'Futures Data'!$A$5:$A$3471,A525,'Futures Data'!$B$5:$B$3471,B525)</f>
        <v>6576</v>
      </c>
      <c r="K525" s="3" t="n">
        <f aca="false">SUMIFS('Futures Data'!$C$5:$C$3471,'Futures Data'!$A$5:$A$3471,A525,'Futures Data'!$B$5:$B$3471,C525)</f>
        <v>6576</v>
      </c>
      <c r="L525" s="3" t="n">
        <f aca="false">K525-J525</f>
        <v>0</v>
      </c>
      <c r="M525" s="3" t="n">
        <f aca="false">M526+L525</f>
        <v>932</v>
      </c>
      <c r="N525" s="3" t="n">
        <f aca="false">J525+M525</f>
        <v>7508</v>
      </c>
      <c r="O525" s="13" t="n">
        <f aca="false">LN(J525/K524)</f>
        <v>0.000912825257359682</v>
      </c>
      <c r="P525" s="13" t="n">
        <f aca="false">LN(N525/N524)</f>
        <v>0.000799467064566713</v>
      </c>
      <c r="Q525" s="3" t="n">
        <f aca="false">SUMIFS('Futures Data'!$D$5:$D$3471,'Futures Data'!$A$5:$A$3471,A525,'Futures Data'!$B$5:$B$3471,B525)</f>
        <v>3645</v>
      </c>
      <c r="R525" s="7" t="n">
        <v>45919</v>
      </c>
      <c r="S525" s="9" t="b">
        <f aca="false">C525=R525</f>
        <v>1</v>
      </c>
      <c r="T525" s="9" t="b">
        <f aca="false">ABS(O525-LN(J525/SUMIFS('Futures Data'!$C$5:$C$3471,'Futures Data'!$A$5:$A$3471,A524,'Futures Data'!$B$5:$B$3471,B525)))&lt;0.000000001</f>
        <v>1</v>
      </c>
    </row>
    <row r="526" customFormat="false" ht="15" hidden="false" customHeight="false" outlineLevel="0" collapsed="false">
      <c r="A526" s="7" t="n">
        <v>45903</v>
      </c>
      <c r="B526" s="11" t="n">
        <f aca="false">C525</f>
        <v>45919</v>
      </c>
      <c r="C526" s="11" t="n">
        <f aca="false">IF(OR(H525,D526&lt;=$G$4),_xlfn.MINIFS('Futures Data'!$B$5:$B$3471,'Futures Data'!$A$5:$A$3471,A526,'Futures Data'!$B$5:$B$3471,"&gt;"&amp;B526),B526)</f>
        <v>45919</v>
      </c>
      <c r="D526" s="3" t="n">
        <f aca="false">COUNTIFS($A$47:$A$790,"&gt;"&amp;A526,$A$47:$A$790,"&lt;="&amp;B526)+IF(B526&gt;$G$5,NETWORKDAYS($G$5+1,B526),0)</f>
        <v>12</v>
      </c>
      <c r="E526" s="3" t="n">
        <f aca="false">SUMIFS('Futures Data'!$E$5:$E$3471,'Futures Data'!$A$5:$A$3471,A526,'Futures Data'!$B$5:$B$3471,C526)</f>
        <v>18165</v>
      </c>
      <c r="F526" s="11" t="n">
        <f aca="false">_xlfn.MINIFS('Futures Data'!$B$5:$B$3471,'Futures Data'!$A$5:$A$3471,A526,'Futures Data'!$B$5:$B$3471,"&gt;"&amp;C526)</f>
        <v>45950</v>
      </c>
      <c r="G526" s="3" t="n">
        <f aca="false">SUMIFS('Futures Data'!$E$5:$E$3471,'Futures Data'!$A$5:$A$3471,A526,'Futures Data'!$B$5:$B$3471,F526)</f>
        <v>18950</v>
      </c>
      <c r="H526" s="9" t="b">
        <f aca="false">G526&gt;E526</f>
        <v>1</v>
      </c>
      <c r="I526" s="9" t="b">
        <f aca="false">C526&lt;&gt;B526</f>
        <v>0</v>
      </c>
      <c r="J526" s="3" t="n">
        <f aca="false">SUMIFS('Futures Data'!$C$5:$C$3471,'Futures Data'!$A$5:$A$3471,A526,'Futures Data'!$B$5:$B$3471,B526)</f>
        <v>6619</v>
      </c>
      <c r="K526" s="3" t="n">
        <f aca="false">SUMIFS('Futures Data'!$C$5:$C$3471,'Futures Data'!$A$5:$A$3471,A526,'Futures Data'!$B$5:$B$3471,C526)</f>
        <v>6619</v>
      </c>
      <c r="L526" s="3" t="n">
        <f aca="false">K526-J526</f>
        <v>0</v>
      </c>
      <c r="M526" s="3" t="n">
        <f aca="false">M527+L526</f>
        <v>932</v>
      </c>
      <c r="N526" s="3" t="n">
        <f aca="false">J526+M526</f>
        <v>7551</v>
      </c>
      <c r="O526" s="13" t="n">
        <f aca="false">LN(J526/K525)</f>
        <v>0.00651764338290691</v>
      </c>
      <c r="P526" s="13" t="n">
        <f aca="false">LN(N526/N525)</f>
        <v>0.00571088609702605</v>
      </c>
      <c r="Q526" s="3" t="n">
        <f aca="false">SUMIFS('Futures Data'!$D$5:$D$3471,'Futures Data'!$A$5:$A$3471,A526,'Futures Data'!$B$5:$B$3471,B526)</f>
        <v>2785</v>
      </c>
      <c r="R526" s="7" t="n">
        <v>45919</v>
      </c>
      <c r="S526" s="9" t="b">
        <f aca="false">C526=R526</f>
        <v>1</v>
      </c>
      <c r="T526" s="9" t="b">
        <f aca="false">ABS(O526-LN(J526/SUMIFS('Futures Data'!$C$5:$C$3471,'Futures Data'!$A$5:$A$3471,A525,'Futures Data'!$B$5:$B$3471,B526)))&lt;0.000000001</f>
        <v>1</v>
      </c>
    </row>
    <row r="527" customFormat="false" ht="15" hidden="false" customHeight="false" outlineLevel="0" collapsed="false">
      <c r="A527" s="7" t="n">
        <v>45904</v>
      </c>
      <c r="B527" s="11" t="n">
        <f aca="false">C526</f>
        <v>45919</v>
      </c>
      <c r="C527" s="11" t="n">
        <f aca="false">IF(OR(H526,D527&lt;=$G$4),_xlfn.MINIFS('Futures Data'!$B$5:$B$3471,'Futures Data'!$A$5:$A$3471,A527,'Futures Data'!$B$5:$B$3471,"&gt;"&amp;B527),B527)</f>
        <v>45950</v>
      </c>
      <c r="D527" s="3" t="n">
        <f aca="false">COUNTIFS($A$47:$A$790,"&gt;"&amp;A527,$A$47:$A$790,"&lt;="&amp;B527)+IF(B527&gt;$G$5,NETWORKDAYS($G$5+1,B527),0)</f>
        <v>11</v>
      </c>
      <c r="E527" s="3" t="n">
        <f aca="false">SUMIFS('Futures Data'!$E$5:$E$3471,'Futures Data'!$A$5:$A$3471,A527,'Futures Data'!$B$5:$B$3471,C527)</f>
        <v>20560</v>
      </c>
      <c r="F527" s="11" t="n">
        <f aca="false">_xlfn.MINIFS('Futures Data'!$B$5:$B$3471,'Futures Data'!$A$5:$A$3471,A527,'Futures Data'!$B$5:$B$3471,"&gt;"&amp;C527)</f>
        <v>45981</v>
      </c>
      <c r="G527" s="3" t="n">
        <f aca="false">SUMIFS('Futures Data'!$E$5:$E$3471,'Futures Data'!$A$5:$A$3471,A527,'Futures Data'!$B$5:$B$3471,F527)</f>
        <v>10</v>
      </c>
      <c r="H527" s="9" t="b">
        <f aca="false">G527&gt;E527</f>
        <v>0</v>
      </c>
      <c r="I527" s="9" t="b">
        <f aca="false">C527&lt;&gt;B527</f>
        <v>1</v>
      </c>
      <c r="J527" s="3" t="n">
        <f aca="false">SUMIFS('Futures Data'!$C$5:$C$3471,'Futures Data'!$A$5:$A$3471,A527,'Futures Data'!$B$5:$B$3471,B527)</f>
        <v>6622</v>
      </c>
      <c r="K527" s="3" t="n">
        <f aca="false">SUMIFS('Futures Data'!$C$5:$C$3471,'Futures Data'!$A$5:$A$3471,A527,'Futures Data'!$B$5:$B$3471,C527)</f>
        <v>6685</v>
      </c>
      <c r="L527" s="3" t="n">
        <f aca="false">K527-J527</f>
        <v>63</v>
      </c>
      <c r="M527" s="3" t="n">
        <f aca="false">M528+L527</f>
        <v>932</v>
      </c>
      <c r="N527" s="3" t="n">
        <f aca="false">J527+M527</f>
        <v>7554</v>
      </c>
      <c r="O527" s="13" t="n">
        <f aca="false">LN(J527/K526)</f>
        <v>0.000453137988268813</v>
      </c>
      <c r="P527" s="13" t="n">
        <f aca="false">LN(N527/N526)</f>
        <v>0.000397219468976644</v>
      </c>
      <c r="Q527" s="3" t="n">
        <f aca="false">SUMIFS('Futures Data'!$D$5:$D$3471,'Futures Data'!$A$5:$A$3471,A527,'Futures Data'!$B$5:$B$3471,B527)</f>
        <v>2765</v>
      </c>
      <c r="R527" s="7" t="n">
        <v>45950</v>
      </c>
      <c r="S527" s="9" t="b">
        <f aca="false">C527=R527</f>
        <v>1</v>
      </c>
      <c r="T527" s="9" t="b">
        <f aca="false">ABS(O527-LN(J527/SUMIFS('Futures Data'!$C$5:$C$3471,'Futures Data'!$A$5:$A$3471,A526,'Futures Data'!$B$5:$B$3471,B527)))&lt;0.000000001</f>
        <v>1</v>
      </c>
    </row>
    <row r="528" customFormat="false" ht="15" hidden="false" customHeight="false" outlineLevel="0" collapsed="false">
      <c r="A528" s="7" t="n">
        <v>45905</v>
      </c>
      <c r="B528" s="11" t="n">
        <f aca="false">C527</f>
        <v>45950</v>
      </c>
      <c r="C528" s="11" t="n">
        <f aca="false">IF(OR(H527,D528&lt;=$G$4),_xlfn.MINIFS('Futures Data'!$B$5:$B$3471,'Futures Data'!$A$5:$A$3471,A528,'Futures Data'!$B$5:$B$3471,"&gt;"&amp;B528),B528)</f>
        <v>45950</v>
      </c>
      <c r="D528" s="3" t="n">
        <f aca="false">COUNTIFS($A$47:$A$790,"&gt;"&amp;A528,$A$47:$A$790,"&lt;="&amp;B528)+IF(B528&gt;$G$5,NETWORKDAYS($G$5+1,B528),0)</f>
        <v>30</v>
      </c>
      <c r="E528" s="3" t="n">
        <f aca="false">SUMIFS('Futures Data'!$E$5:$E$3471,'Futures Data'!$A$5:$A$3471,A528,'Futures Data'!$B$5:$B$3471,C528)</f>
        <v>23150</v>
      </c>
      <c r="F528" s="11" t="n">
        <f aca="false">_xlfn.MINIFS('Futures Data'!$B$5:$B$3471,'Futures Data'!$A$5:$A$3471,A528,'Futures Data'!$B$5:$B$3471,"&gt;"&amp;C528)</f>
        <v>45981</v>
      </c>
      <c r="G528" s="3" t="n">
        <f aca="false">SUMIFS('Futures Data'!$E$5:$E$3471,'Futures Data'!$A$5:$A$3471,A528,'Futures Data'!$B$5:$B$3471,F528)</f>
        <v>50</v>
      </c>
      <c r="H528" s="9" t="b">
        <f aca="false">G528&gt;E528</f>
        <v>0</v>
      </c>
      <c r="I528" s="9" t="b">
        <f aca="false">C528&lt;&gt;B528</f>
        <v>0</v>
      </c>
      <c r="J528" s="3" t="n">
        <f aca="false">SUMIFS('Futures Data'!$C$5:$C$3471,'Futures Data'!$A$5:$A$3471,A528,'Futures Data'!$B$5:$B$3471,B528)</f>
        <v>6651</v>
      </c>
      <c r="K528" s="3" t="n">
        <f aca="false">SUMIFS('Futures Data'!$C$5:$C$3471,'Futures Data'!$A$5:$A$3471,A528,'Futures Data'!$B$5:$B$3471,C528)</f>
        <v>6651</v>
      </c>
      <c r="L528" s="3" t="n">
        <f aca="false">K528-J528</f>
        <v>0</v>
      </c>
      <c r="M528" s="3" t="n">
        <f aca="false">M529+L528</f>
        <v>869</v>
      </c>
      <c r="N528" s="3" t="n">
        <f aca="false">J528+M528</f>
        <v>7520</v>
      </c>
      <c r="O528" s="13" t="n">
        <f aca="false">LN(J528/K527)</f>
        <v>-0.00509899125162235</v>
      </c>
      <c r="P528" s="13" t="n">
        <f aca="false">LN(N528/N527)</f>
        <v>-0.00451108632851667</v>
      </c>
      <c r="Q528" s="3" t="n">
        <f aca="false">SUMIFS('Futures Data'!$D$5:$D$3471,'Futures Data'!$A$5:$A$3471,A528,'Futures Data'!$B$5:$B$3471,B528)</f>
        <v>4430</v>
      </c>
      <c r="R528" s="7" t="n">
        <v>45950</v>
      </c>
      <c r="S528" s="9" t="b">
        <f aca="false">C528=R528</f>
        <v>1</v>
      </c>
      <c r="T528" s="9" t="b">
        <f aca="false">ABS(O528-LN(J528/SUMIFS('Futures Data'!$C$5:$C$3471,'Futures Data'!$A$5:$A$3471,A527,'Futures Data'!$B$5:$B$3471,B528)))&lt;0.000000001</f>
        <v>1</v>
      </c>
    </row>
    <row r="529" customFormat="false" ht="15" hidden="false" customHeight="false" outlineLevel="0" collapsed="false">
      <c r="A529" s="7" t="n">
        <v>45908</v>
      </c>
      <c r="B529" s="11" t="n">
        <f aca="false">C528</f>
        <v>45950</v>
      </c>
      <c r="C529" s="11" t="n">
        <f aca="false">IF(OR(H528,D529&lt;=$G$4),_xlfn.MINIFS('Futures Data'!$B$5:$B$3471,'Futures Data'!$A$5:$A$3471,A529,'Futures Data'!$B$5:$B$3471,"&gt;"&amp;B529),B529)</f>
        <v>45950</v>
      </c>
      <c r="D529" s="3" t="n">
        <f aca="false">COUNTIFS($A$47:$A$790,"&gt;"&amp;A529,$A$47:$A$790,"&lt;="&amp;B529)+IF(B529&gt;$G$5,NETWORKDAYS($G$5+1,B529),0)</f>
        <v>29</v>
      </c>
      <c r="E529" s="3" t="n">
        <f aca="false">SUMIFS('Futures Data'!$E$5:$E$3471,'Futures Data'!$A$5:$A$3471,A529,'Futures Data'!$B$5:$B$3471,C529)</f>
        <v>24810</v>
      </c>
      <c r="F529" s="11" t="n">
        <f aca="false">_xlfn.MINIFS('Futures Data'!$B$5:$B$3471,'Futures Data'!$A$5:$A$3471,A529,'Futures Data'!$B$5:$B$3471,"&gt;"&amp;C529)</f>
        <v>45981</v>
      </c>
      <c r="G529" s="3" t="n">
        <f aca="false">SUMIFS('Futures Data'!$E$5:$E$3471,'Futures Data'!$A$5:$A$3471,A529,'Futures Data'!$B$5:$B$3471,F529)</f>
        <v>65</v>
      </c>
      <c r="H529" s="9" t="b">
        <f aca="false">G529&gt;E529</f>
        <v>0</v>
      </c>
      <c r="I529" s="9" t="b">
        <f aca="false">C529&lt;&gt;B529</f>
        <v>0</v>
      </c>
      <c r="J529" s="3" t="n">
        <f aca="false">SUMIFS('Futures Data'!$C$5:$C$3471,'Futures Data'!$A$5:$A$3471,A529,'Futures Data'!$B$5:$B$3471,B529)</f>
        <v>6676</v>
      </c>
      <c r="K529" s="3" t="n">
        <f aca="false">SUMIFS('Futures Data'!$C$5:$C$3471,'Futures Data'!$A$5:$A$3471,A529,'Futures Data'!$B$5:$B$3471,C529)</f>
        <v>6676</v>
      </c>
      <c r="L529" s="3" t="n">
        <f aca="false">K529-J529</f>
        <v>0</v>
      </c>
      <c r="M529" s="3" t="n">
        <f aca="false">M530+L529</f>
        <v>869</v>
      </c>
      <c r="N529" s="3" t="n">
        <f aca="false">J529+M529</f>
        <v>7545</v>
      </c>
      <c r="O529" s="13" t="n">
        <f aca="false">LN(J529/K528)</f>
        <v>0.00375178649730449</v>
      </c>
      <c r="P529" s="13" t="n">
        <f aca="false">LN(N529/N528)</f>
        <v>0.00331895425806372</v>
      </c>
      <c r="Q529" s="3" t="n">
        <f aca="false">SUMIFS('Futures Data'!$D$5:$D$3471,'Futures Data'!$A$5:$A$3471,A529,'Futures Data'!$B$5:$B$3471,B529)</f>
        <v>4355</v>
      </c>
      <c r="R529" s="7" t="n">
        <v>45950</v>
      </c>
      <c r="S529" s="9" t="b">
        <f aca="false">C529=R529</f>
        <v>1</v>
      </c>
      <c r="T529" s="9" t="b">
        <f aca="false">ABS(O529-LN(J529/SUMIFS('Futures Data'!$C$5:$C$3471,'Futures Data'!$A$5:$A$3471,A528,'Futures Data'!$B$5:$B$3471,B529)))&lt;0.000000001</f>
        <v>1</v>
      </c>
    </row>
    <row r="530" customFormat="false" ht="15" hidden="false" customHeight="false" outlineLevel="0" collapsed="false">
      <c r="A530" s="7" t="n">
        <v>45909</v>
      </c>
      <c r="B530" s="11" t="n">
        <f aca="false">C529</f>
        <v>45950</v>
      </c>
      <c r="C530" s="11" t="n">
        <f aca="false">IF(OR(H529,D530&lt;=$G$4),_xlfn.MINIFS('Futures Data'!$B$5:$B$3471,'Futures Data'!$A$5:$A$3471,A530,'Futures Data'!$B$5:$B$3471,"&gt;"&amp;B530),B530)</f>
        <v>45950</v>
      </c>
      <c r="D530" s="3" t="n">
        <f aca="false">COUNTIFS($A$47:$A$790,"&gt;"&amp;A530,$A$47:$A$790,"&lt;="&amp;B530)+IF(B530&gt;$G$5,NETWORKDAYS($G$5+1,B530),0)</f>
        <v>28</v>
      </c>
      <c r="E530" s="3" t="n">
        <f aca="false">SUMIFS('Futures Data'!$E$5:$E$3471,'Futures Data'!$A$5:$A$3471,A530,'Futures Data'!$B$5:$B$3471,C530)</f>
        <v>26425</v>
      </c>
      <c r="F530" s="11" t="n">
        <f aca="false">_xlfn.MINIFS('Futures Data'!$B$5:$B$3471,'Futures Data'!$A$5:$A$3471,A530,'Futures Data'!$B$5:$B$3471,"&gt;"&amp;C530)</f>
        <v>45981</v>
      </c>
      <c r="G530" s="3" t="n">
        <f aca="false">SUMIFS('Futures Data'!$E$5:$E$3471,'Futures Data'!$A$5:$A$3471,A530,'Futures Data'!$B$5:$B$3471,F530)</f>
        <v>65</v>
      </c>
      <c r="H530" s="9" t="b">
        <f aca="false">G530&gt;E530</f>
        <v>0</v>
      </c>
      <c r="I530" s="9" t="b">
        <f aca="false">C530&lt;&gt;B530</f>
        <v>0</v>
      </c>
      <c r="J530" s="3" t="n">
        <f aca="false">SUMIFS('Futures Data'!$C$5:$C$3471,'Futures Data'!$A$5:$A$3471,A530,'Futures Data'!$B$5:$B$3471,B530)</f>
        <v>6678</v>
      </c>
      <c r="K530" s="3" t="n">
        <f aca="false">SUMIFS('Futures Data'!$C$5:$C$3471,'Futures Data'!$A$5:$A$3471,A530,'Futures Data'!$B$5:$B$3471,C530)</f>
        <v>6678</v>
      </c>
      <c r="L530" s="3" t="n">
        <f aca="false">K530-J530</f>
        <v>0</v>
      </c>
      <c r="M530" s="3" t="n">
        <f aca="false">M531+L530</f>
        <v>869</v>
      </c>
      <c r="N530" s="3" t="n">
        <f aca="false">J530+M530</f>
        <v>7547</v>
      </c>
      <c r="O530" s="13" t="n">
        <f aca="false">LN(J530/K529)</f>
        <v>0.000299535721874124</v>
      </c>
      <c r="P530" s="13" t="n">
        <f aca="false">LN(N530/N529)</f>
        <v>0.000265041082919228</v>
      </c>
      <c r="Q530" s="3" t="n">
        <f aca="false">SUMIFS('Futures Data'!$D$5:$D$3471,'Futures Data'!$A$5:$A$3471,A530,'Futures Data'!$B$5:$B$3471,B530)</f>
        <v>4750</v>
      </c>
      <c r="R530" s="7" t="n">
        <v>45950</v>
      </c>
      <c r="S530" s="9" t="b">
        <f aca="false">C530=R530</f>
        <v>1</v>
      </c>
      <c r="T530" s="9" t="b">
        <f aca="false">ABS(O530-LN(J530/SUMIFS('Futures Data'!$C$5:$C$3471,'Futures Data'!$A$5:$A$3471,A529,'Futures Data'!$B$5:$B$3471,B530)))&lt;0.000000001</f>
        <v>1</v>
      </c>
    </row>
    <row r="531" customFormat="false" ht="15" hidden="false" customHeight="false" outlineLevel="0" collapsed="false">
      <c r="A531" s="7" t="n">
        <v>45910</v>
      </c>
      <c r="B531" s="11" t="n">
        <f aca="false">C530</f>
        <v>45950</v>
      </c>
      <c r="C531" s="11" t="n">
        <f aca="false">IF(OR(H530,D531&lt;=$G$4),_xlfn.MINIFS('Futures Data'!$B$5:$B$3471,'Futures Data'!$A$5:$A$3471,A531,'Futures Data'!$B$5:$B$3471,"&gt;"&amp;B531),B531)</f>
        <v>45950</v>
      </c>
      <c r="D531" s="3" t="n">
        <f aca="false">COUNTIFS($A$47:$A$790,"&gt;"&amp;A531,$A$47:$A$790,"&lt;="&amp;B531)+IF(B531&gt;$G$5,NETWORKDAYS($G$5+1,B531),0)</f>
        <v>27</v>
      </c>
      <c r="E531" s="3" t="n">
        <f aca="false">SUMIFS('Futures Data'!$E$5:$E$3471,'Futures Data'!$A$5:$A$3471,A531,'Futures Data'!$B$5:$B$3471,C531)</f>
        <v>27055</v>
      </c>
      <c r="F531" s="11" t="n">
        <f aca="false">_xlfn.MINIFS('Futures Data'!$B$5:$B$3471,'Futures Data'!$A$5:$A$3471,A531,'Futures Data'!$B$5:$B$3471,"&gt;"&amp;C531)</f>
        <v>45981</v>
      </c>
      <c r="G531" s="3" t="n">
        <f aca="false">SUMIFS('Futures Data'!$E$5:$E$3471,'Futures Data'!$A$5:$A$3471,A531,'Futures Data'!$B$5:$B$3471,F531)</f>
        <v>1260</v>
      </c>
      <c r="H531" s="9" t="b">
        <f aca="false">G531&gt;E531</f>
        <v>0</v>
      </c>
      <c r="I531" s="9" t="b">
        <f aca="false">C531&lt;&gt;B531</f>
        <v>0</v>
      </c>
      <c r="J531" s="3" t="n">
        <f aca="false">SUMIFS('Futures Data'!$C$5:$C$3471,'Futures Data'!$A$5:$A$3471,A531,'Futures Data'!$B$5:$B$3471,B531)</f>
        <v>6680</v>
      </c>
      <c r="K531" s="3" t="n">
        <f aca="false">SUMIFS('Futures Data'!$C$5:$C$3471,'Futures Data'!$A$5:$A$3471,A531,'Futures Data'!$B$5:$B$3471,C531)</f>
        <v>6680</v>
      </c>
      <c r="L531" s="3" t="n">
        <f aca="false">K531-J531</f>
        <v>0</v>
      </c>
      <c r="M531" s="3" t="n">
        <f aca="false">M532+L531</f>
        <v>869</v>
      </c>
      <c r="N531" s="3" t="n">
        <f aca="false">J531+M531</f>
        <v>7549</v>
      </c>
      <c r="O531" s="13" t="n">
        <f aca="false">LN(J531/K530)</f>
        <v>0.000299446027091473</v>
      </c>
      <c r="P531" s="13" t="n">
        <f aca="false">LN(N531/N530)</f>
        <v>0.000264970854756402</v>
      </c>
      <c r="Q531" s="3" t="n">
        <f aca="false">SUMIFS('Futures Data'!$D$5:$D$3471,'Futures Data'!$A$5:$A$3471,A531,'Futures Data'!$B$5:$B$3471,B531)</f>
        <v>5565</v>
      </c>
      <c r="R531" s="7" t="n">
        <v>45950</v>
      </c>
      <c r="S531" s="9" t="b">
        <f aca="false">C531=R531</f>
        <v>1</v>
      </c>
      <c r="T531" s="9" t="b">
        <f aca="false">ABS(O531-LN(J531/SUMIFS('Futures Data'!$C$5:$C$3471,'Futures Data'!$A$5:$A$3471,A530,'Futures Data'!$B$5:$B$3471,B531)))&lt;0.000000001</f>
        <v>1</v>
      </c>
    </row>
    <row r="532" customFormat="false" ht="15" hidden="false" customHeight="false" outlineLevel="0" collapsed="false">
      <c r="A532" s="7" t="n">
        <v>45911</v>
      </c>
      <c r="B532" s="11" t="n">
        <f aca="false">C531</f>
        <v>45950</v>
      </c>
      <c r="C532" s="11" t="n">
        <f aca="false">IF(OR(H531,D532&lt;=$G$4),_xlfn.MINIFS('Futures Data'!$B$5:$B$3471,'Futures Data'!$A$5:$A$3471,A532,'Futures Data'!$B$5:$B$3471,"&gt;"&amp;B532),B532)</f>
        <v>45950</v>
      </c>
      <c r="D532" s="3" t="n">
        <f aca="false">COUNTIFS($A$47:$A$790,"&gt;"&amp;A532,$A$47:$A$790,"&lt;="&amp;B532)+IF(B532&gt;$G$5,NETWORKDAYS($G$5+1,B532),0)</f>
        <v>26</v>
      </c>
      <c r="E532" s="3" t="n">
        <f aca="false">SUMIFS('Futures Data'!$E$5:$E$3471,'Futures Data'!$A$5:$A$3471,A532,'Futures Data'!$B$5:$B$3471,C532)</f>
        <v>27970</v>
      </c>
      <c r="F532" s="11" t="n">
        <f aca="false">_xlfn.MINIFS('Futures Data'!$B$5:$B$3471,'Futures Data'!$A$5:$A$3471,A532,'Futures Data'!$B$5:$B$3471,"&gt;"&amp;C532)</f>
        <v>45981</v>
      </c>
      <c r="G532" s="3" t="n">
        <f aca="false">SUMIFS('Futures Data'!$E$5:$E$3471,'Futures Data'!$A$5:$A$3471,A532,'Futures Data'!$B$5:$B$3471,F532)</f>
        <v>1290</v>
      </c>
      <c r="H532" s="9" t="b">
        <f aca="false">G532&gt;E532</f>
        <v>0</v>
      </c>
      <c r="I532" s="9" t="b">
        <f aca="false">C532&lt;&gt;B532</f>
        <v>0</v>
      </c>
      <c r="J532" s="3" t="n">
        <f aca="false">SUMIFS('Futures Data'!$C$5:$C$3471,'Futures Data'!$A$5:$A$3471,A532,'Futures Data'!$B$5:$B$3471,B532)</f>
        <v>6681</v>
      </c>
      <c r="K532" s="3" t="n">
        <f aca="false">SUMIFS('Futures Data'!$C$5:$C$3471,'Futures Data'!$A$5:$A$3471,A532,'Futures Data'!$B$5:$B$3471,C532)</f>
        <v>6681</v>
      </c>
      <c r="L532" s="3" t="n">
        <f aca="false">K532-J532</f>
        <v>0</v>
      </c>
      <c r="M532" s="3" t="n">
        <f aca="false">M533+L532</f>
        <v>869</v>
      </c>
      <c r="N532" s="3" t="n">
        <f aca="false">J532+M532</f>
        <v>7550</v>
      </c>
      <c r="O532" s="13" t="n">
        <f aca="false">LN(J532/K531)</f>
        <v>0.000149689394785993</v>
      </c>
      <c r="P532" s="13" t="n">
        <f aca="false">LN(N532/N531)</f>
        <v>0.000132459103445579</v>
      </c>
      <c r="Q532" s="3" t="n">
        <f aca="false">SUMIFS('Futures Data'!$D$5:$D$3471,'Futures Data'!$A$5:$A$3471,A532,'Futures Data'!$B$5:$B$3471,B532)</f>
        <v>2365</v>
      </c>
      <c r="R532" s="7" t="n">
        <v>45950</v>
      </c>
      <c r="S532" s="9" t="b">
        <f aca="false">C532=R532</f>
        <v>1</v>
      </c>
      <c r="T532" s="9" t="b">
        <f aca="false">ABS(O532-LN(J532/SUMIFS('Futures Data'!$C$5:$C$3471,'Futures Data'!$A$5:$A$3471,A531,'Futures Data'!$B$5:$B$3471,B532)))&lt;0.000000001</f>
        <v>1</v>
      </c>
    </row>
    <row r="533" customFormat="false" ht="15" hidden="false" customHeight="false" outlineLevel="0" collapsed="false">
      <c r="A533" s="7" t="n">
        <v>45912</v>
      </c>
      <c r="B533" s="11" t="n">
        <f aca="false">C532</f>
        <v>45950</v>
      </c>
      <c r="C533" s="11" t="n">
        <f aca="false">IF(OR(H532,D533&lt;=$G$4),_xlfn.MINIFS('Futures Data'!$B$5:$B$3471,'Futures Data'!$A$5:$A$3471,A533,'Futures Data'!$B$5:$B$3471,"&gt;"&amp;B533),B533)</f>
        <v>45950</v>
      </c>
      <c r="D533" s="3" t="n">
        <f aca="false">COUNTIFS($A$47:$A$790,"&gt;"&amp;A533,$A$47:$A$790,"&lt;="&amp;B533)+IF(B533&gt;$G$5,NETWORKDAYS($G$5+1,B533),0)</f>
        <v>25</v>
      </c>
      <c r="E533" s="3" t="n">
        <f aca="false">SUMIFS('Futures Data'!$E$5:$E$3471,'Futures Data'!$A$5:$A$3471,A533,'Futures Data'!$B$5:$B$3471,C533)</f>
        <v>28925</v>
      </c>
      <c r="F533" s="11" t="n">
        <f aca="false">_xlfn.MINIFS('Futures Data'!$B$5:$B$3471,'Futures Data'!$A$5:$A$3471,A533,'Futures Data'!$B$5:$B$3471,"&gt;"&amp;C533)</f>
        <v>45981</v>
      </c>
      <c r="G533" s="3" t="n">
        <f aca="false">SUMIFS('Futures Data'!$E$5:$E$3471,'Futures Data'!$A$5:$A$3471,A533,'Futures Data'!$B$5:$B$3471,F533)</f>
        <v>1950</v>
      </c>
      <c r="H533" s="9" t="b">
        <f aca="false">G533&gt;E533</f>
        <v>0</v>
      </c>
      <c r="I533" s="9" t="b">
        <f aca="false">C533&lt;&gt;B533</f>
        <v>0</v>
      </c>
      <c r="J533" s="3" t="n">
        <f aca="false">SUMIFS('Futures Data'!$C$5:$C$3471,'Futures Data'!$A$5:$A$3471,A533,'Futures Data'!$B$5:$B$3471,B533)</f>
        <v>6672</v>
      </c>
      <c r="K533" s="3" t="n">
        <f aca="false">SUMIFS('Futures Data'!$C$5:$C$3471,'Futures Data'!$A$5:$A$3471,A533,'Futures Data'!$B$5:$B$3471,C533)</f>
        <v>6672</v>
      </c>
      <c r="L533" s="3" t="n">
        <f aca="false">K533-J533</f>
        <v>0</v>
      </c>
      <c r="M533" s="3" t="n">
        <f aca="false">M534+L533</f>
        <v>869</v>
      </c>
      <c r="N533" s="3" t="n">
        <f aca="false">J533+M533</f>
        <v>7541</v>
      </c>
      <c r="O533" s="13" t="n">
        <f aca="false">LN(J533/K532)</f>
        <v>-0.00134801188689464</v>
      </c>
      <c r="P533" s="13" t="n">
        <f aca="false">LN(N533/N532)</f>
        <v>-0.00119276404042339</v>
      </c>
      <c r="Q533" s="3" t="n">
        <f aca="false">SUMIFS('Futures Data'!$D$5:$D$3471,'Futures Data'!$A$5:$A$3471,A533,'Futures Data'!$B$5:$B$3471,B533)</f>
        <v>4085</v>
      </c>
      <c r="R533" s="7" t="n">
        <v>45950</v>
      </c>
      <c r="S533" s="9" t="b">
        <f aca="false">C533=R533</f>
        <v>1</v>
      </c>
      <c r="T533" s="9" t="b">
        <f aca="false">ABS(O533-LN(J533/SUMIFS('Futures Data'!$C$5:$C$3471,'Futures Data'!$A$5:$A$3471,A532,'Futures Data'!$B$5:$B$3471,B533)))&lt;0.000000001</f>
        <v>1</v>
      </c>
    </row>
    <row r="534" customFormat="false" ht="15" hidden="false" customHeight="false" outlineLevel="0" collapsed="false">
      <c r="A534" s="7" t="n">
        <v>45915</v>
      </c>
      <c r="B534" s="11" t="n">
        <f aca="false">C533</f>
        <v>45950</v>
      </c>
      <c r="C534" s="11" t="n">
        <f aca="false">IF(OR(H533,D534&lt;=$G$4),_xlfn.MINIFS('Futures Data'!$B$5:$B$3471,'Futures Data'!$A$5:$A$3471,A534,'Futures Data'!$B$5:$B$3471,"&gt;"&amp;B534),B534)</f>
        <v>45950</v>
      </c>
      <c r="D534" s="3" t="n">
        <f aca="false">COUNTIFS($A$47:$A$790,"&gt;"&amp;A534,$A$47:$A$790,"&lt;="&amp;B534)+IF(B534&gt;$G$5,NETWORKDAYS($G$5+1,B534),0)</f>
        <v>24</v>
      </c>
      <c r="E534" s="3" t="n">
        <f aca="false">SUMIFS('Futures Data'!$E$5:$E$3471,'Futures Data'!$A$5:$A$3471,A534,'Futures Data'!$B$5:$B$3471,C534)</f>
        <v>29465</v>
      </c>
      <c r="F534" s="11" t="n">
        <f aca="false">_xlfn.MINIFS('Futures Data'!$B$5:$B$3471,'Futures Data'!$A$5:$A$3471,A534,'Futures Data'!$B$5:$B$3471,"&gt;"&amp;C534)</f>
        <v>45981</v>
      </c>
      <c r="G534" s="3" t="n">
        <f aca="false">SUMIFS('Futures Data'!$E$5:$E$3471,'Futures Data'!$A$5:$A$3471,A534,'Futures Data'!$B$5:$B$3471,F534)</f>
        <v>2000</v>
      </c>
      <c r="H534" s="9" t="b">
        <f aca="false">G534&gt;E534</f>
        <v>0</v>
      </c>
      <c r="I534" s="9" t="b">
        <f aca="false">C534&lt;&gt;B534</f>
        <v>0</v>
      </c>
      <c r="J534" s="3" t="n">
        <f aca="false">SUMIFS('Futures Data'!$C$5:$C$3471,'Futures Data'!$A$5:$A$3471,A534,'Futures Data'!$B$5:$B$3471,B534)</f>
        <v>6676</v>
      </c>
      <c r="K534" s="3" t="n">
        <f aca="false">SUMIFS('Futures Data'!$C$5:$C$3471,'Futures Data'!$A$5:$A$3471,A534,'Futures Data'!$B$5:$B$3471,C534)</f>
        <v>6676</v>
      </c>
      <c r="L534" s="3" t="n">
        <f aca="false">K534-J534</f>
        <v>0</v>
      </c>
      <c r="M534" s="3" t="n">
        <f aca="false">M535+L534</f>
        <v>869</v>
      </c>
      <c r="N534" s="3" t="n">
        <f aca="false">J534+M534</f>
        <v>7545</v>
      </c>
      <c r="O534" s="13" t="n">
        <f aca="false">LN(J534/K533)</f>
        <v>0.000599340743143005</v>
      </c>
      <c r="P534" s="13" t="n">
        <f aca="false">LN(N534/N533)</f>
        <v>0.000530292999302153</v>
      </c>
      <c r="Q534" s="3" t="n">
        <f aca="false">SUMIFS('Futures Data'!$D$5:$D$3471,'Futures Data'!$A$5:$A$3471,A534,'Futures Data'!$B$5:$B$3471,B534)</f>
        <v>1950</v>
      </c>
      <c r="R534" s="7" t="n">
        <v>45950</v>
      </c>
      <c r="S534" s="9" t="b">
        <f aca="false">C534=R534</f>
        <v>1</v>
      </c>
      <c r="T534" s="9" t="b">
        <f aca="false">ABS(O534-LN(J534/SUMIFS('Futures Data'!$C$5:$C$3471,'Futures Data'!$A$5:$A$3471,A533,'Futures Data'!$B$5:$B$3471,B534)))&lt;0.000000001</f>
        <v>1</v>
      </c>
    </row>
    <row r="535" customFormat="false" ht="15" hidden="false" customHeight="false" outlineLevel="0" collapsed="false">
      <c r="A535" s="7" t="n">
        <v>45916</v>
      </c>
      <c r="B535" s="11" t="n">
        <f aca="false">C534</f>
        <v>45950</v>
      </c>
      <c r="C535" s="11" t="n">
        <f aca="false">IF(OR(H534,D535&lt;=$G$4),_xlfn.MINIFS('Futures Data'!$B$5:$B$3471,'Futures Data'!$A$5:$A$3471,A535,'Futures Data'!$B$5:$B$3471,"&gt;"&amp;B535),B535)</f>
        <v>45950</v>
      </c>
      <c r="D535" s="3" t="n">
        <f aca="false">COUNTIFS($A$47:$A$790,"&gt;"&amp;A535,$A$47:$A$790,"&lt;="&amp;B535)+IF(B535&gt;$G$5,NETWORKDAYS($G$5+1,B535),0)</f>
        <v>23</v>
      </c>
      <c r="E535" s="3" t="n">
        <f aca="false">SUMIFS('Futures Data'!$E$5:$E$3471,'Futures Data'!$A$5:$A$3471,A535,'Futures Data'!$B$5:$B$3471,C535)</f>
        <v>30850</v>
      </c>
      <c r="F535" s="11" t="n">
        <f aca="false">_xlfn.MINIFS('Futures Data'!$B$5:$B$3471,'Futures Data'!$A$5:$A$3471,A535,'Futures Data'!$B$5:$B$3471,"&gt;"&amp;C535)</f>
        <v>45981</v>
      </c>
      <c r="G535" s="3" t="n">
        <f aca="false">SUMIFS('Futures Data'!$E$5:$E$3471,'Futures Data'!$A$5:$A$3471,A535,'Futures Data'!$B$5:$B$3471,F535)</f>
        <v>2505</v>
      </c>
      <c r="H535" s="9" t="b">
        <f aca="false">G535&gt;E535</f>
        <v>0</v>
      </c>
      <c r="I535" s="9" t="b">
        <f aca="false">C535&lt;&gt;B535</f>
        <v>0</v>
      </c>
      <c r="J535" s="3" t="n">
        <f aca="false">SUMIFS('Futures Data'!$C$5:$C$3471,'Futures Data'!$A$5:$A$3471,A535,'Futures Data'!$B$5:$B$3471,B535)</f>
        <v>6672</v>
      </c>
      <c r="K535" s="3" t="n">
        <f aca="false">SUMIFS('Futures Data'!$C$5:$C$3471,'Futures Data'!$A$5:$A$3471,A535,'Futures Data'!$B$5:$B$3471,C535)</f>
        <v>6672</v>
      </c>
      <c r="L535" s="3" t="n">
        <f aca="false">K535-J535</f>
        <v>0</v>
      </c>
      <c r="M535" s="3" t="n">
        <f aca="false">M536+L535</f>
        <v>869</v>
      </c>
      <c r="N535" s="3" t="n">
        <f aca="false">J535+M535</f>
        <v>7541</v>
      </c>
      <c r="O535" s="13" t="n">
        <f aca="false">LN(J535/K534)</f>
        <v>-0.000599340743142985</v>
      </c>
      <c r="P535" s="13" t="n">
        <f aca="false">LN(N535/N534)</f>
        <v>-0.000530292999302215</v>
      </c>
      <c r="Q535" s="3" t="n">
        <f aca="false">SUMIFS('Futures Data'!$D$5:$D$3471,'Futures Data'!$A$5:$A$3471,A535,'Futures Data'!$B$5:$B$3471,B535)</f>
        <v>4420</v>
      </c>
      <c r="R535" s="7" t="n">
        <v>45950</v>
      </c>
      <c r="S535" s="9" t="b">
        <f aca="false">C535=R535</f>
        <v>1</v>
      </c>
      <c r="T535" s="9" t="b">
        <f aca="false">ABS(O535-LN(J535/SUMIFS('Futures Data'!$C$5:$C$3471,'Futures Data'!$A$5:$A$3471,A534,'Futures Data'!$B$5:$B$3471,B535)))&lt;0.000000001</f>
        <v>1</v>
      </c>
    </row>
    <row r="536" customFormat="false" ht="15" hidden="false" customHeight="false" outlineLevel="0" collapsed="false">
      <c r="A536" s="7" t="n">
        <v>45917</v>
      </c>
      <c r="B536" s="11" t="n">
        <f aca="false">C535</f>
        <v>45950</v>
      </c>
      <c r="C536" s="11" t="n">
        <f aca="false">IF(OR(H535,D536&lt;=$G$4),_xlfn.MINIFS('Futures Data'!$B$5:$B$3471,'Futures Data'!$A$5:$A$3471,A536,'Futures Data'!$B$5:$B$3471,"&gt;"&amp;B536),B536)</f>
        <v>45950</v>
      </c>
      <c r="D536" s="3" t="n">
        <f aca="false">COUNTIFS($A$47:$A$790,"&gt;"&amp;A536,$A$47:$A$790,"&lt;="&amp;B536)+IF(B536&gt;$G$5,NETWORKDAYS($G$5+1,B536),0)</f>
        <v>22</v>
      </c>
      <c r="E536" s="3" t="n">
        <f aca="false">SUMIFS('Futures Data'!$E$5:$E$3471,'Futures Data'!$A$5:$A$3471,A536,'Futures Data'!$B$5:$B$3471,C536)</f>
        <v>31650</v>
      </c>
      <c r="F536" s="11" t="n">
        <f aca="false">_xlfn.MINIFS('Futures Data'!$B$5:$B$3471,'Futures Data'!$A$5:$A$3471,A536,'Futures Data'!$B$5:$B$3471,"&gt;"&amp;C536)</f>
        <v>45981</v>
      </c>
      <c r="G536" s="3" t="n">
        <f aca="false">SUMIFS('Futures Data'!$E$5:$E$3471,'Futures Data'!$A$5:$A$3471,A536,'Futures Data'!$B$5:$B$3471,F536)</f>
        <v>2635</v>
      </c>
      <c r="H536" s="9" t="b">
        <f aca="false">G536&gt;E536</f>
        <v>0</v>
      </c>
      <c r="I536" s="9" t="b">
        <f aca="false">C536&lt;&gt;B536</f>
        <v>0</v>
      </c>
      <c r="J536" s="3" t="n">
        <f aca="false">SUMIFS('Futures Data'!$C$5:$C$3471,'Futures Data'!$A$5:$A$3471,A536,'Futures Data'!$B$5:$B$3471,B536)</f>
        <v>6658</v>
      </c>
      <c r="K536" s="3" t="n">
        <f aca="false">SUMIFS('Futures Data'!$C$5:$C$3471,'Futures Data'!$A$5:$A$3471,A536,'Futures Data'!$B$5:$B$3471,C536)</f>
        <v>6658</v>
      </c>
      <c r="L536" s="3" t="n">
        <f aca="false">K536-J536</f>
        <v>0</v>
      </c>
      <c r="M536" s="3" t="n">
        <f aca="false">M537+L536</f>
        <v>869</v>
      </c>
      <c r="N536" s="3" t="n">
        <f aca="false">J536+M536</f>
        <v>7527</v>
      </c>
      <c r="O536" s="13" t="n">
        <f aca="false">LN(J536/K535)</f>
        <v>-0.00210052590361242</v>
      </c>
      <c r="P536" s="13" t="n">
        <f aca="false">LN(N536/N535)</f>
        <v>-0.00185824316811503</v>
      </c>
      <c r="Q536" s="3" t="n">
        <f aca="false">SUMIFS('Futures Data'!$D$5:$D$3471,'Futures Data'!$A$5:$A$3471,A536,'Futures Data'!$B$5:$B$3471,B536)</f>
        <v>4850</v>
      </c>
      <c r="R536" s="7" t="n">
        <v>45950</v>
      </c>
      <c r="S536" s="9" t="b">
        <f aca="false">C536=R536</f>
        <v>1</v>
      </c>
      <c r="T536" s="9" t="b">
        <f aca="false">ABS(O536-LN(J536/SUMIFS('Futures Data'!$C$5:$C$3471,'Futures Data'!$A$5:$A$3471,A535,'Futures Data'!$B$5:$B$3471,B536)))&lt;0.000000001</f>
        <v>1</v>
      </c>
    </row>
    <row r="537" customFormat="false" ht="15" hidden="false" customHeight="false" outlineLevel="0" collapsed="false">
      <c r="A537" s="7" t="n">
        <v>45918</v>
      </c>
      <c r="B537" s="11" t="n">
        <f aca="false">C536</f>
        <v>45950</v>
      </c>
      <c r="C537" s="11" t="n">
        <f aca="false">IF(OR(H536,D537&lt;=$G$4),_xlfn.MINIFS('Futures Data'!$B$5:$B$3471,'Futures Data'!$A$5:$A$3471,A537,'Futures Data'!$B$5:$B$3471,"&gt;"&amp;B537),B537)</f>
        <v>45950</v>
      </c>
      <c r="D537" s="3" t="n">
        <f aca="false">COUNTIFS($A$47:$A$790,"&gt;"&amp;A537,$A$47:$A$790,"&lt;="&amp;B537)+IF(B537&gt;$G$5,NETWORKDAYS($G$5+1,B537),0)</f>
        <v>21</v>
      </c>
      <c r="E537" s="3" t="n">
        <f aca="false">SUMIFS('Futures Data'!$E$5:$E$3471,'Futures Data'!$A$5:$A$3471,A537,'Futures Data'!$B$5:$B$3471,C537)</f>
        <v>30495</v>
      </c>
      <c r="F537" s="11" t="n">
        <f aca="false">_xlfn.MINIFS('Futures Data'!$B$5:$B$3471,'Futures Data'!$A$5:$A$3471,A537,'Futures Data'!$B$5:$B$3471,"&gt;"&amp;C537)</f>
        <v>45981</v>
      </c>
      <c r="G537" s="3" t="n">
        <f aca="false">SUMIFS('Futures Data'!$E$5:$E$3471,'Futures Data'!$A$5:$A$3471,A537,'Futures Data'!$B$5:$B$3471,F537)</f>
        <v>3385</v>
      </c>
      <c r="H537" s="9" t="b">
        <f aca="false">G537&gt;E537</f>
        <v>0</v>
      </c>
      <c r="I537" s="9" t="b">
        <f aca="false">C537&lt;&gt;B537</f>
        <v>0</v>
      </c>
      <c r="J537" s="3" t="n">
        <f aca="false">SUMIFS('Futures Data'!$C$5:$C$3471,'Futures Data'!$A$5:$A$3471,A537,'Futures Data'!$B$5:$B$3471,B537)</f>
        <v>6620</v>
      </c>
      <c r="K537" s="3" t="n">
        <f aca="false">SUMIFS('Futures Data'!$C$5:$C$3471,'Futures Data'!$A$5:$A$3471,A537,'Futures Data'!$B$5:$B$3471,C537)</f>
        <v>6620</v>
      </c>
      <c r="L537" s="3" t="n">
        <f aca="false">K537-J537</f>
        <v>0</v>
      </c>
      <c r="M537" s="3" t="n">
        <f aca="false">M538+L537</f>
        <v>869</v>
      </c>
      <c r="N537" s="3" t="n">
        <f aca="false">J537+M537</f>
        <v>7489</v>
      </c>
      <c r="O537" s="13" t="n">
        <f aca="false">LN(J537/K536)</f>
        <v>-0.00572376920391638</v>
      </c>
      <c r="P537" s="13" t="n">
        <f aca="false">LN(N537/N536)</f>
        <v>-0.00506127878516493</v>
      </c>
      <c r="Q537" s="3" t="n">
        <f aca="false">SUMIFS('Futures Data'!$D$5:$D$3471,'Futures Data'!$A$5:$A$3471,A537,'Futures Data'!$B$5:$B$3471,B537)</f>
        <v>4420</v>
      </c>
      <c r="R537" s="7" t="n">
        <v>45950</v>
      </c>
      <c r="S537" s="9" t="b">
        <f aca="false">C537=R537</f>
        <v>1</v>
      </c>
      <c r="T537" s="9" t="b">
        <f aca="false">ABS(O537-LN(J537/SUMIFS('Futures Data'!$C$5:$C$3471,'Futures Data'!$A$5:$A$3471,A536,'Futures Data'!$B$5:$B$3471,B537)))&lt;0.000000001</f>
        <v>1</v>
      </c>
    </row>
    <row r="538" customFormat="false" ht="15" hidden="false" customHeight="false" outlineLevel="0" collapsed="false">
      <c r="A538" s="7" t="n">
        <v>45919</v>
      </c>
      <c r="B538" s="11" t="n">
        <f aca="false">C537</f>
        <v>45950</v>
      </c>
      <c r="C538" s="11" t="n">
        <f aca="false">IF(OR(H537,D538&lt;=$G$4),_xlfn.MINIFS('Futures Data'!$B$5:$B$3471,'Futures Data'!$A$5:$A$3471,A538,'Futures Data'!$B$5:$B$3471,"&gt;"&amp;B538),B538)</f>
        <v>45950</v>
      </c>
      <c r="D538" s="3" t="n">
        <f aca="false">COUNTIFS($A$47:$A$790,"&gt;"&amp;A538,$A$47:$A$790,"&lt;="&amp;B538)+IF(B538&gt;$G$5,NETWORKDAYS($G$5+1,B538),0)</f>
        <v>20</v>
      </c>
      <c r="E538" s="3" t="n">
        <f aca="false">SUMIFS('Futures Data'!$E$5:$E$3471,'Futures Data'!$A$5:$A$3471,A538,'Futures Data'!$B$5:$B$3471,C538)</f>
        <v>27885</v>
      </c>
      <c r="F538" s="11" t="n">
        <f aca="false">_xlfn.MINIFS('Futures Data'!$B$5:$B$3471,'Futures Data'!$A$5:$A$3471,A538,'Futures Data'!$B$5:$B$3471,"&gt;"&amp;C538)</f>
        <v>45981</v>
      </c>
      <c r="G538" s="3" t="n">
        <f aca="false">SUMIFS('Futures Data'!$E$5:$E$3471,'Futures Data'!$A$5:$A$3471,A538,'Futures Data'!$B$5:$B$3471,F538)</f>
        <v>6370</v>
      </c>
      <c r="H538" s="9" t="b">
        <f aca="false">G538&gt;E538</f>
        <v>0</v>
      </c>
      <c r="I538" s="9" t="b">
        <f aca="false">C538&lt;&gt;B538</f>
        <v>0</v>
      </c>
      <c r="J538" s="3" t="n">
        <f aca="false">SUMIFS('Futures Data'!$C$5:$C$3471,'Futures Data'!$A$5:$A$3471,A538,'Futures Data'!$B$5:$B$3471,B538)</f>
        <v>6584</v>
      </c>
      <c r="K538" s="3" t="n">
        <f aca="false">SUMIFS('Futures Data'!$C$5:$C$3471,'Futures Data'!$A$5:$A$3471,A538,'Futures Data'!$B$5:$B$3471,C538)</f>
        <v>6584</v>
      </c>
      <c r="L538" s="3" t="n">
        <f aca="false">K538-J538</f>
        <v>0</v>
      </c>
      <c r="M538" s="3" t="n">
        <f aca="false">M539+L538</f>
        <v>869</v>
      </c>
      <c r="N538" s="3" t="n">
        <f aca="false">J538+M538</f>
        <v>7453</v>
      </c>
      <c r="O538" s="13" t="n">
        <f aca="false">LN(J538/K537)</f>
        <v>-0.00545290657414815</v>
      </c>
      <c r="P538" s="13" t="n">
        <f aca="false">LN(N538/N537)</f>
        <v>-0.0048186413676733</v>
      </c>
      <c r="Q538" s="3" t="n">
        <f aca="false">SUMIFS('Futures Data'!$D$5:$D$3471,'Futures Data'!$A$5:$A$3471,A538,'Futures Data'!$B$5:$B$3471,B538)</f>
        <v>5940</v>
      </c>
      <c r="R538" s="7" t="n">
        <v>45950</v>
      </c>
      <c r="S538" s="9" t="b">
        <f aca="false">C538=R538</f>
        <v>1</v>
      </c>
      <c r="T538" s="9" t="b">
        <f aca="false">ABS(O538-LN(J538/SUMIFS('Futures Data'!$C$5:$C$3471,'Futures Data'!$A$5:$A$3471,A537,'Futures Data'!$B$5:$B$3471,B538)))&lt;0.000000001</f>
        <v>1</v>
      </c>
    </row>
    <row r="539" customFormat="false" ht="15" hidden="false" customHeight="false" outlineLevel="0" collapsed="false">
      <c r="A539" s="7" t="n">
        <v>45922</v>
      </c>
      <c r="B539" s="11" t="n">
        <f aca="false">C538</f>
        <v>45950</v>
      </c>
      <c r="C539" s="11" t="n">
        <f aca="false">IF(OR(H538,D539&lt;=$G$4),_xlfn.MINIFS('Futures Data'!$B$5:$B$3471,'Futures Data'!$A$5:$A$3471,A539,'Futures Data'!$B$5:$B$3471,"&gt;"&amp;B539),B539)</f>
        <v>45950</v>
      </c>
      <c r="D539" s="3" t="n">
        <f aca="false">COUNTIFS($A$47:$A$790,"&gt;"&amp;A539,$A$47:$A$790,"&lt;="&amp;B539)+IF(B539&gt;$G$5,NETWORKDAYS($G$5+1,B539),0)</f>
        <v>19</v>
      </c>
      <c r="E539" s="3" t="n">
        <f aca="false">SUMIFS('Futures Data'!$E$5:$E$3471,'Futures Data'!$A$5:$A$3471,A539,'Futures Data'!$B$5:$B$3471,C539)</f>
        <v>25515</v>
      </c>
      <c r="F539" s="11" t="n">
        <f aca="false">_xlfn.MINIFS('Futures Data'!$B$5:$B$3471,'Futures Data'!$A$5:$A$3471,A539,'Futures Data'!$B$5:$B$3471,"&gt;"&amp;C539)</f>
        <v>45981</v>
      </c>
      <c r="G539" s="3" t="n">
        <f aca="false">SUMIFS('Futures Data'!$E$5:$E$3471,'Futures Data'!$A$5:$A$3471,A539,'Futures Data'!$B$5:$B$3471,F539)</f>
        <v>8650</v>
      </c>
      <c r="H539" s="9" t="b">
        <f aca="false">G539&gt;E539</f>
        <v>0</v>
      </c>
      <c r="I539" s="9" t="b">
        <f aca="false">C539&lt;&gt;B539</f>
        <v>0</v>
      </c>
      <c r="J539" s="3" t="n">
        <f aca="false">SUMIFS('Futures Data'!$C$5:$C$3471,'Futures Data'!$A$5:$A$3471,A539,'Futures Data'!$B$5:$B$3471,B539)</f>
        <v>6543</v>
      </c>
      <c r="K539" s="3" t="n">
        <f aca="false">SUMIFS('Futures Data'!$C$5:$C$3471,'Futures Data'!$A$5:$A$3471,A539,'Futures Data'!$B$5:$B$3471,C539)</f>
        <v>6543</v>
      </c>
      <c r="L539" s="3" t="n">
        <f aca="false">K539-J539</f>
        <v>0</v>
      </c>
      <c r="M539" s="3" t="n">
        <f aca="false">M540+L539</f>
        <v>869</v>
      </c>
      <c r="N539" s="3" t="n">
        <f aca="false">J539+M539</f>
        <v>7412</v>
      </c>
      <c r="O539" s="13" t="n">
        <f aca="false">LN(J539/K538)</f>
        <v>-0.00624668748716697</v>
      </c>
      <c r="P539" s="13" t="n">
        <f aca="false">LN(N539/N538)</f>
        <v>-0.00551632747644339</v>
      </c>
      <c r="Q539" s="3" t="n">
        <f aca="false">SUMIFS('Futures Data'!$D$5:$D$3471,'Futures Data'!$A$5:$A$3471,A539,'Futures Data'!$B$5:$B$3471,B539)</f>
        <v>7360</v>
      </c>
      <c r="R539" s="7" t="n">
        <v>45950</v>
      </c>
      <c r="S539" s="9" t="b">
        <f aca="false">C539=R539</f>
        <v>1</v>
      </c>
      <c r="T539" s="9" t="b">
        <f aca="false">ABS(O539-LN(J539/SUMIFS('Futures Data'!$C$5:$C$3471,'Futures Data'!$A$5:$A$3471,A538,'Futures Data'!$B$5:$B$3471,B539)))&lt;0.000000001</f>
        <v>1</v>
      </c>
    </row>
    <row r="540" customFormat="false" ht="15" hidden="false" customHeight="false" outlineLevel="0" collapsed="false">
      <c r="A540" s="7" t="n">
        <v>45923</v>
      </c>
      <c r="B540" s="11" t="n">
        <f aca="false">C539</f>
        <v>45950</v>
      </c>
      <c r="C540" s="11" t="n">
        <f aca="false">IF(OR(H539,D540&lt;=$G$4),_xlfn.MINIFS('Futures Data'!$B$5:$B$3471,'Futures Data'!$A$5:$A$3471,A540,'Futures Data'!$B$5:$B$3471,"&gt;"&amp;B540),B540)</f>
        <v>45950</v>
      </c>
      <c r="D540" s="3" t="n">
        <f aca="false">COUNTIFS($A$47:$A$790,"&gt;"&amp;A540,$A$47:$A$790,"&lt;="&amp;B540)+IF(B540&gt;$G$5,NETWORKDAYS($G$5+1,B540),0)</f>
        <v>18</v>
      </c>
      <c r="E540" s="3" t="n">
        <f aca="false">SUMIFS('Futures Data'!$E$5:$E$3471,'Futures Data'!$A$5:$A$3471,A540,'Futures Data'!$B$5:$B$3471,C540)</f>
        <v>24395</v>
      </c>
      <c r="F540" s="11" t="n">
        <f aca="false">_xlfn.MINIFS('Futures Data'!$B$5:$B$3471,'Futures Data'!$A$5:$A$3471,A540,'Futures Data'!$B$5:$B$3471,"&gt;"&amp;C540)</f>
        <v>45981</v>
      </c>
      <c r="G540" s="3" t="n">
        <f aca="false">SUMIFS('Futures Data'!$E$5:$E$3471,'Futures Data'!$A$5:$A$3471,A540,'Futures Data'!$B$5:$B$3471,F540)</f>
        <v>9795</v>
      </c>
      <c r="H540" s="9" t="b">
        <f aca="false">G540&gt;E540</f>
        <v>0</v>
      </c>
      <c r="I540" s="9" t="b">
        <f aca="false">C540&lt;&gt;B540</f>
        <v>0</v>
      </c>
      <c r="J540" s="3" t="n">
        <f aca="false">SUMIFS('Futures Data'!$C$5:$C$3471,'Futures Data'!$A$5:$A$3471,A540,'Futures Data'!$B$5:$B$3471,B540)</f>
        <v>6504</v>
      </c>
      <c r="K540" s="3" t="n">
        <f aca="false">SUMIFS('Futures Data'!$C$5:$C$3471,'Futures Data'!$A$5:$A$3471,A540,'Futures Data'!$B$5:$B$3471,C540)</f>
        <v>6504</v>
      </c>
      <c r="L540" s="3" t="n">
        <f aca="false">K540-J540</f>
        <v>0</v>
      </c>
      <c r="M540" s="3" t="n">
        <f aca="false">M541+L540</f>
        <v>869</v>
      </c>
      <c r="N540" s="3" t="n">
        <f aca="false">J540+M540</f>
        <v>7373</v>
      </c>
      <c r="O540" s="13" t="n">
        <f aca="false">LN(J540/K539)</f>
        <v>-0.0059784036420922</v>
      </c>
      <c r="P540" s="13" t="n">
        <f aca="false">LN(N540/N539)</f>
        <v>-0.0052756294155998</v>
      </c>
      <c r="Q540" s="3" t="n">
        <f aca="false">SUMIFS('Futures Data'!$D$5:$D$3471,'Futures Data'!$A$5:$A$3471,A540,'Futures Data'!$B$5:$B$3471,B540)</f>
        <v>4595</v>
      </c>
      <c r="R540" s="7" t="n">
        <v>45950</v>
      </c>
      <c r="S540" s="9" t="b">
        <f aca="false">C540=R540</f>
        <v>1</v>
      </c>
      <c r="T540" s="9" t="b">
        <f aca="false">ABS(O540-LN(J540/SUMIFS('Futures Data'!$C$5:$C$3471,'Futures Data'!$A$5:$A$3471,A539,'Futures Data'!$B$5:$B$3471,B540)))&lt;0.000000001</f>
        <v>1</v>
      </c>
    </row>
    <row r="541" customFormat="false" ht="15" hidden="false" customHeight="false" outlineLevel="0" collapsed="false">
      <c r="A541" s="7" t="n">
        <v>45924</v>
      </c>
      <c r="B541" s="11" t="n">
        <f aca="false">C540</f>
        <v>45950</v>
      </c>
      <c r="C541" s="11" t="n">
        <f aca="false">IF(OR(H540,D541&lt;=$G$4),_xlfn.MINIFS('Futures Data'!$B$5:$B$3471,'Futures Data'!$A$5:$A$3471,A541,'Futures Data'!$B$5:$B$3471,"&gt;"&amp;B541),B541)</f>
        <v>45950</v>
      </c>
      <c r="D541" s="3" t="n">
        <f aca="false">COUNTIFS($A$47:$A$790,"&gt;"&amp;A541,$A$47:$A$790,"&lt;="&amp;B541)+IF(B541&gt;$G$5,NETWORKDAYS($G$5+1,B541),0)</f>
        <v>17</v>
      </c>
      <c r="E541" s="3" t="n">
        <f aca="false">SUMIFS('Futures Data'!$E$5:$E$3471,'Futures Data'!$A$5:$A$3471,A541,'Futures Data'!$B$5:$B$3471,C541)</f>
        <v>23690</v>
      </c>
      <c r="F541" s="11" t="n">
        <f aca="false">_xlfn.MINIFS('Futures Data'!$B$5:$B$3471,'Futures Data'!$A$5:$A$3471,A541,'Futures Data'!$B$5:$B$3471,"&gt;"&amp;C541)</f>
        <v>45981</v>
      </c>
      <c r="G541" s="3" t="n">
        <f aca="false">SUMIFS('Futures Data'!$E$5:$E$3471,'Futures Data'!$A$5:$A$3471,A541,'Futures Data'!$B$5:$B$3471,F541)</f>
        <v>10625</v>
      </c>
      <c r="H541" s="9" t="b">
        <f aca="false">G541&gt;E541</f>
        <v>0</v>
      </c>
      <c r="I541" s="9" t="b">
        <f aca="false">C541&lt;&gt;B541</f>
        <v>0</v>
      </c>
      <c r="J541" s="3" t="n">
        <f aca="false">SUMIFS('Futures Data'!$C$5:$C$3471,'Futures Data'!$A$5:$A$3471,A541,'Futures Data'!$B$5:$B$3471,B541)</f>
        <v>6503</v>
      </c>
      <c r="K541" s="3" t="n">
        <f aca="false">SUMIFS('Futures Data'!$C$5:$C$3471,'Futures Data'!$A$5:$A$3471,A541,'Futures Data'!$B$5:$B$3471,C541)</f>
        <v>6503</v>
      </c>
      <c r="L541" s="3" t="n">
        <f aca="false">K541-J541</f>
        <v>0</v>
      </c>
      <c r="M541" s="3" t="n">
        <f aca="false">M542+L541</f>
        <v>869</v>
      </c>
      <c r="N541" s="3" t="n">
        <f aca="false">J541+M541</f>
        <v>7372</v>
      </c>
      <c r="O541" s="13" t="n">
        <f aca="false">LN(J541/K540)</f>
        <v>-0.000153763358494723</v>
      </c>
      <c r="P541" s="13" t="n">
        <f aca="false">LN(N541/N540)</f>
        <v>-0.000135639199936681</v>
      </c>
      <c r="Q541" s="3" t="n">
        <f aca="false">SUMIFS('Futures Data'!$D$5:$D$3471,'Futures Data'!$A$5:$A$3471,A541,'Futures Data'!$B$5:$B$3471,B541)</f>
        <v>2160</v>
      </c>
      <c r="R541" s="7" t="n">
        <v>45950</v>
      </c>
      <c r="S541" s="9" t="b">
        <f aca="false">C541=R541</f>
        <v>1</v>
      </c>
      <c r="T541" s="9" t="b">
        <f aca="false">ABS(O541-LN(J541/SUMIFS('Futures Data'!$C$5:$C$3471,'Futures Data'!$A$5:$A$3471,A540,'Futures Data'!$B$5:$B$3471,B541)))&lt;0.000000001</f>
        <v>1</v>
      </c>
    </row>
    <row r="542" customFormat="false" ht="15" hidden="false" customHeight="false" outlineLevel="0" collapsed="false">
      <c r="A542" s="7" t="n">
        <v>45925</v>
      </c>
      <c r="B542" s="11" t="n">
        <f aca="false">C541</f>
        <v>45950</v>
      </c>
      <c r="C542" s="11" t="n">
        <f aca="false">IF(OR(H541,D542&lt;=$G$4),_xlfn.MINIFS('Futures Data'!$B$5:$B$3471,'Futures Data'!$A$5:$A$3471,A542,'Futures Data'!$B$5:$B$3471,"&gt;"&amp;B542),B542)</f>
        <v>45950</v>
      </c>
      <c r="D542" s="3" t="n">
        <f aca="false">COUNTIFS($A$47:$A$790,"&gt;"&amp;A542,$A$47:$A$790,"&lt;="&amp;B542)+IF(B542&gt;$G$5,NETWORKDAYS($G$5+1,B542),0)</f>
        <v>16</v>
      </c>
      <c r="E542" s="3" t="n">
        <f aca="false">SUMIFS('Futures Data'!$E$5:$E$3471,'Futures Data'!$A$5:$A$3471,A542,'Futures Data'!$B$5:$B$3471,C542)</f>
        <v>22530</v>
      </c>
      <c r="F542" s="11" t="n">
        <f aca="false">_xlfn.MINIFS('Futures Data'!$B$5:$B$3471,'Futures Data'!$A$5:$A$3471,A542,'Futures Data'!$B$5:$B$3471,"&gt;"&amp;C542)</f>
        <v>45981</v>
      </c>
      <c r="G542" s="3" t="n">
        <f aca="false">SUMIFS('Futures Data'!$E$5:$E$3471,'Futures Data'!$A$5:$A$3471,A542,'Futures Data'!$B$5:$B$3471,F542)</f>
        <v>12105</v>
      </c>
      <c r="H542" s="9" t="b">
        <f aca="false">G542&gt;E542</f>
        <v>0</v>
      </c>
      <c r="I542" s="9" t="b">
        <f aca="false">C542&lt;&gt;B542</f>
        <v>0</v>
      </c>
      <c r="J542" s="3" t="n">
        <f aca="false">SUMIFS('Futures Data'!$C$5:$C$3471,'Futures Data'!$A$5:$A$3471,A542,'Futures Data'!$B$5:$B$3471,B542)</f>
        <v>6432</v>
      </c>
      <c r="K542" s="3" t="n">
        <f aca="false">SUMIFS('Futures Data'!$C$5:$C$3471,'Futures Data'!$A$5:$A$3471,A542,'Futures Data'!$B$5:$B$3471,C542)</f>
        <v>6432</v>
      </c>
      <c r="L542" s="3" t="n">
        <f aca="false">K542-J542</f>
        <v>0</v>
      </c>
      <c r="M542" s="3" t="n">
        <f aca="false">M543+L542</f>
        <v>869</v>
      </c>
      <c r="N542" s="3" t="n">
        <f aca="false">J542+M542</f>
        <v>7301</v>
      </c>
      <c r="O542" s="13" t="n">
        <f aca="false">LN(J542/K541)</f>
        <v>-0.0109780770103496</v>
      </c>
      <c r="P542" s="13" t="n">
        <f aca="false">LN(N542/N541)</f>
        <v>-0.00967771473362817</v>
      </c>
      <c r="Q542" s="3" t="n">
        <f aca="false">SUMIFS('Futures Data'!$D$5:$D$3471,'Futures Data'!$A$5:$A$3471,A542,'Futures Data'!$B$5:$B$3471,B542)</f>
        <v>5670</v>
      </c>
      <c r="R542" s="7" t="n">
        <v>45950</v>
      </c>
      <c r="S542" s="9" t="b">
        <f aca="false">C542=R542</f>
        <v>1</v>
      </c>
      <c r="T542" s="9" t="b">
        <f aca="false">ABS(O542-LN(J542/SUMIFS('Futures Data'!$C$5:$C$3471,'Futures Data'!$A$5:$A$3471,A541,'Futures Data'!$B$5:$B$3471,B542)))&lt;0.000000001</f>
        <v>1</v>
      </c>
    </row>
    <row r="543" customFormat="false" ht="15" hidden="false" customHeight="false" outlineLevel="0" collapsed="false">
      <c r="A543" s="7" t="n">
        <v>45926</v>
      </c>
      <c r="B543" s="11" t="n">
        <f aca="false">C542</f>
        <v>45950</v>
      </c>
      <c r="C543" s="11" t="n">
        <f aca="false">IF(OR(H542,D543&lt;=$G$4),_xlfn.MINIFS('Futures Data'!$B$5:$B$3471,'Futures Data'!$A$5:$A$3471,A543,'Futures Data'!$B$5:$B$3471,"&gt;"&amp;B543),B543)</f>
        <v>45950</v>
      </c>
      <c r="D543" s="3" t="n">
        <f aca="false">COUNTIFS($A$47:$A$790,"&gt;"&amp;A543,$A$47:$A$790,"&lt;="&amp;B543)+IF(B543&gt;$G$5,NETWORKDAYS($G$5+1,B543),0)</f>
        <v>15</v>
      </c>
      <c r="E543" s="3" t="n">
        <f aca="false">SUMIFS('Futures Data'!$E$5:$E$3471,'Futures Data'!$A$5:$A$3471,A543,'Futures Data'!$B$5:$B$3471,C543)</f>
        <v>22465</v>
      </c>
      <c r="F543" s="11" t="n">
        <f aca="false">_xlfn.MINIFS('Futures Data'!$B$5:$B$3471,'Futures Data'!$A$5:$A$3471,A543,'Futures Data'!$B$5:$B$3471,"&gt;"&amp;C543)</f>
        <v>45981</v>
      </c>
      <c r="G543" s="3" t="n">
        <f aca="false">SUMIFS('Futures Data'!$E$5:$E$3471,'Futures Data'!$A$5:$A$3471,A543,'Futures Data'!$B$5:$B$3471,F543)</f>
        <v>12700</v>
      </c>
      <c r="H543" s="9" t="b">
        <f aca="false">G543&gt;E543</f>
        <v>0</v>
      </c>
      <c r="I543" s="9" t="b">
        <f aca="false">C543&lt;&gt;B543</f>
        <v>0</v>
      </c>
      <c r="J543" s="3" t="n">
        <f aca="false">SUMIFS('Futures Data'!$C$5:$C$3471,'Futures Data'!$A$5:$A$3471,A543,'Futures Data'!$B$5:$B$3471,B543)</f>
        <v>6419</v>
      </c>
      <c r="K543" s="3" t="n">
        <f aca="false">SUMIFS('Futures Data'!$C$5:$C$3471,'Futures Data'!$A$5:$A$3471,A543,'Futures Data'!$B$5:$B$3471,C543)</f>
        <v>6419</v>
      </c>
      <c r="L543" s="3" t="n">
        <f aca="false">K543-J543</f>
        <v>0</v>
      </c>
      <c r="M543" s="3" t="n">
        <f aca="false">M544+L543</f>
        <v>869</v>
      </c>
      <c r="N543" s="3" t="n">
        <f aca="false">J543+M543</f>
        <v>7288</v>
      </c>
      <c r="O543" s="13" t="n">
        <f aca="false">LN(J543/K542)</f>
        <v>-0.00202318954702418</v>
      </c>
      <c r="P543" s="13" t="n">
        <f aca="false">LN(N543/N542)</f>
        <v>-0.00178216511629145</v>
      </c>
      <c r="Q543" s="3" t="n">
        <f aca="false">SUMIFS('Futures Data'!$D$5:$D$3471,'Futures Data'!$A$5:$A$3471,A543,'Futures Data'!$B$5:$B$3471,B543)</f>
        <v>2890</v>
      </c>
      <c r="R543" s="7" t="n">
        <v>45950</v>
      </c>
      <c r="S543" s="9" t="b">
        <f aca="false">C543=R543</f>
        <v>1</v>
      </c>
      <c r="T543" s="9" t="b">
        <f aca="false">ABS(O543-LN(J543/SUMIFS('Futures Data'!$C$5:$C$3471,'Futures Data'!$A$5:$A$3471,A542,'Futures Data'!$B$5:$B$3471,B543)))&lt;0.000000001</f>
        <v>1</v>
      </c>
    </row>
    <row r="544" customFormat="false" ht="15" hidden="false" customHeight="false" outlineLevel="0" collapsed="false">
      <c r="A544" s="7" t="n">
        <v>45929</v>
      </c>
      <c r="B544" s="11" t="n">
        <f aca="false">C543</f>
        <v>45950</v>
      </c>
      <c r="C544" s="11" t="n">
        <f aca="false">IF(OR(H543,D544&lt;=$G$4),_xlfn.MINIFS('Futures Data'!$B$5:$B$3471,'Futures Data'!$A$5:$A$3471,A544,'Futures Data'!$B$5:$B$3471,"&gt;"&amp;B544),B544)</f>
        <v>45950</v>
      </c>
      <c r="D544" s="3" t="n">
        <f aca="false">COUNTIFS($A$47:$A$790,"&gt;"&amp;A544,$A$47:$A$790,"&lt;="&amp;B544)+IF(B544&gt;$G$5,NETWORKDAYS($G$5+1,B544),0)</f>
        <v>14</v>
      </c>
      <c r="E544" s="3" t="n">
        <f aca="false">SUMIFS('Futures Data'!$E$5:$E$3471,'Futures Data'!$A$5:$A$3471,A544,'Futures Data'!$B$5:$B$3471,C544)</f>
        <v>21545</v>
      </c>
      <c r="F544" s="11" t="n">
        <f aca="false">_xlfn.MINIFS('Futures Data'!$B$5:$B$3471,'Futures Data'!$A$5:$A$3471,A544,'Futures Data'!$B$5:$B$3471,"&gt;"&amp;C544)</f>
        <v>45981</v>
      </c>
      <c r="G544" s="3" t="n">
        <f aca="false">SUMIFS('Futures Data'!$E$5:$E$3471,'Futures Data'!$A$5:$A$3471,A544,'Futures Data'!$B$5:$B$3471,F544)</f>
        <v>14475</v>
      </c>
      <c r="H544" s="9" t="b">
        <f aca="false">G544&gt;E544</f>
        <v>0</v>
      </c>
      <c r="I544" s="9" t="b">
        <f aca="false">C544&lt;&gt;B544</f>
        <v>0</v>
      </c>
      <c r="J544" s="3" t="n">
        <f aca="false">SUMIFS('Futures Data'!$C$5:$C$3471,'Futures Data'!$A$5:$A$3471,A544,'Futures Data'!$B$5:$B$3471,B544)</f>
        <v>6466</v>
      </c>
      <c r="K544" s="3" t="n">
        <f aca="false">SUMIFS('Futures Data'!$C$5:$C$3471,'Futures Data'!$A$5:$A$3471,A544,'Futures Data'!$B$5:$B$3471,C544)</f>
        <v>6466</v>
      </c>
      <c r="L544" s="3" t="n">
        <f aca="false">K544-J544</f>
        <v>0</v>
      </c>
      <c r="M544" s="3" t="n">
        <f aca="false">M545+L544</f>
        <v>869</v>
      </c>
      <c r="N544" s="3" t="n">
        <f aca="false">J544+M544</f>
        <v>7335</v>
      </c>
      <c r="O544" s="13" t="n">
        <f aca="false">LN(J544/K543)</f>
        <v>0.00729533697360021</v>
      </c>
      <c r="P544" s="13" t="n">
        <f aca="false">LN(N544/N543)</f>
        <v>0.00642825163728776</v>
      </c>
      <c r="Q544" s="3" t="n">
        <f aca="false">SUMIFS('Futures Data'!$D$5:$D$3471,'Futures Data'!$A$5:$A$3471,A544,'Futures Data'!$B$5:$B$3471,B544)</f>
        <v>6195</v>
      </c>
      <c r="R544" s="7" t="n">
        <v>45950</v>
      </c>
      <c r="S544" s="9" t="b">
        <f aca="false">C544=R544</f>
        <v>1</v>
      </c>
      <c r="T544" s="9" t="b">
        <f aca="false">ABS(O544-LN(J544/SUMIFS('Futures Data'!$C$5:$C$3471,'Futures Data'!$A$5:$A$3471,A543,'Futures Data'!$B$5:$B$3471,B544)))&lt;0.000000001</f>
        <v>1</v>
      </c>
    </row>
    <row r="545" customFormat="false" ht="15" hidden="false" customHeight="false" outlineLevel="0" collapsed="false">
      <c r="A545" s="7" t="n">
        <v>45930</v>
      </c>
      <c r="B545" s="11" t="n">
        <f aca="false">C544</f>
        <v>45950</v>
      </c>
      <c r="C545" s="11" t="n">
        <f aca="false">IF(OR(H544,D545&lt;=$G$4),_xlfn.MINIFS('Futures Data'!$B$5:$B$3471,'Futures Data'!$A$5:$A$3471,A545,'Futures Data'!$B$5:$B$3471,"&gt;"&amp;B545),B545)</f>
        <v>45950</v>
      </c>
      <c r="D545" s="3" t="n">
        <f aca="false">COUNTIFS($A$47:$A$790,"&gt;"&amp;A545,$A$47:$A$790,"&lt;="&amp;B545)+IF(B545&gt;$G$5,NETWORKDAYS($G$5+1,B545),0)</f>
        <v>13</v>
      </c>
      <c r="E545" s="3" t="n">
        <f aca="false">SUMIFS('Futures Data'!$E$5:$E$3471,'Futures Data'!$A$5:$A$3471,A545,'Futures Data'!$B$5:$B$3471,C545)</f>
        <v>18940</v>
      </c>
      <c r="F545" s="11" t="n">
        <f aca="false">_xlfn.MINIFS('Futures Data'!$B$5:$B$3471,'Futures Data'!$A$5:$A$3471,A545,'Futures Data'!$B$5:$B$3471,"&gt;"&amp;C545)</f>
        <v>45981</v>
      </c>
      <c r="G545" s="3" t="n">
        <f aca="false">SUMIFS('Futures Data'!$E$5:$E$3471,'Futures Data'!$A$5:$A$3471,A545,'Futures Data'!$B$5:$B$3471,F545)</f>
        <v>17175</v>
      </c>
      <c r="H545" s="9" t="b">
        <f aca="false">G545&gt;E545</f>
        <v>0</v>
      </c>
      <c r="I545" s="9" t="b">
        <f aca="false">C545&lt;&gt;B545</f>
        <v>0</v>
      </c>
      <c r="J545" s="3" t="n">
        <f aca="false">SUMIFS('Futures Data'!$C$5:$C$3471,'Futures Data'!$A$5:$A$3471,A545,'Futures Data'!$B$5:$B$3471,B545)</f>
        <v>6531</v>
      </c>
      <c r="K545" s="3" t="n">
        <f aca="false">SUMIFS('Futures Data'!$C$5:$C$3471,'Futures Data'!$A$5:$A$3471,A545,'Futures Data'!$B$5:$B$3471,C545)</f>
        <v>6531</v>
      </c>
      <c r="L545" s="3" t="n">
        <f aca="false">K545-J545</f>
        <v>0</v>
      </c>
      <c r="M545" s="3" t="n">
        <f aca="false">M546+L545</f>
        <v>869</v>
      </c>
      <c r="N545" s="3" t="n">
        <f aca="false">J545+M545</f>
        <v>7400</v>
      </c>
      <c r="O545" s="13" t="n">
        <f aca="false">LN(J545/K544)</f>
        <v>0.0100023916172787</v>
      </c>
      <c r="P545" s="13" t="n">
        <f aca="false">LN(N545/N544)</f>
        <v>0.00882258861517908</v>
      </c>
      <c r="Q545" s="3" t="n">
        <f aca="false">SUMIFS('Futures Data'!$D$5:$D$3471,'Futures Data'!$A$5:$A$3471,A545,'Futures Data'!$B$5:$B$3471,B545)</f>
        <v>6260</v>
      </c>
      <c r="R545" s="7" t="n">
        <v>45950</v>
      </c>
      <c r="S545" s="9" t="b">
        <f aca="false">C545=R545</f>
        <v>1</v>
      </c>
      <c r="T545" s="9" t="b">
        <f aca="false">ABS(O545-LN(J545/SUMIFS('Futures Data'!$C$5:$C$3471,'Futures Data'!$A$5:$A$3471,A544,'Futures Data'!$B$5:$B$3471,B545)))&lt;0.000000001</f>
        <v>1</v>
      </c>
    </row>
    <row r="546" customFormat="false" ht="15" hidden="false" customHeight="false" outlineLevel="0" collapsed="false">
      <c r="A546" s="7" t="n">
        <v>45931</v>
      </c>
      <c r="B546" s="11" t="n">
        <f aca="false">C545</f>
        <v>45950</v>
      </c>
      <c r="C546" s="11" t="n">
        <f aca="false">IF(OR(H545,D546&lt;=$G$4),_xlfn.MINIFS('Futures Data'!$B$5:$B$3471,'Futures Data'!$A$5:$A$3471,A546,'Futures Data'!$B$5:$B$3471,"&gt;"&amp;B546),B546)</f>
        <v>45950</v>
      </c>
      <c r="D546" s="3" t="n">
        <f aca="false">COUNTIFS($A$47:$A$790,"&gt;"&amp;A546,$A$47:$A$790,"&lt;="&amp;B546)+IF(B546&gt;$G$5,NETWORKDAYS($G$5+1,B546),0)</f>
        <v>12</v>
      </c>
      <c r="E546" s="3" t="n">
        <f aca="false">SUMIFS('Futures Data'!$E$5:$E$3471,'Futures Data'!$A$5:$A$3471,A546,'Futures Data'!$B$5:$B$3471,C546)</f>
        <v>17630</v>
      </c>
      <c r="F546" s="11" t="n">
        <f aca="false">_xlfn.MINIFS('Futures Data'!$B$5:$B$3471,'Futures Data'!$A$5:$A$3471,A546,'Futures Data'!$B$5:$B$3471,"&gt;"&amp;C546)</f>
        <v>45981</v>
      </c>
      <c r="G546" s="3" t="n">
        <f aca="false">SUMIFS('Futures Data'!$E$5:$E$3471,'Futures Data'!$A$5:$A$3471,A546,'Futures Data'!$B$5:$B$3471,F546)</f>
        <v>19320</v>
      </c>
      <c r="H546" s="9" t="b">
        <f aca="false">G546&gt;E546</f>
        <v>1</v>
      </c>
      <c r="I546" s="9" t="b">
        <f aca="false">C546&lt;&gt;B546</f>
        <v>0</v>
      </c>
      <c r="J546" s="3" t="n">
        <f aca="false">SUMIFS('Futures Data'!$C$5:$C$3471,'Futures Data'!$A$5:$A$3471,A546,'Futures Data'!$B$5:$B$3471,B546)</f>
        <v>6549</v>
      </c>
      <c r="K546" s="3" t="n">
        <f aca="false">SUMIFS('Futures Data'!$C$5:$C$3471,'Futures Data'!$A$5:$A$3471,A546,'Futures Data'!$B$5:$B$3471,C546)</f>
        <v>6549</v>
      </c>
      <c r="L546" s="3" t="n">
        <f aca="false">K546-J546</f>
        <v>0</v>
      </c>
      <c r="M546" s="3" t="n">
        <f aca="false">M547+L546</f>
        <v>869</v>
      </c>
      <c r="N546" s="3" t="n">
        <f aca="false">J546+M546</f>
        <v>7418</v>
      </c>
      <c r="O546" s="13" t="n">
        <f aca="false">LN(J546/K545)</f>
        <v>0.00275229531539649</v>
      </c>
      <c r="P546" s="13" t="n">
        <f aca="false">LN(N546/N545)</f>
        <v>0.00242947885727508</v>
      </c>
      <c r="Q546" s="3" t="n">
        <f aca="false">SUMIFS('Futures Data'!$D$5:$D$3471,'Futures Data'!$A$5:$A$3471,A546,'Futures Data'!$B$5:$B$3471,B546)</f>
        <v>4165</v>
      </c>
      <c r="R546" s="7" t="n">
        <v>45950</v>
      </c>
      <c r="S546" s="9" t="b">
        <f aca="false">C546=R546</f>
        <v>1</v>
      </c>
      <c r="T546" s="9" t="b">
        <f aca="false">ABS(O546-LN(J546/SUMIFS('Futures Data'!$C$5:$C$3471,'Futures Data'!$A$5:$A$3471,A545,'Futures Data'!$B$5:$B$3471,B546)))&lt;0.000000001</f>
        <v>1</v>
      </c>
    </row>
    <row r="547" customFormat="false" ht="15" hidden="false" customHeight="false" outlineLevel="0" collapsed="false">
      <c r="A547" s="7" t="n">
        <v>45933</v>
      </c>
      <c r="B547" s="11" t="n">
        <f aca="false">C546</f>
        <v>45950</v>
      </c>
      <c r="C547" s="11" t="n">
        <f aca="false">IF(OR(H546,D547&lt;=$G$4),_xlfn.MINIFS('Futures Data'!$B$5:$B$3471,'Futures Data'!$A$5:$A$3471,A547,'Futures Data'!$B$5:$B$3471,"&gt;"&amp;B547),B547)</f>
        <v>45981</v>
      </c>
      <c r="D547" s="3" t="n">
        <f aca="false">COUNTIFS($A$47:$A$790,"&gt;"&amp;A547,$A$47:$A$790,"&lt;="&amp;B547)+IF(B547&gt;$G$5,NETWORKDAYS($G$5+1,B547),0)</f>
        <v>11</v>
      </c>
      <c r="E547" s="3" t="n">
        <f aca="false">SUMIFS('Futures Data'!$E$5:$E$3471,'Futures Data'!$A$5:$A$3471,A547,'Futures Data'!$B$5:$B$3471,C547)</f>
        <v>20535</v>
      </c>
      <c r="F547" s="11" t="n">
        <f aca="false">_xlfn.MINIFS('Futures Data'!$B$5:$B$3471,'Futures Data'!$A$5:$A$3471,A547,'Futures Data'!$B$5:$B$3471,"&gt;"&amp;C547)</f>
        <v>46010</v>
      </c>
      <c r="G547" s="3" t="n">
        <f aca="false">SUMIFS('Futures Data'!$E$5:$E$3471,'Futures Data'!$A$5:$A$3471,A547,'Futures Data'!$B$5:$B$3471,F547)</f>
        <v>500</v>
      </c>
      <c r="H547" s="9" t="b">
        <f aca="false">G547&gt;E547</f>
        <v>0</v>
      </c>
      <c r="I547" s="9" t="b">
        <f aca="false">C547&lt;&gt;B547</f>
        <v>1</v>
      </c>
      <c r="J547" s="3" t="n">
        <f aca="false">SUMIFS('Futures Data'!$C$5:$C$3471,'Futures Data'!$A$5:$A$3471,A547,'Futures Data'!$B$5:$B$3471,B547)</f>
        <v>6466</v>
      </c>
      <c r="K547" s="3" t="n">
        <f aca="false">SUMIFS('Futures Data'!$C$5:$C$3471,'Futures Data'!$A$5:$A$3471,A547,'Futures Data'!$B$5:$B$3471,C547)</f>
        <v>6542</v>
      </c>
      <c r="L547" s="3" t="n">
        <f aca="false">K547-J547</f>
        <v>76</v>
      </c>
      <c r="M547" s="3" t="n">
        <f aca="false">M548+L547</f>
        <v>869</v>
      </c>
      <c r="N547" s="3" t="n">
        <f aca="false">J547+M547</f>
        <v>7335</v>
      </c>
      <c r="O547" s="13" t="n">
        <f aca="false">LN(J547/K546)</f>
        <v>-0.0127546869326751</v>
      </c>
      <c r="P547" s="13" t="n">
        <f aca="false">LN(N547/N546)</f>
        <v>-0.011252067472454</v>
      </c>
      <c r="Q547" s="3" t="n">
        <f aca="false">SUMIFS('Futures Data'!$D$5:$D$3471,'Futures Data'!$A$5:$A$3471,A547,'Futures Data'!$B$5:$B$3471,B547)</f>
        <v>2850</v>
      </c>
      <c r="R547" s="7" t="n">
        <v>45981</v>
      </c>
      <c r="S547" s="9" t="b">
        <f aca="false">C547=R547</f>
        <v>1</v>
      </c>
      <c r="T547" s="9" t="b">
        <f aca="false">ABS(O547-LN(J547/SUMIFS('Futures Data'!$C$5:$C$3471,'Futures Data'!$A$5:$A$3471,A546,'Futures Data'!$B$5:$B$3471,B547)))&lt;0.000000001</f>
        <v>1</v>
      </c>
    </row>
    <row r="548" customFormat="false" ht="15" hidden="false" customHeight="false" outlineLevel="0" collapsed="false">
      <c r="A548" s="7" t="n">
        <v>45936</v>
      </c>
      <c r="B548" s="11" t="n">
        <f aca="false">C547</f>
        <v>45981</v>
      </c>
      <c r="C548" s="11" t="n">
        <f aca="false">IF(OR(H547,D548&lt;=$G$4),_xlfn.MINIFS('Futures Data'!$B$5:$B$3471,'Futures Data'!$A$5:$A$3471,A548,'Futures Data'!$B$5:$B$3471,"&gt;"&amp;B548),B548)</f>
        <v>45981</v>
      </c>
      <c r="D548" s="3" t="n">
        <f aca="false">COUNTIFS($A$47:$A$790,"&gt;"&amp;A548,$A$47:$A$790,"&lt;="&amp;B548)+IF(B548&gt;$G$5,NETWORKDAYS($G$5+1,B548),0)</f>
        <v>31</v>
      </c>
      <c r="E548" s="3" t="n">
        <f aca="false">SUMIFS('Futures Data'!$E$5:$E$3471,'Futures Data'!$A$5:$A$3471,A548,'Futures Data'!$B$5:$B$3471,C548)</f>
        <v>21715</v>
      </c>
      <c r="F548" s="11" t="n">
        <f aca="false">_xlfn.MINIFS('Futures Data'!$B$5:$B$3471,'Futures Data'!$A$5:$A$3471,A548,'Futures Data'!$B$5:$B$3471,"&gt;"&amp;C548)</f>
        <v>46010</v>
      </c>
      <c r="G548" s="3" t="n">
        <f aca="false">SUMIFS('Futures Data'!$E$5:$E$3471,'Futures Data'!$A$5:$A$3471,A548,'Futures Data'!$B$5:$B$3471,F548)</f>
        <v>520</v>
      </c>
      <c r="H548" s="9" t="b">
        <f aca="false">G548&gt;E548</f>
        <v>0</v>
      </c>
      <c r="I548" s="9" t="b">
        <f aca="false">C548&lt;&gt;B548</f>
        <v>0</v>
      </c>
      <c r="J548" s="3" t="n">
        <f aca="false">SUMIFS('Futures Data'!$C$5:$C$3471,'Futures Data'!$A$5:$A$3471,A548,'Futures Data'!$B$5:$B$3471,B548)</f>
        <v>6544</v>
      </c>
      <c r="K548" s="3" t="n">
        <f aca="false">SUMIFS('Futures Data'!$C$5:$C$3471,'Futures Data'!$A$5:$A$3471,A548,'Futures Data'!$B$5:$B$3471,C548)</f>
        <v>6544</v>
      </c>
      <c r="L548" s="3" t="n">
        <f aca="false">K548-J548</f>
        <v>0</v>
      </c>
      <c r="M548" s="3" t="n">
        <f aca="false">M549+L548</f>
        <v>793</v>
      </c>
      <c r="N548" s="3" t="n">
        <f aca="false">J548+M548</f>
        <v>7337</v>
      </c>
      <c r="O548" s="13" t="n">
        <f aca="false">LN(J548/K547)</f>
        <v>0.000305670184253747</v>
      </c>
      <c r="P548" s="13" t="n">
        <f aca="false">LN(N548/N547)</f>
        <v>0.000272628136912268</v>
      </c>
      <c r="Q548" s="3" t="n">
        <f aca="false">SUMIFS('Futures Data'!$D$5:$D$3471,'Futures Data'!$A$5:$A$3471,A548,'Futures Data'!$B$5:$B$3471,B548)</f>
        <v>3480</v>
      </c>
      <c r="R548" s="7" t="n">
        <v>45981</v>
      </c>
      <c r="S548" s="9" t="b">
        <f aca="false">C548=R548</f>
        <v>1</v>
      </c>
      <c r="T548" s="9" t="b">
        <f aca="false">ABS(O548-LN(J548/SUMIFS('Futures Data'!$C$5:$C$3471,'Futures Data'!$A$5:$A$3471,A547,'Futures Data'!$B$5:$B$3471,B548)))&lt;0.000000001</f>
        <v>1</v>
      </c>
    </row>
    <row r="549" customFormat="false" ht="15" hidden="false" customHeight="false" outlineLevel="0" collapsed="false">
      <c r="A549" s="7" t="n">
        <v>45937</v>
      </c>
      <c r="B549" s="11" t="n">
        <f aca="false">C548</f>
        <v>45981</v>
      </c>
      <c r="C549" s="11" t="n">
        <f aca="false">IF(OR(H548,D549&lt;=$G$4),_xlfn.MINIFS('Futures Data'!$B$5:$B$3471,'Futures Data'!$A$5:$A$3471,A549,'Futures Data'!$B$5:$B$3471,"&gt;"&amp;B549),B549)</f>
        <v>45981</v>
      </c>
      <c r="D549" s="3" t="n">
        <f aca="false">COUNTIFS($A$47:$A$790,"&gt;"&amp;A549,$A$47:$A$790,"&lt;="&amp;B549)+IF(B549&gt;$G$5,NETWORKDAYS($G$5+1,B549),0)</f>
        <v>30</v>
      </c>
      <c r="E549" s="3" t="n">
        <f aca="false">SUMIFS('Futures Data'!$E$5:$E$3471,'Futures Data'!$A$5:$A$3471,A549,'Futures Data'!$B$5:$B$3471,C549)</f>
        <v>22950</v>
      </c>
      <c r="F549" s="11" t="n">
        <f aca="false">_xlfn.MINIFS('Futures Data'!$B$5:$B$3471,'Futures Data'!$A$5:$A$3471,A549,'Futures Data'!$B$5:$B$3471,"&gt;"&amp;C549)</f>
        <v>46010</v>
      </c>
      <c r="G549" s="3" t="n">
        <f aca="false">SUMIFS('Futures Data'!$E$5:$E$3471,'Futures Data'!$A$5:$A$3471,A549,'Futures Data'!$B$5:$B$3471,F549)</f>
        <v>515</v>
      </c>
      <c r="H549" s="9" t="b">
        <f aca="false">G549&gt;E549</f>
        <v>0</v>
      </c>
      <c r="I549" s="9" t="b">
        <f aca="false">C549&lt;&gt;B549</f>
        <v>0</v>
      </c>
      <c r="J549" s="3" t="n">
        <f aca="false">SUMIFS('Futures Data'!$C$5:$C$3471,'Futures Data'!$A$5:$A$3471,A549,'Futures Data'!$B$5:$B$3471,B549)</f>
        <v>6579</v>
      </c>
      <c r="K549" s="3" t="n">
        <f aca="false">SUMIFS('Futures Data'!$C$5:$C$3471,'Futures Data'!$A$5:$A$3471,A549,'Futures Data'!$B$5:$B$3471,C549)</f>
        <v>6579</v>
      </c>
      <c r="L549" s="3" t="n">
        <f aca="false">K549-J549</f>
        <v>0</v>
      </c>
      <c r="M549" s="3" t="n">
        <f aca="false">M550+L549</f>
        <v>793</v>
      </c>
      <c r="N549" s="3" t="n">
        <f aca="false">J549+M549</f>
        <v>7372</v>
      </c>
      <c r="O549" s="13" t="n">
        <f aca="false">LN(J549/K548)</f>
        <v>0.00533415880341492</v>
      </c>
      <c r="P549" s="13" t="n">
        <f aca="false">LN(N549/N548)</f>
        <v>0.00475900007571969</v>
      </c>
      <c r="Q549" s="3" t="n">
        <f aca="false">SUMIFS('Futures Data'!$D$5:$D$3471,'Futures Data'!$A$5:$A$3471,A549,'Futures Data'!$B$5:$B$3471,B549)</f>
        <v>2365</v>
      </c>
      <c r="R549" s="7" t="n">
        <v>45981</v>
      </c>
      <c r="S549" s="9" t="b">
        <f aca="false">C549=R549</f>
        <v>1</v>
      </c>
      <c r="T549" s="9" t="b">
        <f aca="false">ABS(O549-LN(J549/SUMIFS('Futures Data'!$C$5:$C$3471,'Futures Data'!$A$5:$A$3471,A548,'Futures Data'!$B$5:$B$3471,B549)))&lt;0.000000001</f>
        <v>1</v>
      </c>
    </row>
    <row r="550" customFormat="false" ht="15" hidden="false" customHeight="false" outlineLevel="0" collapsed="false">
      <c r="A550" s="7" t="n">
        <v>45938</v>
      </c>
      <c r="B550" s="11" t="n">
        <f aca="false">C549</f>
        <v>45981</v>
      </c>
      <c r="C550" s="11" t="n">
        <f aca="false">IF(OR(H549,D550&lt;=$G$4),_xlfn.MINIFS('Futures Data'!$B$5:$B$3471,'Futures Data'!$A$5:$A$3471,A550,'Futures Data'!$B$5:$B$3471,"&gt;"&amp;B550),B550)</f>
        <v>45981</v>
      </c>
      <c r="D550" s="3" t="n">
        <f aca="false">COUNTIFS($A$47:$A$790,"&gt;"&amp;A550,$A$47:$A$790,"&lt;="&amp;B550)+IF(B550&gt;$G$5,NETWORKDAYS($G$5+1,B550),0)</f>
        <v>29</v>
      </c>
      <c r="E550" s="3" t="n">
        <f aca="false">SUMIFS('Futures Data'!$E$5:$E$3471,'Futures Data'!$A$5:$A$3471,A550,'Futures Data'!$B$5:$B$3471,C550)</f>
        <v>23870</v>
      </c>
      <c r="F550" s="11" t="n">
        <f aca="false">_xlfn.MINIFS('Futures Data'!$B$5:$B$3471,'Futures Data'!$A$5:$A$3471,A550,'Futures Data'!$B$5:$B$3471,"&gt;"&amp;C550)</f>
        <v>46010</v>
      </c>
      <c r="G550" s="3" t="n">
        <f aca="false">SUMIFS('Futures Data'!$E$5:$E$3471,'Futures Data'!$A$5:$A$3471,A550,'Futures Data'!$B$5:$B$3471,F550)</f>
        <v>755</v>
      </c>
      <c r="H550" s="9" t="b">
        <f aca="false">G550&gt;E550</f>
        <v>0</v>
      </c>
      <c r="I550" s="9" t="b">
        <f aca="false">C550&lt;&gt;B550</f>
        <v>0</v>
      </c>
      <c r="J550" s="3" t="n">
        <f aca="false">SUMIFS('Futures Data'!$C$5:$C$3471,'Futures Data'!$A$5:$A$3471,A550,'Futures Data'!$B$5:$B$3471,B550)</f>
        <v>6581</v>
      </c>
      <c r="K550" s="3" t="n">
        <f aca="false">SUMIFS('Futures Data'!$C$5:$C$3471,'Futures Data'!$A$5:$A$3471,A550,'Futures Data'!$B$5:$B$3471,C550)</f>
        <v>6581</v>
      </c>
      <c r="L550" s="3" t="n">
        <f aca="false">K550-J550</f>
        <v>0</v>
      </c>
      <c r="M550" s="3" t="n">
        <f aca="false">M551+L550</f>
        <v>793</v>
      </c>
      <c r="N550" s="3" t="n">
        <f aca="false">J550+M550</f>
        <v>7374</v>
      </c>
      <c r="O550" s="13" t="n">
        <f aca="false">LN(J550/K549)</f>
        <v>0.000303951370121246</v>
      </c>
      <c r="P550" s="13" t="n">
        <f aca="false">LN(N550/N549)</f>
        <v>0.000271260004375897</v>
      </c>
      <c r="Q550" s="3" t="n">
        <f aca="false">SUMIFS('Futures Data'!$D$5:$D$3471,'Futures Data'!$A$5:$A$3471,A550,'Futures Data'!$B$5:$B$3471,B550)</f>
        <v>3625</v>
      </c>
      <c r="R550" s="7" t="n">
        <v>45981</v>
      </c>
      <c r="S550" s="9" t="b">
        <f aca="false">C550=R550</f>
        <v>1</v>
      </c>
      <c r="T550" s="9" t="b">
        <f aca="false">ABS(O550-LN(J550/SUMIFS('Futures Data'!$C$5:$C$3471,'Futures Data'!$A$5:$A$3471,A549,'Futures Data'!$B$5:$B$3471,B550)))&lt;0.000000001</f>
        <v>1</v>
      </c>
    </row>
    <row r="551" customFormat="false" ht="15" hidden="false" customHeight="false" outlineLevel="0" collapsed="false">
      <c r="A551" s="7" t="n">
        <v>45939</v>
      </c>
      <c r="B551" s="11" t="n">
        <f aca="false">C550</f>
        <v>45981</v>
      </c>
      <c r="C551" s="11" t="n">
        <f aca="false">IF(OR(H550,D551&lt;=$G$4),_xlfn.MINIFS('Futures Data'!$B$5:$B$3471,'Futures Data'!$A$5:$A$3471,A551,'Futures Data'!$B$5:$B$3471,"&gt;"&amp;B551),B551)</f>
        <v>45981</v>
      </c>
      <c r="D551" s="3" t="n">
        <f aca="false">COUNTIFS($A$47:$A$790,"&gt;"&amp;A551,$A$47:$A$790,"&lt;="&amp;B551)+IF(B551&gt;$G$5,NETWORKDAYS($G$5+1,B551),0)</f>
        <v>28</v>
      </c>
      <c r="E551" s="3" t="n">
        <f aca="false">SUMIFS('Futures Data'!$E$5:$E$3471,'Futures Data'!$A$5:$A$3471,A551,'Futures Data'!$B$5:$B$3471,C551)</f>
        <v>26425</v>
      </c>
      <c r="F551" s="11" t="n">
        <f aca="false">_xlfn.MINIFS('Futures Data'!$B$5:$B$3471,'Futures Data'!$A$5:$A$3471,A551,'Futures Data'!$B$5:$B$3471,"&gt;"&amp;C551)</f>
        <v>46010</v>
      </c>
      <c r="G551" s="3" t="n">
        <f aca="false">SUMIFS('Futures Data'!$E$5:$E$3471,'Futures Data'!$A$5:$A$3471,A551,'Futures Data'!$B$5:$B$3471,F551)</f>
        <v>825</v>
      </c>
      <c r="H551" s="9" t="b">
        <f aca="false">G551&gt;E551</f>
        <v>0</v>
      </c>
      <c r="I551" s="9" t="b">
        <f aca="false">C551&lt;&gt;B551</f>
        <v>0</v>
      </c>
      <c r="J551" s="3" t="n">
        <f aca="false">SUMIFS('Futures Data'!$C$5:$C$3471,'Futures Data'!$A$5:$A$3471,A551,'Futures Data'!$B$5:$B$3471,B551)</f>
        <v>6576</v>
      </c>
      <c r="K551" s="3" t="n">
        <f aca="false">SUMIFS('Futures Data'!$C$5:$C$3471,'Futures Data'!$A$5:$A$3471,A551,'Futures Data'!$B$5:$B$3471,C551)</f>
        <v>6576</v>
      </c>
      <c r="L551" s="3" t="n">
        <f aca="false">K551-J551</f>
        <v>0</v>
      </c>
      <c r="M551" s="3" t="n">
        <f aca="false">M552+L551</f>
        <v>793</v>
      </c>
      <c r="N551" s="3" t="n">
        <f aca="false">J551+M551</f>
        <v>7369</v>
      </c>
      <c r="O551" s="13" t="n">
        <f aca="false">LN(J551/K550)</f>
        <v>-0.000760051720103324</v>
      </c>
      <c r="P551" s="13" t="n">
        <f aca="false">LN(N551/N550)</f>
        <v>-0.000678288027090493</v>
      </c>
      <c r="Q551" s="3" t="n">
        <f aca="false">SUMIFS('Futures Data'!$D$5:$D$3471,'Futures Data'!$A$5:$A$3471,A551,'Futures Data'!$B$5:$B$3471,B551)</f>
        <v>5790</v>
      </c>
      <c r="R551" s="7" t="n">
        <v>45981</v>
      </c>
      <c r="S551" s="9" t="b">
        <f aca="false">C551=R551</f>
        <v>1</v>
      </c>
      <c r="T551" s="9" t="b">
        <f aca="false">ABS(O551-LN(J551/SUMIFS('Futures Data'!$C$5:$C$3471,'Futures Data'!$A$5:$A$3471,A550,'Futures Data'!$B$5:$B$3471,B551)))&lt;0.000000001</f>
        <v>1</v>
      </c>
    </row>
    <row r="552" customFormat="false" ht="15" hidden="false" customHeight="false" outlineLevel="0" collapsed="false">
      <c r="A552" s="7" t="n">
        <v>45940</v>
      </c>
      <c r="B552" s="11" t="n">
        <f aca="false">C551</f>
        <v>45981</v>
      </c>
      <c r="C552" s="11" t="n">
        <f aca="false">IF(OR(H551,D552&lt;=$G$4),_xlfn.MINIFS('Futures Data'!$B$5:$B$3471,'Futures Data'!$A$5:$A$3471,A552,'Futures Data'!$B$5:$B$3471,"&gt;"&amp;B552),B552)</f>
        <v>45981</v>
      </c>
      <c r="D552" s="3" t="n">
        <f aca="false">COUNTIFS($A$47:$A$790,"&gt;"&amp;A552,$A$47:$A$790,"&lt;="&amp;B552)+IF(B552&gt;$G$5,NETWORKDAYS($G$5+1,B552),0)</f>
        <v>27</v>
      </c>
      <c r="E552" s="3" t="n">
        <f aca="false">SUMIFS('Futures Data'!$E$5:$E$3471,'Futures Data'!$A$5:$A$3471,A552,'Futures Data'!$B$5:$B$3471,C552)</f>
        <v>29865</v>
      </c>
      <c r="F552" s="11" t="n">
        <f aca="false">_xlfn.MINIFS('Futures Data'!$B$5:$B$3471,'Futures Data'!$A$5:$A$3471,A552,'Futures Data'!$B$5:$B$3471,"&gt;"&amp;C552)</f>
        <v>46010</v>
      </c>
      <c r="G552" s="3" t="n">
        <f aca="false">SUMIFS('Futures Data'!$E$5:$E$3471,'Futures Data'!$A$5:$A$3471,A552,'Futures Data'!$B$5:$B$3471,F552)</f>
        <v>965</v>
      </c>
      <c r="H552" s="9" t="b">
        <f aca="false">G552&gt;E552</f>
        <v>0</v>
      </c>
      <c r="I552" s="9" t="b">
        <f aca="false">C552&lt;&gt;B552</f>
        <v>0</v>
      </c>
      <c r="J552" s="3" t="n">
        <f aca="false">SUMIFS('Futures Data'!$C$5:$C$3471,'Futures Data'!$A$5:$A$3471,A552,'Futures Data'!$B$5:$B$3471,B552)</f>
        <v>6596</v>
      </c>
      <c r="K552" s="3" t="n">
        <f aca="false">SUMIFS('Futures Data'!$C$5:$C$3471,'Futures Data'!$A$5:$A$3471,A552,'Futures Data'!$B$5:$B$3471,C552)</f>
        <v>6596</v>
      </c>
      <c r="L552" s="3" t="n">
        <f aca="false">K552-J552</f>
        <v>0</v>
      </c>
      <c r="M552" s="3" t="n">
        <f aca="false">M553+L552</f>
        <v>793</v>
      </c>
      <c r="N552" s="3" t="n">
        <f aca="false">J552+M552</f>
        <v>7389</v>
      </c>
      <c r="O552" s="13" t="n">
        <f aca="false">LN(J552/K551)</f>
        <v>0.00303674694347359</v>
      </c>
      <c r="P552" s="13" t="n">
        <f aca="false">LN(N552/N551)</f>
        <v>0.00271039602164832</v>
      </c>
      <c r="Q552" s="3" t="n">
        <f aca="false">SUMIFS('Futures Data'!$D$5:$D$3471,'Futures Data'!$A$5:$A$3471,A552,'Futures Data'!$B$5:$B$3471,B552)</f>
        <v>6930</v>
      </c>
      <c r="R552" s="7" t="n">
        <v>45981</v>
      </c>
      <c r="S552" s="9" t="b">
        <f aca="false">C552=R552</f>
        <v>1</v>
      </c>
      <c r="T552" s="9" t="b">
        <f aca="false">ABS(O552-LN(J552/SUMIFS('Futures Data'!$C$5:$C$3471,'Futures Data'!$A$5:$A$3471,A551,'Futures Data'!$B$5:$B$3471,B552)))&lt;0.000000001</f>
        <v>1</v>
      </c>
    </row>
    <row r="553" customFormat="false" ht="15" hidden="false" customHeight="false" outlineLevel="0" collapsed="false">
      <c r="A553" s="7" t="n">
        <v>45943</v>
      </c>
      <c r="B553" s="11" t="n">
        <f aca="false">C552</f>
        <v>45981</v>
      </c>
      <c r="C553" s="11" t="n">
        <f aca="false">IF(OR(H552,D553&lt;=$G$4),_xlfn.MINIFS('Futures Data'!$B$5:$B$3471,'Futures Data'!$A$5:$A$3471,A553,'Futures Data'!$B$5:$B$3471,"&gt;"&amp;B553),B553)</f>
        <v>45981</v>
      </c>
      <c r="D553" s="3" t="n">
        <f aca="false">COUNTIFS($A$47:$A$790,"&gt;"&amp;A553,$A$47:$A$790,"&lt;="&amp;B553)+IF(B553&gt;$G$5,NETWORKDAYS($G$5+1,B553),0)</f>
        <v>26</v>
      </c>
      <c r="E553" s="3" t="n">
        <f aca="false">SUMIFS('Futures Data'!$E$5:$E$3471,'Futures Data'!$A$5:$A$3471,A553,'Futures Data'!$B$5:$B$3471,C553)</f>
        <v>29475</v>
      </c>
      <c r="F553" s="11" t="n">
        <f aca="false">_xlfn.MINIFS('Futures Data'!$B$5:$B$3471,'Futures Data'!$A$5:$A$3471,A553,'Futures Data'!$B$5:$B$3471,"&gt;"&amp;C553)</f>
        <v>46010</v>
      </c>
      <c r="G553" s="3" t="n">
        <f aca="false">SUMIFS('Futures Data'!$E$5:$E$3471,'Futures Data'!$A$5:$A$3471,A553,'Futures Data'!$B$5:$B$3471,F553)</f>
        <v>1540</v>
      </c>
      <c r="H553" s="9" t="b">
        <f aca="false">G553&gt;E553</f>
        <v>0</v>
      </c>
      <c r="I553" s="9" t="b">
        <f aca="false">C553&lt;&gt;B553</f>
        <v>0</v>
      </c>
      <c r="J553" s="3" t="n">
        <f aca="false">SUMIFS('Futures Data'!$C$5:$C$3471,'Futures Data'!$A$5:$A$3471,A553,'Futures Data'!$B$5:$B$3471,B553)</f>
        <v>6715</v>
      </c>
      <c r="K553" s="3" t="n">
        <f aca="false">SUMIFS('Futures Data'!$C$5:$C$3471,'Futures Data'!$A$5:$A$3471,A553,'Futures Data'!$B$5:$B$3471,C553)</f>
        <v>6715</v>
      </c>
      <c r="L553" s="3" t="n">
        <f aca="false">K553-J553</f>
        <v>0</v>
      </c>
      <c r="M553" s="3" t="n">
        <f aca="false">M554+L553</f>
        <v>793</v>
      </c>
      <c r="N553" s="3" t="n">
        <f aca="false">J553+M553</f>
        <v>7508</v>
      </c>
      <c r="O553" s="13" t="n">
        <f aca="false">LN(J553/K552)</f>
        <v>0.0178804252778484</v>
      </c>
      <c r="P553" s="13" t="n">
        <f aca="false">LN(N553/N552)</f>
        <v>0.0159767109177517</v>
      </c>
      <c r="Q553" s="3" t="n">
        <f aca="false">SUMIFS('Futures Data'!$D$5:$D$3471,'Futures Data'!$A$5:$A$3471,A553,'Futures Data'!$B$5:$B$3471,B553)</f>
        <v>9535</v>
      </c>
      <c r="R553" s="7" t="n">
        <v>45981</v>
      </c>
      <c r="S553" s="9" t="b">
        <f aca="false">C553=R553</f>
        <v>1</v>
      </c>
      <c r="T553" s="9" t="b">
        <f aca="false">ABS(O553-LN(J553/SUMIFS('Futures Data'!$C$5:$C$3471,'Futures Data'!$A$5:$A$3471,A552,'Futures Data'!$B$5:$B$3471,B553)))&lt;0.000000001</f>
        <v>1</v>
      </c>
    </row>
    <row r="554" customFormat="false" ht="15" hidden="false" customHeight="false" outlineLevel="0" collapsed="false">
      <c r="A554" s="7" t="n">
        <v>45944</v>
      </c>
      <c r="B554" s="11" t="n">
        <f aca="false">C553</f>
        <v>45981</v>
      </c>
      <c r="C554" s="11" t="n">
        <f aca="false">IF(OR(H553,D554&lt;=$G$4),_xlfn.MINIFS('Futures Data'!$B$5:$B$3471,'Futures Data'!$A$5:$A$3471,A554,'Futures Data'!$B$5:$B$3471,"&gt;"&amp;B554),B554)</f>
        <v>45981</v>
      </c>
      <c r="D554" s="3" t="n">
        <f aca="false">COUNTIFS($A$47:$A$790,"&gt;"&amp;A554,$A$47:$A$790,"&lt;="&amp;B554)+IF(B554&gt;$G$5,NETWORKDAYS($G$5+1,B554),0)</f>
        <v>25</v>
      </c>
      <c r="E554" s="3" t="n">
        <f aca="false">SUMIFS('Futures Data'!$E$5:$E$3471,'Futures Data'!$A$5:$A$3471,A554,'Futures Data'!$B$5:$B$3471,C554)</f>
        <v>28295</v>
      </c>
      <c r="F554" s="11" t="n">
        <f aca="false">_xlfn.MINIFS('Futures Data'!$B$5:$B$3471,'Futures Data'!$A$5:$A$3471,A554,'Futures Data'!$B$5:$B$3471,"&gt;"&amp;C554)</f>
        <v>46010</v>
      </c>
      <c r="G554" s="3" t="n">
        <f aca="false">SUMIFS('Futures Data'!$E$5:$E$3471,'Futures Data'!$A$5:$A$3471,A554,'Futures Data'!$B$5:$B$3471,F554)</f>
        <v>1760</v>
      </c>
      <c r="H554" s="9" t="b">
        <f aca="false">G554&gt;E554</f>
        <v>0</v>
      </c>
      <c r="I554" s="9" t="b">
        <f aca="false">C554&lt;&gt;B554</f>
        <v>0</v>
      </c>
      <c r="J554" s="3" t="n">
        <f aca="false">SUMIFS('Futures Data'!$C$5:$C$3471,'Futures Data'!$A$5:$A$3471,A554,'Futures Data'!$B$5:$B$3471,B554)</f>
        <v>6667</v>
      </c>
      <c r="K554" s="3" t="n">
        <f aca="false">SUMIFS('Futures Data'!$C$5:$C$3471,'Futures Data'!$A$5:$A$3471,A554,'Futures Data'!$B$5:$B$3471,C554)</f>
        <v>6667</v>
      </c>
      <c r="L554" s="3" t="n">
        <f aca="false">K554-J554</f>
        <v>0</v>
      </c>
      <c r="M554" s="3" t="n">
        <f aca="false">M555+L554</f>
        <v>793</v>
      </c>
      <c r="N554" s="3" t="n">
        <f aca="false">J554+M554</f>
        <v>7460</v>
      </c>
      <c r="O554" s="13" t="n">
        <f aca="false">LN(J554/K553)</f>
        <v>-0.00717384633927792</v>
      </c>
      <c r="P554" s="13" t="n">
        <f aca="false">LN(N554/N553)</f>
        <v>-0.00641370450859291</v>
      </c>
      <c r="Q554" s="3" t="n">
        <f aca="false">SUMIFS('Futures Data'!$D$5:$D$3471,'Futures Data'!$A$5:$A$3471,A554,'Futures Data'!$B$5:$B$3471,B554)</f>
        <v>5760</v>
      </c>
      <c r="R554" s="7" t="n">
        <v>45981</v>
      </c>
      <c r="S554" s="9" t="b">
        <f aca="false">C554=R554</f>
        <v>1</v>
      </c>
      <c r="T554" s="9" t="b">
        <f aca="false">ABS(O554-LN(J554/SUMIFS('Futures Data'!$C$5:$C$3471,'Futures Data'!$A$5:$A$3471,A553,'Futures Data'!$B$5:$B$3471,B554)))&lt;0.000000001</f>
        <v>1</v>
      </c>
    </row>
    <row r="555" customFormat="false" ht="15" hidden="false" customHeight="false" outlineLevel="0" collapsed="false">
      <c r="A555" s="7" t="n">
        <v>45945</v>
      </c>
      <c r="B555" s="11" t="n">
        <f aca="false">C554</f>
        <v>45981</v>
      </c>
      <c r="C555" s="11" t="n">
        <f aca="false">IF(OR(H554,D555&lt;=$G$4),_xlfn.MINIFS('Futures Data'!$B$5:$B$3471,'Futures Data'!$A$5:$A$3471,A555,'Futures Data'!$B$5:$B$3471,"&gt;"&amp;B555),B555)</f>
        <v>45981</v>
      </c>
      <c r="D555" s="3" t="n">
        <f aca="false">COUNTIFS($A$47:$A$790,"&gt;"&amp;A555,$A$47:$A$790,"&lt;="&amp;B555)+IF(B555&gt;$G$5,NETWORKDAYS($G$5+1,B555),0)</f>
        <v>24</v>
      </c>
      <c r="E555" s="3" t="n">
        <f aca="false">SUMIFS('Futures Data'!$E$5:$E$3471,'Futures Data'!$A$5:$A$3471,A555,'Futures Data'!$B$5:$B$3471,C555)</f>
        <v>28770</v>
      </c>
      <c r="F555" s="11" t="n">
        <f aca="false">_xlfn.MINIFS('Futures Data'!$B$5:$B$3471,'Futures Data'!$A$5:$A$3471,A555,'Futures Data'!$B$5:$B$3471,"&gt;"&amp;C555)</f>
        <v>46010</v>
      </c>
      <c r="G555" s="3" t="n">
        <f aca="false">SUMIFS('Futures Data'!$E$5:$E$3471,'Futures Data'!$A$5:$A$3471,A555,'Futures Data'!$B$5:$B$3471,F555)</f>
        <v>2710</v>
      </c>
      <c r="H555" s="9" t="b">
        <f aca="false">G555&gt;E555</f>
        <v>0</v>
      </c>
      <c r="I555" s="9" t="b">
        <f aca="false">C555&lt;&gt;B555</f>
        <v>0</v>
      </c>
      <c r="J555" s="3" t="n">
        <f aca="false">SUMIFS('Futures Data'!$C$5:$C$3471,'Futures Data'!$A$5:$A$3471,A555,'Futures Data'!$B$5:$B$3471,B555)</f>
        <v>6650</v>
      </c>
      <c r="K555" s="3" t="n">
        <f aca="false">SUMIFS('Futures Data'!$C$5:$C$3471,'Futures Data'!$A$5:$A$3471,A555,'Futures Data'!$B$5:$B$3471,C555)</f>
        <v>6650</v>
      </c>
      <c r="L555" s="3" t="n">
        <f aca="false">K555-J555</f>
        <v>0</v>
      </c>
      <c r="M555" s="3" t="n">
        <f aca="false">M556+L555</f>
        <v>793</v>
      </c>
      <c r="N555" s="3" t="n">
        <f aca="false">J555+M555</f>
        <v>7443</v>
      </c>
      <c r="O555" s="13" t="n">
        <f aca="false">LN(J555/K554)</f>
        <v>-0.00255312896816024</v>
      </c>
      <c r="P555" s="13" t="n">
        <f aca="false">LN(N555/N554)</f>
        <v>-0.00228142083789583</v>
      </c>
      <c r="Q555" s="3" t="n">
        <f aca="false">SUMIFS('Futures Data'!$D$5:$D$3471,'Futures Data'!$A$5:$A$3471,A555,'Futures Data'!$B$5:$B$3471,B555)</f>
        <v>4960</v>
      </c>
      <c r="R555" s="7" t="n">
        <v>45981</v>
      </c>
      <c r="S555" s="9" t="b">
        <f aca="false">C555=R555</f>
        <v>1</v>
      </c>
      <c r="T555" s="9" t="b">
        <f aca="false">ABS(O555-LN(J555/SUMIFS('Futures Data'!$C$5:$C$3471,'Futures Data'!$A$5:$A$3471,A554,'Futures Data'!$B$5:$B$3471,B555)))&lt;0.000000001</f>
        <v>1</v>
      </c>
    </row>
    <row r="556" customFormat="false" ht="15" hidden="false" customHeight="false" outlineLevel="0" collapsed="false">
      <c r="A556" s="7" t="n">
        <v>45946</v>
      </c>
      <c r="B556" s="11" t="n">
        <f aca="false">C555</f>
        <v>45981</v>
      </c>
      <c r="C556" s="11" t="n">
        <f aca="false">IF(OR(H555,D556&lt;=$G$4),_xlfn.MINIFS('Futures Data'!$B$5:$B$3471,'Futures Data'!$A$5:$A$3471,A556,'Futures Data'!$B$5:$B$3471,"&gt;"&amp;B556),B556)</f>
        <v>45981</v>
      </c>
      <c r="D556" s="3" t="n">
        <f aca="false">COUNTIFS($A$47:$A$790,"&gt;"&amp;A556,$A$47:$A$790,"&lt;="&amp;B556)+IF(B556&gt;$G$5,NETWORKDAYS($G$5+1,B556),0)</f>
        <v>23</v>
      </c>
      <c r="E556" s="3" t="n">
        <f aca="false">SUMIFS('Futures Data'!$E$5:$E$3471,'Futures Data'!$A$5:$A$3471,A556,'Futures Data'!$B$5:$B$3471,C556)</f>
        <v>29160</v>
      </c>
      <c r="F556" s="11" t="n">
        <f aca="false">_xlfn.MINIFS('Futures Data'!$B$5:$B$3471,'Futures Data'!$A$5:$A$3471,A556,'Futures Data'!$B$5:$B$3471,"&gt;"&amp;C556)</f>
        <v>46010</v>
      </c>
      <c r="G556" s="3" t="n">
        <f aca="false">SUMIFS('Futures Data'!$E$5:$E$3471,'Futures Data'!$A$5:$A$3471,A556,'Futures Data'!$B$5:$B$3471,F556)</f>
        <v>3085</v>
      </c>
      <c r="H556" s="9" t="b">
        <f aca="false">G556&gt;E556</f>
        <v>0</v>
      </c>
      <c r="I556" s="9" t="b">
        <f aca="false">C556&lt;&gt;B556</f>
        <v>0</v>
      </c>
      <c r="J556" s="3" t="n">
        <f aca="false">SUMIFS('Futures Data'!$C$5:$C$3471,'Futures Data'!$A$5:$A$3471,A556,'Futures Data'!$B$5:$B$3471,B556)</f>
        <v>6758</v>
      </c>
      <c r="K556" s="3" t="n">
        <f aca="false">SUMIFS('Futures Data'!$C$5:$C$3471,'Futures Data'!$A$5:$A$3471,A556,'Futures Data'!$B$5:$B$3471,C556)</f>
        <v>6758</v>
      </c>
      <c r="L556" s="3" t="n">
        <f aca="false">K556-J556</f>
        <v>0</v>
      </c>
      <c r="M556" s="3" t="n">
        <f aca="false">M557+L556</f>
        <v>793</v>
      </c>
      <c r="N556" s="3" t="n">
        <f aca="false">J556+M556</f>
        <v>7551</v>
      </c>
      <c r="O556" s="13" t="n">
        <f aca="false">LN(J556/K555)</f>
        <v>0.0161101336243355</v>
      </c>
      <c r="P556" s="13" t="n">
        <f aca="false">LN(N556/N555)</f>
        <v>0.0144060114435149</v>
      </c>
      <c r="Q556" s="3" t="n">
        <f aca="false">SUMIFS('Futures Data'!$D$5:$D$3471,'Futures Data'!$A$5:$A$3471,A556,'Futures Data'!$B$5:$B$3471,B556)</f>
        <v>6550</v>
      </c>
      <c r="R556" s="7" t="n">
        <v>45981</v>
      </c>
      <c r="S556" s="9" t="b">
        <f aca="false">C556=R556</f>
        <v>1</v>
      </c>
      <c r="T556" s="9" t="b">
        <f aca="false">ABS(O556-LN(J556/SUMIFS('Futures Data'!$C$5:$C$3471,'Futures Data'!$A$5:$A$3471,A555,'Futures Data'!$B$5:$B$3471,B556)))&lt;0.000000001</f>
        <v>1</v>
      </c>
    </row>
    <row r="557" customFormat="false" ht="15" hidden="false" customHeight="false" outlineLevel="0" collapsed="false">
      <c r="A557" s="7" t="n">
        <v>45947</v>
      </c>
      <c r="B557" s="11" t="n">
        <f aca="false">C556</f>
        <v>45981</v>
      </c>
      <c r="C557" s="11" t="n">
        <f aca="false">IF(OR(H556,D557&lt;=$G$4),_xlfn.MINIFS('Futures Data'!$B$5:$B$3471,'Futures Data'!$A$5:$A$3471,A557,'Futures Data'!$B$5:$B$3471,"&gt;"&amp;B557),B557)</f>
        <v>45981</v>
      </c>
      <c r="D557" s="3" t="n">
        <f aca="false">COUNTIFS($A$47:$A$790,"&gt;"&amp;A557,$A$47:$A$790,"&lt;="&amp;B557)+IF(B557&gt;$G$5,NETWORKDAYS($G$5+1,B557),0)</f>
        <v>22</v>
      </c>
      <c r="E557" s="3" t="n">
        <f aca="false">SUMIFS('Futures Data'!$E$5:$E$3471,'Futures Data'!$A$5:$A$3471,A557,'Futures Data'!$B$5:$B$3471,C557)</f>
        <v>27995</v>
      </c>
      <c r="F557" s="11" t="n">
        <f aca="false">_xlfn.MINIFS('Futures Data'!$B$5:$B$3471,'Futures Data'!$A$5:$A$3471,A557,'Futures Data'!$B$5:$B$3471,"&gt;"&amp;C557)</f>
        <v>46010</v>
      </c>
      <c r="G557" s="3" t="n">
        <f aca="false">SUMIFS('Futures Data'!$E$5:$E$3471,'Futures Data'!$A$5:$A$3471,A557,'Futures Data'!$B$5:$B$3471,F557)</f>
        <v>4255</v>
      </c>
      <c r="H557" s="9" t="b">
        <f aca="false">G557&gt;E557</f>
        <v>0</v>
      </c>
      <c r="I557" s="9" t="b">
        <f aca="false">C557&lt;&gt;B557</f>
        <v>0</v>
      </c>
      <c r="J557" s="3" t="n">
        <f aca="false">SUMIFS('Futures Data'!$C$5:$C$3471,'Futures Data'!$A$5:$A$3471,A557,'Futures Data'!$B$5:$B$3471,B557)</f>
        <v>6759</v>
      </c>
      <c r="K557" s="3" t="n">
        <f aca="false">SUMIFS('Futures Data'!$C$5:$C$3471,'Futures Data'!$A$5:$A$3471,A557,'Futures Data'!$B$5:$B$3471,C557)</f>
        <v>6759</v>
      </c>
      <c r="L557" s="3" t="n">
        <f aca="false">K557-J557</f>
        <v>0</v>
      </c>
      <c r="M557" s="3" t="n">
        <f aca="false">M558+L557</f>
        <v>793</v>
      </c>
      <c r="N557" s="3" t="n">
        <f aca="false">J557+M557</f>
        <v>7552</v>
      </c>
      <c r="O557" s="13" t="n">
        <f aca="false">LN(J557/K556)</f>
        <v>0.000147961826118924</v>
      </c>
      <c r="P557" s="13" t="n">
        <f aca="false">LN(N557/N556)</f>
        <v>0.000132424021911069</v>
      </c>
      <c r="Q557" s="3" t="n">
        <f aca="false">SUMIFS('Futures Data'!$D$5:$D$3471,'Futures Data'!$A$5:$A$3471,A557,'Futures Data'!$B$5:$B$3471,B557)</f>
        <v>3265</v>
      </c>
      <c r="R557" s="7" t="n">
        <v>45981</v>
      </c>
      <c r="S557" s="9" t="b">
        <f aca="false">C557=R557</f>
        <v>1</v>
      </c>
      <c r="T557" s="9" t="b">
        <f aca="false">ABS(O557-LN(J557/SUMIFS('Futures Data'!$C$5:$C$3471,'Futures Data'!$A$5:$A$3471,A556,'Futures Data'!$B$5:$B$3471,B557)))&lt;0.000000001</f>
        <v>1</v>
      </c>
    </row>
    <row r="558" customFormat="false" ht="15" hidden="false" customHeight="false" outlineLevel="0" collapsed="false">
      <c r="A558" s="7" t="n">
        <v>45950</v>
      </c>
      <c r="B558" s="11" t="n">
        <f aca="false">C557</f>
        <v>45981</v>
      </c>
      <c r="C558" s="11" t="n">
        <f aca="false">IF(OR(H557,D558&lt;=$G$4),_xlfn.MINIFS('Futures Data'!$B$5:$B$3471,'Futures Data'!$A$5:$A$3471,A558,'Futures Data'!$B$5:$B$3471,"&gt;"&amp;B558),B558)</f>
        <v>45981</v>
      </c>
      <c r="D558" s="3" t="n">
        <f aca="false">COUNTIFS($A$47:$A$790,"&gt;"&amp;A558,$A$47:$A$790,"&lt;="&amp;B558)+IF(B558&gt;$G$5,NETWORKDAYS($G$5+1,B558),0)</f>
        <v>21</v>
      </c>
      <c r="E558" s="3" t="n">
        <f aca="false">SUMIFS('Futures Data'!$E$5:$E$3471,'Futures Data'!$A$5:$A$3471,A558,'Futures Data'!$B$5:$B$3471,C558)</f>
        <v>28410</v>
      </c>
      <c r="F558" s="11" t="n">
        <f aca="false">_xlfn.MINIFS('Futures Data'!$B$5:$B$3471,'Futures Data'!$A$5:$A$3471,A558,'Futures Data'!$B$5:$B$3471,"&gt;"&amp;C558)</f>
        <v>46010</v>
      </c>
      <c r="G558" s="3" t="n">
        <f aca="false">SUMIFS('Futures Data'!$E$5:$E$3471,'Futures Data'!$A$5:$A$3471,A558,'Futures Data'!$B$5:$B$3471,F558)</f>
        <v>5770</v>
      </c>
      <c r="H558" s="9" t="b">
        <f aca="false">G558&gt;E558</f>
        <v>0</v>
      </c>
      <c r="I558" s="9" t="b">
        <f aca="false">C558&lt;&gt;B558</f>
        <v>0</v>
      </c>
      <c r="J558" s="3" t="n">
        <f aca="false">SUMIFS('Futures Data'!$C$5:$C$3471,'Futures Data'!$A$5:$A$3471,A558,'Futures Data'!$B$5:$B$3471,B558)</f>
        <v>6763</v>
      </c>
      <c r="K558" s="3" t="n">
        <f aca="false">SUMIFS('Futures Data'!$C$5:$C$3471,'Futures Data'!$A$5:$A$3471,A558,'Futures Data'!$B$5:$B$3471,C558)</f>
        <v>6763</v>
      </c>
      <c r="L558" s="3" t="n">
        <f aca="false">K558-J558</f>
        <v>0</v>
      </c>
      <c r="M558" s="3" t="n">
        <f aca="false">M559+L558</f>
        <v>793</v>
      </c>
      <c r="N558" s="3" t="n">
        <f aca="false">J558+M558</f>
        <v>7556</v>
      </c>
      <c r="O558" s="13" t="n">
        <f aca="false">LN(J558/K557)</f>
        <v>0.000591628474585765</v>
      </c>
      <c r="P558" s="13" t="n">
        <f aca="false">LN(N558/N557)</f>
        <v>0.000529520796063581</v>
      </c>
      <c r="Q558" s="3" t="n">
        <f aca="false">SUMIFS('Futures Data'!$D$5:$D$3471,'Futures Data'!$A$5:$A$3471,A558,'Futures Data'!$B$5:$B$3471,B558)</f>
        <v>3900</v>
      </c>
      <c r="R558" s="7" t="n">
        <v>45981</v>
      </c>
      <c r="S558" s="9" t="b">
        <f aca="false">C558=R558</f>
        <v>1</v>
      </c>
      <c r="T558" s="9" t="b">
        <f aca="false">ABS(O558-LN(J558/SUMIFS('Futures Data'!$C$5:$C$3471,'Futures Data'!$A$5:$A$3471,A557,'Futures Data'!$B$5:$B$3471,B558)))&lt;0.000000001</f>
        <v>1</v>
      </c>
    </row>
    <row r="559" customFormat="false" ht="15" hidden="false" customHeight="false" outlineLevel="0" collapsed="false">
      <c r="A559" s="7" t="n">
        <v>45951</v>
      </c>
      <c r="B559" s="11" t="n">
        <f aca="false">C558</f>
        <v>45981</v>
      </c>
      <c r="C559" s="11" t="n">
        <f aca="false">IF(OR(H558,D559&lt;=$G$4),_xlfn.MINIFS('Futures Data'!$B$5:$B$3471,'Futures Data'!$A$5:$A$3471,A559,'Futures Data'!$B$5:$B$3471,"&gt;"&amp;B559),B559)</f>
        <v>45981</v>
      </c>
      <c r="D559" s="3" t="n">
        <f aca="false">COUNTIFS($A$47:$A$790,"&gt;"&amp;A559,$A$47:$A$790,"&lt;="&amp;B559)+IF(B559&gt;$G$5,NETWORKDAYS($G$5+1,B559),0)</f>
        <v>20</v>
      </c>
      <c r="E559" s="3" t="n">
        <f aca="false">SUMIFS('Futures Data'!$E$5:$E$3471,'Futures Data'!$A$5:$A$3471,A559,'Futures Data'!$B$5:$B$3471,C559)</f>
        <v>28380</v>
      </c>
      <c r="F559" s="11" t="n">
        <f aca="false">_xlfn.MINIFS('Futures Data'!$B$5:$B$3471,'Futures Data'!$A$5:$A$3471,A559,'Futures Data'!$B$5:$B$3471,"&gt;"&amp;C559)</f>
        <v>46010</v>
      </c>
      <c r="G559" s="3" t="n">
        <f aca="false">SUMIFS('Futures Data'!$E$5:$E$3471,'Futures Data'!$A$5:$A$3471,A559,'Futures Data'!$B$5:$B$3471,F559)</f>
        <v>6080</v>
      </c>
      <c r="H559" s="9" t="b">
        <f aca="false">G559&gt;E559</f>
        <v>0</v>
      </c>
      <c r="I559" s="9" t="b">
        <f aca="false">C559&lt;&gt;B559</f>
        <v>0</v>
      </c>
      <c r="J559" s="3" t="n">
        <f aca="false">SUMIFS('Futures Data'!$C$5:$C$3471,'Futures Data'!$A$5:$A$3471,A559,'Futures Data'!$B$5:$B$3471,B559)</f>
        <v>6758</v>
      </c>
      <c r="K559" s="3" t="n">
        <f aca="false">SUMIFS('Futures Data'!$C$5:$C$3471,'Futures Data'!$A$5:$A$3471,A559,'Futures Data'!$B$5:$B$3471,C559)</f>
        <v>6758</v>
      </c>
      <c r="L559" s="3" t="n">
        <f aca="false">K559-J559</f>
        <v>0</v>
      </c>
      <c r="M559" s="3" t="n">
        <f aca="false">M560+L559</f>
        <v>793</v>
      </c>
      <c r="N559" s="3" t="n">
        <f aca="false">J559+M559</f>
        <v>7551</v>
      </c>
      <c r="O559" s="13" t="n">
        <f aca="false">LN(J559/K558)</f>
        <v>-0.000739590300704676</v>
      </c>
      <c r="P559" s="13" t="n">
        <f aca="false">LN(N559/N558)</f>
        <v>-0.000661944817974643</v>
      </c>
      <c r="Q559" s="3" t="n">
        <f aca="false">SUMIFS('Futures Data'!$D$5:$D$3471,'Futures Data'!$A$5:$A$3471,A559,'Futures Data'!$B$5:$B$3471,B559)</f>
        <v>575</v>
      </c>
      <c r="R559" s="7" t="n">
        <v>45981</v>
      </c>
      <c r="S559" s="9" t="b">
        <f aca="false">C559=R559</f>
        <v>1</v>
      </c>
      <c r="T559" s="9" t="b">
        <f aca="false">ABS(O559-LN(J559/SUMIFS('Futures Data'!$C$5:$C$3471,'Futures Data'!$A$5:$A$3471,A558,'Futures Data'!$B$5:$B$3471,B559)))&lt;0.000000001</f>
        <v>1</v>
      </c>
    </row>
    <row r="560" customFormat="false" ht="15" hidden="false" customHeight="false" outlineLevel="0" collapsed="false">
      <c r="A560" s="7" t="n">
        <v>45953</v>
      </c>
      <c r="B560" s="11" t="n">
        <f aca="false">C559</f>
        <v>45981</v>
      </c>
      <c r="C560" s="11" t="n">
        <f aca="false">IF(OR(H559,D560&lt;=$G$4),_xlfn.MINIFS('Futures Data'!$B$5:$B$3471,'Futures Data'!$A$5:$A$3471,A560,'Futures Data'!$B$5:$B$3471,"&gt;"&amp;B560),B560)</f>
        <v>45981</v>
      </c>
      <c r="D560" s="3" t="n">
        <f aca="false">COUNTIFS($A$47:$A$790,"&gt;"&amp;A560,$A$47:$A$790,"&lt;="&amp;B560)+IF(B560&gt;$G$5,NETWORKDAYS($G$5+1,B560),0)</f>
        <v>19</v>
      </c>
      <c r="E560" s="3" t="n">
        <f aca="false">SUMIFS('Futures Data'!$E$5:$E$3471,'Futures Data'!$A$5:$A$3471,A560,'Futures Data'!$B$5:$B$3471,C560)</f>
        <v>28145</v>
      </c>
      <c r="F560" s="11" t="n">
        <f aca="false">_xlfn.MINIFS('Futures Data'!$B$5:$B$3471,'Futures Data'!$A$5:$A$3471,A560,'Futures Data'!$B$5:$B$3471,"&gt;"&amp;C560)</f>
        <v>46010</v>
      </c>
      <c r="G560" s="3" t="n">
        <f aca="false">SUMIFS('Futures Data'!$E$5:$E$3471,'Futures Data'!$A$5:$A$3471,A560,'Futures Data'!$B$5:$B$3471,F560)</f>
        <v>7050</v>
      </c>
      <c r="H560" s="9" t="b">
        <f aca="false">G560&gt;E560</f>
        <v>0</v>
      </c>
      <c r="I560" s="9" t="b">
        <f aca="false">C560&lt;&gt;B560</f>
        <v>0</v>
      </c>
      <c r="J560" s="3" t="n">
        <f aca="false">SUMIFS('Futures Data'!$C$5:$C$3471,'Futures Data'!$A$5:$A$3471,A560,'Futures Data'!$B$5:$B$3471,B560)</f>
        <v>6703</v>
      </c>
      <c r="K560" s="3" t="n">
        <f aca="false">SUMIFS('Futures Data'!$C$5:$C$3471,'Futures Data'!$A$5:$A$3471,A560,'Futures Data'!$B$5:$B$3471,C560)</f>
        <v>6703</v>
      </c>
      <c r="L560" s="3" t="n">
        <f aca="false">K560-J560</f>
        <v>0</v>
      </c>
      <c r="M560" s="3" t="n">
        <f aca="false">M561+L560</f>
        <v>793</v>
      </c>
      <c r="N560" s="3" t="n">
        <f aca="false">J560+M560</f>
        <v>7496</v>
      </c>
      <c r="O560" s="13" t="n">
        <f aca="false">LN(J560/K559)</f>
        <v>-0.00817180091627759</v>
      </c>
      <c r="P560" s="13" t="n">
        <f aca="false">LN(N560/N559)</f>
        <v>-0.00731045988516745</v>
      </c>
      <c r="Q560" s="3" t="n">
        <f aca="false">SUMIFS('Futures Data'!$D$5:$D$3471,'Futures Data'!$A$5:$A$3471,A560,'Futures Data'!$B$5:$B$3471,B560)</f>
        <v>2960</v>
      </c>
      <c r="R560" s="7" t="n">
        <v>45981</v>
      </c>
      <c r="S560" s="9" t="b">
        <f aca="false">C560=R560</f>
        <v>1</v>
      </c>
      <c r="T560" s="9" t="b">
        <f aca="false">ABS(O560-LN(J560/SUMIFS('Futures Data'!$C$5:$C$3471,'Futures Data'!$A$5:$A$3471,A559,'Futures Data'!$B$5:$B$3471,B560)))&lt;0.000000001</f>
        <v>1</v>
      </c>
    </row>
    <row r="561" customFormat="false" ht="15" hidden="false" customHeight="false" outlineLevel="0" collapsed="false">
      <c r="A561" s="7" t="n">
        <v>45954</v>
      </c>
      <c r="B561" s="11" t="n">
        <f aca="false">C560</f>
        <v>45981</v>
      </c>
      <c r="C561" s="11" t="n">
        <f aca="false">IF(OR(H560,D561&lt;=$G$4),_xlfn.MINIFS('Futures Data'!$B$5:$B$3471,'Futures Data'!$A$5:$A$3471,A561,'Futures Data'!$B$5:$B$3471,"&gt;"&amp;B561),B561)</f>
        <v>45981</v>
      </c>
      <c r="D561" s="3" t="n">
        <f aca="false">COUNTIFS($A$47:$A$790,"&gt;"&amp;A561,$A$47:$A$790,"&lt;="&amp;B561)+IF(B561&gt;$G$5,NETWORKDAYS($G$5+1,B561),0)</f>
        <v>18</v>
      </c>
      <c r="E561" s="3" t="n">
        <f aca="false">SUMIFS('Futures Data'!$E$5:$E$3471,'Futures Data'!$A$5:$A$3471,A561,'Futures Data'!$B$5:$B$3471,C561)</f>
        <v>26720</v>
      </c>
      <c r="F561" s="11" t="n">
        <f aca="false">_xlfn.MINIFS('Futures Data'!$B$5:$B$3471,'Futures Data'!$A$5:$A$3471,A561,'Futures Data'!$B$5:$B$3471,"&gt;"&amp;C561)</f>
        <v>46010</v>
      </c>
      <c r="G561" s="3" t="n">
        <f aca="false">SUMIFS('Futures Data'!$E$5:$E$3471,'Futures Data'!$A$5:$A$3471,A561,'Futures Data'!$B$5:$B$3471,F561)</f>
        <v>7790</v>
      </c>
      <c r="H561" s="9" t="b">
        <f aca="false">G561&gt;E561</f>
        <v>0</v>
      </c>
      <c r="I561" s="9" t="b">
        <f aca="false">C561&lt;&gt;B561</f>
        <v>0</v>
      </c>
      <c r="J561" s="3" t="n">
        <f aca="false">SUMIFS('Futures Data'!$C$5:$C$3471,'Futures Data'!$A$5:$A$3471,A561,'Futures Data'!$B$5:$B$3471,B561)</f>
        <v>6673</v>
      </c>
      <c r="K561" s="3" t="n">
        <f aca="false">SUMIFS('Futures Data'!$C$5:$C$3471,'Futures Data'!$A$5:$A$3471,A561,'Futures Data'!$B$5:$B$3471,C561)</f>
        <v>6673</v>
      </c>
      <c r="L561" s="3" t="n">
        <f aca="false">K561-J561</f>
        <v>0</v>
      </c>
      <c r="M561" s="3" t="n">
        <f aca="false">M562+L561</f>
        <v>793</v>
      </c>
      <c r="N561" s="3" t="n">
        <f aca="false">J561+M561</f>
        <v>7466</v>
      </c>
      <c r="O561" s="13" t="n">
        <f aca="false">LN(J561/K560)</f>
        <v>-0.00448565345435113</v>
      </c>
      <c r="P561" s="13" t="n">
        <f aca="false">LN(N561/N560)</f>
        <v>-0.00401016444372898</v>
      </c>
      <c r="Q561" s="3" t="n">
        <f aca="false">SUMIFS('Futures Data'!$D$5:$D$3471,'Futures Data'!$A$5:$A$3471,A561,'Futures Data'!$B$5:$B$3471,B561)</f>
        <v>3305</v>
      </c>
      <c r="R561" s="7" t="n">
        <v>45981</v>
      </c>
      <c r="S561" s="9" t="b">
        <f aca="false">C561=R561</f>
        <v>1</v>
      </c>
      <c r="T561" s="9" t="b">
        <f aca="false">ABS(O561-LN(J561/SUMIFS('Futures Data'!$C$5:$C$3471,'Futures Data'!$A$5:$A$3471,A560,'Futures Data'!$B$5:$B$3471,B561)))&lt;0.000000001</f>
        <v>1</v>
      </c>
    </row>
    <row r="562" customFormat="false" ht="15" hidden="false" customHeight="false" outlineLevel="0" collapsed="false">
      <c r="A562" s="7" t="n">
        <v>45957</v>
      </c>
      <c r="B562" s="11" t="n">
        <f aca="false">C561</f>
        <v>45981</v>
      </c>
      <c r="C562" s="11" t="n">
        <f aca="false">IF(OR(H561,D562&lt;=$G$4),_xlfn.MINIFS('Futures Data'!$B$5:$B$3471,'Futures Data'!$A$5:$A$3471,A562,'Futures Data'!$B$5:$B$3471,"&gt;"&amp;B562),B562)</f>
        <v>45981</v>
      </c>
      <c r="D562" s="3" t="n">
        <f aca="false">COUNTIFS($A$47:$A$790,"&gt;"&amp;A562,$A$47:$A$790,"&lt;="&amp;B562)+IF(B562&gt;$G$5,NETWORKDAYS($G$5+1,B562),0)</f>
        <v>17</v>
      </c>
      <c r="E562" s="3" t="n">
        <f aca="false">SUMIFS('Futures Data'!$E$5:$E$3471,'Futures Data'!$A$5:$A$3471,A562,'Futures Data'!$B$5:$B$3471,C562)</f>
        <v>25330</v>
      </c>
      <c r="F562" s="11" t="n">
        <f aca="false">_xlfn.MINIFS('Futures Data'!$B$5:$B$3471,'Futures Data'!$A$5:$A$3471,A562,'Futures Data'!$B$5:$B$3471,"&gt;"&amp;C562)</f>
        <v>46010</v>
      </c>
      <c r="G562" s="3" t="n">
        <f aca="false">SUMIFS('Futures Data'!$E$5:$E$3471,'Futures Data'!$A$5:$A$3471,A562,'Futures Data'!$B$5:$B$3471,F562)</f>
        <v>9675</v>
      </c>
      <c r="H562" s="9" t="b">
        <f aca="false">G562&gt;E562</f>
        <v>0</v>
      </c>
      <c r="I562" s="9" t="b">
        <f aca="false">C562&lt;&gt;B562</f>
        <v>0</v>
      </c>
      <c r="J562" s="3" t="n">
        <f aca="false">SUMIFS('Futures Data'!$C$5:$C$3471,'Futures Data'!$A$5:$A$3471,A562,'Futures Data'!$B$5:$B$3471,B562)</f>
        <v>6692</v>
      </c>
      <c r="K562" s="3" t="n">
        <f aca="false">SUMIFS('Futures Data'!$C$5:$C$3471,'Futures Data'!$A$5:$A$3471,A562,'Futures Data'!$B$5:$B$3471,C562)</f>
        <v>6692</v>
      </c>
      <c r="L562" s="3" t="n">
        <f aca="false">K562-J562</f>
        <v>0</v>
      </c>
      <c r="M562" s="3" t="n">
        <f aca="false">M563+L562</f>
        <v>793</v>
      </c>
      <c r="N562" s="3" t="n">
        <f aca="false">J562+M562</f>
        <v>7485</v>
      </c>
      <c r="O562" s="13" t="n">
        <f aca="false">LN(J562/K561)</f>
        <v>0.00284324920310808</v>
      </c>
      <c r="P562" s="13" t="n">
        <f aca="false">LN(N562/N561)</f>
        <v>0.00254163737919963</v>
      </c>
      <c r="Q562" s="3" t="n">
        <f aca="false">SUMIFS('Futures Data'!$D$5:$D$3471,'Futures Data'!$A$5:$A$3471,A562,'Futures Data'!$B$5:$B$3471,B562)</f>
        <v>3480</v>
      </c>
      <c r="R562" s="7" t="n">
        <v>45981</v>
      </c>
      <c r="S562" s="9" t="b">
        <f aca="false">C562=R562</f>
        <v>1</v>
      </c>
      <c r="T562" s="9" t="b">
        <f aca="false">ABS(O562-LN(J562/SUMIFS('Futures Data'!$C$5:$C$3471,'Futures Data'!$A$5:$A$3471,A561,'Futures Data'!$B$5:$B$3471,B562)))&lt;0.000000001</f>
        <v>1</v>
      </c>
    </row>
    <row r="563" customFormat="false" ht="15" hidden="false" customHeight="false" outlineLevel="0" collapsed="false">
      <c r="A563" s="7" t="n">
        <v>45958</v>
      </c>
      <c r="B563" s="11" t="n">
        <f aca="false">C562</f>
        <v>45981</v>
      </c>
      <c r="C563" s="11" t="n">
        <f aca="false">IF(OR(H562,D563&lt;=$G$4),_xlfn.MINIFS('Futures Data'!$B$5:$B$3471,'Futures Data'!$A$5:$A$3471,A563,'Futures Data'!$B$5:$B$3471,"&gt;"&amp;B563),B563)</f>
        <v>45981</v>
      </c>
      <c r="D563" s="3" t="n">
        <f aca="false">COUNTIFS($A$47:$A$790,"&gt;"&amp;A563,$A$47:$A$790,"&lt;="&amp;B563)+IF(B563&gt;$G$5,NETWORKDAYS($G$5+1,B563),0)</f>
        <v>16</v>
      </c>
      <c r="E563" s="3" t="n">
        <f aca="false">SUMIFS('Futures Data'!$E$5:$E$3471,'Futures Data'!$A$5:$A$3471,A563,'Futures Data'!$B$5:$B$3471,C563)</f>
        <v>24475</v>
      </c>
      <c r="F563" s="11" t="n">
        <f aca="false">_xlfn.MINIFS('Futures Data'!$B$5:$B$3471,'Futures Data'!$A$5:$A$3471,A563,'Futures Data'!$B$5:$B$3471,"&gt;"&amp;C563)</f>
        <v>46010</v>
      </c>
      <c r="G563" s="3" t="n">
        <f aca="false">SUMIFS('Futures Data'!$E$5:$E$3471,'Futures Data'!$A$5:$A$3471,A563,'Futures Data'!$B$5:$B$3471,F563)</f>
        <v>10760</v>
      </c>
      <c r="H563" s="9" t="b">
        <f aca="false">G563&gt;E563</f>
        <v>0</v>
      </c>
      <c r="I563" s="9" t="b">
        <f aca="false">C563&lt;&gt;B563</f>
        <v>0</v>
      </c>
      <c r="J563" s="3" t="n">
        <f aca="false">SUMIFS('Futures Data'!$C$5:$C$3471,'Futures Data'!$A$5:$A$3471,A563,'Futures Data'!$B$5:$B$3471,B563)</f>
        <v>6719</v>
      </c>
      <c r="K563" s="3" t="n">
        <f aca="false">SUMIFS('Futures Data'!$C$5:$C$3471,'Futures Data'!$A$5:$A$3471,A563,'Futures Data'!$B$5:$B$3471,C563)</f>
        <v>6719</v>
      </c>
      <c r="L563" s="3" t="n">
        <f aca="false">K563-J563</f>
        <v>0</v>
      </c>
      <c r="M563" s="3" t="n">
        <f aca="false">M564+L563</f>
        <v>793</v>
      </c>
      <c r="N563" s="3" t="n">
        <f aca="false">J563+M563</f>
        <v>7512</v>
      </c>
      <c r="O563" s="13" t="n">
        <f aca="false">LN(J563/K562)</f>
        <v>0.0040265508134353</v>
      </c>
      <c r="P563" s="13" t="n">
        <f aca="false">LN(N563/N562)</f>
        <v>0.00360072403437009</v>
      </c>
      <c r="Q563" s="3" t="n">
        <f aca="false">SUMIFS('Futures Data'!$D$5:$D$3471,'Futures Data'!$A$5:$A$3471,A563,'Futures Data'!$B$5:$B$3471,B563)</f>
        <v>2930</v>
      </c>
      <c r="R563" s="7" t="n">
        <v>45981</v>
      </c>
      <c r="S563" s="9" t="b">
        <f aca="false">C563=R563</f>
        <v>1</v>
      </c>
      <c r="T563" s="9" t="b">
        <f aca="false">ABS(O563-LN(J563/SUMIFS('Futures Data'!$C$5:$C$3471,'Futures Data'!$A$5:$A$3471,A562,'Futures Data'!$B$5:$B$3471,B563)))&lt;0.000000001</f>
        <v>1</v>
      </c>
    </row>
    <row r="564" customFormat="false" ht="15" hidden="false" customHeight="false" outlineLevel="0" collapsed="false">
      <c r="A564" s="7" t="n">
        <v>45959</v>
      </c>
      <c r="B564" s="11" t="n">
        <f aca="false">C563</f>
        <v>45981</v>
      </c>
      <c r="C564" s="11" t="n">
        <f aca="false">IF(OR(H563,D564&lt;=$G$4),_xlfn.MINIFS('Futures Data'!$B$5:$B$3471,'Futures Data'!$A$5:$A$3471,A564,'Futures Data'!$B$5:$B$3471,"&gt;"&amp;B564),B564)</f>
        <v>45981</v>
      </c>
      <c r="D564" s="3" t="n">
        <f aca="false">COUNTIFS($A$47:$A$790,"&gt;"&amp;A564,$A$47:$A$790,"&lt;="&amp;B564)+IF(B564&gt;$G$5,NETWORKDAYS($G$5+1,B564),0)</f>
        <v>15</v>
      </c>
      <c r="E564" s="3" t="n">
        <f aca="false">SUMIFS('Futures Data'!$E$5:$E$3471,'Futures Data'!$A$5:$A$3471,A564,'Futures Data'!$B$5:$B$3471,C564)</f>
        <v>24405</v>
      </c>
      <c r="F564" s="11" t="n">
        <f aca="false">_xlfn.MINIFS('Futures Data'!$B$5:$B$3471,'Futures Data'!$A$5:$A$3471,A564,'Futures Data'!$B$5:$B$3471,"&gt;"&amp;C564)</f>
        <v>46010</v>
      </c>
      <c r="G564" s="3" t="n">
        <f aca="false">SUMIFS('Futures Data'!$E$5:$E$3471,'Futures Data'!$A$5:$A$3471,A564,'Futures Data'!$B$5:$B$3471,F564)</f>
        <v>11790</v>
      </c>
      <c r="H564" s="9" t="b">
        <f aca="false">G564&gt;E564</f>
        <v>0</v>
      </c>
      <c r="I564" s="9" t="b">
        <f aca="false">C564&lt;&gt;B564</f>
        <v>0</v>
      </c>
      <c r="J564" s="3" t="n">
        <f aca="false">SUMIFS('Futures Data'!$C$5:$C$3471,'Futures Data'!$A$5:$A$3471,A564,'Futures Data'!$B$5:$B$3471,B564)</f>
        <v>6732</v>
      </c>
      <c r="K564" s="3" t="n">
        <f aca="false">SUMIFS('Futures Data'!$C$5:$C$3471,'Futures Data'!$A$5:$A$3471,A564,'Futures Data'!$B$5:$B$3471,C564)</f>
        <v>6732</v>
      </c>
      <c r="L564" s="3" t="n">
        <f aca="false">K564-J564</f>
        <v>0</v>
      </c>
      <c r="M564" s="3" t="n">
        <f aca="false">M565+L564</f>
        <v>793</v>
      </c>
      <c r="N564" s="3" t="n">
        <f aca="false">J564+M564</f>
        <v>7525</v>
      </c>
      <c r="O564" s="13" t="n">
        <f aca="false">LN(J564/K563)</f>
        <v>0.00193294239054659</v>
      </c>
      <c r="P564" s="13" t="n">
        <f aca="false">LN(N564/N563)</f>
        <v>0.0017290687289777</v>
      </c>
      <c r="Q564" s="3" t="n">
        <f aca="false">SUMIFS('Futures Data'!$D$5:$D$3471,'Futures Data'!$A$5:$A$3471,A564,'Futures Data'!$B$5:$B$3471,B564)</f>
        <v>2515</v>
      </c>
      <c r="R564" s="7" t="n">
        <v>45981</v>
      </c>
      <c r="S564" s="9" t="b">
        <f aca="false">C564=R564</f>
        <v>1</v>
      </c>
      <c r="T564" s="9" t="b">
        <f aca="false">ABS(O564-LN(J564/SUMIFS('Futures Data'!$C$5:$C$3471,'Futures Data'!$A$5:$A$3471,A563,'Futures Data'!$B$5:$B$3471,B564)))&lt;0.000000001</f>
        <v>1</v>
      </c>
    </row>
    <row r="565" customFormat="false" ht="15" hidden="false" customHeight="false" outlineLevel="0" collapsed="false">
      <c r="A565" s="7" t="n">
        <v>45960</v>
      </c>
      <c r="B565" s="11" t="n">
        <f aca="false">C564</f>
        <v>45981</v>
      </c>
      <c r="C565" s="11" t="n">
        <f aca="false">IF(OR(H564,D565&lt;=$G$4),_xlfn.MINIFS('Futures Data'!$B$5:$B$3471,'Futures Data'!$A$5:$A$3471,A565,'Futures Data'!$B$5:$B$3471,"&gt;"&amp;B565),B565)</f>
        <v>45981</v>
      </c>
      <c r="D565" s="3" t="n">
        <f aca="false">COUNTIFS($A$47:$A$790,"&gt;"&amp;A565,$A$47:$A$790,"&lt;="&amp;B565)+IF(B565&gt;$G$5,NETWORKDAYS($G$5+1,B565),0)</f>
        <v>14</v>
      </c>
      <c r="E565" s="3" t="n">
        <f aca="false">SUMIFS('Futures Data'!$E$5:$E$3471,'Futures Data'!$A$5:$A$3471,A565,'Futures Data'!$B$5:$B$3471,C565)</f>
        <v>23575</v>
      </c>
      <c r="F565" s="11" t="n">
        <f aca="false">_xlfn.MINIFS('Futures Data'!$B$5:$B$3471,'Futures Data'!$A$5:$A$3471,A565,'Futures Data'!$B$5:$B$3471,"&gt;"&amp;C565)</f>
        <v>46010</v>
      </c>
      <c r="G565" s="3" t="n">
        <f aca="false">SUMIFS('Futures Data'!$E$5:$E$3471,'Futures Data'!$A$5:$A$3471,A565,'Futures Data'!$B$5:$B$3471,F565)</f>
        <v>12425</v>
      </c>
      <c r="H565" s="9" t="b">
        <f aca="false">G565&gt;E565</f>
        <v>0</v>
      </c>
      <c r="I565" s="9" t="b">
        <f aca="false">C565&lt;&gt;B565</f>
        <v>0</v>
      </c>
      <c r="J565" s="3" t="n">
        <f aca="false">SUMIFS('Futures Data'!$C$5:$C$3471,'Futures Data'!$A$5:$A$3471,A565,'Futures Data'!$B$5:$B$3471,B565)</f>
        <v>6803</v>
      </c>
      <c r="K565" s="3" t="n">
        <f aca="false">SUMIFS('Futures Data'!$C$5:$C$3471,'Futures Data'!$A$5:$A$3471,A565,'Futures Data'!$B$5:$B$3471,C565)</f>
        <v>6803</v>
      </c>
      <c r="L565" s="3" t="n">
        <f aca="false">K565-J565</f>
        <v>0</v>
      </c>
      <c r="M565" s="3" t="n">
        <f aca="false">M566+L565</f>
        <v>793</v>
      </c>
      <c r="N565" s="3" t="n">
        <f aca="false">J565+M565</f>
        <v>7596</v>
      </c>
      <c r="O565" s="13" t="n">
        <f aca="false">LN(J565/K564)</f>
        <v>0.0104914150343643</v>
      </c>
      <c r="P565" s="13" t="n">
        <f aca="false">LN(N565/N564)</f>
        <v>0.00939098231509999</v>
      </c>
      <c r="Q565" s="3" t="n">
        <f aca="false">SUMIFS('Futures Data'!$D$5:$D$3471,'Futures Data'!$A$5:$A$3471,A565,'Futures Data'!$B$5:$B$3471,B565)</f>
        <v>3880</v>
      </c>
      <c r="R565" s="7" t="n">
        <v>45981</v>
      </c>
      <c r="S565" s="9" t="b">
        <f aca="false">C565=R565</f>
        <v>1</v>
      </c>
      <c r="T565" s="9" t="b">
        <f aca="false">ABS(O565-LN(J565/SUMIFS('Futures Data'!$C$5:$C$3471,'Futures Data'!$A$5:$A$3471,A564,'Futures Data'!$B$5:$B$3471,B565)))&lt;0.000000001</f>
        <v>1</v>
      </c>
    </row>
    <row r="566" customFormat="false" ht="15" hidden="false" customHeight="false" outlineLevel="0" collapsed="false">
      <c r="A566" s="7" t="n">
        <v>45961</v>
      </c>
      <c r="B566" s="11" t="n">
        <f aca="false">C565</f>
        <v>45981</v>
      </c>
      <c r="C566" s="11" t="n">
        <f aca="false">IF(OR(H565,D566&lt;=$G$4),_xlfn.MINIFS('Futures Data'!$B$5:$B$3471,'Futures Data'!$A$5:$A$3471,A566,'Futures Data'!$B$5:$B$3471,"&gt;"&amp;B566),B566)</f>
        <v>45981</v>
      </c>
      <c r="D566" s="3" t="n">
        <f aca="false">COUNTIFS($A$47:$A$790,"&gt;"&amp;A566,$A$47:$A$790,"&lt;="&amp;B566)+IF(B566&gt;$G$5,NETWORKDAYS($G$5+1,B566),0)</f>
        <v>13</v>
      </c>
      <c r="E566" s="3" t="n">
        <f aca="false">SUMIFS('Futures Data'!$E$5:$E$3471,'Futures Data'!$A$5:$A$3471,A566,'Futures Data'!$B$5:$B$3471,C566)</f>
        <v>22150</v>
      </c>
      <c r="F566" s="11" t="n">
        <f aca="false">_xlfn.MINIFS('Futures Data'!$B$5:$B$3471,'Futures Data'!$A$5:$A$3471,A566,'Futures Data'!$B$5:$B$3471,"&gt;"&amp;C566)</f>
        <v>46010</v>
      </c>
      <c r="G566" s="3" t="n">
        <f aca="false">SUMIFS('Futures Data'!$E$5:$E$3471,'Futures Data'!$A$5:$A$3471,A566,'Futures Data'!$B$5:$B$3471,F566)</f>
        <v>13340</v>
      </c>
      <c r="H566" s="9" t="b">
        <f aca="false">G566&gt;E566</f>
        <v>0</v>
      </c>
      <c r="I566" s="9" t="b">
        <f aca="false">C566&lt;&gt;B566</f>
        <v>0</v>
      </c>
      <c r="J566" s="3" t="n">
        <f aca="false">SUMIFS('Futures Data'!$C$5:$C$3471,'Futures Data'!$A$5:$A$3471,A566,'Futures Data'!$B$5:$B$3471,B566)</f>
        <v>6803</v>
      </c>
      <c r="K566" s="3" t="n">
        <f aca="false">SUMIFS('Futures Data'!$C$5:$C$3471,'Futures Data'!$A$5:$A$3471,A566,'Futures Data'!$B$5:$B$3471,C566)</f>
        <v>6803</v>
      </c>
      <c r="L566" s="3" t="n">
        <f aca="false">K566-J566</f>
        <v>0</v>
      </c>
      <c r="M566" s="3" t="n">
        <f aca="false">M567+L566</f>
        <v>793</v>
      </c>
      <c r="N566" s="3" t="n">
        <f aca="false">J566+M566</f>
        <v>7596</v>
      </c>
      <c r="O566" s="13" t="n">
        <f aca="false">LN(J566/K565)</f>
        <v>0</v>
      </c>
      <c r="P566" s="13" t="n">
        <f aca="false">LN(N566/N565)</f>
        <v>0</v>
      </c>
      <c r="Q566" s="3" t="n">
        <f aca="false">SUMIFS('Futures Data'!$D$5:$D$3471,'Futures Data'!$A$5:$A$3471,A566,'Futures Data'!$B$5:$B$3471,B566)</f>
        <v>3900</v>
      </c>
      <c r="R566" s="7" t="n">
        <v>45981</v>
      </c>
      <c r="S566" s="9" t="b">
        <f aca="false">C566=R566</f>
        <v>1</v>
      </c>
      <c r="T566" s="9" t="b">
        <f aca="false">ABS(O566-LN(J566/SUMIFS('Futures Data'!$C$5:$C$3471,'Futures Data'!$A$5:$A$3471,A565,'Futures Data'!$B$5:$B$3471,B566)))&lt;0.000000001</f>
        <v>1</v>
      </c>
    </row>
    <row r="567" customFormat="false" ht="15" hidden="false" customHeight="false" outlineLevel="0" collapsed="false">
      <c r="A567" s="7" t="n">
        <v>45964</v>
      </c>
      <c r="B567" s="11" t="n">
        <f aca="false">C566</f>
        <v>45981</v>
      </c>
      <c r="C567" s="11" t="n">
        <f aca="false">IF(OR(H566,D567&lt;=$G$4),_xlfn.MINIFS('Futures Data'!$B$5:$B$3471,'Futures Data'!$A$5:$A$3471,A567,'Futures Data'!$B$5:$B$3471,"&gt;"&amp;B567),B567)</f>
        <v>45981</v>
      </c>
      <c r="D567" s="3" t="n">
        <f aca="false">COUNTIFS($A$47:$A$790,"&gt;"&amp;A567,$A$47:$A$790,"&lt;="&amp;B567)+IF(B567&gt;$G$5,NETWORKDAYS($G$5+1,B567),0)</f>
        <v>12</v>
      </c>
      <c r="E567" s="3" t="n">
        <f aca="false">SUMIFS('Futures Data'!$E$5:$E$3471,'Futures Data'!$A$5:$A$3471,A567,'Futures Data'!$B$5:$B$3471,C567)</f>
        <v>20535</v>
      </c>
      <c r="F567" s="11" t="n">
        <f aca="false">_xlfn.MINIFS('Futures Data'!$B$5:$B$3471,'Futures Data'!$A$5:$A$3471,A567,'Futures Data'!$B$5:$B$3471,"&gt;"&amp;C567)</f>
        <v>46010</v>
      </c>
      <c r="G567" s="3" t="n">
        <f aca="false">SUMIFS('Futures Data'!$E$5:$E$3471,'Futures Data'!$A$5:$A$3471,A567,'Futures Data'!$B$5:$B$3471,F567)</f>
        <v>15375</v>
      </c>
      <c r="H567" s="9" t="b">
        <f aca="false">G567&gt;E567</f>
        <v>0</v>
      </c>
      <c r="I567" s="9" t="b">
        <f aca="false">C567&lt;&gt;B567</f>
        <v>0</v>
      </c>
      <c r="J567" s="3" t="n">
        <f aca="false">SUMIFS('Futures Data'!$C$5:$C$3471,'Futures Data'!$A$5:$A$3471,A567,'Futures Data'!$B$5:$B$3471,B567)</f>
        <v>6764</v>
      </c>
      <c r="K567" s="3" t="n">
        <f aca="false">SUMIFS('Futures Data'!$C$5:$C$3471,'Futures Data'!$A$5:$A$3471,A567,'Futures Data'!$B$5:$B$3471,C567)</f>
        <v>6764</v>
      </c>
      <c r="L567" s="3" t="n">
        <f aca="false">K567-J567</f>
        <v>0</v>
      </c>
      <c r="M567" s="3" t="n">
        <f aca="false">M568+L567</f>
        <v>793</v>
      </c>
      <c r="N567" s="3" t="n">
        <f aca="false">J567+M567</f>
        <v>7557</v>
      </c>
      <c r="O567" s="13" t="n">
        <f aca="false">LN(J567/K566)</f>
        <v>-0.00574926032658985</v>
      </c>
      <c r="P567" s="13" t="n">
        <f aca="false">LN(N567/N566)</f>
        <v>-0.00514750691145656</v>
      </c>
      <c r="Q567" s="3" t="n">
        <f aca="false">SUMIFS('Futures Data'!$D$5:$D$3471,'Futures Data'!$A$5:$A$3471,A567,'Futures Data'!$B$5:$B$3471,B567)</f>
        <v>3385</v>
      </c>
      <c r="R567" s="7" t="n">
        <v>45981</v>
      </c>
      <c r="S567" s="9" t="b">
        <f aca="false">C567=R567</f>
        <v>1</v>
      </c>
      <c r="T567" s="9" t="b">
        <f aca="false">ABS(O567-LN(J567/SUMIFS('Futures Data'!$C$5:$C$3471,'Futures Data'!$A$5:$A$3471,A566,'Futures Data'!$B$5:$B$3471,B567)))&lt;0.000000001</f>
        <v>1</v>
      </c>
    </row>
    <row r="568" customFormat="false" ht="15" hidden="false" customHeight="false" outlineLevel="0" collapsed="false">
      <c r="A568" s="7" t="n">
        <v>45965</v>
      </c>
      <c r="B568" s="11" t="n">
        <f aca="false">C567</f>
        <v>45981</v>
      </c>
      <c r="C568" s="11" t="n">
        <f aca="false">IF(OR(H567,D568&lt;=$G$4),_xlfn.MINIFS('Futures Data'!$B$5:$B$3471,'Futures Data'!$A$5:$A$3471,A568,'Futures Data'!$B$5:$B$3471,"&gt;"&amp;B568),B568)</f>
        <v>45981</v>
      </c>
      <c r="D568" s="3" t="n">
        <f aca="false">COUNTIFS($A$47:$A$790,"&gt;"&amp;A568,$A$47:$A$790,"&lt;="&amp;B568)+IF(B568&gt;$G$5,NETWORKDAYS($G$5+1,B568),0)</f>
        <v>11</v>
      </c>
      <c r="E568" s="3" t="n">
        <f aca="false">SUMIFS('Futures Data'!$E$5:$E$3471,'Futures Data'!$A$5:$A$3471,A568,'Futures Data'!$B$5:$B$3471,C568)</f>
        <v>20415</v>
      </c>
      <c r="F568" s="11" t="n">
        <f aca="false">_xlfn.MINIFS('Futures Data'!$B$5:$B$3471,'Futures Data'!$A$5:$A$3471,A568,'Futures Data'!$B$5:$B$3471,"&gt;"&amp;C568)</f>
        <v>46010</v>
      </c>
      <c r="G568" s="3" t="n">
        <f aca="false">SUMIFS('Futures Data'!$E$5:$E$3471,'Futures Data'!$A$5:$A$3471,A568,'Futures Data'!$B$5:$B$3471,F568)</f>
        <v>17745</v>
      </c>
      <c r="H568" s="9" t="b">
        <f aca="false">G568&gt;E568</f>
        <v>0</v>
      </c>
      <c r="I568" s="9" t="b">
        <f aca="false">C568&lt;&gt;B568</f>
        <v>0</v>
      </c>
      <c r="J568" s="3" t="n">
        <f aca="false">SUMIFS('Futures Data'!$C$5:$C$3471,'Futures Data'!$A$5:$A$3471,A568,'Futures Data'!$B$5:$B$3471,B568)</f>
        <v>6721</v>
      </c>
      <c r="K568" s="3" t="n">
        <f aca="false">SUMIFS('Futures Data'!$C$5:$C$3471,'Futures Data'!$A$5:$A$3471,A568,'Futures Data'!$B$5:$B$3471,C568)</f>
        <v>6721</v>
      </c>
      <c r="L568" s="3" t="n">
        <f aca="false">K568-J568</f>
        <v>0</v>
      </c>
      <c r="M568" s="3" t="n">
        <f aca="false">M569+L568</f>
        <v>793</v>
      </c>
      <c r="N568" s="3" t="n">
        <f aca="false">J568+M568</f>
        <v>7514</v>
      </c>
      <c r="O568" s="13" t="n">
        <f aca="false">LN(J568/K567)</f>
        <v>-0.00637747804850509</v>
      </c>
      <c r="P568" s="13" t="n">
        <f aca="false">LN(N568/N567)</f>
        <v>-0.00570633888680562</v>
      </c>
      <c r="Q568" s="3" t="n">
        <f aca="false">SUMIFS('Futures Data'!$D$5:$D$3471,'Futures Data'!$A$5:$A$3471,A568,'Futures Data'!$B$5:$B$3471,B568)</f>
        <v>5450</v>
      </c>
      <c r="R568" s="7" t="n">
        <v>45981</v>
      </c>
      <c r="S568" s="9" t="b">
        <f aca="false">C568=R568</f>
        <v>1</v>
      </c>
      <c r="T568" s="9" t="b">
        <f aca="false">ABS(O568-LN(J568/SUMIFS('Futures Data'!$C$5:$C$3471,'Futures Data'!$A$5:$A$3471,A567,'Futures Data'!$B$5:$B$3471,B568)))&lt;0.000000001</f>
        <v>1</v>
      </c>
    </row>
    <row r="569" customFormat="false" ht="15" hidden="false" customHeight="false" outlineLevel="0" collapsed="false">
      <c r="A569" s="7" t="n">
        <v>45967</v>
      </c>
      <c r="B569" s="11" t="n">
        <f aca="false">C568</f>
        <v>45981</v>
      </c>
      <c r="C569" s="11" t="n">
        <f aca="false">IF(OR(H568,D569&lt;=$G$4),_xlfn.MINIFS('Futures Data'!$B$5:$B$3471,'Futures Data'!$A$5:$A$3471,A569,'Futures Data'!$B$5:$B$3471,"&gt;"&amp;B569),B569)</f>
        <v>45981</v>
      </c>
      <c r="D569" s="3" t="n">
        <f aca="false">COUNTIFS($A$47:$A$790,"&gt;"&amp;A569,$A$47:$A$790,"&lt;="&amp;B569)+IF(B569&gt;$G$5,NETWORKDAYS($G$5+1,B569),0)</f>
        <v>10</v>
      </c>
      <c r="E569" s="3" t="n">
        <f aca="false">SUMIFS('Futures Data'!$E$5:$E$3471,'Futures Data'!$A$5:$A$3471,A569,'Futures Data'!$B$5:$B$3471,C569)</f>
        <v>18525</v>
      </c>
      <c r="F569" s="11" t="n">
        <f aca="false">_xlfn.MINIFS('Futures Data'!$B$5:$B$3471,'Futures Data'!$A$5:$A$3471,A569,'Futures Data'!$B$5:$B$3471,"&gt;"&amp;C569)</f>
        <v>46010</v>
      </c>
      <c r="G569" s="3" t="n">
        <f aca="false">SUMIFS('Futures Data'!$E$5:$E$3471,'Futures Data'!$A$5:$A$3471,A569,'Futures Data'!$B$5:$B$3471,F569)</f>
        <v>19865</v>
      </c>
      <c r="H569" s="9" t="b">
        <f aca="false">G569&gt;E569</f>
        <v>1</v>
      </c>
      <c r="I569" s="9" t="b">
        <f aca="false">C569&lt;&gt;B569</f>
        <v>0</v>
      </c>
      <c r="J569" s="3" t="n">
        <f aca="false">SUMIFS('Futures Data'!$C$5:$C$3471,'Futures Data'!$A$5:$A$3471,A569,'Futures Data'!$B$5:$B$3471,B569)</f>
        <v>6789</v>
      </c>
      <c r="K569" s="3" t="n">
        <f aca="false">SUMIFS('Futures Data'!$C$5:$C$3471,'Futures Data'!$A$5:$A$3471,A569,'Futures Data'!$B$5:$B$3471,C569)</f>
        <v>6789</v>
      </c>
      <c r="L569" s="3" t="n">
        <f aca="false">K569-J569</f>
        <v>0</v>
      </c>
      <c r="M569" s="3" t="n">
        <f aca="false">M570+L569</f>
        <v>793</v>
      </c>
      <c r="N569" s="3" t="n">
        <f aca="false">J569+M569</f>
        <v>7582</v>
      </c>
      <c r="O569" s="13" t="n">
        <f aca="false">LN(J569/K568)</f>
        <v>0.0100667023316813</v>
      </c>
      <c r="P569" s="13" t="n">
        <f aca="false">LN(N569/N568)</f>
        <v>0.00900906994236591</v>
      </c>
      <c r="Q569" s="3" t="n">
        <f aca="false">SUMIFS('Futures Data'!$D$5:$D$3471,'Futures Data'!$A$5:$A$3471,A569,'Futures Data'!$B$5:$B$3471,B569)</f>
        <v>5070</v>
      </c>
      <c r="R569" s="7" t="n">
        <v>45981</v>
      </c>
      <c r="S569" s="9" t="b">
        <f aca="false">C569=R569</f>
        <v>1</v>
      </c>
      <c r="T569" s="9" t="b">
        <f aca="false">ABS(O569-LN(J569/SUMIFS('Futures Data'!$C$5:$C$3471,'Futures Data'!$A$5:$A$3471,A568,'Futures Data'!$B$5:$B$3471,B569)))&lt;0.000000001</f>
        <v>1</v>
      </c>
    </row>
    <row r="570" customFormat="false" ht="15" hidden="false" customHeight="false" outlineLevel="0" collapsed="false">
      <c r="A570" s="7" t="n">
        <v>45968</v>
      </c>
      <c r="B570" s="11" t="n">
        <f aca="false">C569</f>
        <v>45981</v>
      </c>
      <c r="C570" s="11" t="n">
        <f aca="false">IF(OR(H569,D570&lt;=$G$4),_xlfn.MINIFS('Futures Data'!$B$5:$B$3471,'Futures Data'!$A$5:$A$3471,A570,'Futures Data'!$B$5:$B$3471,"&gt;"&amp;B570),B570)</f>
        <v>46010</v>
      </c>
      <c r="D570" s="3" t="n">
        <f aca="false">COUNTIFS($A$47:$A$790,"&gt;"&amp;A570,$A$47:$A$790,"&lt;="&amp;B570)+IF(B570&gt;$G$5,NETWORKDAYS($G$5+1,B570),0)</f>
        <v>9</v>
      </c>
      <c r="E570" s="3" t="n">
        <f aca="false">SUMIFS('Futures Data'!$E$5:$E$3471,'Futures Data'!$A$5:$A$3471,A570,'Futures Data'!$B$5:$B$3471,C570)</f>
        <v>21615</v>
      </c>
      <c r="F570" s="11" t="n">
        <f aca="false">_xlfn.MINIFS('Futures Data'!$B$5:$B$3471,'Futures Data'!$A$5:$A$3471,A570,'Futures Data'!$B$5:$B$3471,"&gt;"&amp;C570)</f>
        <v>46042</v>
      </c>
      <c r="G570" s="3" t="n">
        <f aca="false">SUMIFS('Futures Data'!$E$5:$E$3471,'Futures Data'!$A$5:$A$3471,A570,'Futures Data'!$B$5:$B$3471,F570)</f>
        <v>325</v>
      </c>
      <c r="H570" s="9" t="b">
        <f aca="false">G570&gt;E570</f>
        <v>0</v>
      </c>
      <c r="I570" s="9" t="b">
        <f aca="false">C570&lt;&gt;B570</f>
        <v>1</v>
      </c>
      <c r="J570" s="3" t="n">
        <f aca="false">SUMIFS('Futures Data'!$C$5:$C$3471,'Futures Data'!$A$5:$A$3471,A570,'Futures Data'!$B$5:$B$3471,B570)</f>
        <v>6758</v>
      </c>
      <c r="K570" s="3" t="n">
        <f aca="false">SUMIFS('Futures Data'!$C$5:$C$3471,'Futures Data'!$A$5:$A$3471,A570,'Futures Data'!$B$5:$B$3471,C570)</f>
        <v>6829</v>
      </c>
      <c r="L570" s="3" t="n">
        <f aca="false">K570-J570</f>
        <v>71</v>
      </c>
      <c r="M570" s="3" t="n">
        <f aca="false">M571+L570</f>
        <v>793</v>
      </c>
      <c r="N570" s="3" t="n">
        <f aca="false">J570+M570</f>
        <v>7551</v>
      </c>
      <c r="O570" s="13" t="n">
        <f aca="false">LN(J570/K569)</f>
        <v>-0.00457666702741187</v>
      </c>
      <c r="P570" s="13" t="n">
        <f aca="false">LN(N570/N569)</f>
        <v>-0.00409701227285461</v>
      </c>
      <c r="Q570" s="3" t="n">
        <f aca="false">SUMIFS('Futures Data'!$D$5:$D$3471,'Futures Data'!$A$5:$A$3471,A570,'Futures Data'!$B$5:$B$3471,B570)</f>
        <v>4770</v>
      </c>
      <c r="R570" s="7" t="n">
        <v>46010</v>
      </c>
      <c r="S570" s="9" t="b">
        <f aca="false">C570=R570</f>
        <v>1</v>
      </c>
      <c r="T570" s="9" t="b">
        <f aca="false">ABS(O570-LN(J570/SUMIFS('Futures Data'!$C$5:$C$3471,'Futures Data'!$A$5:$A$3471,A569,'Futures Data'!$B$5:$B$3471,B570)))&lt;0.000000001</f>
        <v>1</v>
      </c>
    </row>
    <row r="571" customFormat="false" ht="15" hidden="false" customHeight="false" outlineLevel="0" collapsed="false">
      <c r="A571" s="7" t="n">
        <v>45971</v>
      </c>
      <c r="B571" s="11" t="n">
        <f aca="false">C570</f>
        <v>46010</v>
      </c>
      <c r="C571" s="11" t="n">
        <f aca="false">IF(OR(H570,D571&lt;=$G$4),_xlfn.MINIFS('Futures Data'!$B$5:$B$3471,'Futures Data'!$A$5:$A$3471,A571,'Futures Data'!$B$5:$B$3471,"&gt;"&amp;B571),B571)</f>
        <v>46010</v>
      </c>
      <c r="D571" s="3" t="n">
        <f aca="false">COUNTIFS($A$47:$A$790,"&gt;"&amp;A571,$A$47:$A$790,"&lt;="&amp;B571)+IF(B571&gt;$G$5,NETWORKDAYS($G$5+1,B571),0)</f>
        <v>29</v>
      </c>
      <c r="E571" s="3" t="n">
        <f aca="false">SUMIFS('Futures Data'!$E$5:$E$3471,'Futures Data'!$A$5:$A$3471,A571,'Futures Data'!$B$5:$B$3471,C571)</f>
        <v>22270</v>
      </c>
      <c r="F571" s="11" t="n">
        <f aca="false">_xlfn.MINIFS('Futures Data'!$B$5:$B$3471,'Futures Data'!$A$5:$A$3471,A571,'Futures Data'!$B$5:$B$3471,"&gt;"&amp;C571)</f>
        <v>46042</v>
      </c>
      <c r="G571" s="3" t="n">
        <f aca="false">SUMIFS('Futures Data'!$E$5:$E$3471,'Futures Data'!$A$5:$A$3471,A571,'Futures Data'!$B$5:$B$3471,F571)</f>
        <v>340</v>
      </c>
      <c r="H571" s="9" t="b">
        <f aca="false">G571&gt;E571</f>
        <v>0</v>
      </c>
      <c r="I571" s="9" t="b">
        <f aca="false">C571&lt;&gt;B571</f>
        <v>0</v>
      </c>
      <c r="J571" s="3" t="n">
        <f aca="false">SUMIFS('Futures Data'!$C$5:$C$3471,'Futures Data'!$A$5:$A$3471,A571,'Futures Data'!$B$5:$B$3471,B571)</f>
        <v>6855</v>
      </c>
      <c r="K571" s="3" t="n">
        <f aca="false">SUMIFS('Futures Data'!$C$5:$C$3471,'Futures Data'!$A$5:$A$3471,A571,'Futures Data'!$B$5:$B$3471,C571)</f>
        <v>6855</v>
      </c>
      <c r="L571" s="3" t="n">
        <f aca="false">K571-J571</f>
        <v>0</v>
      </c>
      <c r="M571" s="3" t="n">
        <f aca="false">M572+L571</f>
        <v>722</v>
      </c>
      <c r="N571" s="3" t="n">
        <f aca="false">J571+M571</f>
        <v>7577</v>
      </c>
      <c r="O571" s="13" t="n">
        <f aca="false">LN(J571/K570)</f>
        <v>0.00380006303532559</v>
      </c>
      <c r="P571" s="13" t="n">
        <f aca="false">LN(N571/N570)</f>
        <v>0.00343733812794792</v>
      </c>
      <c r="Q571" s="3" t="n">
        <f aca="false">SUMIFS('Futures Data'!$D$5:$D$3471,'Futures Data'!$A$5:$A$3471,A571,'Futures Data'!$B$5:$B$3471,B571)</f>
        <v>3175</v>
      </c>
      <c r="R571" s="7" t="n">
        <v>46010</v>
      </c>
      <c r="S571" s="9" t="b">
        <f aca="false">C571=R571</f>
        <v>1</v>
      </c>
      <c r="T571" s="9" t="b">
        <f aca="false">ABS(O571-LN(J571/SUMIFS('Futures Data'!$C$5:$C$3471,'Futures Data'!$A$5:$A$3471,A570,'Futures Data'!$B$5:$B$3471,B571)))&lt;0.000000001</f>
        <v>1</v>
      </c>
    </row>
    <row r="572" customFormat="false" ht="15" hidden="false" customHeight="false" outlineLevel="0" collapsed="false">
      <c r="A572" s="7" t="n">
        <v>45972</v>
      </c>
      <c r="B572" s="11" t="n">
        <f aca="false">C571</f>
        <v>46010</v>
      </c>
      <c r="C572" s="11" t="n">
        <f aca="false">IF(OR(H571,D572&lt;=$G$4),_xlfn.MINIFS('Futures Data'!$B$5:$B$3471,'Futures Data'!$A$5:$A$3471,A572,'Futures Data'!$B$5:$B$3471,"&gt;"&amp;B572),B572)</f>
        <v>46010</v>
      </c>
      <c r="D572" s="3" t="n">
        <f aca="false">COUNTIFS($A$47:$A$790,"&gt;"&amp;A572,$A$47:$A$790,"&lt;="&amp;B572)+IF(B572&gt;$G$5,NETWORKDAYS($G$5+1,B572),0)</f>
        <v>28</v>
      </c>
      <c r="E572" s="3" t="n">
        <f aca="false">SUMIFS('Futures Data'!$E$5:$E$3471,'Futures Data'!$A$5:$A$3471,A572,'Futures Data'!$B$5:$B$3471,C572)</f>
        <v>22985</v>
      </c>
      <c r="F572" s="11" t="n">
        <f aca="false">_xlfn.MINIFS('Futures Data'!$B$5:$B$3471,'Futures Data'!$A$5:$A$3471,A572,'Futures Data'!$B$5:$B$3471,"&gt;"&amp;C572)</f>
        <v>46042</v>
      </c>
      <c r="G572" s="3" t="n">
        <f aca="false">SUMIFS('Futures Data'!$E$5:$E$3471,'Futures Data'!$A$5:$A$3471,A572,'Futures Data'!$B$5:$B$3471,F572)</f>
        <v>375</v>
      </c>
      <c r="H572" s="9" t="b">
        <f aca="false">G572&gt;E572</f>
        <v>0</v>
      </c>
      <c r="I572" s="9" t="b">
        <f aca="false">C572&lt;&gt;B572</f>
        <v>0</v>
      </c>
      <c r="J572" s="3" t="n">
        <f aca="false">SUMIFS('Futures Data'!$C$5:$C$3471,'Futures Data'!$A$5:$A$3471,A572,'Futures Data'!$B$5:$B$3471,B572)</f>
        <v>6904</v>
      </c>
      <c r="K572" s="3" t="n">
        <f aca="false">SUMIFS('Futures Data'!$C$5:$C$3471,'Futures Data'!$A$5:$A$3471,A572,'Futures Data'!$B$5:$B$3471,C572)</f>
        <v>6904</v>
      </c>
      <c r="L572" s="3" t="n">
        <f aca="false">K572-J572</f>
        <v>0</v>
      </c>
      <c r="M572" s="3" t="n">
        <f aca="false">M573+L572</f>
        <v>722</v>
      </c>
      <c r="N572" s="3" t="n">
        <f aca="false">J572+M572</f>
        <v>7626</v>
      </c>
      <c r="O572" s="13" t="n">
        <f aca="false">LN(J572/K571)</f>
        <v>0.00712264076684906</v>
      </c>
      <c r="P572" s="13" t="n">
        <f aca="false">LN(N572/N571)</f>
        <v>0.00644611848613563</v>
      </c>
      <c r="Q572" s="3" t="n">
        <f aca="false">SUMIFS('Futures Data'!$D$5:$D$3471,'Futures Data'!$A$5:$A$3471,A572,'Futures Data'!$B$5:$B$3471,B572)</f>
        <v>5515</v>
      </c>
      <c r="R572" s="7" t="n">
        <v>46010</v>
      </c>
      <c r="S572" s="9" t="b">
        <f aca="false">C572=R572</f>
        <v>1</v>
      </c>
      <c r="T572" s="9" t="b">
        <f aca="false">ABS(O572-LN(J572/SUMIFS('Futures Data'!$C$5:$C$3471,'Futures Data'!$A$5:$A$3471,A571,'Futures Data'!$B$5:$B$3471,B572)))&lt;0.000000001</f>
        <v>1</v>
      </c>
    </row>
    <row r="573" customFormat="false" ht="15" hidden="false" customHeight="false" outlineLevel="0" collapsed="false">
      <c r="A573" s="7" t="n">
        <v>45973</v>
      </c>
      <c r="B573" s="11" t="n">
        <f aca="false">C572</f>
        <v>46010</v>
      </c>
      <c r="C573" s="11" t="n">
        <f aca="false">IF(OR(H572,D573&lt;=$G$4),_xlfn.MINIFS('Futures Data'!$B$5:$B$3471,'Futures Data'!$A$5:$A$3471,A573,'Futures Data'!$B$5:$B$3471,"&gt;"&amp;B573),B573)</f>
        <v>46010</v>
      </c>
      <c r="D573" s="3" t="n">
        <f aca="false">COUNTIFS($A$47:$A$790,"&gt;"&amp;A573,$A$47:$A$790,"&lt;="&amp;B573)+IF(B573&gt;$G$5,NETWORKDAYS($G$5+1,B573),0)</f>
        <v>27</v>
      </c>
      <c r="E573" s="3" t="n">
        <f aca="false">SUMIFS('Futures Data'!$E$5:$E$3471,'Futures Data'!$A$5:$A$3471,A573,'Futures Data'!$B$5:$B$3471,C573)</f>
        <v>24570</v>
      </c>
      <c r="F573" s="11" t="n">
        <f aca="false">_xlfn.MINIFS('Futures Data'!$B$5:$B$3471,'Futures Data'!$A$5:$A$3471,A573,'Futures Data'!$B$5:$B$3471,"&gt;"&amp;C573)</f>
        <v>46042</v>
      </c>
      <c r="G573" s="3" t="n">
        <f aca="false">SUMIFS('Futures Data'!$E$5:$E$3471,'Futures Data'!$A$5:$A$3471,A573,'Futures Data'!$B$5:$B$3471,F573)</f>
        <v>390</v>
      </c>
      <c r="H573" s="9" t="b">
        <f aca="false">G573&gt;E573</f>
        <v>0</v>
      </c>
      <c r="I573" s="9" t="b">
        <f aca="false">C573&lt;&gt;B573</f>
        <v>0</v>
      </c>
      <c r="J573" s="3" t="n">
        <f aca="false">SUMIFS('Futures Data'!$C$5:$C$3471,'Futures Data'!$A$5:$A$3471,A573,'Futures Data'!$B$5:$B$3471,B573)</f>
        <v>6937</v>
      </c>
      <c r="K573" s="3" t="n">
        <f aca="false">SUMIFS('Futures Data'!$C$5:$C$3471,'Futures Data'!$A$5:$A$3471,A573,'Futures Data'!$B$5:$B$3471,C573)</f>
        <v>6937</v>
      </c>
      <c r="L573" s="3" t="n">
        <f aca="false">K573-J573</f>
        <v>0</v>
      </c>
      <c r="M573" s="3" t="n">
        <f aca="false">M574+L573</f>
        <v>722</v>
      </c>
      <c r="N573" s="3" t="n">
        <f aca="false">J573+M573</f>
        <v>7659</v>
      </c>
      <c r="O573" s="13" t="n">
        <f aca="false">LN(J573/K572)</f>
        <v>0.0047684506220375</v>
      </c>
      <c r="P573" s="13" t="n">
        <f aca="false">LN(N573/N572)</f>
        <v>0.00431796549208453</v>
      </c>
      <c r="Q573" s="3" t="n">
        <f aca="false">SUMIFS('Futures Data'!$D$5:$D$3471,'Futures Data'!$A$5:$A$3471,A573,'Futures Data'!$B$5:$B$3471,B573)</f>
        <v>6100</v>
      </c>
      <c r="R573" s="7" t="n">
        <v>46010</v>
      </c>
      <c r="S573" s="9" t="b">
        <f aca="false">C573=R573</f>
        <v>1</v>
      </c>
      <c r="T573" s="9" t="b">
        <f aca="false">ABS(O573-LN(J573/SUMIFS('Futures Data'!$C$5:$C$3471,'Futures Data'!$A$5:$A$3471,A572,'Futures Data'!$B$5:$B$3471,B573)))&lt;0.000000001</f>
        <v>1</v>
      </c>
    </row>
    <row r="574" customFormat="false" ht="15" hidden="false" customHeight="false" outlineLevel="0" collapsed="false">
      <c r="A574" s="7" t="n">
        <v>45974</v>
      </c>
      <c r="B574" s="11" t="n">
        <f aca="false">C573</f>
        <v>46010</v>
      </c>
      <c r="C574" s="11" t="n">
        <f aca="false">IF(OR(H573,D574&lt;=$G$4),_xlfn.MINIFS('Futures Data'!$B$5:$B$3471,'Futures Data'!$A$5:$A$3471,A574,'Futures Data'!$B$5:$B$3471,"&gt;"&amp;B574),B574)</f>
        <v>46010</v>
      </c>
      <c r="D574" s="3" t="n">
        <f aca="false">COUNTIFS($A$47:$A$790,"&gt;"&amp;A574,$A$47:$A$790,"&lt;="&amp;B574)+IF(B574&gt;$G$5,NETWORKDAYS($G$5+1,B574),0)</f>
        <v>26</v>
      </c>
      <c r="E574" s="3" t="n">
        <f aca="false">SUMIFS('Futures Data'!$E$5:$E$3471,'Futures Data'!$A$5:$A$3471,A574,'Futures Data'!$B$5:$B$3471,C574)</f>
        <v>24555</v>
      </c>
      <c r="F574" s="11" t="n">
        <f aca="false">_xlfn.MINIFS('Futures Data'!$B$5:$B$3471,'Futures Data'!$A$5:$A$3471,A574,'Futures Data'!$B$5:$B$3471,"&gt;"&amp;C574)</f>
        <v>46042</v>
      </c>
      <c r="G574" s="3" t="n">
        <f aca="false">SUMIFS('Futures Data'!$E$5:$E$3471,'Futures Data'!$A$5:$A$3471,A574,'Futures Data'!$B$5:$B$3471,F574)</f>
        <v>410</v>
      </c>
      <c r="H574" s="9" t="b">
        <f aca="false">G574&gt;E574</f>
        <v>0</v>
      </c>
      <c r="I574" s="9" t="b">
        <f aca="false">C574&lt;&gt;B574</f>
        <v>0</v>
      </c>
      <c r="J574" s="3" t="n">
        <f aca="false">SUMIFS('Futures Data'!$C$5:$C$3471,'Futures Data'!$A$5:$A$3471,A574,'Futures Data'!$B$5:$B$3471,B574)</f>
        <v>6922</v>
      </c>
      <c r="K574" s="3" t="n">
        <f aca="false">SUMIFS('Futures Data'!$C$5:$C$3471,'Futures Data'!$A$5:$A$3471,A574,'Futures Data'!$B$5:$B$3471,C574)</f>
        <v>6922</v>
      </c>
      <c r="L574" s="3" t="n">
        <f aca="false">K574-J574</f>
        <v>0</v>
      </c>
      <c r="M574" s="3" t="n">
        <f aca="false">M575+L574</f>
        <v>722</v>
      </c>
      <c r="N574" s="3" t="n">
        <f aca="false">J574+M574</f>
        <v>7644</v>
      </c>
      <c r="O574" s="13" t="n">
        <f aca="false">LN(J574/K573)</f>
        <v>-0.00216465919001178</v>
      </c>
      <c r="P574" s="13" t="n">
        <f aca="false">LN(N574/N573)</f>
        <v>-0.00196040054942982</v>
      </c>
      <c r="Q574" s="3" t="n">
        <f aca="false">SUMIFS('Futures Data'!$D$5:$D$3471,'Futures Data'!$A$5:$A$3471,A574,'Futures Data'!$B$5:$B$3471,B574)</f>
        <v>2405</v>
      </c>
      <c r="R574" s="7" t="n">
        <v>46010</v>
      </c>
      <c r="S574" s="9" t="b">
        <f aca="false">C574=R574</f>
        <v>1</v>
      </c>
      <c r="T574" s="9" t="b">
        <f aca="false">ABS(O574-LN(J574/SUMIFS('Futures Data'!$C$5:$C$3471,'Futures Data'!$A$5:$A$3471,A573,'Futures Data'!$B$5:$B$3471,B574)))&lt;0.000000001</f>
        <v>1</v>
      </c>
    </row>
    <row r="575" customFormat="false" ht="15" hidden="false" customHeight="false" outlineLevel="0" collapsed="false">
      <c r="A575" s="7" t="n">
        <v>45975</v>
      </c>
      <c r="B575" s="11" t="n">
        <f aca="false">C574</f>
        <v>46010</v>
      </c>
      <c r="C575" s="11" t="n">
        <f aca="false">IF(OR(H574,D575&lt;=$G$4),_xlfn.MINIFS('Futures Data'!$B$5:$B$3471,'Futures Data'!$A$5:$A$3471,A575,'Futures Data'!$B$5:$B$3471,"&gt;"&amp;B575),B575)</f>
        <v>46010</v>
      </c>
      <c r="D575" s="3" t="n">
        <f aca="false">COUNTIFS($A$47:$A$790,"&gt;"&amp;A575,$A$47:$A$790,"&lt;="&amp;B575)+IF(B575&gt;$G$5,NETWORKDAYS($G$5+1,B575),0)</f>
        <v>25</v>
      </c>
      <c r="E575" s="3" t="n">
        <f aca="false">SUMIFS('Futures Data'!$E$5:$E$3471,'Futures Data'!$A$5:$A$3471,A575,'Futures Data'!$B$5:$B$3471,C575)</f>
        <v>24370</v>
      </c>
      <c r="F575" s="11" t="n">
        <f aca="false">_xlfn.MINIFS('Futures Data'!$B$5:$B$3471,'Futures Data'!$A$5:$A$3471,A575,'Futures Data'!$B$5:$B$3471,"&gt;"&amp;C575)</f>
        <v>46042</v>
      </c>
      <c r="G575" s="3" t="n">
        <f aca="false">SUMIFS('Futures Data'!$E$5:$E$3471,'Futures Data'!$A$5:$A$3471,A575,'Futures Data'!$B$5:$B$3471,F575)</f>
        <v>510</v>
      </c>
      <c r="H575" s="9" t="b">
        <f aca="false">G575&gt;E575</f>
        <v>0</v>
      </c>
      <c r="I575" s="9" t="b">
        <f aca="false">C575&lt;&gt;B575</f>
        <v>0</v>
      </c>
      <c r="J575" s="3" t="n">
        <f aca="false">SUMIFS('Futures Data'!$C$5:$C$3471,'Futures Data'!$A$5:$A$3471,A575,'Futures Data'!$B$5:$B$3471,B575)</f>
        <v>6859</v>
      </c>
      <c r="K575" s="3" t="n">
        <f aca="false">SUMIFS('Futures Data'!$C$5:$C$3471,'Futures Data'!$A$5:$A$3471,A575,'Futures Data'!$B$5:$B$3471,C575)</f>
        <v>6859</v>
      </c>
      <c r="L575" s="3" t="n">
        <f aca="false">K575-J575</f>
        <v>0</v>
      </c>
      <c r="M575" s="3" t="n">
        <f aca="false">M576+L575</f>
        <v>722</v>
      </c>
      <c r="N575" s="3" t="n">
        <f aca="false">J575+M575</f>
        <v>7581</v>
      </c>
      <c r="O575" s="13" t="n">
        <f aca="false">LN(J575/K574)</f>
        <v>-0.00914308669596822</v>
      </c>
      <c r="P575" s="13" t="n">
        <f aca="false">LN(N575/N574)</f>
        <v>-0.00827590930385971</v>
      </c>
      <c r="Q575" s="3" t="n">
        <f aca="false">SUMIFS('Futures Data'!$D$5:$D$3471,'Futures Data'!$A$5:$A$3471,A575,'Futures Data'!$B$5:$B$3471,B575)</f>
        <v>4355</v>
      </c>
      <c r="R575" s="7" t="n">
        <v>46010</v>
      </c>
      <c r="S575" s="9" t="b">
        <f aca="false">C575=R575</f>
        <v>1</v>
      </c>
      <c r="T575" s="9" t="b">
        <f aca="false">ABS(O575-LN(J575/SUMIFS('Futures Data'!$C$5:$C$3471,'Futures Data'!$A$5:$A$3471,A574,'Futures Data'!$B$5:$B$3471,B575)))&lt;0.000000001</f>
        <v>1</v>
      </c>
    </row>
    <row r="576" customFormat="false" ht="15" hidden="false" customHeight="false" outlineLevel="0" collapsed="false">
      <c r="A576" s="7" t="n">
        <v>45978</v>
      </c>
      <c r="B576" s="11" t="n">
        <f aca="false">C575</f>
        <v>46010</v>
      </c>
      <c r="C576" s="11" t="n">
        <f aca="false">IF(OR(H575,D576&lt;=$G$4),_xlfn.MINIFS('Futures Data'!$B$5:$B$3471,'Futures Data'!$A$5:$A$3471,A576,'Futures Data'!$B$5:$B$3471,"&gt;"&amp;B576),B576)</f>
        <v>46010</v>
      </c>
      <c r="D576" s="3" t="n">
        <f aca="false">COUNTIFS($A$47:$A$790,"&gt;"&amp;A576,$A$47:$A$790,"&lt;="&amp;B576)+IF(B576&gt;$G$5,NETWORKDAYS($G$5+1,B576),0)</f>
        <v>24</v>
      </c>
      <c r="E576" s="3" t="n">
        <f aca="false">SUMIFS('Futures Data'!$E$5:$E$3471,'Futures Data'!$A$5:$A$3471,A576,'Futures Data'!$B$5:$B$3471,C576)</f>
        <v>25255</v>
      </c>
      <c r="F576" s="11" t="n">
        <f aca="false">_xlfn.MINIFS('Futures Data'!$B$5:$B$3471,'Futures Data'!$A$5:$A$3471,A576,'Futures Data'!$B$5:$B$3471,"&gt;"&amp;C576)</f>
        <v>46042</v>
      </c>
      <c r="G576" s="3" t="n">
        <f aca="false">SUMIFS('Futures Data'!$E$5:$E$3471,'Futures Data'!$A$5:$A$3471,A576,'Futures Data'!$B$5:$B$3471,F576)</f>
        <v>540</v>
      </c>
      <c r="H576" s="9" t="b">
        <f aca="false">G576&gt;E576</f>
        <v>0</v>
      </c>
      <c r="I576" s="9" t="b">
        <f aca="false">C576&lt;&gt;B576</f>
        <v>0</v>
      </c>
      <c r="J576" s="3" t="n">
        <f aca="false">SUMIFS('Futures Data'!$C$5:$C$3471,'Futures Data'!$A$5:$A$3471,A576,'Futures Data'!$B$5:$B$3471,B576)</f>
        <v>6893</v>
      </c>
      <c r="K576" s="3" t="n">
        <f aca="false">SUMIFS('Futures Data'!$C$5:$C$3471,'Futures Data'!$A$5:$A$3471,A576,'Futures Data'!$B$5:$B$3471,C576)</f>
        <v>6893</v>
      </c>
      <c r="L576" s="3" t="n">
        <f aca="false">K576-J576</f>
        <v>0</v>
      </c>
      <c r="M576" s="3" t="n">
        <f aca="false">M577+L576</f>
        <v>722</v>
      </c>
      <c r="N576" s="3" t="n">
        <f aca="false">J576+M576</f>
        <v>7615</v>
      </c>
      <c r="O576" s="13" t="n">
        <f aca="false">LN(J576/K575)</f>
        <v>0.0049447453863304</v>
      </c>
      <c r="P576" s="13" t="n">
        <f aca="false">LN(N576/N575)</f>
        <v>0.00447486927295832</v>
      </c>
      <c r="Q576" s="3" t="n">
        <f aca="false">SUMIFS('Futures Data'!$D$5:$D$3471,'Futures Data'!$A$5:$A$3471,A576,'Futures Data'!$B$5:$B$3471,B576)</f>
        <v>3275</v>
      </c>
      <c r="R576" s="7" t="n">
        <v>46010</v>
      </c>
      <c r="S576" s="9" t="b">
        <f aca="false">C576=R576</f>
        <v>1</v>
      </c>
      <c r="T576" s="9" t="b">
        <f aca="false">ABS(O576-LN(J576/SUMIFS('Futures Data'!$C$5:$C$3471,'Futures Data'!$A$5:$A$3471,A575,'Futures Data'!$B$5:$B$3471,B576)))&lt;0.000000001</f>
        <v>1</v>
      </c>
    </row>
    <row r="577" customFormat="false" ht="15" hidden="false" customHeight="false" outlineLevel="0" collapsed="false">
      <c r="A577" s="7" t="n">
        <v>45979</v>
      </c>
      <c r="B577" s="11" t="n">
        <f aca="false">C576</f>
        <v>46010</v>
      </c>
      <c r="C577" s="11" t="n">
        <f aca="false">IF(OR(H576,D577&lt;=$G$4),_xlfn.MINIFS('Futures Data'!$B$5:$B$3471,'Futures Data'!$A$5:$A$3471,A577,'Futures Data'!$B$5:$B$3471,"&gt;"&amp;B577),B577)</f>
        <v>46010</v>
      </c>
      <c r="D577" s="3" t="n">
        <f aca="false">COUNTIFS($A$47:$A$790,"&gt;"&amp;A577,$A$47:$A$790,"&lt;="&amp;B577)+IF(B577&gt;$G$5,NETWORKDAYS($G$5+1,B577),0)</f>
        <v>23</v>
      </c>
      <c r="E577" s="3" t="n">
        <f aca="false">SUMIFS('Futures Data'!$E$5:$E$3471,'Futures Data'!$A$5:$A$3471,A577,'Futures Data'!$B$5:$B$3471,C577)</f>
        <v>24105</v>
      </c>
      <c r="F577" s="11" t="n">
        <f aca="false">_xlfn.MINIFS('Futures Data'!$B$5:$B$3471,'Futures Data'!$A$5:$A$3471,A577,'Futures Data'!$B$5:$B$3471,"&gt;"&amp;C577)</f>
        <v>46042</v>
      </c>
      <c r="G577" s="3" t="n">
        <f aca="false">SUMIFS('Futures Data'!$E$5:$E$3471,'Futures Data'!$A$5:$A$3471,A577,'Futures Data'!$B$5:$B$3471,F577)</f>
        <v>1100</v>
      </c>
      <c r="H577" s="9" t="b">
        <f aca="false">G577&gt;E577</f>
        <v>0</v>
      </c>
      <c r="I577" s="9" t="b">
        <f aca="false">C577&lt;&gt;B577</f>
        <v>0</v>
      </c>
      <c r="J577" s="3" t="n">
        <f aca="false">SUMIFS('Futures Data'!$C$5:$C$3471,'Futures Data'!$A$5:$A$3471,A577,'Futures Data'!$B$5:$B$3471,B577)</f>
        <v>6946</v>
      </c>
      <c r="K577" s="3" t="n">
        <f aca="false">SUMIFS('Futures Data'!$C$5:$C$3471,'Futures Data'!$A$5:$A$3471,A577,'Futures Data'!$B$5:$B$3471,C577)</f>
        <v>6946</v>
      </c>
      <c r="L577" s="3" t="n">
        <f aca="false">K577-J577</f>
        <v>0</v>
      </c>
      <c r="M577" s="3" t="n">
        <f aca="false">M578+L577</f>
        <v>722</v>
      </c>
      <c r="N577" s="3" t="n">
        <f aca="false">J577+M577</f>
        <v>7668</v>
      </c>
      <c r="O577" s="13" t="n">
        <f aca="false">LN(J577/K576)</f>
        <v>0.00765955041836754</v>
      </c>
      <c r="P577" s="13" t="n">
        <f aca="false">LN(N577/N576)</f>
        <v>0.00693583883627288</v>
      </c>
      <c r="Q577" s="3" t="n">
        <f aca="false">SUMIFS('Futures Data'!$D$5:$D$3471,'Futures Data'!$A$5:$A$3471,A577,'Futures Data'!$B$5:$B$3471,B577)</f>
        <v>13240</v>
      </c>
      <c r="R577" s="7" t="n">
        <v>46010</v>
      </c>
      <c r="S577" s="9" t="b">
        <f aca="false">C577=R577</f>
        <v>1</v>
      </c>
      <c r="T577" s="9" t="b">
        <f aca="false">ABS(O577-LN(J577/SUMIFS('Futures Data'!$C$5:$C$3471,'Futures Data'!$A$5:$A$3471,A576,'Futures Data'!$B$5:$B$3471,B577)))&lt;0.000000001</f>
        <v>1</v>
      </c>
    </row>
    <row r="578" customFormat="false" ht="15" hidden="false" customHeight="false" outlineLevel="0" collapsed="false">
      <c r="A578" s="7" t="n">
        <v>45980</v>
      </c>
      <c r="B578" s="11" t="n">
        <f aca="false">C577</f>
        <v>46010</v>
      </c>
      <c r="C578" s="11" t="n">
        <f aca="false">IF(OR(H577,D578&lt;=$G$4),_xlfn.MINIFS('Futures Data'!$B$5:$B$3471,'Futures Data'!$A$5:$A$3471,A578,'Futures Data'!$B$5:$B$3471,"&gt;"&amp;B578),B578)</f>
        <v>46010</v>
      </c>
      <c r="D578" s="3" t="n">
        <f aca="false">COUNTIFS($A$47:$A$790,"&gt;"&amp;A578,$A$47:$A$790,"&lt;="&amp;B578)+IF(B578&gt;$G$5,NETWORKDAYS($G$5+1,B578),0)</f>
        <v>22</v>
      </c>
      <c r="E578" s="3" t="n">
        <f aca="false">SUMIFS('Futures Data'!$E$5:$E$3471,'Futures Data'!$A$5:$A$3471,A578,'Futures Data'!$B$5:$B$3471,C578)</f>
        <v>24220</v>
      </c>
      <c r="F578" s="11" t="n">
        <f aca="false">_xlfn.MINIFS('Futures Data'!$B$5:$B$3471,'Futures Data'!$A$5:$A$3471,A578,'Futures Data'!$B$5:$B$3471,"&gt;"&amp;C578)</f>
        <v>46042</v>
      </c>
      <c r="G578" s="3" t="n">
        <f aca="false">SUMIFS('Futures Data'!$E$5:$E$3471,'Futures Data'!$A$5:$A$3471,A578,'Futures Data'!$B$5:$B$3471,F578)</f>
        <v>2135</v>
      </c>
      <c r="H578" s="9" t="b">
        <f aca="false">G578&gt;E578</f>
        <v>0</v>
      </c>
      <c r="I578" s="9" t="b">
        <f aca="false">C578&lt;&gt;B578</f>
        <v>0</v>
      </c>
      <c r="J578" s="3" t="n">
        <f aca="false">SUMIFS('Futures Data'!$C$5:$C$3471,'Futures Data'!$A$5:$A$3471,A578,'Futures Data'!$B$5:$B$3471,B578)</f>
        <v>6932</v>
      </c>
      <c r="K578" s="3" t="n">
        <f aca="false">SUMIFS('Futures Data'!$C$5:$C$3471,'Futures Data'!$A$5:$A$3471,A578,'Futures Data'!$B$5:$B$3471,C578)</f>
        <v>6932</v>
      </c>
      <c r="L578" s="3" t="n">
        <f aca="false">K578-J578</f>
        <v>0</v>
      </c>
      <c r="M578" s="3" t="n">
        <f aca="false">M579+L578</f>
        <v>722</v>
      </c>
      <c r="N578" s="3" t="n">
        <f aca="false">J578+M578</f>
        <v>7654</v>
      </c>
      <c r="O578" s="13" t="n">
        <f aca="false">LN(J578/K577)</f>
        <v>-0.00201758246852262</v>
      </c>
      <c r="P578" s="13" t="n">
        <f aca="false">LN(N578/N577)</f>
        <v>-0.00182743817988753</v>
      </c>
      <c r="Q578" s="3" t="n">
        <f aca="false">SUMIFS('Futures Data'!$D$5:$D$3471,'Futures Data'!$A$5:$A$3471,A578,'Futures Data'!$B$5:$B$3471,B578)</f>
        <v>5315</v>
      </c>
      <c r="R578" s="7" t="n">
        <v>46010</v>
      </c>
      <c r="S578" s="9" t="b">
        <f aca="false">C578=R578</f>
        <v>1</v>
      </c>
      <c r="T578" s="9" t="b">
        <f aca="false">ABS(O578-LN(J578/SUMIFS('Futures Data'!$C$5:$C$3471,'Futures Data'!$A$5:$A$3471,A577,'Futures Data'!$B$5:$B$3471,B578)))&lt;0.000000001</f>
        <v>1</v>
      </c>
    </row>
    <row r="579" customFormat="false" ht="15" hidden="false" customHeight="false" outlineLevel="0" collapsed="false">
      <c r="A579" s="7" t="n">
        <v>45981</v>
      </c>
      <c r="B579" s="11" t="n">
        <f aca="false">C578</f>
        <v>46010</v>
      </c>
      <c r="C579" s="11" t="n">
        <f aca="false">IF(OR(H578,D579&lt;=$G$4),_xlfn.MINIFS('Futures Data'!$B$5:$B$3471,'Futures Data'!$A$5:$A$3471,A579,'Futures Data'!$B$5:$B$3471,"&gt;"&amp;B579),B579)</f>
        <v>46010</v>
      </c>
      <c r="D579" s="3" t="n">
        <f aca="false">COUNTIFS($A$47:$A$790,"&gt;"&amp;A579,$A$47:$A$790,"&lt;="&amp;B579)+IF(B579&gt;$G$5,NETWORKDAYS($G$5+1,B579),0)</f>
        <v>21</v>
      </c>
      <c r="E579" s="3" t="n">
        <f aca="false">SUMIFS('Futures Data'!$E$5:$E$3471,'Futures Data'!$A$5:$A$3471,A579,'Futures Data'!$B$5:$B$3471,C579)</f>
        <v>23720</v>
      </c>
      <c r="F579" s="11" t="n">
        <f aca="false">_xlfn.MINIFS('Futures Data'!$B$5:$B$3471,'Futures Data'!$A$5:$A$3471,A579,'Futures Data'!$B$5:$B$3471,"&gt;"&amp;C579)</f>
        <v>46042</v>
      </c>
      <c r="G579" s="3" t="n">
        <f aca="false">SUMIFS('Futures Data'!$E$5:$E$3471,'Futures Data'!$A$5:$A$3471,A579,'Futures Data'!$B$5:$B$3471,F579)</f>
        <v>2340</v>
      </c>
      <c r="H579" s="9" t="b">
        <f aca="false">G579&gt;E579</f>
        <v>0</v>
      </c>
      <c r="I579" s="9" t="b">
        <f aca="false">C579&lt;&gt;B579</f>
        <v>0</v>
      </c>
      <c r="J579" s="3" t="n">
        <f aca="false">SUMIFS('Futures Data'!$C$5:$C$3471,'Futures Data'!$A$5:$A$3471,A579,'Futures Data'!$B$5:$B$3471,B579)</f>
        <v>6921</v>
      </c>
      <c r="K579" s="3" t="n">
        <f aca="false">SUMIFS('Futures Data'!$C$5:$C$3471,'Futures Data'!$A$5:$A$3471,A579,'Futures Data'!$B$5:$B$3471,C579)</f>
        <v>6921</v>
      </c>
      <c r="L579" s="3" t="n">
        <f aca="false">K579-J579</f>
        <v>0</v>
      </c>
      <c r="M579" s="3" t="n">
        <f aca="false">M580+L579</f>
        <v>722</v>
      </c>
      <c r="N579" s="3" t="n">
        <f aca="false">J579+M579</f>
        <v>7643</v>
      </c>
      <c r="O579" s="13" t="n">
        <f aca="false">LN(J579/K578)</f>
        <v>-0.00158810399363335</v>
      </c>
      <c r="P579" s="13" t="n">
        <f aca="false">LN(N579/N578)</f>
        <v>-0.00143819074276346</v>
      </c>
      <c r="Q579" s="3" t="n">
        <f aca="false">SUMIFS('Futures Data'!$D$5:$D$3471,'Futures Data'!$A$5:$A$3471,A579,'Futures Data'!$B$5:$B$3471,B579)</f>
        <v>2710</v>
      </c>
      <c r="R579" s="7" t="n">
        <v>46010</v>
      </c>
      <c r="S579" s="9" t="b">
        <f aca="false">C579=R579</f>
        <v>1</v>
      </c>
      <c r="T579" s="9" t="b">
        <f aca="false">ABS(O579-LN(J579/SUMIFS('Futures Data'!$C$5:$C$3471,'Futures Data'!$A$5:$A$3471,A578,'Futures Data'!$B$5:$B$3471,B579)))&lt;0.000000001</f>
        <v>1</v>
      </c>
    </row>
    <row r="580" customFormat="false" ht="15" hidden="false" customHeight="false" outlineLevel="0" collapsed="false">
      <c r="A580" s="7" t="n">
        <v>45982</v>
      </c>
      <c r="B580" s="11" t="n">
        <f aca="false">C579</f>
        <v>46010</v>
      </c>
      <c r="C580" s="11" t="n">
        <f aca="false">IF(OR(H579,D580&lt;=$G$4),_xlfn.MINIFS('Futures Data'!$B$5:$B$3471,'Futures Data'!$A$5:$A$3471,A580,'Futures Data'!$B$5:$B$3471,"&gt;"&amp;B580),B580)</f>
        <v>46010</v>
      </c>
      <c r="D580" s="3" t="n">
        <f aca="false">COUNTIFS($A$47:$A$790,"&gt;"&amp;A580,$A$47:$A$790,"&lt;="&amp;B580)+IF(B580&gt;$G$5,NETWORKDAYS($G$5+1,B580),0)</f>
        <v>20</v>
      </c>
      <c r="E580" s="3" t="n">
        <f aca="false">SUMIFS('Futures Data'!$E$5:$E$3471,'Futures Data'!$A$5:$A$3471,A580,'Futures Data'!$B$5:$B$3471,C580)</f>
        <v>23890</v>
      </c>
      <c r="F580" s="11" t="n">
        <f aca="false">_xlfn.MINIFS('Futures Data'!$B$5:$B$3471,'Futures Data'!$A$5:$A$3471,A580,'Futures Data'!$B$5:$B$3471,"&gt;"&amp;C580)</f>
        <v>46042</v>
      </c>
      <c r="G580" s="3" t="n">
        <f aca="false">SUMIFS('Futures Data'!$E$5:$E$3471,'Futures Data'!$A$5:$A$3471,A580,'Futures Data'!$B$5:$B$3471,F580)</f>
        <v>2795</v>
      </c>
      <c r="H580" s="9" t="b">
        <f aca="false">G580&gt;E580</f>
        <v>0</v>
      </c>
      <c r="I580" s="9" t="b">
        <f aca="false">C580&lt;&gt;B580</f>
        <v>0</v>
      </c>
      <c r="J580" s="3" t="n">
        <f aca="false">SUMIFS('Futures Data'!$C$5:$C$3471,'Futures Data'!$A$5:$A$3471,A580,'Futures Data'!$B$5:$B$3471,B580)</f>
        <v>6876</v>
      </c>
      <c r="K580" s="3" t="n">
        <f aca="false">SUMIFS('Futures Data'!$C$5:$C$3471,'Futures Data'!$A$5:$A$3471,A580,'Futures Data'!$B$5:$B$3471,C580)</f>
        <v>6876</v>
      </c>
      <c r="L580" s="3" t="n">
        <f aca="false">K580-J580</f>
        <v>0</v>
      </c>
      <c r="M580" s="3" t="n">
        <f aca="false">M581+L580</f>
        <v>722</v>
      </c>
      <c r="N580" s="3" t="n">
        <f aca="false">J580+M580</f>
        <v>7598</v>
      </c>
      <c r="O580" s="13" t="n">
        <f aca="false">LN(J580/K579)</f>
        <v>-0.00652318033912348</v>
      </c>
      <c r="P580" s="13" t="n">
        <f aca="false">LN(N580/N579)</f>
        <v>-0.00590514149531321</v>
      </c>
      <c r="Q580" s="3" t="n">
        <f aca="false">SUMIFS('Futures Data'!$D$5:$D$3471,'Futures Data'!$A$5:$A$3471,A580,'Futures Data'!$B$5:$B$3471,B580)</f>
        <v>3095</v>
      </c>
      <c r="R580" s="7" t="n">
        <v>46010</v>
      </c>
      <c r="S580" s="9" t="b">
        <f aca="false">C580=R580</f>
        <v>1</v>
      </c>
      <c r="T580" s="9" t="b">
        <f aca="false">ABS(O580-LN(J580/SUMIFS('Futures Data'!$C$5:$C$3471,'Futures Data'!$A$5:$A$3471,A579,'Futures Data'!$B$5:$B$3471,B580)))&lt;0.000000001</f>
        <v>1</v>
      </c>
    </row>
    <row r="581" customFormat="false" ht="15" hidden="false" customHeight="false" outlineLevel="0" collapsed="false">
      <c r="A581" s="7" t="n">
        <v>45985</v>
      </c>
      <c r="B581" s="11" t="n">
        <f aca="false">C580</f>
        <v>46010</v>
      </c>
      <c r="C581" s="11" t="n">
        <f aca="false">IF(OR(H580,D581&lt;=$G$4),_xlfn.MINIFS('Futures Data'!$B$5:$B$3471,'Futures Data'!$A$5:$A$3471,A581,'Futures Data'!$B$5:$B$3471,"&gt;"&amp;B581),B581)</f>
        <v>46010</v>
      </c>
      <c r="D581" s="3" t="n">
        <f aca="false">COUNTIFS($A$47:$A$790,"&gt;"&amp;A581,$A$47:$A$790,"&lt;="&amp;B581)+IF(B581&gt;$G$5,NETWORKDAYS($G$5+1,B581),0)</f>
        <v>19</v>
      </c>
      <c r="E581" s="3" t="n">
        <f aca="false">SUMIFS('Futures Data'!$E$5:$E$3471,'Futures Data'!$A$5:$A$3471,A581,'Futures Data'!$B$5:$B$3471,C581)</f>
        <v>23505</v>
      </c>
      <c r="F581" s="11" t="n">
        <f aca="false">_xlfn.MINIFS('Futures Data'!$B$5:$B$3471,'Futures Data'!$A$5:$A$3471,A581,'Futures Data'!$B$5:$B$3471,"&gt;"&amp;C581)</f>
        <v>46042</v>
      </c>
      <c r="G581" s="3" t="n">
        <f aca="false">SUMIFS('Futures Data'!$E$5:$E$3471,'Futures Data'!$A$5:$A$3471,A581,'Futures Data'!$B$5:$B$3471,F581)</f>
        <v>3010</v>
      </c>
      <c r="H581" s="9" t="b">
        <f aca="false">G581&gt;E581</f>
        <v>0</v>
      </c>
      <c r="I581" s="9" t="b">
        <f aca="false">C581&lt;&gt;B581</f>
        <v>0</v>
      </c>
      <c r="J581" s="3" t="n">
        <f aca="false">SUMIFS('Futures Data'!$C$5:$C$3471,'Futures Data'!$A$5:$A$3471,A581,'Futures Data'!$B$5:$B$3471,B581)</f>
        <v>6889</v>
      </c>
      <c r="K581" s="3" t="n">
        <f aca="false">SUMIFS('Futures Data'!$C$5:$C$3471,'Futures Data'!$A$5:$A$3471,A581,'Futures Data'!$B$5:$B$3471,C581)</f>
        <v>6889</v>
      </c>
      <c r="L581" s="3" t="n">
        <f aca="false">K581-J581</f>
        <v>0</v>
      </c>
      <c r="M581" s="3" t="n">
        <f aca="false">M582+L581</f>
        <v>722</v>
      </c>
      <c r="N581" s="3" t="n">
        <f aca="false">J581+M581</f>
        <v>7611</v>
      </c>
      <c r="O581" s="13" t="n">
        <f aca="false">LN(J581/K580)</f>
        <v>0.00188884909045601</v>
      </c>
      <c r="P581" s="13" t="n">
        <f aca="false">LN(N581/N580)</f>
        <v>0.00170951451982067</v>
      </c>
      <c r="Q581" s="3" t="n">
        <f aca="false">SUMIFS('Futures Data'!$D$5:$D$3471,'Futures Data'!$A$5:$A$3471,A581,'Futures Data'!$B$5:$B$3471,B581)</f>
        <v>2310</v>
      </c>
      <c r="R581" s="7" t="n">
        <v>46010</v>
      </c>
      <c r="S581" s="9" t="b">
        <f aca="false">C581=R581</f>
        <v>1</v>
      </c>
      <c r="T581" s="9" t="b">
        <f aca="false">ABS(O581-LN(J581/SUMIFS('Futures Data'!$C$5:$C$3471,'Futures Data'!$A$5:$A$3471,A580,'Futures Data'!$B$5:$B$3471,B581)))&lt;0.000000001</f>
        <v>1</v>
      </c>
    </row>
    <row r="582" customFormat="false" ht="15" hidden="false" customHeight="false" outlineLevel="0" collapsed="false">
      <c r="A582" s="7" t="n">
        <v>45986</v>
      </c>
      <c r="B582" s="11" t="n">
        <f aca="false">C581</f>
        <v>46010</v>
      </c>
      <c r="C582" s="11" t="n">
        <f aca="false">IF(OR(H581,D582&lt;=$G$4),_xlfn.MINIFS('Futures Data'!$B$5:$B$3471,'Futures Data'!$A$5:$A$3471,A582,'Futures Data'!$B$5:$B$3471,"&gt;"&amp;B582),B582)</f>
        <v>46010</v>
      </c>
      <c r="D582" s="3" t="n">
        <f aca="false">COUNTIFS($A$47:$A$790,"&gt;"&amp;A582,$A$47:$A$790,"&lt;="&amp;B582)+IF(B582&gt;$G$5,NETWORKDAYS($G$5+1,B582),0)</f>
        <v>18</v>
      </c>
      <c r="E582" s="3" t="n">
        <f aca="false">SUMIFS('Futures Data'!$E$5:$E$3471,'Futures Data'!$A$5:$A$3471,A582,'Futures Data'!$B$5:$B$3471,C582)</f>
        <v>23145</v>
      </c>
      <c r="F582" s="11" t="n">
        <f aca="false">_xlfn.MINIFS('Futures Data'!$B$5:$B$3471,'Futures Data'!$A$5:$A$3471,A582,'Futures Data'!$B$5:$B$3471,"&gt;"&amp;C582)</f>
        <v>46042</v>
      </c>
      <c r="G582" s="3" t="n">
        <f aca="false">SUMIFS('Futures Data'!$E$5:$E$3471,'Futures Data'!$A$5:$A$3471,A582,'Futures Data'!$B$5:$B$3471,F582)</f>
        <v>3395</v>
      </c>
      <c r="H582" s="9" t="b">
        <f aca="false">G582&gt;E582</f>
        <v>0</v>
      </c>
      <c r="I582" s="9" t="b">
        <f aca="false">C582&lt;&gt;B582</f>
        <v>0</v>
      </c>
      <c r="J582" s="3" t="n">
        <f aca="false">SUMIFS('Futures Data'!$C$5:$C$3471,'Futures Data'!$A$5:$A$3471,A582,'Futures Data'!$B$5:$B$3471,B582)</f>
        <v>6886</v>
      </c>
      <c r="K582" s="3" t="n">
        <f aca="false">SUMIFS('Futures Data'!$C$5:$C$3471,'Futures Data'!$A$5:$A$3471,A582,'Futures Data'!$B$5:$B$3471,C582)</f>
        <v>6886</v>
      </c>
      <c r="L582" s="3" t="n">
        <f aca="false">K582-J582</f>
        <v>0</v>
      </c>
      <c r="M582" s="3" t="n">
        <f aca="false">M583+L582</f>
        <v>722</v>
      </c>
      <c r="N582" s="3" t="n">
        <f aca="false">J582+M582</f>
        <v>7608</v>
      </c>
      <c r="O582" s="13" t="n">
        <f aca="false">LN(J582/K581)</f>
        <v>-0.00043557169472677</v>
      </c>
      <c r="P582" s="13" t="n">
        <f aca="false">LN(N582/N581)</f>
        <v>-0.000394244042165282</v>
      </c>
      <c r="Q582" s="3" t="n">
        <f aca="false">SUMIFS('Futures Data'!$D$5:$D$3471,'Futures Data'!$A$5:$A$3471,A582,'Futures Data'!$B$5:$B$3471,B582)</f>
        <v>2610</v>
      </c>
      <c r="R582" s="7" t="n">
        <v>46010</v>
      </c>
      <c r="S582" s="9" t="b">
        <f aca="false">C582=R582</f>
        <v>1</v>
      </c>
      <c r="T582" s="9" t="b">
        <f aca="false">ABS(O582-LN(J582/SUMIFS('Futures Data'!$C$5:$C$3471,'Futures Data'!$A$5:$A$3471,A581,'Futures Data'!$B$5:$B$3471,B582)))&lt;0.000000001</f>
        <v>1</v>
      </c>
    </row>
    <row r="583" customFormat="false" ht="15" hidden="false" customHeight="false" outlineLevel="0" collapsed="false">
      <c r="A583" s="7" t="n">
        <v>45987</v>
      </c>
      <c r="B583" s="11" t="n">
        <f aca="false">C582</f>
        <v>46010</v>
      </c>
      <c r="C583" s="11" t="n">
        <f aca="false">IF(OR(H582,D583&lt;=$G$4),_xlfn.MINIFS('Futures Data'!$B$5:$B$3471,'Futures Data'!$A$5:$A$3471,A583,'Futures Data'!$B$5:$B$3471,"&gt;"&amp;B583),B583)</f>
        <v>46010</v>
      </c>
      <c r="D583" s="3" t="n">
        <f aca="false">COUNTIFS($A$47:$A$790,"&gt;"&amp;A583,$A$47:$A$790,"&lt;="&amp;B583)+IF(B583&gt;$G$5,NETWORKDAYS($G$5+1,B583),0)</f>
        <v>17</v>
      </c>
      <c r="E583" s="3" t="n">
        <f aca="false">SUMIFS('Futures Data'!$E$5:$E$3471,'Futures Data'!$A$5:$A$3471,A583,'Futures Data'!$B$5:$B$3471,C583)</f>
        <v>21725</v>
      </c>
      <c r="F583" s="11" t="n">
        <f aca="false">_xlfn.MINIFS('Futures Data'!$B$5:$B$3471,'Futures Data'!$A$5:$A$3471,A583,'Futures Data'!$B$5:$B$3471,"&gt;"&amp;C583)</f>
        <v>46042</v>
      </c>
      <c r="G583" s="3" t="n">
        <f aca="false">SUMIFS('Futures Data'!$E$5:$E$3471,'Futures Data'!$A$5:$A$3471,A583,'Futures Data'!$B$5:$B$3471,F583)</f>
        <v>5230</v>
      </c>
      <c r="H583" s="9" t="b">
        <f aca="false">G583&gt;E583</f>
        <v>0</v>
      </c>
      <c r="I583" s="9" t="b">
        <f aca="false">C583&lt;&gt;B583</f>
        <v>0</v>
      </c>
      <c r="J583" s="3" t="n">
        <f aca="false">SUMIFS('Futures Data'!$C$5:$C$3471,'Futures Data'!$A$5:$A$3471,A583,'Futures Data'!$B$5:$B$3471,B583)</f>
        <v>6905</v>
      </c>
      <c r="K583" s="3" t="n">
        <f aca="false">SUMIFS('Futures Data'!$C$5:$C$3471,'Futures Data'!$A$5:$A$3471,A583,'Futures Data'!$B$5:$B$3471,C583)</f>
        <v>6905</v>
      </c>
      <c r="L583" s="3" t="n">
        <f aca="false">K583-J583</f>
        <v>0</v>
      </c>
      <c r="M583" s="3" t="n">
        <f aca="false">M584+L583</f>
        <v>722</v>
      </c>
      <c r="N583" s="3" t="n">
        <f aca="false">J583+M583</f>
        <v>7627</v>
      </c>
      <c r="O583" s="13" t="n">
        <f aca="false">LN(J583/K582)</f>
        <v>0.0027554219449235</v>
      </c>
      <c r="P583" s="13" t="n">
        <f aca="false">LN(N583/N582)</f>
        <v>0.00249425793901244</v>
      </c>
      <c r="Q583" s="3" t="n">
        <f aca="false">SUMIFS('Futures Data'!$D$5:$D$3471,'Futures Data'!$A$5:$A$3471,A583,'Futures Data'!$B$5:$B$3471,B583)</f>
        <v>4065</v>
      </c>
      <c r="R583" s="7" t="n">
        <v>46010</v>
      </c>
      <c r="S583" s="9" t="b">
        <f aca="false">C583=R583</f>
        <v>1</v>
      </c>
      <c r="T583" s="9" t="b">
        <f aca="false">ABS(O583-LN(J583/SUMIFS('Futures Data'!$C$5:$C$3471,'Futures Data'!$A$5:$A$3471,A582,'Futures Data'!$B$5:$B$3471,B583)))&lt;0.000000001</f>
        <v>1</v>
      </c>
    </row>
    <row r="584" customFormat="false" ht="15" hidden="false" customHeight="false" outlineLevel="0" collapsed="false">
      <c r="A584" s="7" t="n">
        <v>45988</v>
      </c>
      <c r="B584" s="11" t="n">
        <f aca="false">C583</f>
        <v>46010</v>
      </c>
      <c r="C584" s="11" t="n">
        <f aca="false">IF(OR(H583,D584&lt;=$G$4),_xlfn.MINIFS('Futures Data'!$B$5:$B$3471,'Futures Data'!$A$5:$A$3471,A584,'Futures Data'!$B$5:$B$3471,"&gt;"&amp;B584),B584)</f>
        <v>46010</v>
      </c>
      <c r="D584" s="3" t="n">
        <f aca="false">COUNTIFS($A$47:$A$790,"&gt;"&amp;A584,$A$47:$A$790,"&lt;="&amp;B584)+IF(B584&gt;$G$5,NETWORKDAYS($G$5+1,B584),0)</f>
        <v>16</v>
      </c>
      <c r="E584" s="3" t="n">
        <f aca="false">SUMIFS('Futures Data'!$E$5:$E$3471,'Futures Data'!$A$5:$A$3471,A584,'Futures Data'!$B$5:$B$3471,C584)</f>
        <v>21325</v>
      </c>
      <c r="F584" s="11" t="n">
        <f aca="false">_xlfn.MINIFS('Futures Data'!$B$5:$B$3471,'Futures Data'!$A$5:$A$3471,A584,'Futures Data'!$B$5:$B$3471,"&gt;"&amp;C584)</f>
        <v>46042</v>
      </c>
      <c r="G584" s="3" t="n">
        <f aca="false">SUMIFS('Futures Data'!$E$5:$E$3471,'Futures Data'!$A$5:$A$3471,A584,'Futures Data'!$B$5:$B$3471,F584)</f>
        <v>5635</v>
      </c>
      <c r="H584" s="9" t="b">
        <f aca="false">G584&gt;E584</f>
        <v>0</v>
      </c>
      <c r="I584" s="9" t="b">
        <f aca="false">C584&lt;&gt;B584</f>
        <v>0</v>
      </c>
      <c r="J584" s="3" t="n">
        <f aca="false">SUMIFS('Futures Data'!$C$5:$C$3471,'Futures Data'!$A$5:$A$3471,A584,'Futures Data'!$B$5:$B$3471,B584)</f>
        <v>6924</v>
      </c>
      <c r="K584" s="3" t="n">
        <f aca="false">SUMIFS('Futures Data'!$C$5:$C$3471,'Futures Data'!$A$5:$A$3471,A584,'Futures Data'!$B$5:$B$3471,C584)</f>
        <v>6924</v>
      </c>
      <c r="L584" s="3" t="n">
        <f aca="false">K584-J584</f>
        <v>0</v>
      </c>
      <c r="M584" s="3" t="n">
        <f aca="false">M585+L584</f>
        <v>722</v>
      </c>
      <c r="N584" s="3" t="n">
        <f aca="false">J584+M584</f>
        <v>7646</v>
      </c>
      <c r="O584" s="13" t="n">
        <f aca="false">LN(J584/K583)</f>
        <v>0.00274785045270734</v>
      </c>
      <c r="P584" s="13" t="n">
        <f aca="false">LN(N584/N583)</f>
        <v>0.00248805209211956</v>
      </c>
      <c r="Q584" s="3" t="n">
        <f aca="false">SUMIFS('Futures Data'!$D$5:$D$3471,'Futures Data'!$A$5:$A$3471,A584,'Futures Data'!$B$5:$B$3471,B584)</f>
        <v>2220</v>
      </c>
      <c r="R584" s="7" t="n">
        <v>46010</v>
      </c>
      <c r="S584" s="9" t="b">
        <f aca="false">C584=R584</f>
        <v>1</v>
      </c>
      <c r="T584" s="9" t="b">
        <f aca="false">ABS(O584-LN(J584/SUMIFS('Futures Data'!$C$5:$C$3471,'Futures Data'!$A$5:$A$3471,A583,'Futures Data'!$B$5:$B$3471,B584)))&lt;0.000000001</f>
        <v>1</v>
      </c>
    </row>
    <row r="585" customFormat="false" ht="15" hidden="false" customHeight="false" outlineLevel="0" collapsed="false">
      <c r="A585" s="7" t="n">
        <v>45989</v>
      </c>
      <c r="B585" s="11" t="n">
        <f aca="false">C584</f>
        <v>46010</v>
      </c>
      <c r="C585" s="11" t="n">
        <f aca="false">IF(OR(H584,D585&lt;=$G$4),_xlfn.MINIFS('Futures Data'!$B$5:$B$3471,'Futures Data'!$A$5:$A$3471,A585,'Futures Data'!$B$5:$B$3471,"&gt;"&amp;B585),B585)</f>
        <v>46010</v>
      </c>
      <c r="D585" s="3" t="n">
        <f aca="false">COUNTIFS($A$47:$A$790,"&gt;"&amp;A585,$A$47:$A$790,"&lt;="&amp;B585)+IF(B585&gt;$G$5,NETWORKDAYS($G$5+1,B585),0)</f>
        <v>15</v>
      </c>
      <c r="E585" s="3" t="n">
        <f aca="false">SUMIFS('Futures Data'!$E$5:$E$3471,'Futures Data'!$A$5:$A$3471,A585,'Futures Data'!$B$5:$B$3471,C585)</f>
        <v>20275</v>
      </c>
      <c r="F585" s="11" t="n">
        <f aca="false">_xlfn.MINIFS('Futures Data'!$B$5:$B$3471,'Futures Data'!$A$5:$A$3471,A585,'Futures Data'!$B$5:$B$3471,"&gt;"&amp;C585)</f>
        <v>46042</v>
      </c>
      <c r="G585" s="3" t="n">
        <f aca="false">SUMIFS('Futures Data'!$E$5:$E$3471,'Futures Data'!$A$5:$A$3471,A585,'Futures Data'!$B$5:$B$3471,F585)</f>
        <v>6700</v>
      </c>
      <c r="H585" s="9" t="b">
        <f aca="false">G585&gt;E585</f>
        <v>0</v>
      </c>
      <c r="I585" s="9" t="b">
        <f aca="false">C585&lt;&gt;B585</f>
        <v>0</v>
      </c>
      <c r="J585" s="3" t="n">
        <f aca="false">SUMIFS('Futures Data'!$C$5:$C$3471,'Futures Data'!$A$5:$A$3471,A585,'Futures Data'!$B$5:$B$3471,B585)</f>
        <v>6937</v>
      </c>
      <c r="K585" s="3" t="n">
        <f aca="false">SUMIFS('Futures Data'!$C$5:$C$3471,'Futures Data'!$A$5:$A$3471,A585,'Futures Data'!$B$5:$B$3471,C585)</f>
        <v>6937</v>
      </c>
      <c r="L585" s="3" t="n">
        <f aca="false">K585-J585</f>
        <v>0</v>
      </c>
      <c r="M585" s="3" t="n">
        <f aca="false">M586+L585</f>
        <v>722</v>
      </c>
      <c r="N585" s="3" t="n">
        <f aca="false">J585+M585</f>
        <v>7659</v>
      </c>
      <c r="O585" s="13" t="n">
        <f aca="false">LN(J585/K584)</f>
        <v>0.00187576708920137</v>
      </c>
      <c r="P585" s="13" t="n">
        <f aca="false">LN(N585/N584)</f>
        <v>0.00169879165323534</v>
      </c>
      <c r="Q585" s="3" t="n">
        <f aca="false">SUMIFS('Futures Data'!$D$5:$D$3471,'Futures Data'!$A$5:$A$3471,A585,'Futures Data'!$B$5:$B$3471,B585)</f>
        <v>2540</v>
      </c>
      <c r="R585" s="7" t="n">
        <v>46010</v>
      </c>
      <c r="S585" s="9" t="b">
        <f aca="false">C585=R585</f>
        <v>1</v>
      </c>
      <c r="T585" s="9" t="b">
        <f aca="false">ABS(O585-LN(J585/SUMIFS('Futures Data'!$C$5:$C$3471,'Futures Data'!$A$5:$A$3471,A584,'Futures Data'!$B$5:$B$3471,B585)))&lt;0.000000001</f>
        <v>1</v>
      </c>
    </row>
    <row r="586" customFormat="false" ht="15" hidden="false" customHeight="false" outlineLevel="0" collapsed="false">
      <c r="A586" s="7" t="n">
        <v>45992</v>
      </c>
      <c r="B586" s="11" t="n">
        <f aca="false">C585</f>
        <v>46010</v>
      </c>
      <c r="C586" s="11" t="n">
        <f aca="false">IF(OR(H585,D586&lt;=$G$4),_xlfn.MINIFS('Futures Data'!$B$5:$B$3471,'Futures Data'!$A$5:$A$3471,A586,'Futures Data'!$B$5:$B$3471,"&gt;"&amp;B586),B586)</f>
        <v>46010</v>
      </c>
      <c r="D586" s="3" t="n">
        <f aca="false">COUNTIFS($A$47:$A$790,"&gt;"&amp;A586,$A$47:$A$790,"&lt;="&amp;B586)+IF(B586&gt;$G$5,NETWORKDAYS($G$5+1,B586),0)</f>
        <v>14</v>
      </c>
      <c r="E586" s="3" t="n">
        <f aca="false">SUMIFS('Futures Data'!$E$5:$E$3471,'Futures Data'!$A$5:$A$3471,A586,'Futures Data'!$B$5:$B$3471,C586)</f>
        <v>19130</v>
      </c>
      <c r="F586" s="11" t="n">
        <f aca="false">_xlfn.MINIFS('Futures Data'!$B$5:$B$3471,'Futures Data'!$A$5:$A$3471,A586,'Futures Data'!$B$5:$B$3471,"&gt;"&amp;C586)</f>
        <v>46042</v>
      </c>
      <c r="G586" s="3" t="n">
        <f aca="false">SUMIFS('Futures Data'!$E$5:$E$3471,'Futures Data'!$A$5:$A$3471,A586,'Futures Data'!$B$5:$B$3471,F586)</f>
        <v>8310</v>
      </c>
      <c r="H586" s="9" t="b">
        <f aca="false">G586&gt;E586</f>
        <v>0</v>
      </c>
      <c r="I586" s="9" t="b">
        <f aca="false">C586&lt;&gt;B586</f>
        <v>0</v>
      </c>
      <c r="J586" s="3" t="n">
        <f aca="false">SUMIFS('Futures Data'!$C$5:$C$3471,'Futures Data'!$A$5:$A$3471,A586,'Futures Data'!$B$5:$B$3471,B586)</f>
        <v>6956</v>
      </c>
      <c r="K586" s="3" t="n">
        <f aca="false">SUMIFS('Futures Data'!$C$5:$C$3471,'Futures Data'!$A$5:$A$3471,A586,'Futures Data'!$B$5:$B$3471,C586)</f>
        <v>6956</v>
      </c>
      <c r="L586" s="3" t="n">
        <f aca="false">K586-J586</f>
        <v>0</v>
      </c>
      <c r="M586" s="3" t="n">
        <f aca="false">M587+L586</f>
        <v>722</v>
      </c>
      <c r="N586" s="3" t="n">
        <f aca="false">J586+M586</f>
        <v>7678</v>
      </c>
      <c r="O586" s="13" t="n">
        <f aca="false">LN(J586/K585)</f>
        <v>0.00273519208887234</v>
      </c>
      <c r="P586" s="13" t="n">
        <f aca="false">LN(N586/N585)</f>
        <v>0.00247766965114939</v>
      </c>
      <c r="Q586" s="3" t="n">
        <f aca="false">SUMIFS('Futures Data'!$D$5:$D$3471,'Futures Data'!$A$5:$A$3471,A586,'Futures Data'!$B$5:$B$3471,B586)</f>
        <v>3245</v>
      </c>
      <c r="R586" s="7" t="n">
        <v>46010</v>
      </c>
      <c r="S586" s="9" t="b">
        <f aca="false">C586=R586</f>
        <v>1</v>
      </c>
      <c r="T586" s="9" t="b">
        <f aca="false">ABS(O586-LN(J586/SUMIFS('Futures Data'!$C$5:$C$3471,'Futures Data'!$A$5:$A$3471,A585,'Futures Data'!$B$5:$B$3471,B586)))&lt;0.000000001</f>
        <v>1</v>
      </c>
    </row>
    <row r="587" customFormat="false" ht="15" hidden="false" customHeight="false" outlineLevel="0" collapsed="false">
      <c r="A587" s="7" t="n">
        <v>45993</v>
      </c>
      <c r="B587" s="11" t="n">
        <f aca="false">C586</f>
        <v>46010</v>
      </c>
      <c r="C587" s="11" t="n">
        <f aca="false">IF(OR(H586,D587&lt;=$G$4),_xlfn.MINIFS('Futures Data'!$B$5:$B$3471,'Futures Data'!$A$5:$A$3471,A587,'Futures Data'!$B$5:$B$3471,"&gt;"&amp;B587),B587)</f>
        <v>46010</v>
      </c>
      <c r="D587" s="3" t="n">
        <f aca="false">COUNTIFS($A$47:$A$790,"&gt;"&amp;A587,$A$47:$A$790,"&lt;="&amp;B587)+IF(B587&gt;$G$5,NETWORKDAYS($G$5+1,B587),0)</f>
        <v>13</v>
      </c>
      <c r="E587" s="3" t="n">
        <f aca="false">SUMIFS('Futures Data'!$E$5:$E$3471,'Futures Data'!$A$5:$A$3471,A587,'Futures Data'!$B$5:$B$3471,C587)</f>
        <v>17855</v>
      </c>
      <c r="F587" s="11" t="n">
        <f aca="false">_xlfn.MINIFS('Futures Data'!$B$5:$B$3471,'Futures Data'!$A$5:$A$3471,A587,'Futures Data'!$B$5:$B$3471,"&gt;"&amp;C587)</f>
        <v>46042</v>
      </c>
      <c r="G587" s="3" t="n">
        <f aca="false">SUMIFS('Futures Data'!$E$5:$E$3471,'Futures Data'!$A$5:$A$3471,A587,'Futures Data'!$B$5:$B$3471,F587)</f>
        <v>10210</v>
      </c>
      <c r="H587" s="9" t="b">
        <f aca="false">G587&gt;E587</f>
        <v>0</v>
      </c>
      <c r="I587" s="9" t="b">
        <f aca="false">C587&lt;&gt;B587</f>
        <v>0</v>
      </c>
      <c r="J587" s="3" t="n">
        <f aca="false">SUMIFS('Futures Data'!$C$5:$C$3471,'Futures Data'!$A$5:$A$3471,A587,'Futures Data'!$B$5:$B$3471,B587)</f>
        <v>7023</v>
      </c>
      <c r="K587" s="3" t="n">
        <f aca="false">SUMIFS('Futures Data'!$C$5:$C$3471,'Futures Data'!$A$5:$A$3471,A587,'Futures Data'!$B$5:$B$3471,C587)</f>
        <v>7023</v>
      </c>
      <c r="L587" s="3" t="n">
        <f aca="false">K587-J587</f>
        <v>0</v>
      </c>
      <c r="M587" s="3" t="n">
        <f aca="false">M588+L587</f>
        <v>722</v>
      </c>
      <c r="N587" s="3" t="n">
        <f aca="false">J587+M587</f>
        <v>7745</v>
      </c>
      <c r="O587" s="13" t="n">
        <f aca="false">LN(J587/K586)</f>
        <v>0.00958588068484686</v>
      </c>
      <c r="P587" s="13" t="n">
        <f aca="false">LN(N587/N586)</f>
        <v>0.00868837729022588</v>
      </c>
      <c r="Q587" s="3" t="n">
        <f aca="false">SUMIFS('Futures Data'!$D$5:$D$3471,'Futures Data'!$A$5:$A$3471,A587,'Futures Data'!$B$5:$B$3471,B587)</f>
        <v>4985</v>
      </c>
      <c r="R587" s="7" t="n">
        <v>46010</v>
      </c>
      <c r="S587" s="9" t="b">
        <f aca="false">C587=R587</f>
        <v>1</v>
      </c>
      <c r="T587" s="9" t="b">
        <f aca="false">ABS(O587-LN(J587/SUMIFS('Futures Data'!$C$5:$C$3471,'Futures Data'!$A$5:$A$3471,A586,'Futures Data'!$B$5:$B$3471,B587)))&lt;0.000000001</f>
        <v>1</v>
      </c>
    </row>
    <row r="588" customFormat="false" ht="15" hidden="false" customHeight="false" outlineLevel="0" collapsed="false">
      <c r="A588" s="7" t="n">
        <v>45994</v>
      </c>
      <c r="B588" s="11" t="n">
        <f aca="false">C587</f>
        <v>46010</v>
      </c>
      <c r="C588" s="11" t="n">
        <f aca="false">IF(OR(H587,D588&lt;=$G$4),_xlfn.MINIFS('Futures Data'!$B$5:$B$3471,'Futures Data'!$A$5:$A$3471,A588,'Futures Data'!$B$5:$B$3471,"&gt;"&amp;B588),B588)</f>
        <v>46010</v>
      </c>
      <c r="D588" s="3" t="n">
        <f aca="false">COUNTIFS($A$47:$A$790,"&gt;"&amp;A588,$A$47:$A$790,"&lt;="&amp;B588)+IF(B588&gt;$G$5,NETWORKDAYS($G$5+1,B588),0)</f>
        <v>12</v>
      </c>
      <c r="E588" s="3" t="n">
        <f aca="false">SUMIFS('Futures Data'!$E$5:$E$3471,'Futures Data'!$A$5:$A$3471,A588,'Futures Data'!$B$5:$B$3471,C588)</f>
        <v>16240</v>
      </c>
      <c r="F588" s="11" t="n">
        <f aca="false">_xlfn.MINIFS('Futures Data'!$B$5:$B$3471,'Futures Data'!$A$5:$A$3471,A588,'Futures Data'!$B$5:$B$3471,"&gt;"&amp;C588)</f>
        <v>46042</v>
      </c>
      <c r="G588" s="3" t="n">
        <f aca="false">SUMIFS('Futures Data'!$E$5:$E$3471,'Futures Data'!$A$5:$A$3471,A588,'Futures Data'!$B$5:$B$3471,F588)</f>
        <v>12545</v>
      </c>
      <c r="H588" s="9" t="b">
        <f aca="false">G588&gt;E588</f>
        <v>0</v>
      </c>
      <c r="I588" s="9" t="b">
        <f aca="false">C588&lt;&gt;B588</f>
        <v>0</v>
      </c>
      <c r="J588" s="3" t="n">
        <f aca="false">SUMIFS('Futures Data'!$C$5:$C$3471,'Futures Data'!$A$5:$A$3471,A588,'Futures Data'!$B$5:$B$3471,B588)</f>
        <v>7035</v>
      </c>
      <c r="K588" s="3" t="n">
        <f aca="false">SUMIFS('Futures Data'!$C$5:$C$3471,'Futures Data'!$A$5:$A$3471,A588,'Futures Data'!$B$5:$B$3471,C588)</f>
        <v>7035</v>
      </c>
      <c r="L588" s="3" t="n">
        <f aca="false">K588-J588</f>
        <v>0</v>
      </c>
      <c r="M588" s="3" t="n">
        <f aca="false">M589+L588</f>
        <v>722</v>
      </c>
      <c r="N588" s="3" t="n">
        <f aca="false">J588+M588</f>
        <v>7757</v>
      </c>
      <c r="O588" s="13" t="n">
        <f aca="false">LN(J588/K587)</f>
        <v>0.00170721338946903</v>
      </c>
      <c r="P588" s="13" t="n">
        <f aca="false">LN(N588/N587)</f>
        <v>0.00154818763990248</v>
      </c>
      <c r="Q588" s="3" t="n">
        <f aca="false">SUMIFS('Futures Data'!$D$5:$D$3471,'Futures Data'!$A$5:$A$3471,A588,'Futures Data'!$B$5:$B$3471,B588)</f>
        <v>4435</v>
      </c>
      <c r="R588" s="7" t="n">
        <v>46010</v>
      </c>
      <c r="S588" s="9" t="b">
        <f aca="false">C588=R588</f>
        <v>1</v>
      </c>
      <c r="T588" s="9" t="b">
        <f aca="false">ABS(O588-LN(J588/SUMIFS('Futures Data'!$C$5:$C$3471,'Futures Data'!$A$5:$A$3471,A587,'Futures Data'!$B$5:$B$3471,B588)))&lt;0.000000001</f>
        <v>1</v>
      </c>
    </row>
    <row r="589" customFormat="false" ht="15" hidden="false" customHeight="false" outlineLevel="0" collapsed="false">
      <c r="A589" s="7" t="n">
        <v>45995</v>
      </c>
      <c r="B589" s="11" t="n">
        <f aca="false">C588</f>
        <v>46010</v>
      </c>
      <c r="C589" s="11" t="n">
        <f aca="false">IF(OR(H588,D589&lt;=$G$4),_xlfn.MINIFS('Futures Data'!$B$5:$B$3471,'Futures Data'!$A$5:$A$3471,A589,'Futures Data'!$B$5:$B$3471,"&gt;"&amp;B589),B589)</f>
        <v>46010</v>
      </c>
      <c r="D589" s="3" t="n">
        <f aca="false">COUNTIFS($A$47:$A$790,"&gt;"&amp;A589,$A$47:$A$790,"&lt;="&amp;B589)+IF(B589&gt;$G$5,NETWORKDAYS($G$5+1,B589),0)</f>
        <v>11</v>
      </c>
      <c r="E589" s="3" t="n">
        <f aca="false">SUMIFS('Futures Data'!$E$5:$E$3471,'Futures Data'!$A$5:$A$3471,A589,'Futures Data'!$B$5:$B$3471,C589)</f>
        <v>14880</v>
      </c>
      <c r="F589" s="11" t="n">
        <f aca="false">_xlfn.MINIFS('Futures Data'!$B$5:$B$3471,'Futures Data'!$A$5:$A$3471,A589,'Futures Data'!$B$5:$B$3471,"&gt;"&amp;C589)</f>
        <v>46042</v>
      </c>
      <c r="G589" s="3" t="n">
        <f aca="false">SUMIFS('Futures Data'!$E$5:$E$3471,'Futures Data'!$A$5:$A$3471,A589,'Futures Data'!$B$5:$B$3471,F589)</f>
        <v>13890</v>
      </c>
      <c r="H589" s="9" t="b">
        <f aca="false">G589&gt;E589</f>
        <v>0</v>
      </c>
      <c r="I589" s="9" t="b">
        <f aca="false">C589&lt;&gt;B589</f>
        <v>0</v>
      </c>
      <c r="J589" s="3" t="n">
        <f aca="false">SUMIFS('Futures Data'!$C$5:$C$3471,'Futures Data'!$A$5:$A$3471,A589,'Futures Data'!$B$5:$B$3471,B589)</f>
        <v>7022</v>
      </c>
      <c r="K589" s="3" t="n">
        <f aca="false">SUMIFS('Futures Data'!$C$5:$C$3471,'Futures Data'!$A$5:$A$3471,A589,'Futures Data'!$B$5:$B$3471,C589)</f>
        <v>7022</v>
      </c>
      <c r="L589" s="3" t="n">
        <f aca="false">K589-J589</f>
        <v>0</v>
      </c>
      <c r="M589" s="3" t="n">
        <f aca="false">M590+L589</f>
        <v>722</v>
      </c>
      <c r="N589" s="3" t="n">
        <f aca="false">J589+M589</f>
        <v>7744</v>
      </c>
      <c r="O589" s="13" t="n">
        <f aca="false">LN(J589/K588)</f>
        <v>-0.00184961282011183</v>
      </c>
      <c r="P589" s="13" t="n">
        <f aca="false">LN(N589/N588)</f>
        <v>-0.00167731153445869</v>
      </c>
      <c r="Q589" s="3" t="n">
        <f aca="false">SUMIFS('Futures Data'!$D$5:$D$3471,'Futures Data'!$A$5:$A$3471,A589,'Futures Data'!$B$5:$B$3471,B589)</f>
        <v>2900</v>
      </c>
      <c r="R589" s="7" t="n">
        <v>46010</v>
      </c>
      <c r="S589" s="9" t="b">
        <f aca="false">C589=R589</f>
        <v>1</v>
      </c>
      <c r="T589" s="9" t="b">
        <f aca="false">ABS(O589-LN(J589/SUMIFS('Futures Data'!$C$5:$C$3471,'Futures Data'!$A$5:$A$3471,A588,'Futures Data'!$B$5:$B$3471,B589)))&lt;0.000000001</f>
        <v>1</v>
      </c>
    </row>
    <row r="590" customFormat="false" ht="15" hidden="false" customHeight="false" outlineLevel="0" collapsed="false">
      <c r="A590" s="7" t="n">
        <v>45996</v>
      </c>
      <c r="B590" s="11" t="n">
        <f aca="false">C589</f>
        <v>46010</v>
      </c>
      <c r="C590" s="11" t="n">
        <f aca="false">IF(OR(H589,D590&lt;=$G$4),_xlfn.MINIFS('Futures Data'!$B$5:$B$3471,'Futures Data'!$A$5:$A$3471,A590,'Futures Data'!$B$5:$B$3471,"&gt;"&amp;B590),B590)</f>
        <v>46010</v>
      </c>
      <c r="D590" s="3" t="n">
        <f aca="false">COUNTIFS($A$47:$A$790,"&gt;"&amp;A590,$A$47:$A$790,"&lt;="&amp;B590)+IF(B590&gt;$G$5,NETWORKDAYS($G$5+1,B590),0)</f>
        <v>10</v>
      </c>
      <c r="E590" s="3" t="n">
        <f aca="false">SUMIFS('Futures Data'!$E$5:$E$3471,'Futures Data'!$A$5:$A$3471,A590,'Futures Data'!$B$5:$B$3471,C590)</f>
        <v>13785</v>
      </c>
      <c r="F590" s="11" t="n">
        <f aca="false">_xlfn.MINIFS('Futures Data'!$B$5:$B$3471,'Futures Data'!$A$5:$A$3471,A590,'Futures Data'!$B$5:$B$3471,"&gt;"&amp;C590)</f>
        <v>46042</v>
      </c>
      <c r="G590" s="3" t="n">
        <f aca="false">SUMIFS('Futures Data'!$E$5:$E$3471,'Futures Data'!$A$5:$A$3471,A590,'Futures Data'!$B$5:$B$3471,F590)</f>
        <v>15585</v>
      </c>
      <c r="H590" s="9" t="b">
        <f aca="false">G590&gt;E590</f>
        <v>1</v>
      </c>
      <c r="I590" s="9" t="b">
        <f aca="false">C590&lt;&gt;B590</f>
        <v>0</v>
      </c>
      <c r="J590" s="3" t="n">
        <f aca="false">SUMIFS('Futures Data'!$C$5:$C$3471,'Futures Data'!$A$5:$A$3471,A590,'Futures Data'!$B$5:$B$3471,B590)</f>
        <v>7007</v>
      </c>
      <c r="K590" s="3" t="n">
        <f aca="false">SUMIFS('Futures Data'!$C$5:$C$3471,'Futures Data'!$A$5:$A$3471,A590,'Futures Data'!$B$5:$B$3471,C590)</f>
        <v>7007</v>
      </c>
      <c r="L590" s="3" t="n">
        <f aca="false">K590-J590</f>
        <v>0</v>
      </c>
      <c r="M590" s="3" t="n">
        <f aca="false">M591+L590</f>
        <v>722</v>
      </c>
      <c r="N590" s="3" t="n">
        <f aca="false">J590+M590</f>
        <v>7729</v>
      </c>
      <c r="O590" s="13" t="n">
        <f aca="false">LN(J590/K589)</f>
        <v>-0.00213842835784368</v>
      </c>
      <c r="P590" s="13" t="n">
        <f aca="false">LN(N590/N589)</f>
        <v>-0.00193886184954197</v>
      </c>
      <c r="Q590" s="3" t="n">
        <f aca="false">SUMIFS('Futures Data'!$D$5:$D$3471,'Futures Data'!$A$5:$A$3471,A590,'Futures Data'!$B$5:$B$3471,B590)</f>
        <v>3090</v>
      </c>
      <c r="R590" s="7" t="n">
        <v>46010</v>
      </c>
      <c r="S590" s="9" t="b">
        <f aca="false">C590=R590</f>
        <v>1</v>
      </c>
      <c r="T590" s="9" t="b">
        <f aca="false">ABS(O590-LN(J590/SUMIFS('Futures Data'!$C$5:$C$3471,'Futures Data'!$A$5:$A$3471,A589,'Futures Data'!$B$5:$B$3471,B590)))&lt;0.000000001</f>
        <v>1</v>
      </c>
    </row>
    <row r="591" customFormat="false" ht="15" hidden="false" customHeight="false" outlineLevel="0" collapsed="false">
      <c r="A591" s="7" t="n">
        <v>45999</v>
      </c>
      <c r="B591" s="11" t="n">
        <f aca="false">C590</f>
        <v>46010</v>
      </c>
      <c r="C591" s="11" t="n">
        <f aca="false">IF(OR(H590,D591&lt;=$G$4),_xlfn.MINIFS('Futures Data'!$B$5:$B$3471,'Futures Data'!$A$5:$A$3471,A591,'Futures Data'!$B$5:$B$3471,"&gt;"&amp;B591),B591)</f>
        <v>46042</v>
      </c>
      <c r="D591" s="3" t="n">
        <f aca="false">COUNTIFS($A$47:$A$790,"&gt;"&amp;A591,$A$47:$A$790,"&lt;="&amp;B591)+IF(B591&gt;$G$5,NETWORKDAYS($G$5+1,B591),0)</f>
        <v>9</v>
      </c>
      <c r="E591" s="3" t="n">
        <f aca="false">SUMIFS('Futures Data'!$E$5:$E$3471,'Futures Data'!$A$5:$A$3471,A591,'Futures Data'!$B$5:$B$3471,C591)</f>
        <v>14990</v>
      </c>
      <c r="F591" s="11" t="n">
        <f aca="false">_xlfn.MINIFS('Futures Data'!$B$5:$B$3471,'Futures Data'!$A$5:$A$3471,A591,'Futures Data'!$B$5:$B$3471,"&gt;"&amp;C591)</f>
        <v>46073</v>
      </c>
      <c r="G591" s="3" t="n">
        <f aca="false">SUMIFS('Futures Data'!$E$5:$E$3471,'Futures Data'!$A$5:$A$3471,A591,'Futures Data'!$B$5:$B$3471,F591)</f>
        <v>20</v>
      </c>
      <c r="H591" s="9" t="b">
        <f aca="false">G591&gt;E591</f>
        <v>0</v>
      </c>
      <c r="I591" s="9" t="b">
        <f aca="false">C591&lt;&gt;B591</f>
        <v>1</v>
      </c>
      <c r="J591" s="3" t="n">
        <f aca="false">SUMIFS('Futures Data'!$C$5:$C$3471,'Futures Data'!$A$5:$A$3471,A591,'Futures Data'!$B$5:$B$3471,B591)</f>
        <v>6958</v>
      </c>
      <c r="K591" s="3" t="n">
        <f aca="false">SUMIFS('Futures Data'!$C$5:$C$3471,'Futures Data'!$A$5:$A$3471,A591,'Futures Data'!$B$5:$B$3471,C591)</f>
        <v>6984</v>
      </c>
      <c r="L591" s="3" t="n">
        <f aca="false">K591-J591</f>
        <v>26</v>
      </c>
      <c r="M591" s="3" t="n">
        <f aca="false">M592+L591</f>
        <v>722</v>
      </c>
      <c r="N591" s="3" t="n">
        <f aca="false">J591+M591</f>
        <v>7680</v>
      </c>
      <c r="O591" s="13" t="n">
        <f aca="false">LN(J591/K590)</f>
        <v>-0.00701757265864654</v>
      </c>
      <c r="P591" s="13" t="n">
        <f aca="false">LN(N591/N590)</f>
        <v>-0.0063599409651531</v>
      </c>
      <c r="Q591" s="3" t="n">
        <f aca="false">SUMIFS('Futures Data'!$D$5:$D$3471,'Futures Data'!$A$5:$A$3471,A591,'Futures Data'!$B$5:$B$3471,B591)</f>
        <v>3290</v>
      </c>
      <c r="R591" s="7" t="n">
        <v>46042</v>
      </c>
      <c r="S591" s="9" t="b">
        <f aca="false">C591=R591</f>
        <v>1</v>
      </c>
      <c r="T591" s="9" t="b">
        <f aca="false">ABS(O591-LN(J591/SUMIFS('Futures Data'!$C$5:$C$3471,'Futures Data'!$A$5:$A$3471,A590,'Futures Data'!$B$5:$B$3471,B591)))&lt;0.000000001</f>
        <v>1</v>
      </c>
    </row>
    <row r="592" customFormat="false" ht="15" hidden="false" customHeight="false" outlineLevel="0" collapsed="false">
      <c r="A592" s="7" t="n">
        <v>46000</v>
      </c>
      <c r="B592" s="11" t="n">
        <f aca="false">C591</f>
        <v>46042</v>
      </c>
      <c r="C592" s="11" t="n">
        <f aca="false">IF(OR(H591,D592&lt;=$G$4),_xlfn.MINIFS('Futures Data'!$B$5:$B$3471,'Futures Data'!$A$5:$A$3471,A592,'Futures Data'!$B$5:$B$3471,"&gt;"&amp;B592),B592)</f>
        <v>46042</v>
      </c>
      <c r="D592" s="3" t="n">
        <f aca="false">COUNTIFS($A$47:$A$790,"&gt;"&amp;A592,$A$47:$A$790,"&lt;="&amp;B592)+IF(B592&gt;$G$5,NETWORKDAYS($G$5+1,B592),0)</f>
        <v>28</v>
      </c>
      <c r="E592" s="3" t="n">
        <f aca="false">SUMIFS('Futures Data'!$E$5:$E$3471,'Futures Data'!$A$5:$A$3471,A592,'Futures Data'!$B$5:$B$3471,C592)</f>
        <v>14975</v>
      </c>
      <c r="F592" s="11" t="n">
        <f aca="false">_xlfn.MINIFS('Futures Data'!$B$5:$B$3471,'Futures Data'!$A$5:$A$3471,A592,'Futures Data'!$B$5:$B$3471,"&gt;"&amp;C592)</f>
        <v>46073</v>
      </c>
      <c r="G592" s="3" t="n">
        <f aca="false">SUMIFS('Futures Data'!$E$5:$E$3471,'Futures Data'!$A$5:$A$3471,A592,'Futures Data'!$B$5:$B$3471,F592)</f>
        <v>155</v>
      </c>
      <c r="H592" s="9" t="b">
        <f aca="false">G592&gt;E592</f>
        <v>0</v>
      </c>
      <c r="I592" s="9" t="b">
        <f aca="false">C592&lt;&gt;B592</f>
        <v>0</v>
      </c>
      <c r="J592" s="3" t="n">
        <f aca="false">SUMIFS('Futures Data'!$C$5:$C$3471,'Futures Data'!$A$5:$A$3471,A592,'Futures Data'!$B$5:$B$3471,B592)</f>
        <v>6994</v>
      </c>
      <c r="K592" s="3" t="n">
        <f aca="false">SUMIFS('Futures Data'!$C$5:$C$3471,'Futures Data'!$A$5:$A$3471,A592,'Futures Data'!$B$5:$B$3471,C592)</f>
        <v>6994</v>
      </c>
      <c r="L592" s="3" t="n">
        <f aca="false">K592-J592</f>
        <v>0</v>
      </c>
      <c r="M592" s="3" t="n">
        <f aca="false">M593+L592</f>
        <v>696</v>
      </c>
      <c r="N592" s="3" t="n">
        <f aca="false">J592+M592</f>
        <v>7690</v>
      </c>
      <c r="O592" s="13" t="n">
        <f aca="false">LN(J592/K591)</f>
        <v>0.00143082010388301</v>
      </c>
      <c r="P592" s="13" t="n">
        <f aca="false">LN(N592/N591)</f>
        <v>0.00130123635797173</v>
      </c>
      <c r="Q592" s="3" t="n">
        <f aca="false">SUMIFS('Futures Data'!$D$5:$D$3471,'Futures Data'!$A$5:$A$3471,A592,'Futures Data'!$B$5:$B$3471,B592)</f>
        <v>5865</v>
      </c>
      <c r="R592" s="7" t="n">
        <v>46042</v>
      </c>
      <c r="S592" s="9" t="b">
        <f aca="false">C592=R592</f>
        <v>1</v>
      </c>
      <c r="T592" s="9" t="b">
        <f aca="false">ABS(O592-LN(J592/SUMIFS('Futures Data'!$C$5:$C$3471,'Futures Data'!$A$5:$A$3471,A591,'Futures Data'!$B$5:$B$3471,B592)))&lt;0.000000001</f>
        <v>1</v>
      </c>
    </row>
    <row r="593" customFormat="false" ht="15" hidden="false" customHeight="false" outlineLevel="0" collapsed="false">
      <c r="A593" s="7" t="n">
        <v>46001</v>
      </c>
      <c r="B593" s="11" t="n">
        <f aca="false">C592</f>
        <v>46042</v>
      </c>
      <c r="C593" s="11" t="n">
        <f aca="false">IF(OR(H592,D593&lt;=$G$4),_xlfn.MINIFS('Futures Data'!$B$5:$B$3471,'Futures Data'!$A$5:$A$3471,A593,'Futures Data'!$B$5:$B$3471,"&gt;"&amp;B593),B593)</f>
        <v>46042</v>
      </c>
      <c r="D593" s="3" t="n">
        <f aca="false">COUNTIFS($A$47:$A$790,"&gt;"&amp;A593,$A$47:$A$790,"&lt;="&amp;B593)+IF(B593&gt;$G$5,NETWORKDAYS($G$5+1,B593),0)</f>
        <v>27</v>
      </c>
      <c r="E593" s="3" t="n">
        <f aca="false">SUMIFS('Futures Data'!$E$5:$E$3471,'Futures Data'!$A$5:$A$3471,A593,'Futures Data'!$B$5:$B$3471,C593)</f>
        <v>16050</v>
      </c>
      <c r="F593" s="11" t="n">
        <f aca="false">_xlfn.MINIFS('Futures Data'!$B$5:$B$3471,'Futures Data'!$A$5:$A$3471,A593,'Futures Data'!$B$5:$B$3471,"&gt;"&amp;C593)</f>
        <v>46073</v>
      </c>
      <c r="G593" s="3" t="n">
        <f aca="false">SUMIFS('Futures Data'!$E$5:$E$3471,'Futures Data'!$A$5:$A$3471,A593,'Futures Data'!$B$5:$B$3471,F593)</f>
        <v>180</v>
      </c>
      <c r="H593" s="9" t="b">
        <f aca="false">G593&gt;E593</f>
        <v>0</v>
      </c>
      <c r="I593" s="9" t="b">
        <f aca="false">C593&lt;&gt;B593</f>
        <v>0</v>
      </c>
      <c r="J593" s="3" t="n">
        <f aca="false">SUMIFS('Futures Data'!$C$5:$C$3471,'Futures Data'!$A$5:$A$3471,A593,'Futures Data'!$B$5:$B$3471,B593)</f>
        <v>6965</v>
      </c>
      <c r="K593" s="3" t="n">
        <f aca="false">SUMIFS('Futures Data'!$C$5:$C$3471,'Futures Data'!$A$5:$A$3471,A593,'Futures Data'!$B$5:$B$3471,C593)</f>
        <v>6965</v>
      </c>
      <c r="L593" s="3" t="n">
        <f aca="false">K593-J593</f>
        <v>0</v>
      </c>
      <c r="M593" s="3" t="n">
        <f aca="false">M594+L593</f>
        <v>696</v>
      </c>
      <c r="N593" s="3" t="n">
        <f aca="false">J593+M593</f>
        <v>7661</v>
      </c>
      <c r="O593" s="13" t="n">
        <f aca="false">LN(J593/K592)</f>
        <v>-0.00415503140941508</v>
      </c>
      <c r="P593" s="13" t="n">
        <f aca="false">LN(N593/N592)</f>
        <v>-0.00377825998286868</v>
      </c>
      <c r="Q593" s="3" t="n">
        <f aca="false">SUMIFS('Futures Data'!$D$5:$D$3471,'Futures Data'!$A$5:$A$3471,A593,'Futures Data'!$B$5:$B$3471,B593)</f>
        <v>4535</v>
      </c>
      <c r="R593" s="7" t="n">
        <v>46042</v>
      </c>
      <c r="S593" s="9" t="b">
        <f aca="false">C593=R593</f>
        <v>1</v>
      </c>
      <c r="T593" s="9" t="b">
        <f aca="false">ABS(O593-LN(J593/SUMIFS('Futures Data'!$C$5:$C$3471,'Futures Data'!$A$5:$A$3471,A592,'Futures Data'!$B$5:$B$3471,B593)))&lt;0.000000001</f>
        <v>1</v>
      </c>
    </row>
    <row r="594" customFormat="false" ht="15" hidden="false" customHeight="false" outlineLevel="0" collapsed="false">
      <c r="A594" s="7" t="n">
        <v>46002</v>
      </c>
      <c r="B594" s="11" t="n">
        <f aca="false">C593</f>
        <v>46042</v>
      </c>
      <c r="C594" s="11" t="n">
        <f aca="false">IF(OR(H593,D594&lt;=$G$4),_xlfn.MINIFS('Futures Data'!$B$5:$B$3471,'Futures Data'!$A$5:$A$3471,A594,'Futures Data'!$B$5:$B$3471,"&gt;"&amp;B594),B594)</f>
        <v>46042</v>
      </c>
      <c r="D594" s="3" t="n">
        <f aca="false">COUNTIFS($A$47:$A$790,"&gt;"&amp;A594,$A$47:$A$790,"&lt;="&amp;B594)+IF(B594&gt;$G$5,NETWORKDAYS($G$5+1,B594),0)</f>
        <v>26</v>
      </c>
      <c r="E594" s="3" t="n">
        <f aca="false">SUMIFS('Futures Data'!$E$5:$E$3471,'Futures Data'!$A$5:$A$3471,A594,'Futures Data'!$B$5:$B$3471,C594)</f>
        <v>16255</v>
      </c>
      <c r="F594" s="11" t="n">
        <f aca="false">_xlfn.MINIFS('Futures Data'!$B$5:$B$3471,'Futures Data'!$A$5:$A$3471,A594,'Futures Data'!$B$5:$B$3471,"&gt;"&amp;C594)</f>
        <v>46073</v>
      </c>
      <c r="G594" s="3" t="n">
        <f aca="false">SUMIFS('Futures Data'!$E$5:$E$3471,'Futures Data'!$A$5:$A$3471,A594,'Futures Data'!$B$5:$B$3471,F594)</f>
        <v>380</v>
      </c>
      <c r="H594" s="9" t="b">
        <f aca="false">G594&gt;E594</f>
        <v>0</v>
      </c>
      <c r="I594" s="9" t="b">
        <f aca="false">C594&lt;&gt;B594</f>
        <v>0</v>
      </c>
      <c r="J594" s="3" t="n">
        <f aca="false">SUMIFS('Futures Data'!$C$5:$C$3471,'Futures Data'!$A$5:$A$3471,A594,'Futures Data'!$B$5:$B$3471,B594)</f>
        <v>6964</v>
      </c>
      <c r="K594" s="3" t="n">
        <f aca="false">SUMIFS('Futures Data'!$C$5:$C$3471,'Futures Data'!$A$5:$A$3471,A594,'Futures Data'!$B$5:$B$3471,C594)</f>
        <v>6964</v>
      </c>
      <c r="L594" s="3" t="n">
        <f aca="false">K594-J594</f>
        <v>0</v>
      </c>
      <c r="M594" s="3" t="n">
        <f aca="false">M595+L594</f>
        <v>696</v>
      </c>
      <c r="N594" s="3" t="n">
        <f aca="false">J594+M594</f>
        <v>7660</v>
      </c>
      <c r="O594" s="13" t="n">
        <f aca="false">LN(J594/K593)</f>
        <v>-0.000143585325826466</v>
      </c>
      <c r="P594" s="13" t="n">
        <f aca="false">LN(N594/N593)</f>
        <v>-0.000130539782183908</v>
      </c>
      <c r="Q594" s="3" t="n">
        <f aca="false">SUMIFS('Futures Data'!$D$5:$D$3471,'Futures Data'!$A$5:$A$3471,A594,'Futures Data'!$B$5:$B$3471,B594)</f>
        <v>1945</v>
      </c>
      <c r="R594" s="7" t="n">
        <v>46042</v>
      </c>
      <c r="S594" s="9" t="b">
        <f aca="false">C594=R594</f>
        <v>1</v>
      </c>
      <c r="T594" s="9" t="b">
        <f aca="false">ABS(O594-LN(J594/SUMIFS('Futures Data'!$C$5:$C$3471,'Futures Data'!$A$5:$A$3471,A593,'Futures Data'!$B$5:$B$3471,B594)))&lt;0.000000001</f>
        <v>1</v>
      </c>
    </row>
    <row r="595" customFormat="false" ht="15" hidden="false" customHeight="false" outlineLevel="0" collapsed="false">
      <c r="A595" s="7" t="n">
        <v>46003</v>
      </c>
      <c r="B595" s="11" t="n">
        <f aca="false">C594</f>
        <v>46042</v>
      </c>
      <c r="C595" s="11" t="n">
        <f aca="false">IF(OR(H594,D595&lt;=$G$4),_xlfn.MINIFS('Futures Data'!$B$5:$B$3471,'Futures Data'!$A$5:$A$3471,A595,'Futures Data'!$B$5:$B$3471,"&gt;"&amp;B595),B595)</f>
        <v>46042</v>
      </c>
      <c r="D595" s="3" t="n">
        <f aca="false">COUNTIFS($A$47:$A$790,"&gt;"&amp;A595,$A$47:$A$790,"&lt;="&amp;B595)+IF(B595&gt;$G$5,NETWORKDAYS($G$5+1,B595),0)</f>
        <v>25</v>
      </c>
      <c r="E595" s="3" t="n">
        <f aca="false">SUMIFS('Futures Data'!$E$5:$E$3471,'Futures Data'!$A$5:$A$3471,A595,'Futures Data'!$B$5:$B$3471,C595)</f>
        <v>17160</v>
      </c>
      <c r="F595" s="11" t="n">
        <f aca="false">_xlfn.MINIFS('Futures Data'!$B$5:$B$3471,'Futures Data'!$A$5:$A$3471,A595,'Futures Data'!$B$5:$B$3471,"&gt;"&amp;C595)</f>
        <v>46073</v>
      </c>
      <c r="G595" s="3" t="n">
        <f aca="false">SUMIFS('Futures Data'!$E$5:$E$3471,'Futures Data'!$A$5:$A$3471,A595,'Futures Data'!$B$5:$B$3471,F595)</f>
        <v>430</v>
      </c>
      <c r="H595" s="9" t="b">
        <f aca="false">G595&gt;E595</f>
        <v>0</v>
      </c>
      <c r="I595" s="9" t="b">
        <f aca="false">C595&lt;&gt;B595</f>
        <v>0</v>
      </c>
      <c r="J595" s="3" t="n">
        <f aca="false">SUMIFS('Futures Data'!$C$5:$C$3471,'Futures Data'!$A$5:$A$3471,A595,'Futures Data'!$B$5:$B$3471,B595)</f>
        <v>6947</v>
      </c>
      <c r="K595" s="3" t="n">
        <f aca="false">SUMIFS('Futures Data'!$C$5:$C$3471,'Futures Data'!$A$5:$A$3471,A595,'Futures Data'!$B$5:$B$3471,C595)</f>
        <v>6947</v>
      </c>
      <c r="L595" s="3" t="n">
        <f aca="false">K595-J595</f>
        <v>0</v>
      </c>
      <c r="M595" s="3" t="n">
        <f aca="false">M596+L595</f>
        <v>696</v>
      </c>
      <c r="N595" s="3" t="n">
        <f aca="false">J595+M595</f>
        <v>7643</v>
      </c>
      <c r="O595" s="13" t="n">
        <f aca="false">LN(J595/K594)</f>
        <v>-0.00244411019519871</v>
      </c>
      <c r="P595" s="13" t="n">
        <f aca="false">LN(N595/N594)</f>
        <v>-0.00222178749175289</v>
      </c>
      <c r="Q595" s="3" t="n">
        <f aca="false">SUMIFS('Futures Data'!$D$5:$D$3471,'Futures Data'!$A$5:$A$3471,A595,'Futures Data'!$B$5:$B$3471,B595)</f>
        <v>2730</v>
      </c>
      <c r="R595" s="7" t="n">
        <v>46042</v>
      </c>
      <c r="S595" s="9" t="b">
        <f aca="false">C595=R595</f>
        <v>1</v>
      </c>
      <c r="T595" s="9" t="b">
        <f aca="false">ABS(O595-LN(J595/SUMIFS('Futures Data'!$C$5:$C$3471,'Futures Data'!$A$5:$A$3471,A594,'Futures Data'!$B$5:$B$3471,B595)))&lt;0.000000001</f>
        <v>1</v>
      </c>
    </row>
    <row r="596" customFormat="false" ht="15" hidden="false" customHeight="false" outlineLevel="0" collapsed="false">
      <c r="A596" s="7" t="n">
        <v>46006</v>
      </c>
      <c r="B596" s="11" t="n">
        <f aca="false">C595</f>
        <v>46042</v>
      </c>
      <c r="C596" s="11" t="n">
        <f aca="false">IF(OR(H595,D596&lt;=$G$4),_xlfn.MINIFS('Futures Data'!$B$5:$B$3471,'Futures Data'!$A$5:$A$3471,A596,'Futures Data'!$B$5:$B$3471,"&gt;"&amp;B596),B596)</f>
        <v>46042</v>
      </c>
      <c r="D596" s="3" t="n">
        <f aca="false">COUNTIFS($A$47:$A$790,"&gt;"&amp;A596,$A$47:$A$790,"&lt;="&amp;B596)+IF(B596&gt;$G$5,NETWORKDAYS($G$5+1,B596),0)</f>
        <v>24</v>
      </c>
      <c r="E596" s="3" t="n">
        <f aca="false">SUMIFS('Futures Data'!$E$5:$E$3471,'Futures Data'!$A$5:$A$3471,A596,'Futures Data'!$B$5:$B$3471,C596)</f>
        <v>18545</v>
      </c>
      <c r="F596" s="11" t="n">
        <f aca="false">_xlfn.MINIFS('Futures Data'!$B$5:$B$3471,'Futures Data'!$A$5:$A$3471,A596,'Futures Data'!$B$5:$B$3471,"&gt;"&amp;C596)</f>
        <v>46073</v>
      </c>
      <c r="G596" s="3" t="n">
        <f aca="false">SUMIFS('Futures Data'!$E$5:$E$3471,'Futures Data'!$A$5:$A$3471,A596,'Futures Data'!$B$5:$B$3471,F596)</f>
        <v>630</v>
      </c>
      <c r="H596" s="9" t="b">
        <f aca="false">G596&gt;E596</f>
        <v>0</v>
      </c>
      <c r="I596" s="9" t="b">
        <f aca="false">C596&lt;&gt;B596</f>
        <v>0</v>
      </c>
      <c r="J596" s="3" t="n">
        <f aca="false">SUMIFS('Futures Data'!$C$5:$C$3471,'Futures Data'!$A$5:$A$3471,A596,'Futures Data'!$B$5:$B$3471,B596)</f>
        <v>6922</v>
      </c>
      <c r="K596" s="3" t="n">
        <f aca="false">SUMIFS('Futures Data'!$C$5:$C$3471,'Futures Data'!$A$5:$A$3471,A596,'Futures Data'!$B$5:$B$3471,C596)</f>
        <v>6922</v>
      </c>
      <c r="L596" s="3" t="n">
        <f aca="false">K596-J596</f>
        <v>0</v>
      </c>
      <c r="M596" s="3" t="n">
        <f aca="false">M597+L596</f>
        <v>696</v>
      </c>
      <c r="N596" s="3" t="n">
        <f aca="false">J596+M596</f>
        <v>7618</v>
      </c>
      <c r="O596" s="13" t="n">
        <f aca="false">LN(J596/K595)</f>
        <v>-0.00360516649759136</v>
      </c>
      <c r="P596" s="13" t="n">
        <f aca="false">LN(N596/N595)</f>
        <v>-0.00327632820433477</v>
      </c>
      <c r="Q596" s="3" t="n">
        <f aca="false">SUMIFS('Futures Data'!$D$5:$D$3471,'Futures Data'!$A$5:$A$3471,A596,'Futures Data'!$B$5:$B$3471,B596)</f>
        <v>3820</v>
      </c>
      <c r="R596" s="7" t="n">
        <v>46042</v>
      </c>
      <c r="S596" s="9" t="b">
        <f aca="false">C596=R596</f>
        <v>1</v>
      </c>
      <c r="T596" s="9" t="b">
        <f aca="false">ABS(O596-LN(J596/SUMIFS('Futures Data'!$C$5:$C$3471,'Futures Data'!$A$5:$A$3471,A595,'Futures Data'!$B$5:$B$3471,B596)))&lt;0.000000001</f>
        <v>1</v>
      </c>
    </row>
    <row r="597" customFormat="false" ht="15" hidden="false" customHeight="false" outlineLevel="0" collapsed="false">
      <c r="A597" s="7" t="n">
        <v>46007</v>
      </c>
      <c r="B597" s="11" t="n">
        <f aca="false">C596</f>
        <v>46042</v>
      </c>
      <c r="C597" s="11" t="n">
        <f aca="false">IF(OR(H596,D597&lt;=$G$4),_xlfn.MINIFS('Futures Data'!$B$5:$B$3471,'Futures Data'!$A$5:$A$3471,A597,'Futures Data'!$B$5:$B$3471,"&gt;"&amp;B597),B597)</f>
        <v>46042</v>
      </c>
      <c r="D597" s="3" t="n">
        <f aca="false">COUNTIFS($A$47:$A$790,"&gt;"&amp;A597,$A$47:$A$790,"&lt;="&amp;B597)+IF(B597&gt;$G$5,NETWORKDAYS($G$5+1,B597),0)</f>
        <v>23</v>
      </c>
      <c r="E597" s="3" t="n">
        <f aca="false">SUMIFS('Futures Data'!$E$5:$E$3471,'Futures Data'!$A$5:$A$3471,A597,'Futures Data'!$B$5:$B$3471,C597)</f>
        <v>20810</v>
      </c>
      <c r="F597" s="11" t="n">
        <f aca="false">_xlfn.MINIFS('Futures Data'!$B$5:$B$3471,'Futures Data'!$A$5:$A$3471,A597,'Futures Data'!$B$5:$B$3471,"&gt;"&amp;C597)</f>
        <v>46073</v>
      </c>
      <c r="G597" s="3" t="n">
        <f aca="false">SUMIFS('Futures Data'!$E$5:$E$3471,'Futures Data'!$A$5:$A$3471,A597,'Futures Data'!$B$5:$B$3471,F597)</f>
        <v>1045</v>
      </c>
      <c r="H597" s="9" t="b">
        <f aca="false">G597&gt;E597</f>
        <v>0</v>
      </c>
      <c r="I597" s="9" t="b">
        <f aca="false">C597&lt;&gt;B597</f>
        <v>0</v>
      </c>
      <c r="J597" s="3" t="n">
        <f aca="false">SUMIFS('Futures Data'!$C$5:$C$3471,'Futures Data'!$A$5:$A$3471,A597,'Futures Data'!$B$5:$B$3471,B597)</f>
        <v>6883</v>
      </c>
      <c r="K597" s="3" t="n">
        <f aca="false">SUMIFS('Futures Data'!$C$5:$C$3471,'Futures Data'!$A$5:$A$3471,A597,'Futures Data'!$B$5:$B$3471,C597)</f>
        <v>6883</v>
      </c>
      <c r="L597" s="3" t="n">
        <f aca="false">K597-J597</f>
        <v>0</v>
      </c>
      <c r="M597" s="3" t="n">
        <f aca="false">M598+L597</f>
        <v>696</v>
      </c>
      <c r="N597" s="3" t="n">
        <f aca="false">J597+M597</f>
        <v>7579</v>
      </c>
      <c r="O597" s="13" t="n">
        <f aca="false">LN(J597/K596)</f>
        <v>-0.0056501417969254</v>
      </c>
      <c r="P597" s="13" t="n">
        <f aca="false">LN(N597/N596)</f>
        <v>-0.0051326032265202</v>
      </c>
      <c r="Q597" s="3" t="n">
        <f aca="false">SUMIFS('Futures Data'!$D$5:$D$3471,'Futures Data'!$A$5:$A$3471,A597,'Futures Data'!$B$5:$B$3471,B597)</f>
        <v>4690</v>
      </c>
      <c r="R597" s="7" t="n">
        <v>46042</v>
      </c>
      <c r="S597" s="9" t="b">
        <f aca="false">C597=R597</f>
        <v>1</v>
      </c>
      <c r="T597" s="9" t="b">
        <f aca="false">ABS(O597-LN(J597/SUMIFS('Futures Data'!$C$5:$C$3471,'Futures Data'!$A$5:$A$3471,A596,'Futures Data'!$B$5:$B$3471,B597)))&lt;0.000000001</f>
        <v>1</v>
      </c>
    </row>
    <row r="598" customFormat="false" ht="15" hidden="false" customHeight="false" outlineLevel="0" collapsed="false">
      <c r="A598" s="7" t="n">
        <v>46008</v>
      </c>
      <c r="B598" s="11" t="n">
        <f aca="false">C597</f>
        <v>46042</v>
      </c>
      <c r="C598" s="11" t="n">
        <f aca="false">IF(OR(H597,D598&lt;=$G$4),_xlfn.MINIFS('Futures Data'!$B$5:$B$3471,'Futures Data'!$A$5:$A$3471,A598,'Futures Data'!$B$5:$B$3471,"&gt;"&amp;B598),B598)</f>
        <v>46042</v>
      </c>
      <c r="D598" s="3" t="n">
        <f aca="false">COUNTIFS($A$47:$A$790,"&gt;"&amp;A598,$A$47:$A$790,"&lt;="&amp;B598)+IF(B598&gt;$G$5,NETWORKDAYS($G$5+1,B598),0)</f>
        <v>22</v>
      </c>
      <c r="E598" s="3" t="n">
        <f aca="false">SUMIFS('Futures Data'!$E$5:$E$3471,'Futures Data'!$A$5:$A$3471,A598,'Futures Data'!$B$5:$B$3471,C598)</f>
        <v>22940</v>
      </c>
      <c r="F598" s="11" t="n">
        <f aca="false">_xlfn.MINIFS('Futures Data'!$B$5:$B$3471,'Futures Data'!$A$5:$A$3471,A598,'Futures Data'!$B$5:$B$3471,"&gt;"&amp;C598)</f>
        <v>46073</v>
      </c>
      <c r="G598" s="3" t="n">
        <f aca="false">SUMIFS('Futures Data'!$E$5:$E$3471,'Futures Data'!$A$5:$A$3471,A598,'Futures Data'!$B$5:$B$3471,F598)</f>
        <v>1335</v>
      </c>
      <c r="H598" s="9" t="b">
        <f aca="false">G598&gt;E598</f>
        <v>0</v>
      </c>
      <c r="I598" s="9" t="b">
        <f aca="false">C598&lt;&gt;B598</f>
        <v>0</v>
      </c>
      <c r="J598" s="3" t="n">
        <f aca="false">SUMIFS('Futures Data'!$C$5:$C$3471,'Futures Data'!$A$5:$A$3471,A598,'Futures Data'!$B$5:$B$3471,B598)</f>
        <v>6901</v>
      </c>
      <c r="K598" s="3" t="n">
        <f aca="false">SUMIFS('Futures Data'!$C$5:$C$3471,'Futures Data'!$A$5:$A$3471,A598,'Futures Data'!$B$5:$B$3471,C598)</f>
        <v>6901</v>
      </c>
      <c r="L598" s="3" t="n">
        <f aca="false">K598-J598</f>
        <v>0</v>
      </c>
      <c r="M598" s="3" t="n">
        <f aca="false">M599+L598</f>
        <v>696</v>
      </c>
      <c r="N598" s="3" t="n">
        <f aca="false">J598+M598</f>
        <v>7597</v>
      </c>
      <c r="O598" s="13" t="n">
        <f aca="false">LN(J598/K597)</f>
        <v>0.00261172522223772</v>
      </c>
      <c r="P598" s="13" t="n">
        <f aca="false">LN(N598/N597)</f>
        <v>0.00237216769119251</v>
      </c>
      <c r="Q598" s="3" t="n">
        <f aca="false">SUMIFS('Futures Data'!$D$5:$D$3471,'Futures Data'!$A$5:$A$3471,A598,'Futures Data'!$B$5:$B$3471,B598)</f>
        <v>6075</v>
      </c>
      <c r="R598" s="7" t="n">
        <v>46042</v>
      </c>
      <c r="S598" s="9" t="b">
        <f aca="false">C598=R598</f>
        <v>1</v>
      </c>
      <c r="T598" s="9" t="b">
        <f aca="false">ABS(O598-LN(J598/SUMIFS('Futures Data'!$C$5:$C$3471,'Futures Data'!$A$5:$A$3471,A597,'Futures Data'!$B$5:$B$3471,B598)))&lt;0.000000001</f>
        <v>1</v>
      </c>
    </row>
    <row r="599" customFormat="false" ht="15" hidden="false" customHeight="false" outlineLevel="0" collapsed="false">
      <c r="A599" s="7" t="n">
        <v>46009</v>
      </c>
      <c r="B599" s="11" t="n">
        <f aca="false">C598</f>
        <v>46042</v>
      </c>
      <c r="C599" s="11" t="n">
        <f aca="false">IF(OR(H598,D599&lt;=$G$4),_xlfn.MINIFS('Futures Data'!$B$5:$B$3471,'Futures Data'!$A$5:$A$3471,A599,'Futures Data'!$B$5:$B$3471,"&gt;"&amp;B599),B599)</f>
        <v>46042</v>
      </c>
      <c r="D599" s="3" t="n">
        <f aca="false">COUNTIFS($A$47:$A$790,"&gt;"&amp;A599,$A$47:$A$790,"&lt;="&amp;B599)+IF(B599&gt;$G$5,NETWORKDAYS($G$5+1,B599),0)</f>
        <v>21</v>
      </c>
      <c r="E599" s="3" t="n">
        <f aca="false">SUMIFS('Futures Data'!$E$5:$E$3471,'Futures Data'!$A$5:$A$3471,A599,'Futures Data'!$B$5:$B$3471,C599)</f>
        <v>21445</v>
      </c>
      <c r="F599" s="11" t="n">
        <f aca="false">_xlfn.MINIFS('Futures Data'!$B$5:$B$3471,'Futures Data'!$A$5:$A$3471,A599,'Futures Data'!$B$5:$B$3471,"&gt;"&amp;C599)</f>
        <v>46073</v>
      </c>
      <c r="G599" s="3" t="n">
        <f aca="false">SUMIFS('Futures Data'!$E$5:$E$3471,'Futures Data'!$A$5:$A$3471,A599,'Futures Data'!$B$5:$B$3471,F599)</f>
        <v>2275</v>
      </c>
      <c r="H599" s="9" t="b">
        <f aca="false">G599&gt;E599</f>
        <v>0</v>
      </c>
      <c r="I599" s="9" t="b">
        <f aca="false">C599&lt;&gt;B599</f>
        <v>0</v>
      </c>
      <c r="J599" s="3" t="n">
        <f aca="false">SUMIFS('Futures Data'!$C$5:$C$3471,'Futures Data'!$A$5:$A$3471,A599,'Futures Data'!$B$5:$B$3471,B599)</f>
        <v>6953</v>
      </c>
      <c r="K599" s="3" t="n">
        <f aca="false">SUMIFS('Futures Data'!$C$5:$C$3471,'Futures Data'!$A$5:$A$3471,A599,'Futures Data'!$B$5:$B$3471,C599)</f>
        <v>6953</v>
      </c>
      <c r="L599" s="3" t="n">
        <f aca="false">K599-J599</f>
        <v>0</v>
      </c>
      <c r="M599" s="3" t="n">
        <f aca="false">M600+L599</f>
        <v>696</v>
      </c>
      <c r="N599" s="3" t="n">
        <f aca="false">J599+M599</f>
        <v>7649</v>
      </c>
      <c r="O599" s="13" t="n">
        <f aca="false">LN(J599/K598)</f>
        <v>0.00750689247841592</v>
      </c>
      <c r="P599" s="13" t="n">
        <f aca="false">LN(N599/N598)</f>
        <v>0.00682148781864454</v>
      </c>
      <c r="Q599" s="3" t="n">
        <f aca="false">SUMIFS('Futures Data'!$D$5:$D$3471,'Futures Data'!$A$5:$A$3471,A599,'Futures Data'!$B$5:$B$3471,B599)</f>
        <v>5870</v>
      </c>
      <c r="R599" s="7" t="n">
        <v>46042</v>
      </c>
      <c r="S599" s="9" t="b">
        <f aca="false">C599=R599</f>
        <v>1</v>
      </c>
      <c r="T599" s="9" t="b">
        <f aca="false">ABS(O599-LN(J599/SUMIFS('Futures Data'!$C$5:$C$3471,'Futures Data'!$A$5:$A$3471,A598,'Futures Data'!$B$5:$B$3471,B599)))&lt;0.000000001</f>
        <v>1</v>
      </c>
    </row>
    <row r="600" customFormat="false" ht="15" hidden="false" customHeight="false" outlineLevel="0" collapsed="false">
      <c r="A600" s="7" t="n">
        <v>46010</v>
      </c>
      <c r="B600" s="11" t="n">
        <f aca="false">C599</f>
        <v>46042</v>
      </c>
      <c r="C600" s="11" t="n">
        <f aca="false">IF(OR(H599,D600&lt;=$G$4),_xlfn.MINIFS('Futures Data'!$B$5:$B$3471,'Futures Data'!$A$5:$A$3471,A600,'Futures Data'!$B$5:$B$3471,"&gt;"&amp;B600),B600)</f>
        <v>46042</v>
      </c>
      <c r="D600" s="3" t="n">
        <f aca="false">COUNTIFS($A$47:$A$790,"&gt;"&amp;A600,$A$47:$A$790,"&lt;="&amp;B600)+IF(B600&gt;$G$5,NETWORKDAYS($G$5+1,B600),0)</f>
        <v>20</v>
      </c>
      <c r="E600" s="3" t="n">
        <f aca="false">SUMIFS('Futures Data'!$E$5:$E$3471,'Futures Data'!$A$5:$A$3471,A600,'Futures Data'!$B$5:$B$3471,C600)</f>
        <v>21365</v>
      </c>
      <c r="F600" s="11" t="n">
        <f aca="false">_xlfn.MINIFS('Futures Data'!$B$5:$B$3471,'Futures Data'!$A$5:$A$3471,A600,'Futures Data'!$B$5:$B$3471,"&gt;"&amp;C600)</f>
        <v>46073</v>
      </c>
      <c r="G600" s="3" t="n">
        <f aca="false">SUMIFS('Futures Data'!$E$5:$E$3471,'Futures Data'!$A$5:$A$3471,A600,'Futures Data'!$B$5:$B$3471,F600)</f>
        <v>2630</v>
      </c>
      <c r="H600" s="9" t="b">
        <f aca="false">G600&gt;E600</f>
        <v>0</v>
      </c>
      <c r="I600" s="9" t="b">
        <f aca="false">C600&lt;&gt;B600</f>
        <v>0</v>
      </c>
      <c r="J600" s="3" t="n">
        <f aca="false">SUMIFS('Futures Data'!$C$5:$C$3471,'Futures Data'!$A$5:$A$3471,A600,'Futures Data'!$B$5:$B$3471,B600)</f>
        <v>6933</v>
      </c>
      <c r="K600" s="3" t="n">
        <f aca="false">SUMIFS('Futures Data'!$C$5:$C$3471,'Futures Data'!$A$5:$A$3471,A600,'Futures Data'!$B$5:$B$3471,C600)</f>
        <v>6933</v>
      </c>
      <c r="L600" s="3" t="n">
        <f aca="false">K600-J600</f>
        <v>0</v>
      </c>
      <c r="M600" s="3" t="n">
        <f aca="false">M601+L600</f>
        <v>696</v>
      </c>
      <c r="N600" s="3" t="n">
        <f aca="false">J600+M600</f>
        <v>7629</v>
      </c>
      <c r="O600" s="13" t="n">
        <f aca="false">LN(J600/K599)</f>
        <v>-0.00288060115652737</v>
      </c>
      <c r="P600" s="13" t="n">
        <f aca="false">LN(N600/N599)</f>
        <v>-0.00261814523163668</v>
      </c>
      <c r="Q600" s="3" t="n">
        <f aca="false">SUMIFS('Futures Data'!$D$5:$D$3471,'Futures Data'!$A$5:$A$3471,A600,'Futures Data'!$B$5:$B$3471,B600)</f>
        <v>2400</v>
      </c>
      <c r="R600" s="7" t="n">
        <v>46042</v>
      </c>
      <c r="S600" s="9" t="b">
        <f aca="false">C600=R600</f>
        <v>1</v>
      </c>
      <c r="T600" s="9" t="b">
        <f aca="false">ABS(O600-LN(J600/SUMIFS('Futures Data'!$C$5:$C$3471,'Futures Data'!$A$5:$A$3471,A599,'Futures Data'!$B$5:$B$3471,B600)))&lt;0.000000001</f>
        <v>1</v>
      </c>
    </row>
    <row r="601" customFormat="false" ht="15" hidden="false" customHeight="false" outlineLevel="0" collapsed="false">
      <c r="A601" s="7" t="n">
        <v>46013</v>
      </c>
      <c r="B601" s="11" t="n">
        <f aca="false">C600</f>
        <v>46042</v>
      </c>
      <c r="C601" s="11" t="n">
        <f aca="false">IF(OR(H600,D601&lt;=$G$4),_xlfn.MINIFS('Futures Data'!$B$5:$B$3471,'Futures Data'!$A$5:$A$3471,A601,'Futures Data'!$B$5:$B$3471,"&gt;"&amp;B601),B601)</f>
        <v>46042</v>
      </c>
      <c r="D601" s="3" t="n">
        <f aca="false">COUNTIFS($A$47:$A$790,"&gt;"&amp;A601,$A$47:$A$790,"&lt;="&amp;B601)+IF(B601&gt;$G$5,NETWORKDAYS($G$5+1,B601),0)</f>
        <v>19</v>
      </c>
      <c r="E601" s="3" t="n">
        <f aca="false">SUMIFS('Futures Data'!$E$5:$E$3471,'Futures Data'!$A$5:$A$3471,A601,'Futures Data'!$B$5:$B$3471,C601)</f>
        <v>20935</v>
      </c>
      <c r="F601" s="11" t="n">
        <f aca="false">_xlfn.MINIFS('Futures Data'!$B$5:$B$3471,'Futures Data'!$A$5:$A$3471,A601,'Futures Data'!$B$5:$B$3471,"&gt;"&amp;C601)</f>
        <v>46073</v>
      </c>
      <c r="G601" s="3" t="n">
        <f aca="false">SUMIFS('Futures Data'!$E$5:$E$3471,'Futures Data'!$A$5:$A$3471,A601,'Futures Data'!$B$5:$B$3471,F601)</f>
        <v>2640</v>
      </c>
      <c r="H601" s="9" t="b">
        <f aca="false">G601&gt;E601</f>
        <v>0</v>
      </c>
      <c r="I601" s="9" t="b">
        <f aca="false">C601&lt;&gt;B601</f>
        <v>0</v>
      </c>
      <c r="J601" s="3" t="n">
        <f aca="false">SUMIFS('Futures Data'!$C$5:$C$3471,'Futures Data'!$A$5:$A$3471,A601,'Futures Data'!$B$5:$B$3471,B601)</f>
        <v>6886</v>
      </c>
      <c r="K601" s="3" t="n">
        <f aca="false">SUMIFS('Futures Data'!$C$5:$C$3471,'Futures Data'!$A$5:$A$3471,A601,'Futures Data'!$B$5:$B$3471,C601)</f>
        <v>6886</v>
      </c>
      <c r="L601" s="3" t="n">
        <f aca="false">K601-J601</f>
        <v>0</v>
      </c>
      <c r="M601" s="3" t="n">
        <f aca="false">M602+L601</f>
        <v>696</v>
      </c>
      <c r="N601" s="3" t="n">
        <f aca="false">J601+M601</f>
        <v>7582</v>
      </c>
      <c r="O601" s="13" t="n">
        <f aca="false">LN(J601/K600)</f>
        <v>-0.00680225504402133</v>
      </c>
      <c r="P601" s="13" t="n">
        <f aca="false">LN(N601/N600)</f>
        <v>-0.00617975801394923</v>
      </c>
      <c r="Q601" s="3" t="n">
        <f aca="false">SUMIFS('Futures Data'!$D$5:$D$3471,'Futures Data'!$A$5:$A$3471,A601,'Futures Data'!$B$5:$B$3471,B601)</f>
        <v>1910</v>
      </c>
      <c r="R601" s="7" t="n">
        <v>46042</v>
      </c>
      <c r="S601" s="9" t="b">
        <f aca="false">C601=R601</f>
        <v>1</v>
      </c>
      <c r="T601" s="9" t="b">
        <f aca="false">ABS(O601-LN(J601/SUMIFS('Futures Data'!$C$5:$C$3471,'Futures Data'!$A$5:$A$3471,A600,'Futures Data'!$B$5:$B$3471,B601)))&lt;0.000000001</f>
        <v>1</v>
      </c>
    </row>
    <row r="602" customFormat="false" ht="15" hidden="false" customHeight="false" outlineLevel="0" collapsed="false">
      <c r="A602" s="7" t="n">
        <v>46014</v>
      </c>
      <c r="B602" s="11" t="n">
        <f aca="false">C601</f>
        <v>46042</v>
      </c>
      <c r="C602" s="11" t="n">
        <f aca="false">IF(OR(H601,D602&lt;=$G$4),_xlfn.MINIFS('Futures Data'!$B$5:$B$3471,'Futures Data'!$A$5:$A$3471,A602,'Futures Data'!$B$5:$B$3471,"&gt;"&amp;B602),B602)</f>
        <v>46042</v>
      </c>
      <c r="D602" s="3" t="n">
        <f aca="false">COUNTIFS($A$47:$A$790,"&gt;"&amp;A602,$A$47:$A$790,"&lt;="&amp;B602)+IF(B602&gt;$G$5,NETWORKDAYS($G$5+1,B602),0)</f>
        <v>18</v>
      </c>
      <c r="E602" s="3" t="n">
        <f aca="false">SUMIFS('Futures Data'!$E$5:$E$3471,'Futures Data'!$A$5:$A$3471,A602,'Futures Data'!$B$5:$B$3471,C602)</f>
        <v>20315</v>
      </c>
      <c r="F602" s="11" t="n">
        <f aca="false">_xlfn.MINIFS('Futures Data'!$B$5:$B$3471,'Futures Data'!$A$5:$A$3471,A602,'Futures Data'!$B$5:$B$3471,"&gt;"&amp;C602)</f>
        <v>46073</v>
      </c>
      <c r="G602" s="3" t="n">
        <f aca="false">SUMIFS('Futures Data'!$E$5:$E$3471,'Futures Data'!$A$5:$A$3471,A602,'Futures Data'!$B$5:$B$3471,F602)</f>
        <v>2915</v>
      </c>
      <c r="H602" s="9" t="b">
        <f aca="false">G602&gt;E602</f>
        <v>0</v>
      </c>
      <c r="I602" s="9" t="b">
        <f aca="false">C602&lt;&gt;B602</f>
        <v>0</v>
      </c>
      <c r="J602" s="3" t="n">
        <f aca="false">SUMIFS('Futures Data'!$C$5:$C$3471,'Futures Data'!$A$5:$A$3471,A602,'Futures Data'!$B$5:$B$3471,B602)</f>
        <v>6853</v>
      </c>
      <c r="K602" s="3" t="n">
        <f aca="false">SUMIFS('Futures Data'!$C$5:$C$3471,'Futures Data'!$A$5:$A$3471,A602,'Futures Data'!$B$5:$B$3471,C602)</f>
        <v>6853</v>
      </c>
      <c r="L602" s="3" t="n">
        <f aca="false">K602-J602</f>
        <v>0</v>
      </c>
      <c r="M602" s="3" t="n">
        <f aca="false">M603+L602</f>
        <v>696</v>
      </c>
      <c r="N602" s="3" t="n">
        <f aca="false">J602+M602</f>
        <v>7549</v>
      </c>
      <c r="O602" s="13" t="n">
        <f aca="false">LN(J602/K601)</f>
        <v>-0.00480385231264539</v>
      </c>
      <c r="P602" s="13" t="n">
        <f aca="false">LN(N602/N601)</f>
        <v>-0.00436191293665536</v>
      </c>
      <c r="Q602" s="3" t="n">
        <f aca="false">SUMIFS('Futures Data'!$D$5:$D$3471,'Futures Data'!$A$5:$A$3471,A602,'Futures Data'!$B$5:$B$3471,B602)</f>
        <v>2780</v>
      </c>
      <c r="R602" s="7" t="n">
        <v>46042</v>
      </c>
      <c r="S602" s="9" t="b">
        <f aca="false">C602=R602</f>
        <v>1</v>
      </c>
      <c r="T602" s="9" t="b">
        <f aca="false">ABS(O602-LN(J602/SUMIFS('Futures Data'!$C$5:$C$3471,'Futures Data'!$A$5:$A$3471,A601,'Futures Data'!$B$5:$B$3471,B602)))&lt;0.000000001</f>
        <v>1</v>
      </c>
    </row>
    <row r="603" customFormat="false" ht="15" hidden="false" customHeight="false" outlineLevel="0" collapsed="false">
      <c r="A603" s="7" t="n">
        <v>46015</v>
      </c>
      <c r="B603" s="11" t="n">
        <f aca="false">C602</f>
        <v>46042</v>
      </c>
      <c r="C603" s="11" t="n">
        <f aca="false">IF(OR(H602,D603&lt;=$G$4),_xlfn.MINIFS('Futures Data'!$B$5:$B$3471,'Futures Data'!$A$5:$A$3471,A603,'Futures Data'!$B$5:$B$3471,"&gt;"&amp;B603),B603)</f>
        <v>46042</v>
      </c>
      <c r="D603" s="3" t="n">
        <f aca="false">COUNTIFS($A$47:$A$790,"&gt;"&amp;A603,$A$47:$A$790,"&lt;="&amp;B603)+IF(B603&gt;$G$5,NETWORKDAYS($G$5+1,B603),0)</f>
        <v>17</v>
      </c>
      <c r="E603" s="3" t="n">
        <f aca="false">SUMIFS('Futures Data'!$E$5:$E$3471,'Futures Data'!$A$5:$A$3471,A603,'Futures Data'!$B$5:$B$3471,C603)</f>
        <v>19835</v>
      </c>
      <c r="F603" s="11" t="n">
        <f aca="false">_xlfn.MINIFS('Futures Data'!$B$5:$B$3471,'Futures Data'!$A$5:$A$3471,A603,'Futures Data'!$B$5:$B$3471,"&gt;"&amp;C603)</f>
        <v>46073</v>
      </c>
      <c r="G603" s="3" t="n">
        <f aca="false">SUMIFS('Futures Data'!$E$5:$E$3471,'Futures Data'!$A$5:$A$3471,A603,'Futures Data'!$B$5:$B$3471,F603)</f>
        <v>6160</v>
      </c>
      <c r="H603" s="9" t="b">
        <f aca="false">G603&gt;E603</f>
        <v>0</v>
      </c>
      <c r="I603" s="9" t="b">
        <f aca="false">C603&lt;&gt;B603</f>
        <v>0</v>
      </c>
      <c r="J603" s="3" t="n">
        <f aca="false">SUMIFS('Futures Data'!$C$5:$C$3471,'Futures Data'!$A$5:$A$3471,A603,'Futures Data'!$B$5:$B$3471,B603)</f>
        <v>6844</v>
      </c>
      <c r="K603" s="3" t="n">
        <f aca="false">SUMIFS('Futures Data'!$C$5:$C$3471,'Futures Data'!$A$5:$A$3471,A603,'Futures Data'!$B$5:$B$3471,C603)</f>
        <v>6844</v>
      </c>
      <c r="L603" s="3" t="n">
        <f aca="false">K603-J603</f>
        <v>0</v>
      </c>
      <c r="M603" s="3" t="n">
        <f aca="false">M604+L603</f>
        <v>696</v>
      </c>
      <c r="N603" s="3" t="n">
        <f aca="false">J603+M603</f>
        <v>7540</v>
      </c>
      <c r="O603" s="13" t="n">
        <f aca="false">LN(J603/K602)</f>
        <v>-0.0013141565737396</v>
      </c>
      <c r="P603" s="13" t="n">
        <f aca="false">LN(N603/N602)</f>
        <v>-0.00119292213762309</v>
      </c>
      <c r="Q603" s="3" t="n">
        <f aca="false">SUMIFS('Futures Data'!$D$5:$D$3471,'Futures Data'!$A$5:$A$3471,A603,'Futures Data'!$B$5:$B$3471,B603)</f>
        <v>9245</v>
      </c>
      <c r="R603" s="7" t="n">
        <v>46042</v>
      </c>
      <c r="S603" s="9" t="b">
        <f aca="false">C603=R603</f>
        <v>1</v>
      </c>
      <c r="T603" s="9" t="b">
        <f aca="false">ABS(O603-LN(J603/SUMIFS('Futures Data'!$C$5:$C$3471,'Futures Data'!$A$5:$A$3471,A602,'Futures Data'!$B$5:$B$3471,B603)))&lt;0.000000001</f>
        <v>1</v>
      </c>
    </row>
    <row r="604" customFormat="false" ht="15" hidden="false" customHeight="false" outlineLevel="0" collapsed="false">
      <c r="A604" s="7" t="n">
        <v>46017</v>
      </c>
      <c r="B604" s="11" t="n">
        <f aca="false">C603</f>
        <v>46042</v>
      </c>
      <c r="C604" s="11" t="n">
        <f aca="false">IF(OR(H603,D604&lt;=$G$4),_xlfn.MINIFS('Futures Data'!$B$5:$B$3471,'Futures Data'!$A$5:$A$3471,A604,'Futures Data'!$B$5:$B$3471,"&gt;"&amp;B604),B604)</f>
        <v>46042</v>
      </c>
      <c r="D604" s="3" t="n">
        <f aca="false">COUNTIFS($A$47:$A$790,"&gt;"&amp;A604,$A$47:$A$790,"&lt;="&amp;B604)+IF(B604&gt;$G$5,NETWORKDAYS($G$5+1,B604),0)</f>
        <v>16</v>
      </c>
      <c r="E604" s="3" t="n">
        <f aca="false">SUMIFS('Futures Data'!$E$5:$E$3471,'Futures Data'!$A$5:$A$3471,A604,'Futures Data'!$B$5:$B$3471,C604)</f>
        <v>19200</v>
      </c>
      <c r="F604" s="11" t="n">
        <f aca="false">_xlfn.MINIFS('Futures Data'!$B$5:$B$3471,'Futures Data'!$A$5:$A$3471,A604,'Futures Data'!$B$5:$B$3471,"&gt;"&amp;C604)</f>
        <v>46073</v>
      </c>
      <c r="G604" s="3" t="n">
        <f aca="false">SUMIFS('Futures Data'!$E$5:$E$3471,'Futures Data'!$A$5:$A$3471,A604,'Futures Data'!$B$5:$B$3471,F604)</f>
        <v>7235</v>
      </c>
      <c r="H604" s="9" t="b">
        <f aca="false">G604&gt;E604</f>
        <v>0</v>
      </c>
      <c r="I604" s="9" t="b">
        <f aca="false">C604&lt;&gt;B604</f>
        <v>0</v>
      </c>
      <c r="J604" s="3" t="n">
        <f aca="false">SUMIFS('Futures Data'!$C$5:$C$3471,'Futures Data'!$A$5:$A$3471,A604,'Futures Data'!$B$5:$B$3471,B604)</f>
        <v>6835</v>
      </c>
      <c r="K604" s="3" t="n">
        <f aca="false">SUMIFS('Futures Data'!$C$5:$C$3471,'Futures Data'!$A$5:$A$3471,A604,'Futures Data'!$B$5:$B$3471,C604)</f>
        <v>6835</v>
      </c>
      <c r="L604" s="3" t="n">
        <f aca="false">K604-J604</f>
        <v>0</v>
      </c>
      <c r="M604" s="3" t="n">
        <f aca="false">M605+L604</f>
        <v>696</v>
      </c>
      <c r="N604" s="3" t="n">
        <f aca="false">J604+M604</f>
        <v>7531</v>
      </c>
      <c r="O604" s="13" t="n">
        <f aca="false">LN(J604/K603)</f>
        <v>-0.00131588585403413</v>
      </c>
      <c r="P604" s="13" t="n">
        <f aca="false">LN(N604/N603)</f>
        <v>-0.00119434690065009</v>
      </c>
      <c r="Q604" s="3" t="n">
        <f aca="false">SUMIFS('Futures Data'!$D$5:$D$3471,'Futures Data'!$A$5:$A$3471,A604,'Futures Data'!$B$5:$B$3471,B604)</f>
        <v>5960</v>
      </c>
      <c r="R604" s="7" t="n">
        <v>46042</v>
      </c>
      <c r="S604" s="9" t="b">
        <f aca="false">C604=R604</f>
        <v>1</v>
      </c>
      <c r="T604" s="9" t="b">
        <f aca="false">ABS(O604-LN(J604/SUMIFS('Futures Data'!$C$5:$C$3471,'Futures Data'!$A$5:$A$3471,A603,'Futures Data'!$B$5:$B$3471,B604)))&lt;0.000000001</f>
        <v>1</v>
      </c>
    </row>
    <row r="605" customFormat="false" ht="15" hidden="false" customHeight="false" outlineLevel="0" collapsed="false">
      <c r="A605" s="7" t="n">
        <v>46020</v>
      </c>
      <c r="B605" s="11" t="n">
        <f aca="false">C604</f>
        <v>46042</v>
      </c>
      <c r="C605" s="11" t="n">
        <f aca="false">IF(OR(H604,D605&lt;=$G$4),_xlfn.MINIFS('Futures Data'!$B$5:$B$3471,'Futures Data'!$A$5:$A$3471,A605,'Futures Data'!$B$5:$B$3471,"&gt;"&amp;B605),B605)</f>
        <v>46042</v>
      </c>
      <c r="D605" s="3" t="n">
        <f aca="false">COUNTIFS($A$47:$A$790,"&gt;"&amp;A605,$A$47:$A$790,"&lt;="&amp;B605)+IF(B605&gt;$G$5,NETWORKDAYS($G$5+1,B605),0)</f>
        <v>15</v>
      </c>
      <c r="E605" s="3" t="n">
        <f aca="false">SUMIFS('Futures Data'!$E$5:$E$3471,'Futures Data'!$A$5:$A$3471,A605,'Futures Data'!$B$5:$B$3471,C605)</f>
        <v>17735</v>
      </c>
      <c r="F605" s="11" t="n">
        <f aca="false">_xlfn.MINIFS('Futures Data'!$B$5:$B$3471,'Futures Data'!$A$5:$A$3471,A605,'Futures Data'!$B$5:$B$3471,"&gt;"&amp;C605)</f>
        <v>46073</v>
      </c>
      <c r="G605" s="3" t="n">
        <f aca="false">SUMIFS('Futures Data'!$E$5:$E$3471,'Futures Data'!$A$5:$A$3471,A605,'Futures Data'!$B$5:$B$3471,F605)</f>
        <v>7640</v>
      </c>
      <c r="H605" s="9" t="b">
        <f aca="false">G605&gt;E605</f>
        <v>0</v>
      </c>
      <c r="I605" s="9" t="b">
        <f aca="false">C605&lt;&gt;B605</f>
        <v>0</v>
      </c>
      <c r="J605" s="3" t="n">
        <f aca="false">SUMIFS('Futures Data'!$C$5:$C$3471,'Futures Data'!$A$5:$A$3471,A605,'Futures Data'!$B$5:$B$3471,B605)</f>
        <v>6700</v>
      </c>
      <c r="K605" s="3" t="n">
        <f aca="false">SUMIFS('Futures Data'!$C$5:$C$3471,'Futures Data'!$A$5:$A$3471,A605,'Futures Data'!$B$5:$B$3471,C605)</f>
        <v>6700</v>
      </c>
      <c r="L605" s="3" t="n">
        <f aca="false">K605-J605</f>
        <v>0</v>
      </c>
      <c r="M605" s="3" t="n">
        <f aca="false">M606+L605</f>
        <v>696</v>
      </c>
      <c r="N605" s="3" t="n">
        <f aca="false">J605+M605</f>
        <v>7396</v>
      </c>
      <c r="O605" s="13" t="n">
        <f aca="false">LN(J605/K604)</f>
        <v>-0.0199489437789925</v>
      </c>
      <c r="P605" s="13" t="n">
        <f aca="false">LN(N605/N604)</f>
        <v>-0.0180885215943362</v>
      </c>
      <c r="Q605" s="3" t="n">
        <f aca="false">SUMIFS('Futures Data'!$D$5:$D$3471,'Futures Data'!$A$5:$A$3471,A605,'Futures Data'!$B$5:$B$3471,B605)</f>
        <v>5875</v>
      </c>
      <c r="R605" s="7" t="n">
        <v>46042</v>
      </c>
      <c r="S605" s="9" t="b">
        <f aca="false">C605=R605</f>
        <v>1</v>
      </c>
      <c r="T605" s="9" t="b">
        <f aca="false">ABS(O605-LN(J605/SUMIFS('Futures Data'!$C$5:$C$3471,'Futures Data'!$A$5:$A$3471,A604,'Futures Data'!$B$5:$B$3471,B605)))&lt;0.000000001</f>
        <v>1</v>
      </c>
    </row>
    <row r="606" customFormat="false" ht="15" hidden="false" customHeight="false" outlineLevel="0" collapsed="false">
      <c r="A606" s="7" t="n">
        <v>46021</v>
      </c>
      <c r="B606" s="11" t="n">
        <f aca="false">C605</f>
        <v>46042</v>
      </c>
      <c r="C606" s="11" t="n">
        <f aca="false">IF(OR(H605,D606&lt;=$G$4),_xlfn.MINIFS('Futures Data'!$B$5:$B$3471,'Futures Data'!$A$5:$A$3471,A606,'Futures Data'!$B$5:$B$3471,"&gt;"&amp;B606),B606)</f>
        <v>46042</v>
      </c>
      <c r="D606" s="3" t="n">
        <f aca="false">COUNTIFS($A$47:$A$790,"&gt;"&amp;A606,$A$47:$A$790,"&lt;="&amp;B606)+IF(B606&gt;$G$5,NETWORKDAYS($G$5+1,B606),0)</f>
        <v>14</v>
      </c>
      <c r="E606" s="3" t="n">
        <f aca="false">SUMIFS('Futures Data'!$E$5:$E$3471,'Futures Data'!$A$5:$A$3471,A606,'Futures Data'!$B$5:$B$3471,C606)</f>
        <v>15905</v>
      </c>
      <c r="F606" s="11" t="n">
        <f aca="false">_xlfn.MINIFS('Futures Data'!$B$5:$B$3471,'Futures Data'!$A$5:$A$3471,A606,'Futures Data'!$B$5:$B$3471,"&gt;"&amp;C606)</f>
        <v>46073</v>
      </c>
      <c r="G606" s="3" t="n">
        <f aca="false">SUMIFS('Futures Data'!$E$5:$E$3471,'Futures Data'!$A$5:$A$3471,A606,'Futures Data'!$B$5:$B$3471,F606)</f>
        <v>7830</v>
      </c>
      <c r="H606" s="9" t="b">
        <f aca="false">G606&gt;E606</f>
        <v>0</v>
      </c>
      <c r="I606" s="9" t="b">
        <f aca="false">C606&lt;&gt;B606</f>
        <v>0</v>
      </c>
      <c r="J606" s="3" t="n">
        <f aca="false">SUMIFS('Futures Data'!$C$5:$C$3471,'Futures Data'!$A$5:$A$3471,A606,'Futures Data'!$B$5:$B$3471,B606)</f>
        <v>6742</v>
      </c>
      <c r="K606" s="3" t="n">
        <f aca="false">SUMIFS('Futures Data'!$C$5:$C$3471,'Futures Data'!$A$5:$A$3471,A606,'Futures Data'!$B$5:$B$3471,C606)</f>
        <v>6742</v>
      </c>
      <c r="L606" s="3" t="n">
        <f aca="false">K606-J606</f>
        <v>0</v>
      </c>
      <c r="M606" s="3" t="n">
        <f aca="false">M607+L606</f>
        <v>696</v>
      </c>
      <c r="N606" s="3" t="n">
        <f aca="false">J606+M606</f>
        <v>7438</v>
      </c>
      <c r="O606" s="13" t="n">
        <f aca="false">LN(J606/K605)</f>
        <v>0.00624909041494855</v>
      </c>
      <c r="P606" s="13" t="n">
        <f aca="false">LN(N606/N605)</f>
        <v>0.00566268197799989</v>
      </c>
      <c r="Q606" s="3" t="n">
        <f aca="false">SUMIFS('Futures Data'!$D$5:$D$3471,'Futures Data'!$A$5:$A$3471,A606,'Futures Data'!$B$5:$B$3471,B606)</f>
        <v>4960</v>
      </c>
      <c r="R606" s="7" t="n">
        <v>46042</v>
      </c>
      <c r="S606" s="9" t="b">
        <f aca="false">C606=R606</f>
        <v>1</v>
      </c>
      <c r="T606" s="9" t="b">
        <f aca="false">ABS(O606-LN(J606/SUMIFS('Futures Data'!$C$5:$C$3471,'Futures Data'!$A$5:$A$3471,A605,'Futures Data'!$B$5:$B$3471,B606)))&lt;0.000000001</f>
        <v>1</v>
      </c>
    </row>
    <row r="607" customFormat="false" ht="15" hidden="false" customHeight="false" outlineLevel="0" collapsed="false">
      <c r="A607" s="7" t="n">
        <v>46022</v>
      </c>
      <c r="B607" s="11" t="n">
        <f aca="false">C606</f>
        <v>46042</v>
      </c>
      <c r="C607" s="11" t="n">
        <f aca="false">IF(OR(H606,D607&lt;=$G$4),_xlfn.MINIFS('Futures Data'!$B$5:$B$3471,'Futures Data'!$A$5:$A$3471,A607,'Futures Data'!$B$5:$B$3471,"&gt;"&amp;B607),B607)</f>
        <v>46042</v>
      </c>
      <c r="D607" s="3" t="n">
        <f aca="false">COUNTIFS($A$47:$A$790,"&gt;"&amp;A607,$A$47:$A$790,"&lt;="&amp;B607)+IF(B607&gt;$G$5,NETWORKDAYS($G$5+1,B607),0)</f>
        <v>13</v>
      </c>
      <c r="E607" s="3" t="n">
        <f aca="false">SUMIFS('Futures Data'!$E$5:$E$3471,'Futures Data'!$A$5:$A$3471,A607,'Futures Data'!$B$5:$B$3471,C607)</f>
        <v>15310</v>
      </c>
      <c r="F607" s="11" t="n">
        <f aca="false">_xlfn.MINIFS('Futures Data'!$B$5:$B$3471,'Futures Data'!$A$5:$A$3471,A607,'Futures Data'!$B$5:$B$3471,"&gt;"&amp;C607)</f>
        <v>46073</v>
      </c>
      <c r="G607" s="3" t="n">
        <f aca="false">SUMIFS('Futures Data'!$E$5:$E$3471,'Futures Data'!$A$5:$A$3471,A607,'Futures Data'!$B$5:$B$3471,F607)</f>
        <v>8440</v>
      </c>
      <c r="H607" s="9" t="b">
        <f aca="false">G607&gt;E607</f>
        <v>0</v>
      </c>
      <c r="I607" s="9" t="b">
        <f aca="false">C607&lt;&gt;B607</f>
        <v>0</v>
      </c>
      <c r="J607" s="3" t="n">
        <f aca="false">SUMIFS('Futures Data'!$C$5:$C$3471,'Futures Data'!$A$5:$A$3471,A607,'Futures Data'!$B$5:$B$3471,B607)</f>
        <v>6697</v>
      </c>
      <c r="K607" s="3" t="n">
        <f aca="false">SUMIFS('Futures Data'!$C$5:$C$3471,'Futures Data'!$A$5:$A$3471,A607,'Futures Data'!$B$5:$B$3471,C607)</f>
        <v>6697</v>
      </c>
      <c r="L607" s="3" t="n">
        <f aca="false">K607-J607</f>
        <v>0</v>
      </c>
      <c r="M607" s="3" t="n">
        <f aca="false">M608+L607</f>
        <v>696</v>
      </c>
      <c r="N607" s="3" t="n">
        <f aca="false">J607+M607</f>
        <v>7393</v>
      </c>
      <c r="O607" s="13" t="n">
        <f aca="false">LN(J607/K606)</f>
        <v>-0.00669695188395583</v>
      </c>
      <c r="P607" s="13" t="n">
        <f aca="false">LN(N607/N606)</f>
        <v>-0.00606838892791529</v>
      </c>
      <c r="Q607" s="3" t="n">
        <f aca="false">SUMIFS('Futures Data'!$D$5:$D$3471,'Futures Data'!$A$5:$A$3471,A607,'Futures Data'!$B$5:$B$3471,B607)</f>
        <v>4140</v>
      </c>
      <c r="R607" s="7" t="n">
        <v>46042</v>
      </c>
      <c r="S607" s="9" t="b">
        <f aca="false">C607=R607</f>
        <v>1</v>
      </c>
      <c r="T607" s="9" t="b">
        <f aca="false">ABS(O607-LN(J607/SUMIFS('Futures Data'!$C$5:$C$3471,'Futures Data'!$A$5:$A$3471,A606,'Futures Data'!$B$5:$B$3471,B607)))&lt;0.000000001</f>
        <v>1</v>
      </c>
    </row>
    <row r="608" customFormat="false" ht="15" hidden="false" customHeight="false" outlineLevel="0" collapsed="false">
      <c r="A608" s="7" t="n">
        <v>46023</v>
      </c>
      <c r="B608" s="11" t="n">
        <f aca="false">C607</f>
        <v>46042</v>
      </c>
      <c r="C608" s="11" t="n">
        <f aca="false">IF(OR(H607,D608&lt;=$G$4),_xlfn.MINIFS('Futures Data'!$B$5:$B$3471,'Futures Data'!$A$5:$A$3471,A608,'Futures Data'!$B$5:$B$3471,"&gt;"&amp;B608),B608)</f>
        <v>46042</v>
      </c>
      <c r="D608" s="3" t="n">
        <f aca="false">COUNTIFS($A$47:$A$790,"&gt;"&amp;A608,$A$47:$A$790,"&lt;="&amp;B608)+IF(B608&gt;$G$5,NETWORKDAYS($G$5+1,B608),0)</f>
        <v>12</v>
      </c>
      <c r="E608" s="3" t="n">
        <f aca="false">SUMIFS('Futures Data'!$E$5:$E$3471,'Futures Data'!$A$5:$A$3471,A608,'Futures Data'!$B$5:$B$3471,C608)</f>
        <v>15095</v>
      </c>
      <c r="F608" s="11" t="n">
        <f aca="false">_xlfn.MINIFS('Futures Data'!$B$5:$B$3471,'Futures Data'!$A$5:$A$3471,A608,'Futures Data'!$B$5:$B$3471,"&gt;"&amp;C608)</f>
        <v>46073</v>
      </c>
      <c r="G608" s="3" t="n">
        <f aca="false">SUMIFS('Futures Data'!$E$5:$E$3471,'Futures Data'!$A$5:$A$3471,A608,'Futures Data'!$B$5:$B$3471,F608)</f>
        <v>9460</v>
      </c>
      <c r="H608" s="9" t="b">
        <f aca="false">G608&gt;E608</f>
        <v>0</v>
      </c>
      <c r="I608" s="9" t="b">
        <f aca="false">C608&lt;&gt;B608</f>
        <v>0</v>
      </c>
      <c r="J608" s="3" t="n">
        <f aca="false">SUMIFS('Futures Data'!$C$5:$C$3471,'Futures Data'!$A$5:$A$3471,A608,'Futures Data'!$B$5:$B$3471,B608)</f>
        <v>6681</v>
      </c>
      <c r="K608" s="3" t="n">
        <f aca="false">SUMIFS('Futures Data'!$C$5:$C$3471,'Futures Data'!$A$5:$A$3471,A608,'Futures Data'!$B$5:$B$3471,C608)</f>
        <v>6681</v>
      </c>
      <c r="L608" s="3" t="n">
        <f aca="false">K608-J608</f>
        <v>0</v>
      </c>
      <c r="M608" s="3" t="n">
        <f aca="false">M609+L608</f>
        <v>696</v>
      </c>
      <c r="N608" s="3" t="n">
        <f aca="false">J608+M608</f>
        <v>7377</v>
      </c>
      <c r="O608" s="13" t="n">
        <f aca="false">LN(J608/K607)</f>
        <v>-0.00239198798457292</v>
      </c>
      <c r="P608" s="13" t="n">
        <f aca="false">LN(N608/N607)</f>
        <v>-0.00216655467279783</v>
      </c>
      <c r="Q608" s="3" t="n">
        <f aca="false">SUMIFS('Futures Data'!$D$5:$D$3471,'Futures Data'!$A$5:$A$3471,A608,'Futures Data'!$B$5:$B$3471,B608)</f>
        <v>2245</v>
      </c>
      <c r="R608" s="7" t="n">
        <v>46042</v>
      </c>
      <c r="S608" s="9" t="b">
        <f aca="false">C608=R608</f>
        <v>1</v>
      </c>
      <c r="T608" s="9" t="b">
        <f aca="false">ABS(O608-LN(J608/SUMIFS('Futures Data'!$C$5:$C$3471,'Futures Data'!$A$5:$A$3471,A607,'Futures Data'!$B$5:$B$3471,B608)))&lt;0.000000001</f>
        <v>1</v>
      </c>
    </row>
    <row r="609" customFormat="false" ht="15" hidden="false" customHeight="false" outlineLevel="0" collapsed="false">
      <c r="A609" s="7" t="n">
        <v>46024</v>
      </c>
      <c r="B609" s="11" t="n">
        <f aca="false">C608</f>
        <v>46042</v>
      </c>
      <c r="C609" s="11" t="n">
        <f aca="false">IF(OR(H608,D609&lt;=$G$4),_xlfn.MINIFS('Futures Data'!$B$5:$B$3471,'Futures Data'!$A$5:$A$3471,A609,'Futures Data'!$B$5:$B$3471,"&gt;"&amp;B609),B609)</f>
        <v>46042</v>
      </c>
      <c r="D609" s="3" t="n">
        <f aca="false">COUNTIFS($A$47:$A$790,"&gt;"&amp;A609,$A$47:$A$790,"&lt;="&amp;B609)+IF(B609&gt;$G$5,NETWORKDAYS($G$5+1,B609),0)</f>
        <v>11</v>
      </c>
      <c r="E609" s="3" t="n">
        <f aca="false">SUMIFS('Futures Data'!$E$5:$E$3471,'Futures Data'!$A$5:$A$3471,A609,'Futures Data'!$B$5:$B$3471,C609)</f>
        <v>15330</v>
      </c>
      <c r="F609" s="11" t="n">
        <f aca="false">_xlfn.MINIFS('Futures Data'!$B$5:$B$3471,'Futures Data'!$A$5:$A$3471,A609,'Futures Data'!$B$5:$B$3471,"&gt;"&amp;C609)</f>
        <v>46073</v>
      </c>
      <c r="G609" s="3" t="n">
        <f aca="false">SUMIFS('Futures Data'!$E$5:$E$3471,'Futures Data'!$A$5:$A$3471,A609,'Futures Data'!$B$5:$B$3471,F609)</f>
        <v>9650</v>
      </c>
      <c r="H609" s="9" t="b">
        <f aca="false">G609&gt;E609</f>
        <v>0</v>
      </c>
      <c r="I609" s="9" t="b">
        <f aca="false">C609&lt;&gt;B609</f>
        <v>0</v>
      </c>
      <c r="J609" s="3" t="n">
        <f aca="false">SUMIFS('Futures Data'!$C$5:$C$3471,'Futures Data'!$A$5:$A$3471,A609,'Futures Data'!$B$5:$B$3471,B609)</f>
        <v>6680</v>
      </c>
      <c r="K609" s="3" t="n">
        <f aca="false">SUMIFS('Futures Data'!$C$5:$C$3471,'Futures Data'!$A$5:$A$3471,A609,'Futures Data'!$B$5:$B$3471,C609)</f>
        <v>6680</v>
      </c>
      <c r="L609" s="3" t="n">
        <f aca="false">K609-J609</f>
        <v>0</v>
      </c>
      <c r="M609" s="3" t="n">
        <f aca="false">M610+L609</f>
        <v>696</v>
      </c>
      <c r="N609" s="3" t="n">
        <f aca="false">J609+M609</f>
        <v>7376</v>
      </c>
      <c r="O609" s="13" t="n">
        <f aca="false">LN(J609/K608)</f>
        <v>-0.000149689394785956</v>
      </c>
      <c r="P609" s="13" t="n">
        <f aca="false">LN(N609/N608)</f>
        <v>-0.000135565647872546</v>
      </c>
      <c r="Q609" s="3" t="n">
        <f aca="false">SUMIFS('Futures Data'!$D$5:$D$3471,'Futures Data'!$A$5:$A$3471,A609,'Futures Data'!$B$5:$B$3471,B609)</f>
        <v>2320</v>
      </c>
      <c r="R609" s="7" t="n">
        <v>46042</v>
      </c>
      <c r="S609" s="9" t="b">
        <f aca="false">C609=R609</f>
        <v>1</v>
      </c>
      <c r="T609" s="9" t="b">
        <f aca="false">ABS(O609-LN(J609/SUMIFS('Futures Data'!$C$5:$C$3471,'Futures Data'!$A$5:$A$3471,A608,'Futures Data'!$B$5:$B$3471,B609)))&lt;0.000000001</f>
        <v>1</v>
      </c>
    </row>
    <row r="610" customFormat="false" ht="15" hidden="false" customHeight="false" outlineLevel="0" collapsed="false">
      <c r="A610" s="7" t="n">
        <v>46027</v>
      </c>
      <c r="B610" s="11" t="n">
        <f aca="false">C609</f>
        <v>46042</v>
      </c>
      <c r="C610" s="11" t="n">
        <f aca="false">IF(OR(H609,D610&lt;=$G$4),_xlfn.MINIFS('Futures Data'!$B$5:$B$3471,'Futures Data'!$A$5:$A$3471,A610,'Futures Data'!$B$5:$B$3471,"&gt;"&amp;B610),B610)</f>
        <v>46042</v>
      </c>
      <c r="D610" s="3" t="n">
        <f aca="false">COUNTIFS($A$47:$A$790,"&gt;"&amp;A610,$A$47:$A$790,"&lt;="&amp;B610)+IF(B610&gt;$G$5,NETWORKDAYS($G$5+1,B610),0)</f>
        <v>10</v>
      </c>
      <c r="E610" s="3" t="n">
        <f aca="false">SUMIFS('Futures Data'!$E$5:$E$3471,'Futures Data'!$A$5:$A$3471,A610,'Futures Data'!$B$5:$B$3471,C610)</f>
        <v>14800</v>
      </c>
      <c r="F610" s="11" t="n">
        <f aca="false">_xlfn.MINIFS('Futures Data'!$B$5:$B$3471,'Futures Data'!$A$5:$A$3471,A610,'Futures Data'!$B$5:$B$3471,"&gt;"&amp;C610)</f>
        <v>46073</v>
      </c>
      <c r="G610" s="3" t="n">
        <f aca="false">SUMIFS('Futures Data'!$E$5:$E$3471,'Futures Data'!$A$5:$A$3471,A610,'Futures Data'!$B$5:$B$3471,F610)</f>
        <v>10575</v>
      </c>
      <c r="H610" s="9" t="b">
        <f aca="false">G610&gt;E610</f>
        <v>0</v>
      </c>
      <c r="I610" s="9" t="b">
        <f aca="false">C610&lt;&gt;B610</f>
        <v>0</v>
      </c>
      <c r="J610" s="3" t="n">
        <f aca="false">SUMIFS('Futures Data'!$C$5:$C$3471,'Futures Data'!$A$5:$A$3471,A610,'Futures Data'!$B$5:$B$3471,B610)</f>
        <v>6642</v>
      </c>
      <c r="K610" s="3" t="n">
        <f aca="false">SUMIFS('Futures Data'!$C$5:$C$3471,'Futures Data'!$A$5:$A$3471,A610,'Futures Data'!$B$5:$B$3471,C610)</f>
        <v>6642</v>
      </c>
      <c r="L610" s="3" t="n">
        <f aca="false">K610-J610</f>
        <v>0</v>
      </c>
      <c r="M610" s="3" t="n">
        <f aca="false">M611+L610</f>
        <v>696</v>
      </c>
      <c r="N610" s="3" t="n">
        <f aca="false">J610+M610</f>
        <v>7338</v>
      </c>
      <c r="O610" s="13" t="n">
        <f aca="false">LN(J610/K609)</f>
        <v>-0.00570486459399952</v>
      </c>
      <c r="P610" s="13" t="n">
        <f aca="false">LN(N610/N609)</f>
        <v>-0.00516516032120242</v>
      </c>
      <c r="Q610" s="3" t="n">
        <f aca="false">SUMIFS('Futures Data'!$D$5:$D$3471,'Futures Data'!$A$5:$A$3471,A610,'Futures Data'!$B$5:$B$3471,B610)</f>
        <v>2370</v>
      </c>
      <c r="R610" s="7" t="n">
        <v>46042</v>
      </c>
      <c r="S610" s="9" t="b">
        <f aca="false">C610=R610</f>
        <v>1</v>
      </c>
      <c r="T610" s="9" t="b">
        <f aca="false">ABS(O610-LN(J610/SUMIFS('Futures Data'!$C$5:$C$3471,'Futures Data'!$A$5:$A$3471,A609,'Futures Data'!$B$5:$B$3471,B610)))&lt;0.000000001</f>
        <v>1</v>
      </c>
    </row>
    <row r="611" customFormat="false" ht="15" hidden="false" customHeight="false" outlineLevel="0" collapsed="false">
      <c r="A611" s="7" t="n">
        <v>46028</v>
      </c>
      <c r="B611" s="11" t="n">
        <f aca="false">C610</f>
        <v>46042</v>
      </c>
      <c r="C611" s="11" t="n">
        <f aca="false">IF(OR(H610,D611&lt;=$G$4),_xlfn.MINIFS('Futures Data'!$B$5:$B$3471,'Futures Data'!$A$5:$A$3471,A611,'Futures Data'!$B$5:$B$3471,"&gt;"&amp;B611),B611)</f>
        <v>46042</v>
      </c>
      <c r="D611" s="3" t="n">
        <f aca="false">COUNTIFS($A$47:$A$790,"&gt;"&amp;A611,$A$47:$A$790,"&lt;="&amp;B611)+IF(B611&gt;$G$5,NETWORKDAYS($G$5+1,B611),0)</f>
        <v>9</v>
      </c>
      <c r="E611" s="3" t="n">
        <f aca="false">SUMIFS('Futures Data'!$E$5:$E$3471,'Futures Data'!$A$5:$A$3471,A611,'Futures Data'!$B$5:$B$3471,C611)</f>
        <v>14295</v>
      </c>
      <c r="F611" s="11" t="n">
        <f aca="false">_xlfn.MINIFS('Futures Data'!$B$5:$B$3471,'Futures Data'!$A$5:$A$3471,A611,'Futures Data'!$B$5:$B$3471,"&gt;"&amp;C611)</f>
        <v>46073</v>
      </c>
      <c r="G611" s="3" t="n">
        <f aca="false">SUMIFS('Futures Data'!$E$5:$E$3471,'Futures Data'!$A$5:$A$3471,A611,'Futures Data'!$B$5:$B$3471,F611)</f>
        <v>12450</v>
      </c>
      <c r="H611" s="9" t="b">
        <f aca="false">G611&gt;E611</f>
        <v>0</v>
      </c>
      <c r="I611" s="9" t="b">
        <f aca="false">C611&lt;&gt;B611</f>
        <v>0</v>
      </c>
      <c r="J611" s="3" t="n">
        <f aca="false">SUMIFS('Futures Data'!$C$5:$C$3471,'Futures Data'!$A$5:$A$3471,A611,'Futures Data'!$B$5:$B$3471,B611)</f>
        <v>6582</v>
      </c>
      <c r="K611" s="3" t="n">
        <f aca="false">SUMIFS('Futures Data'!$C$5:$C$3471,'Futures Data'!$A$5:$A$3471,A611,'Futures Data'!$B$5:$B$3471,C611)</f>
        <v>6582</v>
      </c>
      <c r="L611" s="3" t="n">
        <f aca="false">K611-J611</f>
        <v>0</v>
      </c>
      <c r="M611" s="3" t="n">
        <f aca="false">M612+L611</f>
        <v>696</v>
      </c>
      <c r="N611" s="3" t="n">
        <f aca="false">J611+M611</f>
        <v>7278</v>
      </c>
      <c r="O611" s="13" t="n">
        <f aca="false">LN(J611/K610)</f>
        <v>-0.00907447243340661</v>
      </c>
      <c r="P611" s="13" t="n">
        <f aca="false">LN(N611/N610)</f>
        <v>-0.0082102267431222</v>
      </c>
      <c r="Q611" s="3" t="n">
        <f aca="false">SUMIFS('Futures Data'!$D$5:$D$3471,'Futures Data'!$A$5:$A$3471,A611,'Futures Data'!$B$5:$B$3471,B611)</f>
        <v>2865</v>
      </c>
      <c r="R611" s="7" t="n">
        <v>46042</v>
      </c>
      <c r="S611" s="9" t="b">
        <f aca="false">C611=R611</f>
        <v>1</v>
      </c>
      <c r="T611" s="9" t="b">
        <f aca="false">ABS(O611-LN(J611/SUMIFS('Futures Data'!$C$5:$C$3471,'Futures Data'!$A$5:$A$3471,A610,'Futures Data'!$B$5:$B$3471,B611)))&lt;0.000000001</f>
        <v>1</v>
      </c>
    </row>
    <row r="612" customFormat="false" ht="15" hidden="false" customHeight="false" outlineLevel="0" collapsed="false">
      <c r="A612" s="7" t="n">
        <v>46029</v>
      </c>
      <c r="B612" s="11" t="n">
        <f aca="false">C611</f>
        <v>46042</v>
      </c>
      <c r="C612" s="11" t="n">
        <f aca="false">IF(OR(H611,D612&lt;=$G$4),_xlfn.MINIFS('Futures Data'!$B$5:$B$3471,'Futures Data'!$A$5:$A$3471,A612,'Futures Data'!$B$5:$B$3471,"&gt;"&amp;B612),B612)</f>
        <v>46042</v>
      </c>
      <c r="D612" s="3" t="n">
        <f aca="false">COUNTIFS($A$47:$A$790,"&gt;"&amp;A612,$A$47:$A$790,"&lt;="&amp;B612)+IF(B612&gt;$G$5,NETWORKDAYS($G$5+1,B612),0)</f>
        <v>8</v>
      </c>
      <c r="E612" s="3" t="n">
        <f aca="false">SUMIFS('Futures Data'!$E$5:$E$3471,'Futures Data'!$A$5:$A$3471,A612,'Futures Data'!$B$5:$B$3471,C612)</f>
        <v>13385</v>
      </c>
      <c r="F612" s="11" t="n">
        <f aca="false">_xlfn.MINIFS('Futures Data'!$B$5:$B$3471,'Futures Data'!$A$5:$A$3471,A612,'Futures Data'!$B$5:$B$3471,"&gt;"&amp;C612)</f>
        <v>46073</v>
      </c>
      <c r="G612" s="3" t="n">
        <f aca="false">SUMIFS('Futures Data'!$E$5:$E$3471,'Futures Data'!$A$5:$A$3471,A612,'Futures Data'!$B$5:$B$3471,F612)</f>
        <v>13030</v>
      </c>
      <c r="H612" s="9" t="b">
        <f aca="false">G612&gt;E612</f>
        <v>0</v>
      </c>
      <c r="I612" s="9" t="b">
        <f aca="false">C612&lt;&gt;B612</f>
        <v>0</v>
      </c>
      <c r="J612" s="3" t="n">
        <f aca="false">SUMIFS('Futures Data'!$C$5:$C$3471,'Futures Data'!$A$5:$A$3471,A612,'Futures Data'!$B$5:$B$3471,B612)</f>
        <v>6638</v>
      </c>
      <c r="K612" s="3" t="n">
        <f aca="false">SUMIFS('Futures Data'!$C$5:$C$3471,'Futures Data'!$A$5:$A$3471,A612,'Futures Data'!$B$5:$B$3471,C612)</f>
        <v>6638</v>
      </c>
      <c r="L612" s="3" t="n">
        <f aca="false">K612-J612</f>
        <v>0</v>
      </c>
      <c r="M612" s="3" t="n">
        <f aca="false">M613+L612</f>
        <v>696</v>
      </c>
      <c r="N612" s="3" t="n">
        <f aca="false">J612+M612</f>
        <v>7334</v>
      </c>
      <c r="O612" s="13" t="n">
        <f aca="false">LN(J612/K611)</f>
        <v>0.00847206277663457</v>
      </c>
      <c r="P612" s="13" t="n">
        <f aca="false">LN(N612/N611)</f>
        <v>0.00766497045916625</v>
      </c>
      <c r="Q612" s="3" t="n">
        <f aca="false">SUMIFS('Futures Data'!$D$5:$D$3471,'Futures Data'!$A$5:$A$3471,A612,'Futures Data'!$B$5:$B$3471,B612)</f>
        <v>3600</v>
      </c>
      <c r="R612" s="7" t="n">
        <v>46042</v>
      </c>
      <c r="S612" s="9" t="b">
        <f aca="false">C612=R612</f>
        <v>1</v>
      </c>
      <c r="T612" s="9" t="b">
        <f aca="false">ABS(O612-LN(J612/SUMIFS('Futures Data'!$C$5:$C$3471,'Futures Data'!$A$5:$A$3471,A611,'Futures Data'!$B$5:$B$3471,B612)))&lt;0.000000001</f>
        <v>1</v>
      </c>
    </row>
    <row r="613" customFormat="false" ht="15" hidden="false" customHeight="false" outlineLevel="0" collapsed="false">
      <c r="A613" s="7" t="n">
        <v>46030</v>
      </c>
      <c r="B613" s="11" t="n">
        <f aca="false">C612</f>
        <v>46042</v>
      </c>
      <c r="C613" s="11" t="n">
        <f aca="false">IF(OR(H612,D613&lt;=$G$4),_xlfn.MINIFS('Futures Data'!$B$5:$B$3471,'Futures Data'!$A$5:$A$3471,A613,'Futures Data'!$B$5:$B$3471,"&gt;"&amp;B613),B613)</f>
        <v>46073</v>
      </c>
      <c r="D613" s="3" t="n">
        <f aca="false">COUNTIFS($A$47:$A$790,"&gt;"&amp;A613,$A$47:$A$790,"&lt;="&amp;B613)+IF(B613&gt;$G$5,NETWORKDAYS($G$5+1,B613),0)</f>
        <v>7</v>
      </c>
      <c r="E613" s="3" t="n">
        <f aca="false">SUMIFS('Futures Data'!$E$5:$E$3471,'Futures Data'!$A$5:$A$3471,A613,'Futures Data'!$B$5:$B$3471,C613)</f>
        <v>14460</v>
      </c>
      <c r="F613" s="11" t="n">
        <f aca="false">_xlfn.MINIFS('Futures Data'!$B$5:$B$3471,'Futures Data'!$A$5:$A$3471,A613,'Futures Data'!$B$5:$B$3471,"&gt;"&amp;C613)</f>
        <v>46101</v>
      </c>
      <c r="G613" s="3" t="n">
        <f aca="false">SUMIFS('Futures Data'!$E$5:$E$3471,'Futures Data'!$A$5:$A$3471,A613,'Futures Data'!$B$5:$B$3471,F613)</f>
        <v>5080</v>
      </c>
      <c r="H613" s="9" t="b">
        <f aca="false">G613&gt;E613</f>
        <v>0</v>
      </c>
      <c r="I613" s="9" t="b">
        <f aca="false">C613&lt;&gt;B613</f>
        <v>1</v>
      </c>
      <c r="J613" s="3" t="n">
        <f aca="false">SUMIFS('Futures Data'!$C$5:$C$3471,'Futures Data'!$A$5:$A$3471,A613,'Futures Data'!$B$5:$B$3471,B613)</f>
        <v>6618</v>
      </c>
      <c r="K613" s="3" t="n">
        <f aca="false">SUMIFS('Futures Data'!$C$5:$C$3471,'Futures Data'!$A$5:$A$3471,A613,'Futures Data'!$B$5:$B$3471,C613)</f>
        <v>6667</v>
      </c>
      <c r="L613" s="3" t="n">
        <f aca="false">K613-J613</f>
        <v>49</v>
      </c>
      <c r="M613" s="3" t="n">
        <f aca="false">M614+L613</f>
        <v>696</v>
      </c>
      <c r="N613" s="3" t="n">
        <f aca="false">J613+M613</f>
        <v>7314</v>
      </c>
      <c r="O613" s="13" t="n">
        <f aca="false">LN(J613/K612)</f>
        <v>-0.00301750379836245</v>
      </c>
      <c r="P613" s="13" t="n">
        <f aca="false">LN(N613/N612)</f>
        <v>-0.00273074992194476</v>
      </c>
      <c r="Q613" s="3" t="n">
        <f aca="false">SUMIFS('Futures Data'!$D$5:$D$3471,'Futures Data'!$A$5:$A$3471,A613,'Futures Data'!$B$5:$B$3471,B613)</f>
        <v>2740</v>
      </c>
      <c r="R613" s="7" t="n">
        <v>46073</v>
      </c>
      <c r="S613" s="9" t="b">
        <f aca="false">C613=R613</f>
        <v>1</v>
      </c>
      <c r="T613" s="9" t="b">
        <f aca="false">ABS(O613-LN(J613/SUMIFS('Futures Data'!$C$5:$C$3471,'Futures Data'!$A$5:$A$3471,A612,'Futures Data'!$B$5:$B$3471,B613)))&lt;0.000000001</f>
        <v>1</v>
      </c>
    </row>
    <row r="614" customFormat="false" ht="15" hidden="false" customHeight="false" outlineLevel="0" collapsed="false">
      <c r="A614" s="7" t="n">
        <v>46031</v>
      </c>
      <c r="B614" s="11" t="n">
        <f aca="false">C613</f>
        <v>46073</v>
      </c>
      <c r="C614" s="11" t="n">
        <f aca="false">IF(OR(H613,D614&lt;=$G$4),_xlfn.MINIFS('Futures Data'!$B$5:$B$3471,'Futures Data'!$A$5:$A$3471,A614,'Futures Data'!$B$5:$B$3471,"&gt;"&amp;B614),B614)</f>
        <v>46073</v>
      </c>
      <c r="D614" s="3" t="n">
        <f aca="false">COUNTIFS($A$47:$A$790,"&gt;"&amp;A614,$A$47:$A$790,"&lt;="&amp;B614)+IF(B614&gt;$G$5,NETWORKDAYS($G$5+1,B614),0)</f>
        <v>29</v>
      </c>
      <c r="E614" s="3" t="n">
        <f aca="false">SUMIFS('Futures Data'!$E$5:$E$3471,'Futures Data'!$A$5:$A$3471,A614,'Futures Data'!$B$5:$B$3471,C614)</f>
        <v>15530</v>
      </c>
      <c r="F614" s="11" t="n">
        <f aca="false">_xlfn.MINIFS('Futures Data'!$B$5:$B$3471,'Futures Data'!$A$5:$A$3471,A614,'Futures Data'!$B$5:$B$3471,"&gt;"&amp;C614)</f>
        <v>46101</v>
      </c>
      <c r="G614" s="3" t="n">
        <f aca="false">SUMIFS('Futures Data'!$E$5:$E$3471,'Futures Data'!$A$5:$A$3471,A614,'Futures Data'!$B$5:$B$3471,F614)</f>
        <v>5400</v>
      </c>
      <c r="H614" s="9" t="b">
        <f aca="false">G614&gt;E614</f>
        <v>0</v>
      </c>
      <c r="I614" s="9" t="b">
        <f aca="false">C614&lt;&gt;B614</f>
        <v>0</v>
      </c>
      <c r="J614" s="3" t="n">
        <f aca="false">SUMIFS('Futures Data'!$C$5:$C$3471,'Futures Data'!$A$5:$A$3471,A614,'Futures Data'!$B$5:$B$3471,B614)</f>
        <v>6666</v>
      </c>
      <c r="K614" s="3" t="n">
        <f aca="false">SUMIFS('Futures Data'!$C$5:$C$3471,'Futures Data'!$A$5:$A$3471,A614,'Futures Data'!$B$5:$B$3471,C614)</f>
        <v>6666</v>
      </c>
      <c r="L614" s="3" t="n">
        <f aca="false">K614-J614</f>
        <v>0</v>
      </c>
      <c r="M614" s="3" t="n">
        <f aca="false">M615+L614</f>
        <v>647</v>
      </c>
      <c r="N614" s="3" t="n">
        <f aca="false">J614+M614</f>
        <v>7313</v>
      </c>
      <c r="O614" s="13" t="n">
        <f aca="false">LN(J614/K613)</f>
        <v>-0.000150003750374994</v>
      </c>
      <c r="P614" s="13" t="n">
        <f aca="false">LN(N614/N613)</f>
        <v>-0.000136733438375338</v>
      </c>
      <c r="Q614" s="3" t="n">
        <f aca="false">SUMIFS('Futures Data'!$D$5:$D$3471,'Futures Data'!$A$5:$A$3471,A614,'Futures Data'!$B$5:$B$3471,B614)</f>
        <v>2550</v>
      </c>
      <c r="R614" s="7" t="n">
        <v>46073</v>
      </c>
      <c r="S614" s="9" t="b">
        <f aca="false">C614=R614</f>
        <v>1</v>
      </c>
      <c r="T614" s="9" t="b">
        <f aca="false">ABS(O614-LN(J614/SUMIFS('Futures Data'!$C$5:$C$3471,'Futures Data'!$A$5:$A$3471,A613,'Futures Data'!$B$5:$B$3471,B614)))&lt;0.000000001</f>
        <v>1</v>
      </c>
    </row>
    <row r="615" customFormat="false" ht="15" hidden="false" customHeight="false" outlineLevel="0" collapsed="false">
      <c r="A615" s="7" t="n">
        <v>46034</v>
      </c>
      <c r="B615" s="11" t="n">
        <f aca="false">C614</f>
        <v>46073</v>
      </c>
      <c r="C615" s="11" t="n">
        <f aca="false">IF(OR(H614,D615&lt;=$G$4),_xlfn.MINIFS('Futures Data'!$B$5:$B$3471,'Futures Data'!$A$5:$A$3471,A615,'Futures Data'!$B$5:$B$3471,"&gt;"&amp;B615),B615)</f>
        <v>46073</v>
      </c>
      <c r="D615" s="3" t="n">
        <f aca="false">COUNTIFS($A$47:$A$790,"&gt;"&amp;A615,$A$47:$A$790,"&lt;="&amp;B615)+IF(B615&gt;$G$5,NETWORKDAYS($G$5+1,B615),0)</f>
        <v>28</v>
      </c>
      <c r="E615" s="3" t="n">
        <f aca="false">SUMIFS('Futures Data'!$E$5:$E$3471,'Futures Data'!$A$5:$A$3471,A615,'Futures Data'!$B$5:$B$3471,C615)</f>
        <v>19395</v>
      </c>
      <c r="F615" s="11" t="n">
        <f aca="false">_xlfn.MINIFS('Futures Data'!$B$5:$B$3471,'Futures Data'!$A$5:$A$3471,A615,'Futures Data'!$B$5:$B$3471,"&gt;"&amp;C615)</f>
        <v>46101</v>
      </c>
      <c r="G615" s="3" t="n">
        <f aca="false">SUMIFS('Futures Data'!$E$5:$E$3471,'Futures Data'!$A$5:$A$3471,A615,'Futures Data'!$B$5:$B$3471,F615)</f>
        <v>5540</v>
      </c>
      <c r="H615" s="9" t="b">
        <f aca="false">G615&gt;E615</f>
        <v>0</v>
      </c>
      <c r="I615" s="9" t="b">
        <f aca="false">C615&lt;&gt;B615</f>
        <v>0</v>
      </c>
      <c r="J615" s="3" t="n">
        <f aca="false">SUMIFS('Futures Data'!$C$5:$C$3471,'Futures Data'!$A$5:$A$3471,A615,'Futures Data'!$B$5:$B$3471,B615)</f>
        <v>6628</v>
      </c>
      <c r="K615" s="3" t="n">
        <f aca="false">SUMIFS('Futures Data'!$C$5:$C$3471,'Futures Data'!$A$5:$A$3471,A615,'Futures Data'!$B$5:$B$3471,C615)</f>
        <v>6628</v>
      </c>
      <c r="L615" s="3" t="n">
        <f aca="false">K615-J615</f>
        <v>0</v>
      </c>
      <c r="M615" s="3" t="n">
        <f aca="false">M616+L615</f>
        <v>647</v>
      </c>
      <c r="N615" s="3" t="n">
        <f aca="false">J615+M615</f>
        <v>7275</v>
      </c>
      <c r="O615" s="13" t="n">
        <f aca="false">LN(J615/K614)</f>
        <v>-0.00571688032123151</v>
      </c>
      <c r="P615" s="13" t="n">
        <f aca="false">LN(N615/N614)</f>
        <v>-0.00520977323125797</v>
      </c>
      <c r="Q615" s="3" t="n">
        <f aca="false">SUMIFS('Futures Data'!$D$5:$D$3471,'Futures Data'!$A$5:$A$3471,A615,'Futures Data'!$B$5:$B$3471,B615)</f>
        <v>6635</v>
      </c>
      <c r="R615" s="7" t="n">
        <v>46073</v>
      </c>
      <c r="S615" s="9" t="b">
        <f aca="false">C615=R615</f>
        <v>1</v>
      </c>
      <c r="T615" s="9" t="b">
        <f aca="false">ABS(O615-LN(J615/SUMIFS('Futures Data'!$C$5:$C$3471,'Futures Data'!$A$5:$A$3471,A614,'Futures Data'!$B$5:$B$3471,B615)))&lt;0.000000001</f>
        <v>1</v>
      </c>
    </row>
    <row r="616" customFormat="false" ht="15" hidden="false" customHeight="false" outlineLevel="0" collapsed="false">
      <c r="A616" s="7" t="n">
        <v>46035</v>
      </c>
      <c r="B616" s="11" t="n">
        <f aca="false">C615</f>
        <v>46073</v>
      </c>
      <c r="C616" s="11" t="n">
        <f aca="false">IF(OR(H615,D616&lt;=$G$4),_xlfn.MINIFS('Futures Data'!$B$5:$B$3471,'Futures Data'!$A$5:$A$3471,A616,'Futures Data'!$B$5:$B$3471,"&gt;"&amp;B616),B616)</f>
        <v>46073</v>
      </c>
      <c r="D616" s="3" t="n">
        <f aca="false">COUNTIFS($A$47:$A$790,"&gt;"&amp;A616,$A$47:$A$790,"&lt;="&amp;B616)+IF(B616&gt;$G$5,NETWORKDAYS($G$5+1,B616),0)</f>
        <v>27</v>
      </c>
      <c r="E616" s="3" t="n">
        <f aca="false">SUMIFS('Futures Data'!$E$5:$E$3471,'Futures Data'!$A$5:$A$3471,A616,'Futures Data'!$B$5:$B$3471,C616)</f>
        <v>21125</v>
      </c>
      <c r="F616" s="11" t="n">
        <f aca="false">_xlfn.MINIFS('Futures Data'!$B$5:$B$3471,'Futures Data'!$A$5:$A$3471,A616,'Futures Data'!$B$5:$B$3471,"&gt;"&amp;C616)</f>
        <v>46101</v>
      </c>
      <c r="G616" s="3" t="n">
        <f aca="false">SUMIFS('Futures Data'!$E$5:$E$3471,'Futures Data'!$A$5:$A$3471,A616,'Futures Data'!$B$5:$B$3471,F616)</f>
        <v>5900</v>
      </c>
      <c r="H616" s="9" t="b">
        <f aca="false">G616&gt;E616</f>
        <v>0</v>
      </c>
      <c r="I616" s="9" t="b">
        <f aca="false">C616&lt;&gt;B616</f>
        <v>0</v>
      </c>
      <c r="J616" s="3" t="n">
        <f aca="false">SUMIFS('Futures Data'!$C$5:$C$3471,'Futures Data'!$A$5:$A$3471,A616,'Futures Data'!$B$5:$B$3471,B616)</f>
        <v>6557</v>
      </c>
      <c r="K616" s="3" t="n">
        <f aca="false">SUMIFS('Futures Data'!$C$5:$C$3471,'Futures Data'!$A$5:$A$3471,A616,'Futures Data'!$B$5:$B$3471,C616)</f>
        <v>6557</v>
      </c>
      <c r="L616" s="3" t="n">
        <f aca="false">K616-J616</f>
        <v>0</v>
      </c>
      <c r="M616" s="3" t="n">
        <f aca="false">M617+L616</f>
        <v>647</v>
      </c>
      <c r="N616" s="3" t="n">
        <f aca="false">J616+M616</f>
        <v>7204</v>
      </c>
      <c r="O616" s="13" t="n">
        <f aca="false">LN(J616/K615)</f>
        <v>-0.0107699182828342</v>
      </c>
      <c r="P616" s="13" t="n">
        <f aca="false">LN(N616/N615)</f>
        <v>-0.0098073857438466</v>
      </c>
      <c r="Q616" s="3" t="n">
        <f aca="false">SUMIFS('Futures Data'!$D$5:$D$3471,'Futures Data'!$A$5:$A$3471,A616,'Futures Data'!$B$5:$B$3471,B616)</f>
        <v>5585</v>
      </c>
      <c r="R616" s="7" t="n">
        <v>46073</v>
      </c>
      <c r="S616" s="9" t="b">
        <f aca="false">C616=R616</f>
        <v>1</v>
      </c>
      <c r="T616" s="9" t="b">
        <f aca="false">ABS(O616-LN(J616/SUMIFS('Futures Data'!$C$5:$C$3471,'Futures Data'!$A$5:$A$3471,A615,'Futures Data'!$B$5:$B$3471,B616)))&lt;0.000000001</f>
        <v>1</v>
      </c>
    </row>
    <row r="617" customFormat="false" ht="15" hidden="false" customHeight="false" outlineLevel="0" collapsed="false">
      <c r="A617" s="7" t="n">
        <v>46036</v>
      </c>
      <c r="B617" s="11" t="n">
        <f aca="false">C616</f>
        <v>46073</v>
      </c>
      <c r="C617" s="11" t="n">
        <f aca="false">IF(OR(H616,D617&lt;=$G$4),_xlfn.MINIFS('Futures Data'!$B$5:$B$3471,'Futures Data'!$A$5:$A$3471,A617,'Futures Data'!$B$5:$B$3471,"&gt;"&amp;B617),B617)</f>
        <v>46073</v>
      </c>
      <c r="D617" s="3" t="n">
        <f aca="false">COUNTIFS($A$47:$A$790,"&gt;"&amp;A617,$A$47:$A$790,"&lt;="&amp;B617)+IF(B617&gt;$G$5,NETWORKDAYS($G$5+1,B617),0)</f>
        <v>26</v>
      </c>
      <c r="E617" s="3" t="n">
        <f aca="false">SUMIFS('Futures Data'!$E$5:$E$3471,'Futures Data'!$A$5:$A$3471,A617,'Futures Data'!$B$5:$B$3471,C617)</f>
        <v>23600</v>
      </c>
      <c r="F617" s="11" t="n">
        <f aca="false">_xlfn.MINIFS('Futures Data'!$B$5:$B$3471,'Futures Data'!$A$5:$A$3471,A617,'Futures Data'!$B$5:$B$3471,"&gt;"&amp;C617)</f>
        <v>46101</v>
      </c>
      <c r="G617" s="3" t="n">
        <f aca="false">SUMIFS('Futures Data'!$E$5:$E$3471,'Futures Data'!$A$5:$A$3471,A617,'Futures Data'!$B$5:$B$3471,F617)</f>
        <v>6015</v>
      </c>
      <c r="H617" s="9" t="b">
        <f aca="false">G617&gt;E617</f>
        <v>0</v>
      </c>
      <c r="I617" s="9" t="b">
        <f aca="false">C617&lt;&gt;B617</f>
        <v>0</v>
      </c>
      <c r="J617" s="3" t="n">
        <f aca="false">SUMIFS('Futures Data'!$C$5:$C$3471,'Futures Data'!$A$5:$A$3471,A617,'Futures Data'!$B$5:$B$3471,B617)</f>
        <v>6488</v>
      </c>
      <c r="K617" s="3" t="n">
        <f aca="false">SUMIFS('Futures Data'!$C$5:$C$3471,'Futures Data'!$A$5:$A$3471,A617,'Futures Data'!$B$5:$B$3471,C617)</f>
        <v>6488</v>
      </c>
      <c r="L617" s="3" t="n">
        <f aca="false">K617-J617</f>
        <v>0</v>
      </c>
      <c r="M617" s="3" t="n">
        <f aca="false">M618+L617</f>
        <v>647</v>
      </c>
      <c r="N617" s="3" t="n">
        <f aca="false">J617+M617</f>
        <v>7135</v>
      </c>
      <c r="O617" s="13" t="n">
        <f aca="false">LN(J617/K616)</f>
        <v>-0.0105788644683706</v>
      </c>
      <c r="P617" s="13" t="n">
        <f aca="false">LN(N617/N616)</f>
        <v>-0.0096241763849099</v>
      </c>
      <c r="Q617" s="3" t="n">
        <f aca="false">SUMIFS('Futures Data'!$D$5:$D$3471,'Futures Data'!$A$5:$A$3471,A617,'Futures Data'!$B$5:$B$3471,B617)</f>
        <v>4115</v>
      </c>
      <c r="R617" s="7" t="n">
        <v>46073</v>
      </c>
      <c r="S617" s="9" t="b">
        <f aca="false">C617=R617</f>
        <v>1</v>
      </c>
      <c r="T617" s="9" t="b">
        <f aca="false">ABS(O617-LN(J617/SUMIFS('Futures Data'!$C$5:$C$3471,'Futures Data'!$A$5:$A$3471,A616,'Futures Data'!$B$5:$B$3471,B617)))&lt;0.000000001</f>
        <v>1</v>
      </c>
    </row>
    <row r="618" customFormat="false" ht="15" hidden="false" customHeight="false" outlineLevel="0" collapsed="false">
      <c r="A618" s="7" t="n">
        <v>46038</v>
      </c>
      <c r="B618" s="11" t="n">
        <f aca="false">C617</f>
        <v>46073</v>
      </c>
      <c r="C618" s="11" t="n">
        <f aca="false">IF(OR(H617,D618&lt;=$G$4),_xlfn.MINIFS('Futures Data'!$B$5:$B$3471,'Futures Data'!$A$5:$A$3471,A618,'Futures Data'!$B$5:$B$3471,"&gt;"&amp;B618),B618)</f>
        <v>46073</v>
      </c>
      <c r="D618" s="3" t="n">
        <f aca="false">COUNTIFS($A$47:$A$790,"&gt;"&amp;A618,$A$47:$A$790,"&lt;="&amp;B618)+IF(B618&gt;$G$5,NETWORKDAYS($G$5+1,B618),0)</f>
        <v>25</v>
      </c>
      <c r="E618" s="3" t="n">
        <f aca="false">SUMIFS('Futures Data'!$E$5:$E$3471,'Futures Data'!$A$5:$A$3471,A618,'Futures Data'!$B$5:$B$3471,C618)</f>
        <v>25470</v>
      </c>
      <c r="F618" s="11" t="n">
        <f aca="false">_xlfn.MINIFS('Futures Data'!$B$5:$B$3471,'Futures Data'!$A$5:$A$3471,A618,'Futures Data'!$B$5:$B$3471,"&gt;"&amp;C618)</f>
        <v>46101</v>
      </c>
      <c r="G618" s="3" t="n">
        <f aca="false">SUMIFS('Futures Data'!$E$5:$E$3471,'Futures Data'!$A$5:$A$3471,A618,'Futures Data'!$B$5:$B$3471,F618)</f>
        <v>6325</v>
      </c>
      <c r="H618" s="9" t="b">
        <f aca="false">G618&gt;E618</f>
        <v>0</v>
      </c>
      <c r="I618" s="9" t="b">
        <f aca="false">C618&lt;&gt;B618</f>
        <v>0</v>
      </c>
      <c r="J618" s="3" t="n">
        <f aca="false">SUMIFS('Futures Data'!$C$5:$C$3471,'Futures Data'!$A$5:$A$3471,A618,'Futures Data'!$B$5:$B$3471,B618)</f>
        <v>6499</v>
      </c>
      <c r="K618" s="3" t="n">
        <f aca="false">SUMIFS('Futures Data'!$C$5:$C$3471,'Futures Data'!$A$5:$A$3471,A618,'Futures Data'!$B$5:$B$3471,C618)</f>
        <v>6499</v>
      </c>
      <c r="L618" s="3" t="n">
        <f aca="false">K618-J618</f>
        <v>0</v>
      </c>
      <c r="M618" s="3" t="n">
        <f aca="false">M619+L618</f>
        <v>647</v>
      </c>
      <c r="N618" s="3" t="n">
        <f aca="false">J618+M618</f>
        <v>7146</v>
      </c>
      <c r="O618" s="13" t="n">
        <f aca="false">LN(J618/K617)</f>
        <v>0.00169400209909994</v>
      </c>
      <c r="P618" s="13" t="n">
        <f aca="false">LN(N618/N617)</f>
        <v>0.00154050867241826</v>
      </c>
      <c r="Q618" s="3" t="n">
        <f aca="false">SUMIFS('Futures Data'!$D$5:$D$3471,'Futures Data'!$A$5:$A$3471,A618,'Futures Data'!$B$5:$B$3471,B618)</f>
        <v>4695</v>
      </c>
      <c r="R618" s="7" t="n">
        <v>46073</v>
      </c>
      <c r="S618" s="9" t="b">
        <f aca="false">C618=R618</f>
        <v>1</v>
      </c>
      <c r="T618" s="9" t="b">
        <f aca="false">ABS(O618-LN(J618/SUMIFS('Futures Data'!$C$5:$C$3471,'Futures Data'!$A$5:$A$3471,A617,'Futures Data'!$B$5:$B$3471,B618)))&lt;0.000000001</f>
        <v>1</v>
      </c>
    </row>
    <row r="619" customFormat="false" ht="15" hidden="false" customHeight="false" outlineLevel="0" collapsed="false">
      <c r="A619" s="7" t="n">
        <v>46041</v>
      </c>
      <c r="B619" s="11" t="n">
        <f aca="false">C618</f>
        <v>46073</v>
      </c>
      <c r="C619" s="11" t="n">
        <f aca="false">IF(OR(H618,D619&lt;=$G$4),_xlfn.MINIFS('Futures Data'!$B$5:$B$3471,'Futures Data'!$A$5:$A$3471,A619,'Futures Data'!$B$5:$B$3471,"&gt;"&amp;B619),B619)</f>
        <v>46073</v>
      </c>
      <c r="D619" s="3" t="n">
        <f aca="false">COUNTIFS($A$47:$A$790,"&gt;"&amp;A619,$A$47:$A$790,"&lt;="&amp;B619)+IF(B619&gt;$G$5,NETWORKDAYS($G$5+1,B619),0)</f>
        <v>24</v>
      </c>
      <c r="E619" s="3" t="n">
        <f aca="false">SUMIFS('Futures Data'!$E$5:$E$3471,'Futures Data'!$A$5:$A$3471,A619,'Futures Data'!$B$5:$B$3471,C619)</f>
        <v>25285</v>
      </c>
      <c r="F619" s="11" t="n">
        <f aca="false">_xlfn.MINIFS('Futures Data'!$B$5:$B$3471,'Futures Data'!$A$5:$A$3471,A619,'Futures Data'!$B$5:$B$3471,"&gt;"&amp;C619)</f>
        <v>46101</v>
      </c>
      <c r="G619" s="3" t="n">
        <f aca="false">SUMIFS('Futures Data'!$E$5:$E$3471,'Futures Data'!$A$5:$A$3471,A619,'Futures Data'!$B$5:$B$3471,F619)</f>
        <v>7430</v>
      </c>
      <c r="H619" s="9" t="b">
        <f aca="false">G619&gt;E619</f>
        <v>0</v>
      </c>
      <c r="I619" s="9" t="b">
        <f aca="false">C619&lt;&gt;B619</f>
        <v>0</v>
      </c>
      <c r="J619" s="3" t="n">
        <f aca="false">SUMIFS('Futures Data'!$C$5:$C$3471,'Futures Data'!$A$5:$A$3471,A619,'Futures Data'!$B$5:$B$3471,B619)</f>
        <v>6446</v>
      </c>
      <c r="K619" s="3" t="n">
        <f aca="false">SUMIFS('Futures Data'!$C$5:$C$3471,'Futures Data'!$A$5:$A$3471,A619,'Futures Data'!$B$5:$B$3471,C619)</f>
        <v>6446</v>
      </c>
      <c r="L619" s="3" t="n">
        <f aca="false">K619-J619</f>
        <v>0</v>
      </c>
      <c r="M619" s="3" t="n">
        <f aca="false">M620+L619</f>
        <v>647</v>
      </c>
      <c r="N619" s="3" t="n">
        <f aca="false">J619+M619</f>
        <v>7093</v>
      </c>
      <c r="O619" s="13" t="n">
        <f aca="false">LN(J619/K618)</f>
        <v>-0.00818853551896575</v>
      </c>
      <c r="P619" s="13" t="n">
        <f aca="false">LN(N619/N618)</f>
        <v>-0.0074443773812683</v>
      </c>
      <c r="Q619" s="3" t="n">
        <f aca="false">SUMIFS('Futures Data'!$D$5:$D$3471,'Futures Data'!$A$5:$A$3471,A619,'Futures Data'!$B$5:$B$3471,B619)</f>
        <v>3105</v>
      </c>
      <c r="R619" s="7" t="n">
        <v>46073</v>
      </c>
      <c r="S619" s="9" t="b">
        <f aca="false">C619=R619</f>
        <v>1</v>
      </c>
      <c r="T619" s="9" t="b">
        <f aca="false">ABS(O619-LN(J619/SUMIFS('Futures Data'!$C$5:$C$3471,'Futures Data'!$A$5:$A$3471,A618,'Futures Data'!$B$5:$B$3471,B619)))&lt;0.000000001</f>
        <v>1</v>
      </c>
    </row>
    <row r="620" customFormat="false" ht="15" hidden="false" customHeight="false" outlineLevel="0" collapsed="false">
      <c r="A620" s="7" t="n">
        <v>46042</v>
      </c>
      <c r="B620" s="11" t="n">
        <f aca="false">C619</f>
        <v>46073</v>
      </c>
      <c r="C620" s="11" t="n">
        <f aca="false">IF(OR(H619,D620&lt;=$G$4),_xlfn.MINIFS('Futures Data'!$B$5:$B$3471,'Futures Data'!$A$5:$A$3471,A620,'Futures Data'!$B$5:$B$3471,"&gt;"&amp;B620),B620)</f>
        <v>46073</v>
      </c>
      <c r="D620" s="3" t="n">
        <f aca="false">COUNTIFS($A$47:$A$790,"&gt;"&amp;A620,$A$47:$A$790,"&lt;="&amp;B620)+IF(B620&gt;$G$5,NETWORKDAYS($G$5+1,B620),0)</f>
        <v>23</v>
      </c>
      <c r="E620" s="3" t="n">
        <f aca="false">SUMIFS('Futures Data'!$E$5:$E$3471,'Futures Data'!$A$5:$A$3471,A620,'Futures Data'!$B$5:$B$3471,C620)</f>
        <v>25260</v>
      </c>
      <c r="F620" s="11" t="n">
        <f aca="false">_xlfn.MINIFS('Futures Data'!$B$5:$B$3471,'Futures Data'!$A$5:$A$3471,A620,'Futures Data'!$B$5:$B$3471,"&gt;"&amp;C620)</f>
        <v>46101</v>
      </c>
      <c r="G620" s="3" t="n">
        <f aca="false">SUMIFS('Futures Data'!$E$5:$E$3471,'Futures Data'!$A$5:$A$3471,A620,'Futures Data'!$B$5:$B$3471,F620)</f>
        <v>7560</v>
      </c>
      <c r="H620" s="9" t="b">
        <f aca="false">G620&gt;E620</f>
        <v>0</v>
      </c>
      <c r="I620" s="9" t="b">
        <f aca="false">C620&lt;&gt;B620</f>
        <v>0</v>
      </c>
      <c r="J620" s="3" t="n">
        <f aca="false">SUMIFS('Futures Data'!$C$5:$C$3471,'Futures Data'!$A$5:$A$3471,A620,'Futures Data'!$B$5:$B$3471,B620)</f>
        <v>6461</v>
      </c>
      <c r="K620" s="3" t="n">
        <f aca="false">SUMIFS('Futures Data'!$C$5:$C$3471,'Futures Data'!$A$5:$A$3471,A620,'Futures Data'!$B$5:$B$3471,C620)</f>
        <v>6461</v>
      </c>
      <c r="L620" s="3" t="n">
        <f aca="false">K620-J620</f>
        <v>0</v>
      </c>
      <c r="M620" s="3" t="n">
        <f aca="false">M621+L620</f>
        <v>647</v>
      </c>
      <c r="N620" s="3" t="n">
        <f aca="false">J620+M620</f>
        <v>7108</v>
      </c>
      <c r="O620" s="13" t="n">
        <f aca="false">LN(J620/K619)</f>
        <v>0.00232432118278239</v>
      </c>
      <c r="P620" s="13" t="n">
        <f aca="false">LN(N620/N619)</f>
        <v>0.00211252807245518</v>
      </c>
      <c r="Q620" s="3" t="n">
        <f aca="false">SUMIFS('Futures Data'!$D$5:$D$3471,'Futures Data'!$A$5:$A$3471,A620,'Futures Data'!$B$5:$B$3471,B620)</f>
        <v>1950</v>
      </c>
      <c r="R620" s="7" t="n">
        <v>46073</v>
      </c>
      <c r="S620" s="9" t="b">
        <f aca="false">C620=R620</f>
        <v>1</v>
      </c>
      <c r="T620" s="9" t="b">
        <f aca="false">ABS(O620-LN(J620/SUMIFS('Futures Data'!$C$5:$C$3471,'Futures Data'!$A$5:$A$3471,A619,'Futures Data'!$B$5:$B$3471,B620)))&lt;0.000000001</f>
        <v>1</v>
      </c>
    </row>
    <row r="621" customFormat="false" ht="15" hidden="false" customHeight="false" outlineLevel="0" collapsed="false">
      <c r="A621" s="7" t="n">
        <v>46043</v>
      </c>
      <c r="B621" s="11" t="n">
        <f aca="false">C620</f>
        <v>46073</v>
      </c>
      <c r="C621" s="11" t="n">
        <f aca="false">IF(OR(H620,D621&lt;=$G$4),_xlfn.MINIFS('Futures Data'!$B$5:$B$3471,'Futures Data'!$A$5:$A$3471,A621,'Futures Data'!$B$5:$B$3471,"&gt;"&amp;B621),B621)</f>
        <v>46073</v>
      </c>
      <c r="D621" s="3" t="n">
        <f aca="false">COUNTIFS($A$47:$A$790,"&gt;"&amp;A621,$A$47:$A$790,"&lt;="&amp;B621)+IF(B621&gt;$G$5,NETWORKDAYS($G$5+1,B621),0)</f>
        <v>22</v>
      </c>
      <c r="E621" s="3" t="n">
        <f aca="false">SUMIFS('Futures Data'!$E$5:$E$3471,'Futures Data'!$A$5:$A$3471,A621,'Futures Data'!$B$5:$B$3471,C621)</f>
        <v>25780</v>
      </c>
      <c r="F621" s="11" t="n">
        <f aca="false">_xlfn.MINIFS('Futures Data'!$B$5:$B$3471,'Futures Data'!$A$5:$A$3471,A621,'Futures Data'!$B$5:$B$3471,"&gt;"&amp;C621)</f>
        <v>46101</v>
      </c>
      <c r="G621" s="3" t="n">
        <f aca="false">SUMIFS('Futures Data'!$E$5:$E$3471,'Futures Data'!$A$5:$A$3471,A621,'Futures Data'!$B$5:$B$3471,F621)</f>
        <v>8560</v>
      </c>
      <c r="H621" s="9" t="b">
        <f aca="false">G621&gt;E621</f>
        <v>0</v>
      </c>
      <c r="I621" s="9" t="b">
        <f aca="false">C621&lt;&gt;B621</f>
        <v>0</v>
      </c>
      <c r="J621" s="3" t="n">
        <f aca="false">SUMIFS('Futures Data'!$C$5:$C$3471,'Futures Data'!$A$5:$A$3471,A621,'Futures Data'!$B$5:$B$3471,B621)</f>
        <v>6534</v>
      </c>
      <c r="K621" s="3" t="n">
        <f aca="false">SUMIFS('Futures Data'!$C$5:$C$3471,'Futures Data'!$A$5:$A$3471,A621,'Futures Data'!$B$5:$B$3471,C621)</f>
        <v>6534</v>
      </c>
      <c r="L621" s="3" t="n">
        <f aca="false">K621-J621</f>
        <v>0</v>
      </c>
      <c r="M621" s="3" t="n">
        <f aca="false">M622+L621</f>
        <v>647</v>
      </c>
      <c r="N621" s="3" t="n">
        <f aca="false">J621+M621</f>
        <v>7181</v>
      </c>
      <c r="O621" s="13" t="n">
        <f aca="false">LN(J621/K620)</f>
        <v>0.01123520860285</v>
      </c>
      <c r="P621" s="13" t="n">
        <f aca="false">LN(N621/N620)</f>
        <v>0.0102177388357755</v>
      </c>
      <c r="Q621" s="3" t="n">
        <f aca="false">SUMIFS('Futures Data'!$D$5:$D$3471,'Futures Data'!$A$5:$A$3471,A621,'Futures Data'!$B$5:$B$3471,B621)</f>
        <v>3575</v>
      </c>
      <c r="R621" s="7" t="n">
        <v>46073</v>
      </c>
      <c r="S621" s="9" t="b">
        <f aca="false">C621=R621</f>
        <v>1</v>
      </c>
      <c r="T621" s="9" t="b">
        <f aca="false">ABS(O621-LN(J621/SUMIFS('Futures Data'!$C$5:$C$3471,'Futures Data'!$A$5:$A$3471,A620,'Futures Data'!$B$5:$B$3471,B621)))&lt;0.000000001</f>
        <v>1</v>
      </c>
    </row>
    <row r="622" customFormat="false" ht="15" hidden="false" customHeight="false" outlineLevel="0" collapsed="false">
      <c r="A622" s="7" t="n">
        <v>46044</v>
      </c>
      <c r="B622" s="11" t="n">
        <f aca="false">C621</f>
        <v>46073</v>
      </c>
      <c r="C622" s="11" t="n">
        <f aca="false">IF(OR(H621,D622&lt;=$G$4),_xlfn.MINIFS('Futures Data'!$B$5:$B$3471,'Futures Data'!$A$5:$A$3471,A622,'Futures Data'!$B$5:$B$3471,"&gt;"&amp;B622),B622)</f>
        <v>46073</v>
      </c>
      <c r="D622" s="3" t="n">
        <f aca="false">COUNTIFS($A$47:$A$790,"&gt;"&amp;A622,$A$47:$A$790,"&lt;="&amp;B622)+IF(B622&gt;$G$5,NETWORKDAYS($G$5+1,B622),0)</f>
        <v>21</v>
      </c>
      <c r="E622" s="3" t="n">
        <f aca="false">SUMIFS('Futures Data'!$E$5:$E$3471,'Futures Data'!$A$5:$A$3471,A622,'Futures Data'!$B$5:$B$3471,C622)</f>
        <v>25345</v>
      </c>
      <c r="F622" s="11" t="n">
        <f aca="false">_xlfn.MINIFS('Futures Data'!$B$5:$B$3471,'Futures Data'!$A$5:$A$3471,A622,'Futures Data'!$B$5:$B$3471,"&gt;"&amp;C622)</f>
        <v>46101</v>
      </c>
      <c r="G622" s="3" t="n">
        <f aca="false">SUMIFS('Futures Data'!$E$5:$E$3471,'Futures Data'!$A$5:$A$3471,A622,'Futures Data'!$B$5:$B$3471,F622)</f>
        <v>8875</v>
      </c>
      <c r="H622" s="9" t="b">
        <f aca="false">G622&gt;E622</f>
        <v>0</v>
      </c>
      <c r="I622" s="9" t="b">
        <f aca="false">C622&lt;&gt;B622</f>
        <v>0</v>
      </c>
      <c r="J622" s="3" t="n">
        <f aca="false">SUMIFS('Futures Data'!$C$5:$C$3471,'Futures Data'!$A$5:$A$3471,A622,'Futures Data'!$B$5:$B$3471,B622)</f>
        <v>6493</v>
      </c>
      <c r="K622" s="3" t="n">
        <f aca="false">SUMIFS('Futures Data'!$C$5:$C$3471,'Futures Data'!$A$5:$A$3471,A622,'Futures Data'!$B$5:$B$3471,C622)</f>
        <v>6493</v>
      </c>
      <c r="L622" s="3" t="n">
        <f aca="false">K622-J622</f>
        <v>0</v>
      </c>
      <c r="M622" s="3" t="n">
        <f aca="false">M623+L622</f>
        <v>647</v>
      </c>
      <c r="N622" s="3" t="n">
        <f aca="false">J622+M622</f>
        <v>7140</v>
      </c>
      <c r="O622" s="13" t="n">
        <f aca="false">LN(J622/K621)</f>
        <v>-0.00629463965252867</v>
      </c>
      <c r="P622" s="13" t="n">
        <f aca="false">LN(N622/N621)</f>
        <v>-0.00572587277668745</v>
      </c>
      <c r="Q622" s="3" t="n">
        <f aca="false">SUMIFS('Futures Data'!$D$5:$D$3471,'Futures Data'!$A$5:$A$3471,A622,'Futures Data'!$B$5:$B$3471,B622)</f>
        <v>3210</v>
      </c>
      <c r="R622" s="7" t="n">
        <v>46073</v>
      </c>
      <c r="S622" s="9" t="b">
        <f aca="false">C622=R622</f>
        <v>1</v>
      </c>
      <c r="T622" s="9" t="b">
        <f aca="false">ABS(O622-LN(J622/SUMIFS('Futures Data'!$C$5:$C$3471,'Futures Data'!$A$5:$A$3471,A621,'Futures Data'!$B$5:$B$3471,B622)))&lt;0.000000001</f>
        <v>1</v>
      </c>
    </row>
    <row r="623" customFormat="false" ht="15" hidden="false" customHeight="false" outlineLevel="0" collapsed="false">
      <c r="A623" s="7" t="n">
        <v>46045</v>
      </c>
      <c r="B623" s="11" t="n">
        <f aca="false">C622</f>
        <v>46073</v>
      </c>
      <c r="C623" s="11" t="n">
        <f aca="false">IF(OR(H622,D623&lt;=$G$4),_xlfn.MINIFS('Futures Data'!$B$5:$B$3471,'Futures Data'!$A$5:$A$3471,A623,'Futures Data'!$B$5:$B$3471,"&gt;"&amp;B623),B623)</f>
        <v>46073</v>
      </c>
      <c r="D623" s="3" t="n">
        <f aca="false">COUNTIFS($A$47:$A$790,"&gt;"&amp;A623,$A$47:$A$790,"&lt;="&amp;B623)+IF(B623&gt;$G$5,NETWORKDAYS($G$5+1,B623),0)</f>
        <v>20</v>
      </c>
      <c r="E623" s="3" t="n">
        <f aca="false">SUMIFS('Futures Data'!$E$5:$E$3471,'Futures Data'!$A$5:$A$3471,A623,'Futures Data'!$B$5:$B$3471,C623)</f>
        <v>25205</v>
      </c>
      <c r="F623" s="11" t="n">
        <f aca="false">_xlfn.MINIFS('Futures Data'!$B$5:$B$3471,'Futures Data'!$A$5:$A$3471,A623,'Futures Data'!$B$5:$B$3471,"&gt;"&amp;C623)</f>
        <v>46101</v>
      </c>
      <c r="G623" s="3" t="n">
        <f aca="false">SUMIFS('Futures Data'!$E$5:$E$3471,'Futures Data'!$A$5:$A$3471,A623,'Futures Data'!$B$5:$B$3471,F623)</f>
        <v>9370</v>
      </c>
      <c r="H623" s="9" t="b">
        <f aca="false">G623&gt;E623</f>
        <v>0</v>
      </c>
      <c r="I623" s="9" t="b">
        <f aca="false">C623&lt;&gt;B623</f>
        <v>0</v>
      </c>
      <c r="J623" s="3" t="n">
        <f aca="false">SUMIFS('Futures Data'!$C$5:$C$3471,'Futures Data'!$A$5:$A$3471,A623,'Futures Data'!$B$5:$B$3471,B623)</f>
        <v>6474</v>
      </c>
      <c r="K623" s="3" t="n">
        <f aca="false">SUMIFS('Futures Data'!$C$5:$C$3471,'Futures Data'!$A$5:$A$3471,A623,'Futures Data'!$B$5:$B$3471,C623)</f>
        <v>6474</v>
      </c>
      <c r="L623" s="3" t="n">
        <f aca="false">K623-J623</f>
        <v>0</v>
      </c>
      <c r="M623" s="3" t="n">
        <f aca="false">M624+L623</f>
        <v>647</v>
      </c>
      <c r="N623" s="3" t="n">
        <f aca="false">J623+M623</f>
        <v>7121</v>
      </c>
      <c r="O623" s="13" t="n">
        <f aca="false">LN(J623/K622)</f>
        <v>-0.00293051802229705</v>
      </c>
      <c r="P623" s="13" t="n">
        <f aca="false">LN(N623/N622)</f>
        <v>-0.0026646113515053</v>
      </c>
      <c r="Q623" s="3" t="n">
        <f aca="false">SUMIFS('Futures Data'!$D$5:$D$3471,'Futures Data'!$A$5:$A$3471,A623,'Futures Data'!$B$5:$B$3471,B623)</f>
        <v>2055</v>
      </c>
      <c r="R623" s="7" t="n">
        <v>46073</v>
      </c>
      <c r="S623" s="9" t="b">
        <f aca="false">C623=R623</f>
        <v>1</v>
      </c>
      <c r="T623" s="9" t="b">
        <f aca="false">ABS(O623-LN(J623/SUMIFS('Futures Data'!$C$5:$C$3471,'Futures Data'!$A$5:$A$3471,A622,'Futures Data'!$B$5:$B$3471,B623)))&lt;0.000000001</f>
        <v>1</v>
      </c>
    </row>
    <row r="624" customFormat="false" ht="15" hidden="false" customHeight="false" outlineLevel="0" collapsed="false">
      <c r="A624" s="7" t="n">
        <v>46049</v>
      </c>
      <c r="B624" s="11" t="n">
        <f aca="false">C623</f>
        <v>46073</v>
      </c>
      <c r="C624" s="11" t="n">
        <f aca="false">IF(OR(H623,D624&lt;=$G$4),_xlfn.MINIFS('Futures Data'!$B$5:$B$3471,'Futures Data'!$A$5:$A$3471,A624,'Futures Data'!$B$5:$B$3471,"&gt;"&amp;B624),B624)</f>
        <v>46073</v>
      </c>
      <c r="D624" s="3" t="n">
        <f aca="false">COUNTIFS($A$47:$A$790,"&gt;"&amp;A624,$A$47:$A$790,"&lt;="&amp;B624)+IF(B624&gt;$G$5,NETWORKDAYS($G$5+1,B624),0)</f>
        <v>19</v>
      </c>
      <c r="E624" s="3" t="n">
        <f aca="false">SUMIFS('Futures Data'!$E$5:$E$3471,'Futures Data'!$A$5:$A$3471,A624,'Futures Data'!$B$5:$B$3471,C624)</f>
        <v>24910</v>
      </c>
      <c r="F624" s="11" t="n">
        <f aca="false">_xlfn.MINIFS('Futures Data'!$B$5:$B$3471,'Futures Data'!$A$5:$A$3471,A624,'Futures Data'!$B$5:$B$3471,"&gt;"&amp;C624)</f>
        <v>46101</v>
      </c>
      <c r="G624" s="3" t="n">
        <f aca="false">SUMIFS('Futures Data'!$E$5:$E$3471,'Futures Data'!$A$5:$A$3471,A624,'Futures Data'!$B$5:$B$3471,F624)</f>
        <v>9680</v>
      </c>
      <c r="H624" s="9" t="b">
        <f aca="false">G624&gt;E624</f>
        <v>0</v>
      </c>
      <c r="I624" s="9" t="b">
        <f aca="false">C624&lt;&gt;B624</f>
        <v>0</v>
      </c>
      <c r="J624" s="3" t="n">
        <f aca="false">SUMIFS('Futures Data'!$C$5:$C$3471,'Futures Data'!$A$5:$A$3471,A624,'Futures Data'!$B$5:$B$3471,B624)</f>
        <v>6381</v>
      </c>
      <c r="K624" s="3" t="n">
        <f aca="false">SUMIFS('Futures Data'!$C$5:$C$3471,'Futures Data'!$A$5:$A$3471,A624,'Futures Data'!$B$5:$B$3471,C624)</f>
        <v>6381</v>
      </c>
      <c r="L624" s="3" t="n">
        <f aca="false">K624-J624</f>
        <v>0</v>
      </c>
      <c r="M624" s="3" t="n">
        <f aca="false">M625+L624</f>
        <v>647</v>
      </c>
      <c r="N624" s="3" t="n">
        <f aca="false">J624+M624</f>
        <v>7028</v>
      </c>
      <c r="O624" s="13" t="n">
        <f aca="false">LN(J624/K623)</f>
        <v>-0.0144693306178428</v>
      </c>
      <c r="P624" s="13" t="n">
        <f aca="false">LN(N624/N623)</f>
        <v>-0.0131459946751369</v>
      </c>
      <c r="Q624" s="3" t="n">
        <f aca="false">SUMIFS('Futures Data'!$D$5:$D$3471,'Futures Data'!$A$5:$A$3471,A624,'Futures Data'!$B$5:$B$3471,B624)</f>
        <v>3530</v>
      </c>
      <c r="R624" s="7" t="n">
        <v>46073</v>
      </c>
      <c r="S624" s="9" t="b">
        <f aca="false">C624=R624</f>
        <v>1</v>
      </c>
      <c r="T624" s="9" t="b">
        <f aca="false">ABS(O624-LN(J624/SUMIFS('Futures Data'!$C$5:$C$3471,'Futures Data'!$A$5:$A$3471,A623,'Futures Data'!$B$5:$B$3471,B624)))&lt;0.000000001</f>
        <v>1</v>
      </c>
    </row>
    <row r="625" customFormat="false" ht="15" hidden="false" customHeight="false" outlineLevel="0" collapsed="false">
      <c r="A625" s="7" t="n">
        <v>46050</v>
      </c>
      <c r="B625" s="11" t="n">
        <f aca="false">C624</f>
        <v>46073</v>
      </c>
      <c r="C625" s="11" t="n">
        <f aca="false">IF(OR(H624,D625&lt;=$G$4),_xlfn.MINIFS('Futures Data'!$B$5:$B$3471,'Futures Data'!$A$5:$A$3471,A625,'Futures Data'!$B$5:$B$3471,"&gt;"&amp;B625),B625)</f>
        <v>46073</v>
      </c>
      <c r="D625" s="3" t="n">
        <f aca="false">COUNTIFS($A$47:$A$790,"&gt;"&amp;A625,$A$47:$A$790,"&lt;="&amp;B625)+IF(B625&gt;$G$5,NETWORKDAYS($G$5+1,B625),0)</f>
        <v>18</v>
      </c>
      <c r="E625" s="3" t="n">
        <f aca="false">SUMIFS('Futures Data'!$E$5:$E$3471,'Futures Data'!$A$5:$A$3471,A625,'Futures Data'!$B$5:$B$3471,C625)</f>
        <v>25620</v>
      </c>
      <c r="F625" s="11" t="n">
        <f aca="false">_xlfn.MINIFS('Futures Data'!$B$5:$B$3471,'Futures Data'!$A$5:$A$3471,A625,'Futures Data'!$B$5:$B$3471,"&gt;"&amp;C625)</f>
        <v>46101</v>
      </c>
      <c r="G625" s="3" t="n">
        <f aca="false">SUMIFS('Futures Data'!$E$5:$E$3471,'Futures Data'!$A$5:$A$3471,A625,'Futures Data'!$B$5:$B$3471,F625)</f>
        <v>9725</v>
      </c>
      <c r="H625" s="9" t="b">
        <f aca="false">G625&gt;E625</f>
        <v>0</v>
      </c>
      <c r="I625" s="9" t="b">
        <f aca="false">C625&lt;&gt;B625</f>
        <v>0</v>
      </c>
      <c r="J625" s="3" t="n">
        <f aca="false">SUMIFS('Futures Data'!$C$5:$C$3471,'Futures Data'!$A$5:$A$3471,A625,'Futures Data'!$B$5:$B$3471,B625)</f>
        <v>6385</v>
      </c>
      <c r="K625" s="3" t="n">
        <f aca="false">SUMIFS('Futures Data'!$C$5:$C$3471,'Futures Data'!$A$5:$A$3471,A625,'Futures Data'!$B$5:$B$3471,C625)</f>
        <v>6385</v>
      </c>
      <c r="L625" s="3" t="n">
        <f aca="false">K625-J625</f>
        <v>0</v>
      </c>
      <c r="M625" s="3" t="n">
        <f aca="false">M626+L625</f>
        <v>647</v>
      </c>
      <c r="N625" s="3" t="n">
        <f aca="false">J625+M625</f>
        <v>7032</v>
      </c>
      <c r="O625" s="13" t="n">
        <f aca="false">LN(J625/K624)</f>
        <v>0.000626664598292783</v>
      </c>
      <c r="P625" s="13" t="n">
        <f aca="false">LN(N625/N624)</f>
        <v>0.000568990058025052</v>
      </c>
      <c r="Q625" s="3" t="n">
        <f aca="false">SUMIFS('Futures Data'!$D$5:$D$3471,'Futures Data'!$A$5:$A$3471,A625,'Futures Data'!$B$5:$B$3471,B625)</f>
        <v>3925</v>
      </c>
      <c r="R625" s="7" t="n">
        <v>46073</v>
      </c>
      <c r="S625" s="9" t="b">
        <f aca="false">C625=R625</f>
        <v>1</v>
      </c>
      <c r="T625" s="9" t="b">
        <f aca="false">ABS(O625-LN(J625/SUMIFS('Futures Data'!$C$5:$C$3471,'Futures Data'!$A$5:$A$3471,A624,'Futures Data'!$B$5:$B$3471,B625)))&lt;0.000000001</f>
        <v>1</v>
      </c>
    </row>
    <row r="626" customFormat="false" ht="15" hidden="false" customHeight="false" outlineLevel="0" collapsed="false">
      <c r="A626" s="7" t="n">
        <v>46051</v>
      </c>
      <c r="B626" s="11" t="n">
        <f aca="false">C625</f>
        <v>46073</v>
      </c>
      <c r="C626" s="11" t="n">
        <f aca="false">IF(OR(H625,D626&lt;=$G$4),_xlfn.MINIFS('Futures Data'!$B$5:$B$3471,'Futures Data'!$A$5:$A$3471,A626,'Futures Data'!$B$5:$B$3471,"&gt;"&amp;B626),B626)</f>
        <v>46073</v>
      </c>
      <c r="D626" s="3" t="n">
        <f aca="false">COUNTIFS($A$47:$A$790,"&gt;"&amp;A626,$A$47:$A$790,"&lt;="&amp;B626)+IF(B626&gt;$G$5,NETWORKDAYS($G$5+1,B626),0)</f>
        <v>17</v>
      </c>
      <c r="E626" s="3" t="n">
        <f aca="false">SUMIFS('Futures Data'!$E$5:$E$3471,'Futures Data'!$A$5:$A$3471,A626,'Futures Data'!$B$5:$B$3471,C626)</f>
        <v>25105</v>
      </c>
      <c r="F626" s="11" t="n">
        <f aca="false">_xlfn.MINIFS('Futures Data'!$B$5:$B$3471,'Futures Data'!$A$5:$A$3471,A626,'Futures Data'!$B$5:$B$3471,"&gt;"&amp;C626)</f>
        <v>46101</v>
      </c>
      <c r="G626" s="3" t="n">
        <f aca="false">SUMIFS('Futures Data'!$E$5:$E$3471,'Futures Data'!$A$5:$A$3471,A626,'Futures Data'!$B$5:$B$3471,F626)</f>
        <v>9795</v>
      </c>
      <c r="H626" s="9" t="b">
        <f aca="false">G626&gt;E626</f>
        <v>0</v>
      </c>
      <c r="I626" s="9" t="b">
        <f aca="false">C626&lt;&gt;B626</f>
        <v>0</v>
      </c>
      <c r="J626" s="3" t="n">
        <f aca="false">SUMIFS('Futures Data'!$C$5:$C$3471,'Futures Data'!$A$5:$A$3471,A626,'Futures Data'!$B$5:$B$3471,B626)</f>
        <v>6406</v>
      </c>
      <c r="K626" s="3" t="n">
        <f aca="false">SUMIFS('Futures Data'!$C$5:$C$3471,'Futures Data'!$A$5:$A$3471,A626,'Futures Data'!$B$5:$B$3471,C626)</f>
        <v>6406</v>
      </c>
      <c r="L626" s="3" t="n">
        <f aca="false">K626-J626</f>
        <v>0</v>
      </c>
      <c r="M626" s="3" t="n">
        <f aca="false">M627+L626</f>
        <v>647</v>
      </c>
      <c r="N626" s="3" t="n">
        <f aca="false">J626+M626</f>
        <v>7053</v>
      </c>
      <c r="O626" s="13" t="n">
        <f aca="false">LN(J626/K625)</f>
        <v>0.00328356170246382</v>
      </c>
      <c r="P626" s="13" t="n">
        <f aca="false">LN(N626/N625)</f>
        <v>0.00298189784316629</v>
      </c>
      <c r="Q626" s="3" t="n">
        <f aca="false">SUMIFS('Futures Data'!$D$5:$D$3471,'Futures Data'!$A$5:$A$3471,A626,'Futures Data'!$B$5:$B$3471,B626)</f>
        <v>1830</v>
      </c>
      <c r="R626" s="7" t="n">
        <v>46073</v>
      </c>
      <c r="S626" s="9" t="b">
        <f aca="false">C626=R626</f>
        <v>1</v>
      </c>
      <c r="T626" s="9" t="b">
        <f aca="false">ABS(O626-LN(J626/SUMIFS('Futures Data'!$C$5:$C$3471,'Futures Data'!$A$5:$A$3471,A625,'Futures Data'!$B$5:$B$3471,B626)))&lt;0.000000001</f>
        <v>1</v>
      </c>
    </row>
    <row r="627" customFormat="false" ht="15" hidden="false" customHeight="false" outlineLevel="0" collapsed="false">
      <c r="A627" s="7" t="n">
        <v>46052</v>
      </c>
      <c r="B627" s="11" t="n">
        <f aca="false">C626</f>
        <v>46073</v>
      </c>
      <c r="C627" s="11" t="n">
        <f aca="false">IF(OR(H626,D627&lt;=$G$4),_xlfn.MINIFS('Futures Data'!$B$5:$B$3471,'Futures Data'!$A$5:$A$3471,A627,'Futures Data'!$B$5:$B$3471,"&gt;"&amp;B627),B627)</f>
        <v>46073</v>
      </c>
      <c r="D627" s="3" t="n">
        <f aca="false">COUNTIFS($A$47:$A$790,"&gt;"&amp;A627,$A$47:$A$790,"&lt;="&amp;B627)+IF(B627&gt;$G$5,NETWORKDAYS($G$5+1,B627),0)</f>
        <v>16</v>
      </c>
      <c r="E627" s="3" t="n">
        <f aca="false">SUMIFS('Futures Data'!$E$5:$E$3471,'Futures Data'!$A$5:$A$3471,A627,'Futures Data'!$B$5:$B$3471,C627)</f>
        <v>24725</v>
      </c>
      <c r="F627" s="11" t="n">
        <f aca="false">_xlfn.MINIFS('Futures Data'!$B$5:$B$3471,'Futures Data'!$A$5:$A$3471,A627,'Futures Data'!$B$5:$B$3471,"&gt;"&amp;C627)</f>
        <v>46101</v>
      </c>
      <c r="G627" s="3" t="n">
        <f aca="false">SUMIFS('Futures Data'!$E$5:$E$3471,'Futures Data'!$A$5:$A$3471,A627,'Futures Data'!$B$5:$B$3471,F627)</f>
        <v>9970</v>
      </c>
      <c r="H627" s="9" t="b">
        <f aca="false">G627&gt;E627</f>
        <v>0</v>
      </c>
      <c r="I627" s="9" t="b">
        <f aca="false">C627&lt;&gt;B627</f>
        <v>0</v>
      </c>
      <c r="J627" s="3" t="n">
        <f aca="false">SUMIFS('Futures Data'!$C$5:$C$3471,'Futures Data'!$A$5:$A$3471,A627,'Futures Data'!$B$5:$B$3471,B627)</f>
        <v>6402</v>
      </c>
      <c r="K627" s="3" t="n">
        <f aca="false">SUMIFS('Futures Data'!$C$5:$C$3471,'Futures Data'!$A$5:$A$3471,A627,'Futures Data'!$B$5:$B$3471,C627)</f>
        <v>6402</v>
      </c>
      <c r="L627" s="3" t="n">
        <f aca="false">K627-J627</f>
        <v>0</v>
      </c>
      <c r="M627" s="3" t="n">
        <f aca="false">M628+L627</f>
        <v>647</v>
      </c>
      <c r="N627" s="3" t="n">
        <f aca="false">J627+M627</f>
        <v>7049</v>
      </c>
      <c r="O627" s="13" t="n">
        <f aca="false">LN(J627/K626)</f>
        <v>-0.000624609639295098</v>
      </c>
      <c r="P627" s="13" t="n">
        <f aca="false">LN(N627/N626)</f>
        <v>-0.000567295434303636</v>
      </c>
      <c r="Q627" s="3" t="n">
        <f aca="false">SUMIFS('Futures Data'!$D$5:$D$3471,'Futures Data'!$A$5:$A$3471,A627,'Futures Data'!$B$5:$B$3471,B627)</f>
        <v>2255</v>
      </c>
      <c r="R627" s="7" t="n">
        <v>46073</v>
      </c>
      <c r="S627" s="9" t="b">
        <f aca="false">C627=R627</f>
        <v>1</v>
      </c>
      <c r="T627" s="9" t="b">
        <f aca="false">ABS(O627-LN(J627/SUMIFS('Futures Data'!$C$5:$C$3471,'Futures Data'!$A$5:$A$3471,A626,'Futures Data'!$B$5:$B$3471,B627)))&lt;0.000000001</f>
        <v>1</v>
      </c>
    </row>
    <row r="628" customFormat="false" ht="15" hidden="false" customHeight="false" outlineLevel="0" collapsed="false">
      <c r="A628" s="7" t="n">
        <v>46054</v>
      </c>
      <c r="B628" s="11" t="n">
        <f aca="false">C627</f>
        <v>46073</v>
      </c>
      <c r="C628" s="11" t="n">
        <f aca="false">IF(OR(H627,D628&lt;=$G$4),_xlfn.MINIFS('Futures Data'!$B$5:$B$3471,'Futures Data'!$A$5:$A$3471,A628,'Futures Data'!$B$5:$B$3471,"&gt;"&amp;B628),B628)</f>
        <v>46073</v>
      </c>
      <c r="D628" s="3" t="n">
        <f aca="false">COUNTIFS($A$47:$A$790,"&gt;"&amp;A628,$A$47:$A$790,"&lt;="&amp;B628)+IF(B628&gt;$G$5,NETWORKDAYS($G$5+1,B628),0)</f>
        <v>15</v>
      </c>
      <c r="E628" s="3" t="n">
        <f aca="false">SUMIFS('Futures Data'!$E$5:$E$3471,'Futures Data'!$A$5:$A$3471,A628,'Futures Data'!$B$5:$B$3471,C628)</f>
        <v>24260</v>
      </c>
      <c r="F628" s="11" t="n">
        <f aca="false">_xlfn.MINIFS('Futures Data'!$B$5:$B$3471,'Futures Data'!$A$5:$A$3471,A628,'Futures Data'!$B$5:$B$3471,"&gt;"&amp;C628)</f>
        <v>46101</v>
      </c>
      <c r="G628" s="3" t="n">
        <f aca="false">SUMIFS('Futures Data'!$E$5:$E$3471,'Futures Data'!$A$5:$A$3471,A628,'Futures Data'!$B$5:$B$3471,F628)</f>
        <v>10020</v>
      </c>
      <c r="H628" s="9" t="b">
        <f aca="false">G628&gt;E628</f>
        <v>0</v>
      </c>
      <c r="I628" s="9" t="b">
        <f aca="false">C628&lt;&gt;B628</f>
        <v>0</v>
      </c>
      <c r="J628" s="3" t="n">
        <f aca="false">SUMIFS('Futures Data'!$C$5:$C$3471,'Futures Data'!$A$5:$A$3471,A628,'Futures Data'!$B$5:$B$3471,B628)</f>
        <v>6357</v>
      </c>
      <c r="K628" s="3" t="n">
        <f aca="false">SUMIFS('Futures Data'!$C$5:$C$3471,'Futures Data'!$A$5:$A$3471,A628,'Futures Data'!$B$5:$B$3471,C628)</f>
        <v>6357</v>
      </c>
      <c r="L628" s="3" t="n">
        <f aca="false">K628-J628</f>
        <v>0</v>
      </c>
      <c r="M628" s="3" t="n">
        <f aca="false">M629+L628</f>
        <v>647</v>
      </c>
      <c r="N628" s="3" t="n">
        <f aca="false">J628+M628</f>
        <v>7004</v>
      </c>
      <c r="O628" s="13" t="n">
        <f aca="false">LN(J628/K627)</f>
        <v>-0.00705387359339956</v>
      </c>
      <c r="P628" s="13" t="n">
        <f aca="false">LN(N628/N627)</f>
        <v>-0.00640434836813312</v>
      </c>
      <c r="Q628" s="3" t="n">
        <f aca="false">SUMIFS('Futures Data'!$D$5:$D$3471,'Futures Data'!$A$5:$A$3471,A628,'Futures Data'!$B$5:$B$3471,B628)</f>
        <v>1365</v>
      </c>
      <c r="R628" s="7" t="n">
        <v>46073</v>
      </c>
      <c r="S628" s="9" t="b">
        <f aca="false">C628=R628</f>
        <v>1</v>
      </c>
      <c r="T628" s="9" t="b">
        <f aca="false">ABS(O628-LN(J628/SUMIFS('Futures Data'!$C$5:$C$3471,'Futures Data'!$A$5:$A$3471,A627,'Futures Data'!$B$5:$B$3471,B628)))&lt;0.000000001</f>
        <v>1</v>
      </c>
    </row>
    <row r="629" customFormat="false" ht="15" hidden="false" customHeight="false" outlineLevel="0" collapsed="false">
      <c r="A629" s="7" t="n">
        <v>46055</v>
      </c>
      <c r="B629" s="11" t="n">
        <f aca="false">C628</f>
        <v>46073</v>
      </c>
      <c r="C629" s="11" t="n">
        <f aca="false">IF(OR(H628,D629&lt;=$G$4),_xlfn.MINIFS('Futures Data'!$B$5:$B$3471,'Futures Data'!$A$5:$A$3471,A629,'Futures Data'!$B$5:$B$3471,"&gt;"&amp;B629),B629)</f>
        <v>46073</v>
      </c>
      <c r="D629" s="3" t="n">
        <f aca="false">COUNTIFS($A$47:$A$790,"&gt;"&amp;A629,$A$47:$A$790,"&lt;="&amp;B629)+IF(B629&gt;$G$5,NETWORKDAYS($G$5+1,B629),0)</f>
        <v>14</v>
      </c>
      <c r="E629" s="3" t="n">
        <f aca="false">SUMIFS('Futures Data'!$E$5:$E$3471,'Futures Data'!$A$5:$A$3471,A629,'Futures Data'!$B$5:$B$3471,C629)</f>
        <v>24080</v>
      </c>
      <c r="F629" s="11" t="n">
        <f aca="false">_xlfn.MINIFS('Futures Data'!$B$5:$B$3471,'Futures Data'!$A$5:$A$3471,A629,'Futures Data'!$B$5:$B$3471,"&gt;"&amp;C629)</f>
        <v>46101</v>
      </c>
      <c r="G629" s="3" t="n">
        <f aca="false">SUMIFS('Futures Data'!$E$5:$E$3471,'Futures Data'!$A$5:$A$3471,A629,'Futures Data'!$B$5:$B$3471,F629)</f>
        <v>10065</v>
      </c>
      <c r="H629" s="9" t="b">
        <f aca="false">G629&gt;E629</f>
        <v>0</v>
      </c>
      <c r="I629" s="9" t="b">
        <f aca="false">C629&lt;&gt;B629</f>
        <v>0</v>
      </c>
      <c r="J629" s="3" t="n">
        <f aca="false">SUMIFS('Futures Data'!$C$5:$C$3471,'Futures Data'!$A$5:$A$3471,A629,'Futures Data'!$B$5:$B$3471,B629)</f>
        <v>6394</v>
      </c>
      <c r="K629" s="3" t="n">
        <f aca="false">SUMIFS('Futures Data'!$C$5:$C$3471,'Futures Data'!$A$5:$A$3471,A629,'Futures Data'!$B$5:$B$3471,C629)</f>
        <v>6394</v>
      </c>
      <c r="L629" s="3" t="n">
        <f aca="false">K629-J629</f>
        <v>0</v>
      </c>
      <c r="M629" s="3" t="n">
        <f aca="false">M630+L629</f>
        <v>647</v>
      </c>
      <c r="N629" s="3" t="n">
        <f aca="false">J629+M629</f>
        <v>7041</v>
      </c>
      <c r="O629" s="13" t="n">
        <f aca="false">LN(J629/K628)</f>
        <v>0.0058034826833781</v>
      </c>
      <c r="P629" s="13" t="n">
        <f aca="false">LN(N629/N628)</f>
        <v>0.00526879111339082</v>
      </c>
      <c r="Q629" s="3" t="n">
        <f aca="false">SUMIFS('Futures Data'!$D$5:$D$3471,'Futures Data'!$A$5:$A$3471,A629,'Futures Data'!$B$5:$B$3471,B629)</f>
        <v>1670</v>
      </c>
      <c r="R629" s="7" t="n">
        <v>46073</v>
      </c>
      <c r="S629" s="9" t="b">
        <f aca="false">C629=R629</f>
        <v>1</v>
      </c>
      <c r="T629" s="9" t="b">
        <f aca="false">ABS(O629-LN(J629/SUMIFS('Futures Data'!$C$5:$C$3471,'Futures Data'!$A$5:$A$3471,A628,'Futures Data'!$B$5:$B$3471,B629)))&lt;0.000000001</f>
        <v>1</v>
      </c>
    </row>
    <row r="630" customFormat="false" ht="15" hidden="false" customHeight="false" outlineLevel="0" collapsed="false">
      <c r="A630" s="7" t="n">
        <v>46056</v>
      </c>
      <c r="B630" s="11" t="n">
        <f aca="false">C629</f>
        <v>46073</v>
      </c>
      <c r="C630" s="11" t="n">
        <f aca="false">IF(OR(H629,D630&lt;=$G$4),_xlfn.MINIFS('Futures Data'!$B$5:$B$3471,'Futures Data'!$A$5:$A$3471,A630,'Futures Data'!$B$5:$B$3471,"&gt;"&amp;B630),B630)</f>
        <v>46073</v>
      </c>
      <c r="D630" s="3" t="n">
        <f aca="false">COUNTIFS($A$47:$A$790,"&gt;"&amp;A630,$A$47:$A$790,"&lt;="&amp;B630)+IF(B630&gt;$G$5,NETWORKDAYS($G$5+1,B630),0)</f>
        <v>13</v>
      </c>
      <c r="E630" s="3" t="n">
        <f aca="false">SUMIFS('Futures Data'!$E$5:$E$3471,'Futures Data'!$A$5:$A$3471,A630,'Futures Data'!$B$5:$B$3471,C630)</f>
        <v>23600</v>
      </c>
      <c r="F630" s="11" t="n">
        <f aca="false">_xlfn.MINIFS('Futures Data'!$B$5:$B$3471,'Futures Data'!$A$5:$A$3471,A630,'Futures Data'!$B$5:$B$3471,"&gt;"&amp;C630)</f>
        <v>46101</v>
      </c>
      <c r="G630" s="3" t="n">
        <f aca="false">SUMIFS('Futures Data'!$E$5:$E$3471,'Futures Data'!$A$5:$A$3471,A630,'Futures Data'!$B$5:$B$3471,F630)</f>
        <v>10805</v>
      </c>
      <c r="H630" s="9" t="b">
        <f aca="false">G630&gt;E630</f>
        <v>0</v>
      </c>
      <c r="I630" s="9" t="b">
        <f aca="false">C630&lt;&gt;B630</f>
        <v>0</v>
      </c>
      <c r="J630" s="3" t="n">
        <f aca="false">SUMIFS('Futures Data'!$C$5:$C$3471,'Futures Data'!$A$5:$A$3471,A630,'Futures Data'!$B$5:$B$3471,B630)</f>
        <v>6349</v>
      </c>
      <c r="K630" s="3" t="n">
        <f aca="false">SUMIFS('Futures Data'!$C$5:$C$3471,'Futures Data'!$A$5:$A$3471,A630,'Futures Data'!$B$5:$B$3471,C630)</f>
        <v>6349</v>
      </c>
      <c r="L630" s="3" t="n">
        <f aca="false">K630-J630</f>
        <v>0</v>
      </c>
      <c r="M630" s="3" t="n">
        <f aca="false">M631+L630</f>
        <v>647</v>
      </c>
      <c r="N630" s="3" t="n">
        <f aca="false">J630+M630</f>
        <v>6996</v>
      </c>
      <c r="O630" s="13" t="n">
        <f aca="false">LN(J630/K629)</f>
        <v>-0.0070627304493368</v>
      </c>
      <c r="P630" s="13" t="n">
        <f aca="false">LN(N630/N629)</f>
        <v>-0.00641164838064048</v>
      </c>
      <c r="Q630" s="3" t="n">
        <f aca="false">SUMIFS('Futures Data'!$D$5:$D$3471,'Futures Data'!$A$5:$A$3471,A630,'Futures Data'!$B$5:$B$3471,B630)</f>
        <v>2520</v>
      </c>
      <c r="R630" s="7" t="n">
        <v>46073</v>
      </c>
      <c r="S630" s="9" t="b">
        <f aca="false">C630=R630</f>
        <v>1</v>
      </c>
      <c r="T630" s="9" t="b">
        <f aca="false">ABS(O630-LN(J630/SUMIFS('Futures Data'!$C$5:$C$3471,'Futures Data'!$A$5:$A$3471,A629,'Futures Data'!$B$5:$B$3471,B630)))&lt;0.000000001</f>
        <v>1</v>
      </c>
    </row>
    <row r="631" customFormat="false" ht="15" hidden="false" customHeight="false" outlineLevel="0" collapsed="false">
      <c r="A631" s="7" t="n">
        <v>46057</v>
      </c>
      <c r="B631" s="11" t="n">
        <f aca="false">C630</f>
        <v>46073</v>
      </c>
      <c r="C631" s="11" t="n">
        <f aca="false">IF(OR(H630,D631&lt;=$G$4),_xlfn.MINIFS('Futures Data'!$B$5:$B$3471,'Futures Data'!$A$5:$A$3471,A631,'Futures Data'!$B$5:$B$3471,"&gt;"&amp;B631),B631)</f>
        <v>46073</v>
      </c>
      <c r="D631" s="3" t="n">
        <f aca="false">COUNTIFS($A$47:$A$790,"&gt;"&amp;A631,$A$47:$A$790,"&lt;="&amp;B631)+IF(B631&gt;$G$5,NETWORKDAYS($G$5+1,B631),0)</f>
        <v>12</v>
      </c>
      <c r="E631" s="3" t="n">
        <f aca="false">SUMIFS('Futures Data'!$E$5:$E$3471,'Futures Data'!$A$5:$A$3471,A631,'Futures Data'!$B$5:$B$3471,C631)</f>
        <v>22915</v>
      </c>
      <c r="F631" s="11" t="n">
        <f aca="false">_xlfn.MINIFS('Futures Data'!$B$5:$B$3471,'Futures Data'!$A$5:$A$3471,A631,'Futures Data'!$B$5:$B$3471,"&gt;"&amp;C631)</f>
        <v>46101</v>
      </c>
      <c r="G631" s="3" t="n">
        <f aca="false">SUMIFS('Futures Data'!$E$5:$E$3471,'Futures Data'!$A$5:$A$3471,A631,'Futures Data'!$B$5:$B$3471,F631)</f>
        <v>11255</v>
      </c>
      <c r="H631" s="9" t="b">
        <f aca="false">G631&gt;E631</f>
        <v>0</v>
      </c>
      <c r="I631" s="9" t="b">
        <f aca="false">C631&lt;&gt;B631</f>
        <v>0</v>
      </c>
      <c r="J631" s="3" t="n">
        <f aca="false">SUMIFS('Futures Data'!$C$5:$C$3471,'Futures Data'!$A$5:$A$3471,A631,'Futures Data'!$B$5:$B$3471,B631)</f>
        <v>6392</v>
      </c>
      <c r="K631" s="3" t="n">
        <f aca="false">SUMIFS('Futures Data'!$C$5:$C$3471,'Futures Data'!$A$5:$A$3471,A631,'Futures Data'!$B$5:$B$3471,C631)</f>
        <v>6392</v>
      </c>
      <c r="L631" s="3" t="n">
        <f aca="false">K631-J631</f>
        <v>0</v>
      </c>
      <c r="M631" s="3" t="n">
        <f aca="false">M632+L631</f>
        <v>647</v>
      </c>
      <c r="N631" s="3" t="n">
        <f aca="false">J631+M631</f>
        <v>7039</v>
      </c>
      <c r="O631" s="13" t="n">
        <f aca="false">LN(J631/K630)</f>
        <v>0.0067498882756608</v>
      </c>
      <c r="P631" s="13" t="n">
        <f aca="false">LN(N631/N630)</f>
        <v>0.00612755746963894</v>
      </c>
      <c r="Q631" s="3" t="n">
        <f aca="false">SUMIFS('Futures Data'!$D$5:$D$3471,'Futures Data'!$A$5:$A$3471,A631,'Futures Data'!$B$5:$B$3471,B631)</f>
        <v>1550</v>
      </c>
      <c r="R631" s="7" t="n">
        <v>46073</v>
      </c>
      <c r="S631" s="9" t="b">
        <f aca="false">C631=R631</f>
        <v>1</v>
      </c>
      <c r="T631" s="9" t="b">
        <f aca="false">ABS(O631-LN(J631/SUMIFS('Futures Data'!$C$5:$C$3471,'Futures Data'!$A$5:$A$3471,A630,'Futures Data'!$B$5:$B$3471,B631)))&lt;0.000000001</f>
        <v>1</v>
      </c>
    </row>
    <row r="632" customFormat="false" ht="15" hidden="false" customHeight="false" outlineLevel="0" collapsed="false">
      <c r="A632" s="7" t="n">
        <v>46058</v>
      </c>
      <c r="B632" s="11" t="n">
        <f aca="false">C631</f>
        <v>46073</v>
      </c>
      <c r="C632" s="11" t="n">
        <f aca="false">IF(OR(H631,D632&lt;=$G$4),_xlfn.MINIFS('Futures Data'!$B$5:$B$3471,'Futures Data'!$A$5:$A$3471,A632,'Futures Data'!$B$5:$B$3471,"&gt;"&amp;B632),B632)</f>
        <v>46073</v>
      </c>
      <c r="D632" s="3" t="n">
        <f aca="false">COUNTIFS($A$47:$A$790,"&gt;"&amp;A632,$A$47:$A$790,"&lt;="&amp;B632)+IF(B632&gt;$G$5,NETWORKDAYS($G$5+1,B632),0)</f>
        <v>11</v>
      </c>
      <c r="E632" s="3" t="n">
        <f aca="false">SUMIFS('Futures Data'!$E$5:$E$3471,'Futures Data'!$A$5:$A$3471,A632,'Futures Data'!$B$5:$B$3471,C632)</f>
        <v>21235</v>
      </c>
      <c r="F632" s="11" t="n">
        <f aca="false">_xlfn.MINIFS('Futures Data'!$B$5:$B$3471,'Futures Data'!$A$5:$A$3471,A632,'Futures Data'!$B$5:$B$3471,"&gt;"&amp;C632)</f>
        <v>46101</v>
      </c>
      <c r="G632" s="3" t="n">
        <f aca="false">SUMIFS('Futures Data'!$E$5:$E$3471,'Futures Data'!$A$5:$A$3471,A632,'Futures Data'!$B$5:$B$3471,F632)</f>
        <v>11960</v>
      </c>
      <c r="H632" s="9" t="b">
        <f aca="false">G632&gt;E632</f>
        <v>0</v>
      </c>
      <c r="I632" s="9" t="b">
        <f aca="false">C632&lt;&gt;B632</f>
        <v>0</v>
      </c>
      <c r="J632" s="3" t="n">
        <f aca="false">SUMIFS('Futures Data'!$C$5:$C$3471,'Futures Data'!$A$5:$A$3471,A632,'Futures Data'!$B$5:$B$3471,B632)</f>
        <v>6433</v>
      </c>
      <c r="K632" s="3" t="n">
        <f aca="false">SUMIFS('Futures Data'!$C$5:$C$3471,'Futures Data'!$A$5:$A$3471,A632,'Futures Data'!$B$5:$B$3471,C632)</f>
        <v>6433</v>
      </c>
      <c r="L632" s="3" t="n">
        <f aca="false">K632-J632</f>
        <v>0</v>
      </c>
      <c r="M632" s="3" t="n">
        <f aca="false">M633+L632</f>
        <v>647</v>
      </c>
      <c r="N632" s="3" t="n">
        <f aca="false">J632+M632</f>
        <v>7080</v>
      </c>
      <c r="O632" s="13" t="n">
        <f aca="false">LN(J632/K631)</f>
        <v>0.00639378396488986</v>
      </c>
      <c r="P632" s="13" t="n">
        <f aca="false">LN(N632/N631)</f>
        <v>0.00580779307963375</v>
      </c>
      <c r="Q632" s="3" t="n">
        <f aca="false">SUMIFS('Futures Data'!$D$5:$D$3471,'Futures Data'!$A$5:$A$3471,A632,'Futures Data'!$B$5:$B$3471,B632)</f>
        <v>3700</v>
      </c>
      <c r="R632" s="7" t="n">
        <v>46073</v>
      </c>
      <c r="S632" s="9" t="b">
        <f aca="false">C632=R632</f>
        <v>1</v>
      </c>
      <c r="T632" s="9" t="b">
        <f aca="false">ABS(O632-LN(J632/SUMIFS('Futures Data'!$C$5:$C$3471,'Futures Data'!$A$5:$A$3471,A631,'Futures Data'!$B$5:$B$3471,B632)))&lt;0.000000001</f>
        <v>1</v>
      </c>
    </row>
    <row r="633" customFormat="false" ht="15" hidden="false" customHeight="false" outlineLevel="0" collapsed="false">
      <c r="A633" s="7" t="n">
        <v>46059</v>
      </c>
      <c r="B633" s="11" t="n">
        <f aca="false">C632</f>
        <v>46073</v>
      </c>
      <c r="C633" s="11" t="n">
        <f aca="false">IF(OR(H632,D633&lt;=$G$4),_xlfn.MINIFS('Futures Data'!$B$5:$B$3471,'Futures Data'!$A$5:$A$3471,A633,'Futures Data'!$B$5:$B$3471,"&gt;"&amp;B633),B633)</f>
        <v>46073</v>
      </c>
      <c r="D633" s="3" t="n">
        <f aca="false">COUNTIFS($A$47:$A$790,"&gt;"&amp;A633,$A$47:$A$790,"&lt;="&amp;B633)+IF(B633&gt;$G$5,NETWORKDAYS($G$5+1,B633),0)</f>
        <v>10</v>
      </c>
      <c r="E633" s="3" t="n">
        <f aca="false">SUMIFS('Futures Data'!$E$5:$E$3471,'Futures Data'!$A$5:$A$3471,A633,'Futures Data'!$B$5:$B$3471,C633)</f>
        <v>18935</v>
      </c>
      <c r="F633" s="11" t="n">
        <f aca="false">_xlfn.MINIFS('Futures Data'!$B$5:$B$3471,'Futures Data'!$A$5:$A$3471,A633,'Futures Data'!$B$5:$B$3471,"&gt;"&amp;C633)</f>
        <v>46101</v>
      </c>
      <c r="G633" s="3" t="n">
        <f aca="false">SUMIFS('Futures Data'!$E$5:$E$3471,'Futures Data'!$A$5:$A$3471,A633,'Futures Data'!$B$5:$B$3471,F633)</f>
        <v>13305</v>
      </c>
      <c r="H633" s="9" t="b">
        <f aca="false">G633&gt;E633</f>
        <v>0</v>
      </c>
      <c r="I633" s="9" t="b">
        <f aca="false">C633&lt;&gt;B633</f>
        <v>0</v>
      </c>
      <c r="J633" s="3" t="n">
        <f aca="false">SUMIFS('Futures Data'!$C$5:$C$3471,'Futures Data'!$A$5:$A$3471,A633,'Futures Data'!$B$5:$B$3471,B633)</f>
        <v>6393</v>
      </c>
      <c r="K633" s="3" t="n">
        <f aca="false">SUMIFS('Futures Data'!$C$5:$C$3471,'Futures Data'!$A$5:$A$3471,A633,'Futures Data'!$B$5:$B$3471,C633)</f>
        <v>6393</v>
      </c>
      <c r="L633" s="3" t="n">
        <f aca="false">K633-J633</f>
        <v>0</v>
      </c>
      <c r="M633" s="3" t="n">
        <f aca="false">M634+L633</f>
        <v>647</v>
      </c>
      <c r="N633" s="3" t="n">
        <f aca="false">J633+M633</f>
        <v>7040</v>
      </c>
      <c r="O633" s="13" t="n">
        <f aca="false">LN(J633/K632)</f>
        <v>-0.00623735064427348</v>
      </c>
      <c r="P633" s="13" t="n">
        <f aca="false">LN(N633/N632)</f>
        <v>-0.00566573753567731</v>
      </c>
      <c r="Q633" s="3" t="n">
        <f aca="false">SUMIFS('Futures Data'!$D$5:$D$3471,'Futures Data'!$A$5:$A$3471,A633,'Futures Data'!$B$5:$B$3471,B633)</f>
        <v>4810</v>
      </c>
      <c r="R633" s="7" t="n">
        <v>46073</v>
      </c>
      <c r="S633" s="9" t="b">
        <f aca="false">C633=R633</f>
        <v>1</v>
      </c>
      <c r="T633" s="9" t="b">
        <f aca="false">ABS(O633-LN(J633/SUMIFS('Futures Data'!$C$5:$C$3471,'Futures Data'!$A$5:$A$3471,A632,'Futures Data'!$B$5:$B$3471,B633)))&lt;0.000000001</f>
        <v>1</v>
      </c>
    </row>
    <row r="634" customFormat="false" ht="15" hidden="false" customHeight="false" outlineLevel="0" collapsed="false">
      <c r="A634" s="7" t="n">
        <v>46062</v>
      </c>
      <c r="B634" s="11" t="n">
        <f aca="false">C633</f>
        <v>46073</v>
      </c>
      <c r="C634" s="11" t="n">
        <f aca="false">IF(OR(H633,D634&lt;=$G$4),_xlfn.MINIFS('Futures Data'!$B$5:$B$3471,'Futures Data'!$A$5:$A$3471,A634,'Futures Data'!$B$5:$B$3471,"&gt;"&amp;B634),B634)</f>
        <v>46073</v>
      </c>
      <c r="D634" s="3" t="n">
        <f aca="false">COUNTIFS($A$47:$A$790,"&gt;"&amp;A634,$A$47:$A$790,"&lt;="&amp;B634)+IF(B634&gt;$G$5,NETWORKDAYS($G$5+1,B634),0)</f>
        <v>9</v>
      </c>
      <c r="E634" s="3" t="n">
        <f aca="false">SUMIFS('Futures Data'!$E$5:$E$3471,'Futures Data'!$A$5:$A$3471,A634,'Futures Data'!$B$5:$B$3471,C634)</f>
        <v>17505</v>
      </c>
      <c r="F634" s="11" t="n">
        <f aca="false">_xlfn.MINIFS('Futures Data'!$B$5:$B$3471,'Futures Data'!$A$5:$A$3471,A634,'Futures Data'!$B$5:$B$3471,"&gt;"&amp;C634)</f>
        <v>46101</v>
      </c>
      <c r="G634" s="3" t="n">
        <f aca="false">SUMIFS('Futures Data'!$E$5:$E$3471,'Futures Data'!$A$5:$A$3471,A634,'Futures Data'!$B$5:$B$3471,F634)</f>
        <v>14085</v>
      </c>
      <c r="H634" s="9" t="b">
        <f aca="false">G634&gt;E634</f>
        <v>0</v>
      </c>
      <c r="I634" s="9" t="b">
        <f aca="false">C634&lt;&gt;B634</f>
        <v>0</v>
      </c>
      <c r="J634" s="3" t="n">
        <f aca="false">SUMIFS('Futures Data'!$C$5:$C$3471,'Futures Data'!$A$5:$A$3471,A634,'Futures Data'!$B$5:$B$3471,B634)</f>
        <v>6437</v>
      </c>
      <c r="K634" s="3" t="n">
        <f aca="false">SUMIFS('Futures Data'!$C$5:$C$3471,'Futures Data'!$A$5:$A$3471,A634,'Futures Data'!$B$5:$B$3471,C634)</f>
        <v>6437</v>
      </c>
      <c r="L634" s="3" t="n">
        <f aca="false">K634-J634</f>
        <v>0</v>
      </c>
      <c r="M634" s="3" t="n">
        <f aca="false">M635+L634</f>
        <v>647</v>
      </c>
      <c r="N634" s="3" t="n">
        <f aca="false">J634+M634</f>
        <v>7084</v>
      </c>
      <c r="O634" s="13" t="n">
        <f aca="false">LN(J634/K633)</f>
        <v>0.00685895128588897</v>
      </c>
      <c r="P634" s="13" t="n">
        <f aca="false">LN(N634/N633)</f>
        <v>0.00623054975063616</v>
      </c>
      <c r="Q634" s="3" t="n">
        <f aca="false">SUMIFS('Futures Data'!$D$5:$D$3471,'Futures Data'!$A$5:$A$3471,A634,'Futures Data'!$B$5:$B$3471,B634)</f>
        <v>3785</v>
      </c>
      <c r="R634" s="7" t="n">
        <v>46073</v>
      </c>
      <c r="S634" s="9" t="b">
        <f aca="false">C634=R634</f>
        <v>1</v>
      </c>
      <c r="T634" s="9" t="b">
        <f aca="false">ABS(O634-LN(J634/SUMIFS('Futures Data'!$C$5:$C$3471,'Futures Data'!$A$5:$A$3471,A633,'Futures Data'!$B$5:$B$3471,B634)))&lt;0.000000001</f>
        <v>1</v>
      </c>
    </row>
    <row r="635" customFormat="false" ht="15" hidden="false" customHeight="false" outlineLevel="0" collapsed="false">
      <c r="A635" s="7" t="n">
        <v>46063</v>
      </c>
      <c r="B635" s="11" t="n">
        <f aca="false">C634</f>
        <v>46073</v>
      </c>
      <c r="C635" s="11" t="n">
        <f aca="false">IF(OR(H634,D635&lt;=$G$4),_xlfn.MINIFS('Futures Data'!$B$5:$B$3471,'Futures Data'!$A$5:$A$3471,A635,'Futures Data'!$B$5:$B$3471,"&gt;"&amp;B635),B635)</f>
        <v>46073</v>
      </c>
      <c r="D635" s="3" t="n">
        <f aca="false">COUNTIFS($A$47:$A$790,"&gt;"&amp;A635,$A$47:$A$790,"&lt;="&amp;B635)+IF(B635&gt;$G$5,NETWORKDAYS($G$5+1,B635),0)</f>
        <v>8</v>
      </c>
      <c r="E635" s="3" t="n">
        <f aca="false">SUMIFS('Futures Data'!$E$5:$E$3471,'Futures Data'!$A$5:$A$3471,A635,'Futures Data'!$B$5:$B$3471,C635)</f>
        <v>14365</v>
      </c>
      <c r="F635" s="11" t="n">
        <f aca="false">_xlfn.MINIFS('Futures Data'!$B$5:$B$3471,'Futures Data'!$A$5:$A$3471,A635,'Futures Data'!$B$5:$B$3471,"&gt;"&amp;C635)</f>
        <v>46101</v>
      </c>
      <c r="G635" s="3" t="n">
        <f aca="false">SUMIFS('Futures Data'!$E$5:$E$3471,'Futures Data'!$A$5:$A$3471,A635,'Futures Data'!$B$5:$B$3471,F635)</f>
        <v>15970</v>
      </c>
      <c r="H635" s="9" t="b">
        <f aca="false">G635&gt;E635</f>
        <v>1</v>
      </c>
      <c r="I635" s="9" t="b">
        <f aca="false">C635&lt;&gt;B635</f>
        <v>0</v>
      </c>
      <c r="J635" s="3" t="n">
        <f aca="false">SUMIFS('Futures Data'!$C$5:$C$3471,'Futures Data'!$A$5:$A$3471,A635,'Futures Data'!$B$5:$B$3471,B635)</f>
        <v>6450</v>
      </c>
      <c r="K635" s="3" t="n">
        <f aca="false">SUMIFS('Futures Data'!$C$5:$C$3471,'Futures Data'!$A$5:$A$3471,A635,'Futures Data'!$B$5:$B$3471,C635)</f>
        <v>6450</v>
      </c>
      <c r="L635" s="3" t="n">
        <f aca="false">K635-J635</f>
        <v>0</v>
      </c>
      <c r="M635" s="3" t="n">
        <f aca="false">M636+L635</f>
        <v>647</v>
      </c>
      <c r="N635" s="3" t="n">
        <f aca="false">J635+M635</f>
        <v>7097</v>
      </c>
      <c r="O635" s="13" t="n">
        <f aca="false">LN(J635/K634)</f>
        <v>0.00201753773720242</v>
      </c>
      <c r="P635" s="13" t="n">
        <f aca="false">LN(N635/N634)</f>
        <v>0.00183343962225867</v>
      </c>
      <c r="Q635" s="3" t="n">
        <f aca="false">SUMIFS('Futures Data'!$D$5:$D$3471,'Futures Data'!$A$5:$A$3471,A635,'Futures Data'!$B$5:$B$3471,B635)</f>
        <v>4790</v>
      </c>
      <c r="R635" s="7" t="n">
        <v>46073</v>
      </c>
      <c r="S635" s="9" t="b">
        <f aca="false">C635=R635</f>
        <v>1</v>
      </c>
      <c r="T635" s="9" t="b">
        <f aca="false">ABS(O635-LN(J635/SUMIFS('Futures Data'!$C$5:$C$3471,'Futures Data'!$A$5:$A$3471,A634,'Futures Data'!$B$5:$B$3471,B635)))&lt;0.000000001</f>
        <v>1</v>
      </c>
    </row>
    <row r="636" customFormat="false" ht="15" hidden="false" customHeight="false" outlineLevel="0" collapsed="false">
      <c r="A636" s="7" t="n">
        <v>46064</v>
      </c>
      <c r="B636" s="11" t="n">
        <f aca="false">C635</f>
        <v>46073</v>
      </c>
      <c r="C636" s="11" t="n">
        <f aca="false">IF(OR(H635,D636&lt;=$G$4),_xlfn.MINIFS('Futures Data'!$B$5:$B$3471,'Futures Data'!$A$5:$A$3471,A636,'Futures Data'!$B$5:$B$3471,"&gt;"&amp;B636),B636)</f>
        <v>46101</v>
      </c>
      <c r="D636" s="3" t="n">
        <f aca="false">COUNTIFS($A$47:$A$790,"&gt;"&amp;A636,$A$47:$A$790,"&lt;="&amp;B636)+IF(B636&gt;$G$5,NETWORKDAYS($G$5+1,B636),0)</f>
        <v>7</v>
      </c>
      <c r="E636" s="3" t="n">
        <f aca="false">SUMIFS('Futures Data'!$E$5:$E$3471,'Futures Data'!$A$5:$A$3471,A636,'Futures Data'!$B$5:$B$3471,C636)</f>
        <v>17575</v>
      </c>
      <c r="F636" s="11" t="n">
        <f aca="false">_xlfn.MINIFS('Futures Data'!$B$5:$B$3471,'Futures Data'!$A$5:$A$3471,A636,'Futures Data'!$B$5:$B$3471,"&gt;"&amp;C636)</f>
        <v>46132</v>
      </c>
      <c r="G636" s="3" t="n">
        <f aca="false">SUMIFS('Futures Data'!$E$5:$E$3471,'Futures Data'!$A$5:$A$3471,A636,'Futures Data'!$B$5:$B$3471,F636)</f>
        <v>2670</v>
      </c>
      <c r="H636" s="9" t="b">
        <f aca="false">G636&gt;E636</f>
        <v>0</v>
      </c>
      <c r="I636" s="9" t="b">
        <f aca="false">C636&lt;&gt;B636</f>
        <v>1</v>
      </c>
      <c r="J636" s="3" t="n">
        <f aca="false">SUMIFS('Futures Data'!$C$5:$C$3471,'Futures Data'!$A$5:$A$3471,A636,'Futures Data'!$B$5:$B$3471,B636)</f>
        <v>6388</v>
      </c>
      <c r="K636" s="3" t="n">
        <f aca="false">SUMIFS('Futures Data'!$C$5:$C$3471,'Futures Data'!$A$5:$A$3471,A636,'Futures Data'!$B$5:$B$3471,C636)</f>
        <v>6445</v>
      </c>
      <c r="L636" s="3" t="n">
        <f aca="false">K636-J636</f>
        <v>57</v>
      </c>
      <c r="M636" s="3" t="n">
        <f aca="false">M637+L636</f>
        <v>647</v>
      </c>
      <c r="N636" s="3" t="n">
        <f aca="false">J636+M636</f>
        <v>7035</v>
      </c>
      <c r="O636" s="13" t="n">
        <f aca="false">LN(J636/K635)</f>
        <v>-0.00965890045491509</v>
      </c>
      <c r="P636" s="13" t="n">
        <f aca="false">LN(N636/N635)</f>
        <v>-0.00877446897649347</v>
      </c>
      <c r="Q636" s="3" t="n">
        <f aca="false">SUMIFS('Futures Data'!$D$5:$D$3471,'Futures Data'!$A$5:$A$3471,A636,'Futures Data'!$B$5:$B$3471,B636)</f>
        <v>4030</v>
      </c>
      <c r="R636" s="7" t="n">
        <v>46101</v>
      </c>
      <c r="S636" s="9" t="b">
        <f aca="false">C636=R636</f>
        <v>1</v>
      </c>
      <c r="T636" s="9" t="b">
        <f aca="false">ABS(O636-LN(J636/SUMIFS('Futures Data'!$C$5:$C$3471,'Futures Data'!$A$5:$A$3471,A635,'Futures Data'!$B$5:$B$3471,B636)))&lt;0.000000001</f>
        <v>1</v>
      </c>
    </row>
    <row r="637" customFormat="false" ht="15" hidden="false" customHeight="false" outlineLevel="0" collapsed="false">
      <c r="A637" s="7" t="n">
        <v>46065</v>
      </c>
      <c r="B637" s="11" t="n">
        <f aca="false">C636</f>
        <v>46101</v>
      </c>
      <c r="C637" s="11" t="n">
        <f aca="false">IF(OR(H636,D637&lt;=$G$4),_xlfn.MINIFS('Futures Data'!$B$5:$B$3471,'Futures Data'!$A$5:$A$3471,A637,'Futures Data'!$B$5:$B$3471,"&gt;"&amp;B637),B637)</f>
        <v>46101</v>
      </c>
      <c r="D637" s="3" t="n">
        <f aca="false">COUNTIFS($A$47:$A$790,"&gt;"&amp;A637,$A$47:$A$790,"&lt;="&amp;B637)+IF(B637&gt;$G$5,NETWORKDAYS($G$5+1,B637),0)</f>
        <v>25</v>
      </c>
      <c r="E637" s="3" t="n">
        <f aca="false">SUMIFS('Futures Data'!$E$5:$E$3471,'Futures Data'!$A$5:$A$3471,A637,'Futures Data'!$B$5:$B$3471,C637)</f>
        <v>18395</v>
      </c>
      <c r="F637" s="11" t="n">
        <f aca="false">_xlfn.MINIFS('Futures Data'!$B$5:$B$3471,'Futures Data'!$A$5:$A$3471,A637,'Futures Data'!$B$5:$B$3471,"&gt;"&amp;C637)</f>
        <v>46132</v>
      </c>
      <c r="G637" s="3" t="n">
        <f aca="false">SUMIFS('Futures Data'!$E$5:$E$3471,'Futures Data'!$A$5:$A$3471,A637,'Futures Data'!$B$5:$B$3471,F637)</f>
        <v>3030</v>
      </c>
      <c r="H637" s="9" t="b">
        <f aca="false">G637&gt;E637</f>
        <v>0</v>
      </c>
      <c r="I637" s="9" t="b">
        <f aca="false">C637&lt;&gt;B637</f>
        <v>0</v>
      </c>
      <c r="J637" s="3" t="n">
        <f aca="false">SUMIFS('Futures Data'!$C$5:$C$3471,'Futures Data'!$A$5:$A$3471,A637,'Futures Data'!$B$5:$B$3471,B637)</f>
        <v>6409</v>
      </c>
      <c r="K637" s="3" t="n">
        <f aca="false">SUMIFS('Futures Data'!$C$5:$C$3471,'Futures Data'!$A$5:$A$3471,A637,'Futures Data'!$B$5:$B$3471,C637)</f>
        <v>6409</v>
      </c>
      <c r="L637" s="3" t="n">
        <f aca="false">K637-J637</f>
        <v>0</v>
      </c>
      <c r="M637" s="3" t="n">
        <f aca="false">M638+L637</f>
        <v>590</v>
      </c>
      <c r="N637" s="3" t="n">
        <f aca="false">J637+M637</f>
        <v>6999</v>
      </c>
      <c r="O637" s="13" t="n">
        <f aca="false">LN(J637/K636)</f>
        <v>-0.00560138386906097</v>
      </c>
      <c r="P637" s="13" t="n">
        <f aca="false">LN(N637/N636)</f>
        <v>-0.00513040885894974</v>
      </c>
      <c r="Q637" s="3" t="n">
        <f aca="false">SUMIFS('Futures Data'!$D$5:$D$3471,'Futures Data'!$A$5:$A$3471,A637,'Futures Data'!$B$5:$B$3471,B637)</f>
        <v>3220</v>
      </c>
      <c r="R637" s="7" t="n">
        <v>46101</v>
      </c>
      <c r="S637" s="9" t="b">
        <f aca="false">C637=R637</f>
        <v>1</v>
      </c>
      <c r="T637" s="9" t="b">
        <f aca="false">ABS(O637-LN(J637/SUMIFS('Futures Data'!$C$5:$C$3471,'Futures Data'!$A$5:$A$3471,A636,'Futures Data'!$B$5:$B$3471,B637)))&lt;0.000000001</f>
        <v>1</v>
      </c>
    </row>
    <row r="638" customFormat="false" ht="15" hidden="false" customHeight="false" outlineLevel="0" collapsed="false">
      <c r="A638" s="7" t="n">
        <v>46066</v>
      </c>
      <c r="B638" s="11" t="n">
        <f aca="false">C637</f>
        <v>46101</v>
      </c>
      <c r="C638" s="11" t="n">
        <f aca="false">IF(OR(H637,D638&lt;=$G$4),_xlfn.MINIFS('Futures Data'!$B$5:$B$3471,'Futures Data'!$A$5:$A$3471,A638,'Futures Data'!$B$5:$B$3471,"&gt;"&amp;B638),B638)</f>
        <v>46101</v>
      </c>
      <c r="D638" s="3" t="n">
        <f aca="false">COUNTIFS($A$47:$A$790,"&gt;"&amp;A638,$A$47:$A$790,"&lt;="&amp;B638)+IF(B638&gt;$G$5,NETWORKDAYS($G$5+1,B638),0)</f>
        <v>24</v>
      </c>
      <c r="E638" s="3" t="n">
        <f aca="false">SUMIFS('Futures Data'!$E$5:$E$3471,'Futures Data'!$A$5:$A$3471,A638,'Futures Data'!$B$5:$B$3471,C638)</f>
        <v>20770</v>
      </c>
      <c r="F638" s="11" t="n">
        <f aca="false">_xlfn.MINIFS('Futures Data'!$B$5:$B$3471,'Futures Data'!$A$5:$A$3471,A638,'Futures Data'!$B$5:$B$3471,"&gt;"&amp;C638)</f>
        <v>46132</v>
      </c>
      <c r="G638" s="3" t="n">
        <f aca="false">SUMIFS('Futures Data'!$E$5:$E$3471,'Futures Data'!$A$5:$A$3471,A638,'Futures Data'!$B$5:$B$3471,F638)</f>
        <v>4020</v>
      </c>
      <c r="H638" s="9" t="b">
        <f aca="false">G638&gt;E638</f>
        <v>0</v>
      </c>
      <c r="I638" s="9" t="b">
        <f aca="false">C638&lt;&gt;B638</f>
        <v>0</v>
      </c>
      <c r="J638" s="3" t="n">
        <f aca="false">SUMIFS('Futures Data'!$C$5:$C$3471,'Futures Data'!$A$5:$A$3471,A638,'Futures Data'!$B$5:$B$3471,B638)</f>
        <v>6436</v>
      </c>
      <c r="K638" s="3" t="n">
        <f aca="false">SUMIFS('Futures Data'!$C$5:$C$3471,'Futures Data'!$A$5:$A$3471,A638,'Futures Data'!$B$5:$B$3471,C638)</f>
        <v>6436</v>
      </c>
      <c r="L638" s="3" t="n">
        <f aca="false">K638-J638</f>
        <v>0</v>
      </c>
      <c r="M638" s="3" t="n">
        <f aca="false">M639+L638</f>
        <v>590</v>
      </c>
      <c r="N638" s="3" t="n">
        <f aca="false">J638+M638</f>
        <v>7026</v>
      </c>
      <c r="O638" s="13" t="n">
        <f aca="false">LN(J638/K637)</f>
        <v>0.00420397660804692</v>
      </c>
      <c r="P638" s="13" t="n">
        <f aca="false">LN(N638/N637)</f>
        <v>0.00385027213623276</v>
      </c>
      <c r="Q638" s="3" t="n">
        <f aca="false">SUMIFS('Futures Data'!$D$5:$D$3471,'Futures Data'!$A$5:$A$3471,A638,'Futures Data'!$B$5:$B$3471,B638)</f>
        <v>6480</v>
      </c>
      <c r="R638" s="7" t="n">
        <v>46101</v>
      </c>
      <c r="S638" s="9" t="b">
        <f aca="false">C638=R638</f>
        <v>1</v>
      </c>
      <c r="T638" s="9" t="b">
        <f aca="false">ABS(O638-LN(J638/SUMIFS('Futures Data'!$C$5:$C$3471,'Futures Data'!$A$5:$A$3471,A637,'Futures Data'!$B$5:$B$3471,B638)))&lt;0.000000001</f>
        <v>1</v>
      </c>
    </row>
    <row r="639" customFormat="false" ht="15" hidden="false" customHeight="false" outlineLevel="0" collapsed="false">
      <c r="A639" s="7" t="n">
        <v>46069</v>
      </c>
      <c r="B639" s="11" t="n">
        <f aca="false">C638</f>
        <v>46101</v>
      </c>
      <c r="C639" s="11" t="n">
        <f aca="false">IF(OR(H638,D639&lt;=$G$4),_xlfn.MINIFS('Futures Data'!$B$5:$B$3471,'Futures Data'!$A$5:$A$3471,A639,'Futures Data'!$B$5:$B$3471,"&gt;"&amp;B639),B639)</f>
        <v>46101</v>
      </c>
      <c r="D639" s="3" t="n">
        <f aca="false">COUNTIFS($A$47:$A$790,"&gt;"&amp;A639,$A$47:$A$790,"&lt;="&amp;B639)+IF(B639&gt;$G$5,NETWORKDAYS($G$5+1,B639),0)</f>
        <v>23</v>
      </c>
      <c r="E639" s="3" t="n">
        <f aca="false">SUMIFS('Futures Data'!$E$5:$E$3471,'Futures Data'!$A$5:$A$3471,A639,'Futures Data'!$B$5:$B$3471,C639)</f>
        <v>22370</v>
      </c>
      <c r="F639" s="11" t="n">
        <f aca="false">_xlfn.MINIFS('Futures Data'!$B$5:$B$3471,'Futures Data'!$A$5:$A$3471,A639,'Futures Data'!$B$5:$B$3471,"&gt;"&amp;C639)</f>
        <v>46132</v>
      </c>
      <c r="G639" s="3" t="n">
        <f aca="false">SUMIFS('Futures Data'!$E$5:$E$3471,'Futures Data'!$A$5:$A$3471,A639,'Futures Data'!$B$5:$B$3471,F639)</f>
        <v>5245</v>
      </c>
      <c r="H639" s="9" t="b">
        <f aca="false">G639&gt;E639</f>
        <v>0</v>
      </c>
      <c r="I639" s="9" t="b">
        <f aca="false">C639&lt;&gt;B639</f>
        <v>0</v>
      </c>
      <c r="J639" s="3" t="n">
        <f aca="false">SUMIFS('Futures Data'!$C$5:$C$3471,'Futures Data'!$A$5:$A$3471,A639,'Futures Data'!$B$5:$B$3471,B639)</f>
        <v>6383</v>
      </c>
      <c r="K639" s="3" t="n">
        <f aca="false">SUMIFS('Futures Data'!$C$5:$C$3471,'Futures Data'!$A$5:$A$3471,A639,'Futures Data'!$B$5:$B$3471,C639)</f>
        <v>6383</v>
      </c>
      <c r="L639" s="3" t="n">
        <f aca="false">K639-J639</f>
        <v>0</v>
      </c>
      <c r="M639" s="3" t="n">
        <f aca="false">M640+L639</f>
        <v>590</v>
      </c>
      <c r="N639" s="3" t="n">
        <f aca="false">J639+M639</f>
        <v>6973</v>
      </c>
      <c r="O639" s="13" t="n">
        <f aca="false">LN(J639/K638)</f>
        <v>-0.00826902285621653</v>
      </c>
      <c r="P639" s="13" t="n">
        <f aca="false">LN(N639/N638)</f>
        <v>-0.00757200560476156</v>
      </c>
      <c r="Q639" s="3" t="n">
        <f aca="false">SUMIFS('Futures Data'!$D$5:$D$3471,'Futures Data'!$A$5:$A$3471,A639,'Futures Data'!$B$5:$B$3471,B639)</f>
        <v>5010</v>
      </c>
      <c r="R639" s="7" t="n">
        <v>46101</v>
      </c>
      <c r="S639" s="9" t="b">
        <f aca="false">C639=R639</f>
        <v>1</v>
      </c>
      <c r="T639" s="9" t="b">
        <f aca="false">ABS(O639-LN(J639/SUMIFS('Futures Data'!$C$5:$C$3471,'Futures Data'!$A$5:$A$3471,A638,'Futures Data'!$B$5:$B$3471,B639)))&lt;0.000000001</f>
        <v>1</v>
      </c>
    </row>
    <row r="640" customFormat="false" ht="15" hidden="false" customHeight="false" outlineLevel="0" collapsed="false">
      <c r="A640" s="7" t="n">
        <v>46070</v>
      </c>
      <c r="B640" s="11" t="n">
        <f aca="false">C639</f>
        <v>46101</v>
      </c>
      <c r="C640" s="11" t="n">
        <f aca="false">IF(OR(H639,D640&lt;=$G$4),_xlfn.MINIFS('Futures Data'!$B$5:$B$3471,'Futures Data'!$A$5:$A$3471,A640,'Futures Data'!$B$5:$B$3471,"&gt;"&amp;B640),B640)</f>
        <v>46101</v>
      </c>
      <c r="D640" s="3" t="n">
        <f aca="false">COUNTIFS($A$47:$A$790,"&gt;"&amp;A640,$A$47:$A$790,"&lt;="&amp;B640)+IF(B640&gt;$G$5,NETWORKDAYS($G$5+1,B640),0)</f>
        <v>22</v>
      </c>
      <c r="E640" s="3" t="n">
        <f aca="false">SUMIFS('Futures Data'!$E$5:$E$3471,'Futures Data'!$A$5:$A$3471,A640,'Futures Data'!$B$5:$B$3471,C640)</f>
        <v>23340</v>
      </c>
      <c r="F640" s="11" t="n">
        <f aca="false">_xlfn.MINIFS('Futures Data'!$B$5:$B$3471,'Futures Data'!$A$5:$A$3471,A640,'Futures Data'!$B$5:$B$3471,"&gt;"&amp;C640)</f>
        <v>46132</v>
      </c>
      <c r="G640" s="3" t="n">
        <f aca="false">SUMIFS('Futures Data'!$E$5:$E$3471,'Futures Data'!$A$5:$A$3471,A640,'Futures Data'!$B$5:$B$3471,F640)</f>
        <v>5940</v>
      </c>
      <c r="H640" s="9" t="b">
        <f aca="false">G640&gt;E640</f>
        <v>0</v>
      </c>
      <c r="I640" s="9" t="b">
        <f aca="false">C640&lt;&gt;B640</f>
        <v>0</v>
      </c>
      <c r="J640" s="3" t="n">
        <f aca="false">SUMIFS('Futures Data'!$C$5:$C$3471,'Futures Data'!$A$5:$A$3471,A640,'Futures Data'!$B$5:$B$3471,B640)</f>
        <v>6390</v>
      </c>
      <c r="K640" s="3" t="n">
        <f aca="false">SUMIFS('Futures Data'!$C$5:$C$3471,'Futures Data'!$A$5:$A$3471,A640,'Futures Data'!$B$5:$B$3471,C640)</f>
        <v>6390</v>
      </c>
      <c r="L640" s="3" t="n">
        <f aca="false">K640-J640</f>
        <v>0</v>
      </c>
      <c r="M640" s="3" t="n">
        <f aca="false">M641+L640</f>
        <v>590</v>
      </c>
      <c r="N640" s="3" t="n">
        <f aca="false">J640+M640</f>
        <v>6980</v>
      </c>
      <c r="O640" s="13" t="n">
        <f aca="false">LN(J640/K639)</f>
        <v>0.0010960621155232</v>
      </c>
      <c r="P640" s="13" t="n">
        <f aca="false">LN(N640/N639)</f>
        <v>0.00100336853540745</v>
      </c>
      <c r="Q640" s="3" t="n">
        <f aca="false">SUMIFS('Futures Data'!$D$5:$D$3471,'Futures Data'!$A$5:$A$3471,A640,'Futures Data'!$B$5:$B$3471,B640)</f>
        <v>7515</v>
      </c>
      <c r="R640" s="7" t="n">
        <v>46101</v>
      </c>
      <c r="S640" s="9" t="b">
        <f aca="false">C640=R640</f>
        <v>1</v>
      </c>
      <c r="T640" s="9" t="b">
        <f aca="false">ABS(O640-LN(J640/SUMIFS('Futures Data'!$C$5:$C$3471,'Futures Data'!$A$5:$A$3471,A639,'Futures Data'!$B$5:$B$3471,B640)))&lt;0.000000001</f>
        <v>1</v>
      </c>
    </row>
    <row r="641" customFormat="false" ht="15" hidden="false" customHeight="false" outlineLevel="0" collapsed="false">
      <c r="A641" s="7" t="n">
        <v>46071</v>
      </c>
      <c r="B641" s="11" t="n">
        <f aca="false">C640</f>
        <v>46101</v>
      </c>
      <c r="C641" s="11" t="n">
        <f aca="false">IF(OR(H640,D641&lt;=$G$4),_xlfn.MINIFS('Futures Data'!$B$5:$B$3471,'Futures Data'!$A$5:$A$3471,A641,'Futures Data'!$B$5:$B$3471,"&gt;"&amp;B641),B641)</f>
        <v>46101</v>
      </c>
      <c r="D641" s="3" t="n">
        <f aca="false">COUNTIFS($A$47:$A$790,"&gt;"&amp;A641,$A$47:$A$790,"&lt;="&amp;B641)+IF(B641&gt;$G$5,NETWORKDAYS($G$5+1,B641),0)</f>
        <v>21</v>
      </c>
      <c r="E641" s="3" t="n">
        <f aca="false">SUMIFS('Futures Data'!$E$5:$E$3471,'Futures Data'!$A$5:$A$3471,A641,'Futures Data'!$B$5:$B$3471,C641)</f>
        <v>24090</v>
      </c>
      <c r="F641" s="11" t="n">
        <f aca="false">_xlfn.MINIFS('Futures Data'!$B$5:$B$3471,'Futures Data'!$A$5:$A$3471,A641,'Futures Data'!$B$5:$B$3471,"&gt;"&amp;C641)</f>
        <v>46132</v>
      </c>
      <c r="G641" s="3" t="n">
        <f aca="false">SUMIFS('Futures Data'!$E$5:$E$3471,'Futures Data'!$A$5:$A$3471,A641,'Futures Data'!$B$5:$B$3471,F641)</f>
        <v>6430</v>
      </c>
      <c r="H641" s="9" t="b">
        <f aca="false">G641&gt;E641</f>
        <v>0</v>
      </c>
      <c r="I641" s="9" t="b">
        <f aca="false">C641&lt;&gt;B641</f>
        <v>0</v>
      </c>
      <c r="J641" s="3" t="n">
        <f aca="false">SUMIFS('Futures Data'!$C$5:$C$3471,'Futures Data'!$A$5:$A$3471,A641,'Futures Data'!$B$5:$B$3471,B641)</f>
        <v>6323</v>
      </c>
      <c r="K641" s="3" t="n">
        <f aca="false">SUMIFS('Futures Data'!$C$5:$C$3471,'Futures Data'!$A$5:$A$3471,A641,'Futures Data'!$B$5:$B$3471,C641)</f>
        <v>6323</v>
      </c>
      <c r="L641" s="3" t="n">
        <f aca="false">K641-J641</f>
        <v>0</v>
      </c>
      <c r="M641" s="3" t="n">
        <f aca="false">M642+L641</f>
        <v>590</v>
      </c>
      <c r="N641" s="3" t="n">
        <f aca="false">J641+M641</f>
        <v>6913</v>
      </c>
      <c r="O641" s="13" t="n">
        <f aca="false">LN(J641/K640)</f>
        <v>-0.0105404893129673</v>
      </c>
      <c r="P641" s="13" t="n">
        <f aca="false">LN(N641/N640)</f>
        <v>-0.00964521981115312</v>
      </c>
      <c r="Q641" s="3" t="n">
        <f aca="false">SUMIFS('Futures Data'!$D$5:$D$3471,'Futures Data'!$A$5:$A$3471,A641,'Futures Data'!$B$5:$B$3471,B641)</f>
        <v>6710</v>
      </c>
      <c r="R641" s="7" t="n">
        <v>46101</v>
      </c>
      <c r="S641" s="9" t="b">
        <f aca="false">C641=R641</f>
        <v>1</v>
      </c>
      <c r="T641" s="9" t="b">
        <f aca="false">ABS(O641-LN(J641/SUMIFS('Futures Data'!$C$5:$C$3471,'Futures Data'!$A$5:$A$3471,A640,'Futures Data'!$B$5:$B$3471,B641)))&lt;0.000000001</f>
        <v>1</v>
      </c>
    </row>
    <row r="642" customFormat="false" ht="15" hidden="false" customHeight="false" outlineLevel="0" collapsed="false">
      <c r="A642" s="7" t="n">
        <v>46072</v>
      </c>
      <c r="B642" s="11" t="n">
        <f aca="false">C641</f>
        <v>46101</v>
      </c>
      <c r="C642" s="11" t="n">
        <f aca="false">IF(OR(H641,D642&lt;=$G$4),_xlfn.MINIFS('Futures Data'!$B$5:$B$3471,'Futures Data'!$A$5:$A$3471,A642,'Futures Data'!$B$5:$B$3471,"&gt;"&amp;B642),B642)</f>
        <v>46101</v>
      </c>
      <c r="D642" s="3" t="n">
        <f aca="false">COUNTIFS($A$47:$A$790,"&gt;"&amp;A642,$A$47:$A$790,"&lt;="&amp;B642)+IF(B642&gt;$G$5,NETWORKDAYS($G$5+1,B642),0)</f>
        <v>20</v>
      </c>
      <c r="E642" s="3" t="n">
        <f aca="false">SUMIFS('Futures Data'!$E$5:$E$3471,'Futures Data'!$A$5:$A$3471,A642,'Futures Data'!$B$5:$B$3471,C642)</f>
        <v>24070</v>
      </c>
      <c r="F642" s="11" t="n">
        <f aca="false">_xlfn.MINIFS('Futures Data'!$B$5:$B$3471,'Futures Data'!$A$5:$A$3471,A642,'Futures Data'!$B$5:$B$3471,"&gt;"&amp;C642)</f>
        <v>46132</v>
      </c>
      <c r="G642" s="3" t="n">
        <f aca="false">SUMIFS('Futures Data'!$E$5:$E$3471,'Futures Data'!$A$5:$A$3471,A642,'Futures Data'!$B$5:$B$3471,F642)</f>
        <v>6745</v>
      </c>
      <c r="H642" s="9" t="b">
        <f aca="false">G642&gt;E642</f>
        <v>0</v>
      </c>
      <c r="I642" s="9" t="b">
        <f aca="false">C642&lt;&gt;B642</f>
        <v>0</v>
      </c>
      <c r="J642" s="3" t="n">
        <f aca="false">SUMIFS('Futures Data'!$C$5:$C$3471,'Futures Data'!$A$5:$A$3471,A642,'Futures Data'!$B$5:$B$3471,B642)</f>
        <v>6374</v>
      </c>
      <c r="K642" s="3" t="n">
        <f aca="false">SUMIFS('Futures Data'!$C$5:$C$3471,'Futures Data'!$A$5:$A$3471,A642,'Futures Data'!$B$5:$B$3471,C642)</f>
        <v>6374</v>
      </c>
      <c r="L642" s="3" t="n">
        <f aca="false">K642-J642</f>
        <v>0</v>
      </c>
      <c r="M642" s="3" t="n">
        <f aca="false">M643+L642</f>
        <v>590</v>
      </c>
      <c r="N642" s="3" t="n">
        <f aca="false">J642+M642</f>
        <v>6964</v>
      </c>
      <c r="O642" s="13" t="n">
        <f aca="false">LN(J642/K641)</f>
        <v>0.00803343691866855</v>
      </c>
      <c r="P642" s="13" t="n">
        <f aca="false">LN(N642/N641)</f>
        <v>0.00735032494281464</v>
      </c>
      <c r="Q642" s="3" t="n">
        <f aca="false">SUMIFS('Futures Data'!$D$5:$D$3471,'Futures Data'!$A$5:$A$3471,A642,'Futures Data'!$B$5:$B$3471,B642)</f>
        <v>4715</v>
      </c>
      <c r="R642" s="7" t="n">
        <v>46101</v>
      </c>
      <c r="S642" s="9" t="b">
        <f aca="false">C642=R642</f>
        <v>1</v>
      </c>
      <c r="T642" s="9" t="b">
        <f aca="false">ABS(O642-LN(J642/SUMIFS('Futures Data'!$C$5:$C$3471,'Futures Data'!$A$5:$A$3471,A641,'Futures Data'!$B$5:$B$3471,B642)))&lt;0.000000001</f>
        <v>1</v>
      </c>
    </row>
    <row r="643" customFormat="false" ht="15" hidden="false" customHeight="false" outlineLevel="0" collapsed="false">
      <c r="A643" s="7" t="n">
        <v>46073</v>
      </c>
      <c r="B643" s="11" t="n">
        <f aca="false">C642</f>
        <v>46101</v>
      </c>
      <c r="C643" s="11" t="n">
        <f aca="false">IF(OR(H642,D643&lt;=$G$4),_xlfn.MINIFS('Futures Data'!$B$5:$B$3471,'Futures Data'!$A$5:$A$3471,A643,'Futures Data'!$B$5:$B$3471,"&gt;"&amp;B643),B643)</f>
        <v>46101</v>
      </c>
      <c r="D643" s="3" t="n">
        <f aca="false">COUNTIFS($A$47:$A$790,"&gt;"&amp;A643,$A$47:$A$790,"&lt;="&amp;B643)+IF(B643&gt;$G$5,NETWORKDAYS($G$5+1,B643),0)</f>
        <v>19</v>
      </c>
      <c r="E643" s="3" t="n">
        <f aca="false">SUMIFS('Futures Data'!$E$5:$E$3471,'Futures Data'!$A$5:$A$3471,A643,'Futures Data'!$B$5:$B$3471,C643)</f>
        <v>23665</v>
      </c>
      <c r="F643" s="11" t="n">
        <f aca="false">_xlfn.MINIFS('Futures Data'!$B$5:$B$3471,'Futures Data'!$A$5:$A$3471,A643,'Futures Data'!$B$5:$B$3471,"&gt;"&amp;C643)</f>
        <v>46132</v>
      </c>
      <c r="G643" s="3" t="n">
        <f aca="false">SUMIFS('Futures Data'!$E$5:$E$3471,'Futures Data'!$A$5:$A$3471,A643,'Futures Data'!$B$5:$B$3471,F643)</f>
        <v>7100</v>
      </c>
      <c r="H643" s="9" t="b">
        <f aca="false">G643&gt;E643</f>
        <v>0</v>
      </c>
      <c r="I643" s="9" t="b">
        <f aca="false">C643&lt;&gt;B643</f>
        <v>0</v>
      </c>
      <c r="J643" s="3" t="n">
        <f aca="false">SUMIFS('Futures Data'!$C$5:$C$3471,'Futures Data'!$A$5:$A$3471,A643,'Futures Data'!$B$5:$B$3471,B643)</f>
        <v>6366</v>
      </c>
      <c r="K643" s="3" t="n">
        <f aca="false">SUMIFS('Futures Data'!$C$5:$C$3471,'Futures Data'!$A$5:$A$3471,A643,'Futures Data'!$B$5:$B$3471,C643)</f>
        <v>6366</v>
      </c>
      <c r="L643" s="3" t="n">
        <f aca="false">K643-J643</f>
        <v>0</v>
      </c>
      <c r="M643" s="3" t="n">
        <f aca="false">M644+L643</f>
        <v>590</v>
      </c>
      <c r="N643" s="3" t="n">
        <f aca="false">J643+M643</f>
        <v>6956</v>
      </c>
      <c r="O643" s="13" t="n">
        <f aca="false">LN(J643/K642)</f>
        <v>-0.00125588713524353</v>
      </c>
      <c r="P643" s="13" t="n">
        <f aca="false">LN(N643/N642)</f>
        <v>-0.00114942541390606</v>
      </c>
      <c r="Q643" s="3" t="n">
        <f aca="false">SUMIFS('Futures Data'!$D$5:$D$3471,'Futures Data'!$A$5:$A$3471,A643,'Futures Data'!$B$5:$B$3471,B643)</f>
        <v>2165</v>
      </c>
      <c r="R643" s="7" t="n">
        <v>46101</v>
      </c>
      <c r="S643" s="9" t="b">
        <f aca="false">C643=R643</f>
        <v>1</v>
      </c>
      <c r="T643" s="9" t="b">
        <f aca="false">ABS(O643-LN(J643/SUMIFS('Futures Data'!$C$5:$C$3471,'Futures Data'!$A$5:$A$3471,A642,'Futures Data'!$B$5:$B$3471,B643)))&lt;0.000000001</f>
        <v>1</v>
      </c>
    </row>
    <row r="644" customFormat="false" ht="15" hidden="false" customHeight="false" outlineLevel="0" collapsed="false">
      <c r="A644" s="7" t="n">
        <v>46076</v>
      </c>
      <c r="B644" s="11" t="n">
        <f aca="false">C643</f>
        <v>46101</v>
      </c>
      <c r="C644" s="11" t="n">
        <f aca="false">IF(OR(H643,D644&lt;=$G$4),_xlfn.MINIFS('Futures Data'!$B$5:$B$3471,'Futures Data'!$A$5:$A$3471,A644,'Futures Data'!$B$5:$B$3471,"&gt;"&amp;B644),B644)</f>
        <v>46101</v>
      </c>
      <c r="D644" s="3" t="n">
        <f aca="false">COUNTIFS($A$47:$A$790,"&gt;"&amp;A644,$A$47:$A$790,"&lt;="&amp;B644)+IF(B644&gt;$G$5,NETWORKDAYS($G$5+1,B644),0)</f>
        <v>18</v>
      </c>
      <c r="E644" s="3" t="n">
        <f aca="false">SUMIFS('Futures Data'!$E$5:$E$3471,'Futures Data'!$A$5:$A$3471,A644,'Futures Data'!$B$5:$B$3471,C644)</f>
        <v>23540</v>
      </c>
      <c r="F644" s="11" t="n">
        <f aca="false">_xlfn.MINIFS('Futures Data'!$B$5:$B$3471,'Futures Data'!$A$5:$A$3471,A644,'Futures Data'!$B$5:$B$3471,"&gt;"&amp;C644)</f>
        <v>46132</v>
      </c>
      <c r="G644" s="3" t="n">
        <f aca="false">SUMIFS('Futures Data'!$E$5:$E$3471,'Futures Data'!$A$5:$A$3471,A644,'Futures Data'!$B$5:$B$3471,F644)</f>
        <v>7625</v>
      </c>
      <c r="H644" s="9" t="b">
        <f aca="false">G644&gt;E644</f>
        <v>0</v>
      </c>
      <c r="I644" s="9" t="b">
        <f aca="false">C644&lt;&gt;B644</f>
        <v>0</v>
      </c>
      <c r="J644" s="3" t="n">
        <f aca="false">SUMIFS('Futures Data'!$C$5:$C$3471,'Futures Data'!$A$5:$A$3471,A644,'Futures Data'!$B$5:$B$3471,B644)</f>
        <v>6347</v>
      </c>
      <c r="K644" s="3" t="n">
        <f aca="false">SUMIFS('Futures Data'!$C$5:$C$3471,'Futures Data'!$A$5:$A$3471,A644,'Futures Data'!$B$5:$B$3471,C644)</f>
        <v>6347</v>
      </c>
      <c r="L644" s="3" t="n">
        <f aca="false">K644-J644</f>
        <v>0</v>
      </c>
      <c r="M644" s="3" t="n">
        <f aca="false">M645+L644</f>
        <v>590</v>
      </c>
      <c r="N644" s="3" t="n">
        <f aca="false">J644+M644</f>
        <v>6937</v>
      </c>
      <c r="O644" s="13" t="n">
        <f aca="false">LN(J644/K643)</f>
        <v>-0.00298906853556799</v>
      </c>
      <c r="P644" s="13" t="n">
        <f aca="false">LN(N644/N643)</f>
        <v>-0.00273519208887233</v>
      </c>
      <c r="Q644" s="3" t="n">
        <f aca="false">SUMIFS('Futures Data'!$D$5:$D$3471,'Futures Data'!$A$5:$A$3471,A644,'Futures Data'!$B$5:$B$3471,B644)</f>
        <v>1220</v>
      </c>
      <c r="R644" s="7" t="n">
        <v>46101</v>
      </c>
      <c r="S644" s="9" t="b">
        <f aca="false">C644=R644</f>
        <v>1</v>
      </c>
      <c r="T644" s="9" t="b">
        <f aca="false">ABS(O644-LN(J644/SUMIFS('Futures Data'!$C$5:$C$3471,'Futures Data'!$A$5:$A$3471,A643,'Futures Data'!$B$5:$B$3471,B644)))&lt;0.000000001</f>
        <v>1</v>
      </c>
    </row>
    <row r="645" customFormat="false" ht="15" hidden="false" customHeight="false" outlineLevel="0" collapsed="false">
      <c r="A645" s="7" t="n">
        <v>46077</v>
      </c>
      <c r="B645" s="11" t="n">
        <f aca="false">C644</f>
        <v>46101</v>
      </c>
      <c r="C645" s="11" t="n">
        <f aca="false">IF(OR(H644,D645&lt;=$G$4),_xlfn.MINIFS('Futures Data'!$B$5:$B$3471,'Futures Data'!$A$5:$A$3471,A645,'Futures Data'!$B$5:$B$3471,"&gt;"&amp;B645),B645)</f>
        <v>46101</v>
      </c>
      <c r="D645" s="3" t="n">
        <f aca="false">COUNTIFS($A$47:$A$790,"&gt;"&amp;A645,$A$47:$A$790,"&lt;="&amp;B645)+IF(B645&gt;$G$5,NETWORKDAYS($G$5+1,B645),0)</f>
        <v>17</v>
      </c>
      <c r="E645" s="3" t="n">
        <f aca="false">SUMIFS('Futures Data'!$E$5:$E$3471,'Futures Data'!$A$5:$A$3471,A645,'Futures Data'!$B$5:$B$3471,C645)</f>
        <v>20545</v>
      </c>
      <c r="F645" s="11" t="n">
        <f aca="false">_xlfn.MINIFS('Futures Data'!$B$5:$B$3471,'Futures Data'!$A$5:$A$3471,A645,'Futures Data'!$B$5:$B$3471,"&gt;"&amp;C645)</f>
        <v>46132</v>
      </c>
      <c r="G645" s="3" t="n">
        <f aca="false">SUMIFS('Futures Data'!$E$5:$E$3471,'Futures Data'!$A$5:$A$3471,A645,'Futures Data'!$B$5:$B$3471,F645)</f>
        <v>8880</v>
      </c>
      <c r="H645" s="9" t="b">
        <f aca="false">G645&gt;E645</f>
        <v>0</v>
      </c>
      <c r="I645" s="9" t="b">
        <f aca="false">C645&lt;&gt;B645</f>
        <v>0</v>
      </c>
      <c r="J645" s="3" t="n">
        <f aca="false">SUMIFS('Futures Data'!$C$5:$C$3471,'Futures Data'!$A$5:$A$3471,A645,'Futures Data'!$B$5:$B$3471,B645)</f>
        <v>6279</v>
      </c>
      <c r="K645" s="3" t="n">
        <f aca="false">SUMIFS('Futures Data'!$C$5:$C$3471,'Futures Data'!$A$5:$A$3471,A645,'Futures Data'!$B$5:$B$3471,C645)</f>
        <v>6279</v>
      </c>
      <c r="L645" s="3" t="n">
        <f aca="false">K645-J645</f>
        <v>0</v>
      </c>
      <c r="M645" s="3" t="n">
        <f aca="false">M646+L645</f>
        <v>590</v>
      </c>
      <c r="N645" s="3" t="n">
        <f aca="false">J645+M645</f>
        <v>6869</v>
      </c>
      <c r="O645" s="13" t="n">
        <f aca="false">LN(J645/K644)</f>
        <v>-0.0107715281923607</v>
      </c>
      <c r="P645" s="13" t="n">
        <f aca="false">LN(N645/N644)</f>
        <v>-0.00985086917141974</v>
      </c>
      <c r="Q645" s="3" t="n">
        <f aca="false">SUMIFS('Futures Data'!$D$5:$D$3471,'Futures Data'!$A$5:$A$3471,A645,'Futures Data'!$B$5:$B$3471,B645)</f>
        <v>6315</v>
      </c>
      <c r="R645" s="7" t="n">
        <v>46101</v>
      </c>
      <c r="S645" s="9" t="b">
        <f aca="false">C645=R645</f>
        <v>1</v>
      </c>
      <c r="T645" s="9" t="b">
        <f aca="false">ABS(O645-LN(J645/SUMIFS('Futures Data'!$C$5:$C$3471,'Futures Data'!$A$5:$A$3471,A644,'Futures Data'!$B$5:$B$3471,B645)))&lt;0.000000001</f>
        <v>1</v>
      </c>
    </row>
    <row r="646" customFormat="false" ht="15" hidden="false" customHeight="false" outlineLevel="0" collapsed="false">
      <c r="A646" s="7" t="n">
        <v>46078</v>
      </c>
      <c r="B646" s="11" t="n">
        <f aca="false">C645</f>
        <v>46101</v>
      </c>
      <c r="C646" s="11" t="n">
        <f aca="false">IF(OR(H645,D646&lt;=$G$4),_xlfn.MINIFS('Futures Data'!$B$5:$B$3471,'Futures Data'!$A$5:$A$3471,A646,'Futures Data'!$B$5:$B$3471,"&gt;"&amp;B646),B646)</f>
        <v>46101</v>
      </c>
      <c r="D646" s="3" t="n">
        <f aca="false">COUNTIFS($A$47:$A$790,"&gt;"&amp;A646,$A$47:$A$790,"&lt;="&amp;B646)+IF(B646&gt;$G$5,NETWORKDAYS($G$5+1,B646),0)</f>
        <v>16</v>
      </c>
      <c r="E646" s="3" t="n">
        <f aca="false">SUMIFS('Futures Data'!$E$5:$E$3471,'Futures Data'!$A$5:$A$3471,A646,'Futures Data'!$B$5:$B$3471,C646)</f>
        <v>19950</v>
      </c>
      <c r="F646" s="11" t="n">
        <f aca="false">_xlfn.MINIFS('Futures Data'!$B$5:$B$3471,'Futures Data'!$A$5:$A$3471,A646,'Futures Data'!$B$5:$B$3471,"&gt;"&amp;C646)</f>
        <v>46132</v>
      </c>
      <c r="G646" s="3" t="n">
        <f aca="false">SUMIFS('Futures Data'!$E$5:$E$3471,'Futures Data'!$A$5:$A$3471,A646,'Futures Data'!$B$5:$B$3471,F646)</f>
        <v>9290</v>
      </c>
      <c r="H646" s="9" t="b">
        <f aca="false">G646&gt;E646</f>
        <v>0</v>
      </c>
      <c r="I646" s="9" t="b">
        <f aca="false">C646&lt;&gt;B646</f>
        <v>0</v>
      </c>
      <c r="J646" s="3" t="n">
        <f aca="false">SUMIFS('Futures Data'!$C$5:$C$3471,'Futures Data'!$A$5:$A$3471,A646,'Futures Data'!$B$5:$B$3471,B646)</f>
        <v>6292</v>
      </c>
      <c r="K646" s="3" t="n">
        <f aca="false">SUMIFS('Futures Data'!$C$5:$C$3471,'Futures Data'!$A$5:$A$3471,A646,'Futures Data'!$B$5:$B$3471,C646)</f>
        <v>6292</v>
      </c>
      <c r="L646" s="3" t="n">
        <f aca="false">K646-J646</f>
        <v>0</v>
      </c>
      <c r="M646" s="3" t="n">
        <f aca="false">M647+L646</f>
        <v>590</v>
      </c>
      <c r="N646" s="3" t="n">
        <f aca="false">J646+M646</f>
        <v>6882</v>
      </c>
      <c r="O646" s="13" t="n">
        <f aca="false">LN(J646/K645)</f>
        <v>0.00206825306405906</v>
      </c>
      <c r="P646" s="13" t="n">
        <f aca="false">LN(N646/N645)</f>
        <v>0.00189077214354401</v>
      </c>
      <c r="Q646" s="3" t="n">
        <f aca="false">SUMIFS('Futures Data'!$D$5:$D$3471,'Futures Data'!$A$5:$A$3471,A646,'Futures Data'!$B$5:$B$3471,B646)</f>
        <v>1995</v>
      </c>
      <c r="R646" s="7" t="n">
        <v>46101</v>
      </c>
      <c r="S646" s="9" t="b">
        <f aca="false">C646=R646</f>
        <v>1</v>
      </c>
      <c r="T646" s="9" t="b">
        <f aca="false">ABS(O646-LN(J646/SUMIFS('Futures Data'!$C$5:$C$3471,'Futures Data'!$A$5:$A$3471,A645,'Futures Data'!$B$5:$B$3471,B646)))&lt;0.000000001</f>
        <v>1</v>
      </c>
    </row>
    <row r="647" customFormat="false" ht="15" hidden="false" customHeight="false" outlineLevel="0" collapsed="false">
      <c r="A647" s="7" t="n">
        <v>46079</v>
      </c>
      <c r="B647" s="11" t="n">
        <f aca="false">C646</f>
        <v>46101</v>
      </c>
      <c r="C647" s="11" t="n">
        <f aca="false">IF(OR(H646,D647&lt;=$G$4),_xlfn.MINIFS('Futures Data'!$B$5:$B$3471,'Futures Data'!$A$5:$A$3471,A647,'Futures Data'!$B$5:$B$3471,"&gt;"&amp;B647),B647)</f>
        <v>46101</v>
      </c>
      <c r="D647" s="3" t="n">
        <f aca="false">COUNTIFS($A$47:$A$790,"&gt;"&amp;A647,$A$47:$A$790,"&lt;="&amp;B647)+IF(B647&gt;$G$5,NETWORKDAYS($G$5+1,B647),0)</f>
        <v>15</v>
      </c>
      <c r="E647" s="3" t="n">
        <f aca="false">SUMIFS('Futures Data'!$E$5:$E$3471,'Futures Data'!$A$5:$A$3471,A647,'Futures Data'!$B$5:$B$3471,C647)</f>
        <v>19090</v>
      </c>
      <c r="F647" s="11" t="n">
        <f aca="false">_xlfn.MINIFS('Futures Data'!$B$5:$B$3471,'Futures Data'!$A$5:$A$3471,A647,'Futures Data'!$B$5:$B$3471,"&gt;"&amp;C647)</f>
        <v>46132</v>
      </c>
      <c r="G647" s="3" t="n">
        <f aca="false">SUMIFS('Futures Data'!$E$5:$E$3471,'Futures Data'!$A$5:$A$3471,A647,'Futures Data'!$B$5:$B$3471,F647)</f>
        <v>10300</v>
      </c>
      <c r="H647" s="9" t="b">
        <f aca="false">G647&gt;E647</f>
        <v>0</v>
      </c>
      <c r="I647" s="9" t="b">
        <f aca="false">C647&lt;&gt;B647</f>
        <v>0</v>
      </c>
      <c r="J647" s="3" t="n">
        <f aca="false">SUMIFS('Futures Data'!$C$5:$C$3471,'Futures Data'!$A$5:$A$3471,A647,'Futures Data'!$B$5:$B$3471,B647)</f>
        <v>6274</v>
      </c>
      <c r="K647" s="3" t="n">
        <f aca="false">SUMIFS('Futures Data'!$C$5:$C$3471,'Futures Data'!$A$5:$A$3471,A647,'Futures Data'!$B$5:$B$3471,C647)</f>
        <v>6274</v>
      </c>
      <c r="L647" s="3" t="n">
        <f aca="false">K647-J647</f>
        <v>0</v>
      </c>
      <c r="M647" s="3" t="n">
        <f aca="false">M648+L647</f>
        <v>590</v>
      </c>
      <c r="N647" s="3" t="n">
        <f aca="false">J647+M647</f>
        <v>6864</v>
      </c>
      <c r="O647" s="13" t="n">
        <f aca="false">LN(J647/K646)</f>
        <v>-0.00286487542754498</v>
      </c>
      <c r="P647" s="13" t="n">
        <f aca="false">LN(N647/N646)</f>
        <v>-0.0026189451896275</v>
      </c>
      <c r="Q647" s="3" t="n">
        <f aca="false">SUMIFS('Futures Data'!$D$5:$D$3471,'Futures Data'!$A$5:$A$3471,A647,'Futures Data'!$B$5:$B$3471,B647)</f>
        <v>2980</v>
      </c>
      <c r="R647" s="7" t="n">
        <v>46101</v>
      </c>
      <c r="S647" s="9" t="b">
        <f aca="false">C647=R647</f>
        <v>1</v>
      </c>
      <c r="T647" s="9" t="b">
        <f aca="false">ABS(O647-LN(J647/SUMIFS('Futures Data'!$C$5:$C$3471,'Futures Data'!$A$5:$A$3471,A646,'Futures Data'!$B$5:$B$3471,B647)))&lt;0.000000001</f>
        <v>1</v>
      </c>
    </row>
    <row r="648" customFormat="false" ht="15" hidden="false" customHeight="false" outlineLevel="0" collapsed="false">
      <c r="A648" s="7" t="n">
        <v>46080</v>
      </c>
      <c r="B648" s="11" t="n">
        <f aca="false">C647</f>
        <v>46101</v>
      </c>
      <c r="C648" s="11" t="n">
        <f aca="false">IF(OR(H647,D648&lt;=$G$4),_xlfn.MINIFS('Futures Data'!$B$5:$B$3471,'Futures Data'!$A$5:$A$3471,A648,'Futures Data'!$B$5:$B$3471,"&gt;"&amp;B648),B648)</f>
        <v>46101</v>
      </c>
      <c r="D648" s="3" t="n">
        <f aca="false">COUNTIFS($A$47:$A$790,"&gt;"&amp;A648,$A$47:$A$790,"&lt;="&amp;B648)+IF(B648&gt;$G$5,NETWORKDAYS($G$5+1,B648),0)</f>
        <v>14</v>
      </c>
      <c r="E648" s="3" t="n">
        <f aca="false">SUMIFS('Futures Data'!$E$5:$E$3471,'Futures Data'!$A$5:$A$3471,A648,'Futures Data'!$B$5:$B$3471,C648)</f>
        <v>18230</v>
      </c>
      <c r="F648" s="11" t="n">
        <f aca="false">_xlfn.MINIFS('Futures Data'!$B$5:$B$3471,'Futures Data'!$A$5:$A$3471,A648,'Futures Data'!$B$5:$B$3471,"&gt;"&amp;C648)</f>
        <v>46132</v>
      </c>
      <c r="G648" s="3" t="n">
        <f aca="false">SUMIFS('Futures Data'!$E$5:$E$3471,'Futures Data'!$A$5:$A$3471,A648,'Futures Data'!$B$5:$B$3471,F648)</f>
        <v>11245</v>
      </c>
      <c r="H648" s="9" t="b">
        <f aca="false">G648&gt;E648</f>
        <v>0</v>
      </c>
      <c r="I648" s="9" t="b">
        <f aca="false">C648&lt;&gt;B648</f>
        <v>0</v>
      </c>
      <c r="J648" s="3" t="n">
        <f aca="false">SUMIFS('Futures Data'!$C$5:$C$3471,'Futures Data'!$A$5:$A$3471,A648,'Futures Data'!$B$5:$B$3471,B648)</f>
        <v>6258</v>
      </c>
      <c r="K648" s="3" t="n">
        <f aca="false">SUMIFS('Futures Data'!$C$5:$C$3471,'Futures Data'!$A$5:$A$3471,A648,'Futures Data'!$B$5:$B$3471,C648)</f>
        <v>6258</v>
      </c>
      <c r="L648" s="3" t="n">
        <f aca="false">K648-J648</f>
        <v>0</v>
      </c>
      <c r="M648" s="3" t="n">
        <f aca="false">M649+L648</f>
        <v>590</v>
      </c>
      <c r="N648" s="3" t="n">
        <f aca="false">J648+M648</f>
        <v>6848</v>
      </c>
      <c r="O648" s="13" t="n">
        <f aca="false">LN(J648/K647)</f>
        <v>-0.00255346452179596</v>
      </c>
      <c r="P648" s="13" t="n">
        <f aca="false">LN(N648/N647)</f>
        <v>-0.00233372334622021</v>
      </c>
      <c r="Q648" s="3" t="n">
        <f aca="false">SUMIFS('Futures Data'!$D$5:$D$3471,'Futures Data'!$A$5:$A$3471,A648,'Futures Data'!$B$5:$B$3471,B648)</f>
        <v>2735</v>
      </c>
      <c r="R648" s="7" t="n">
        <v>46101</v>
      </c>
      <c r="S648" s="9" t="b">
        <f aca="false">C648=R648</f>
        <v>1</v>
      </c>
      <c r="T648" s="9" t="b">
        <f aca="false">ABS(O648-LN(J648/SUMIFS('Futures Data'!$C$5:$C$3471,'Futures Data'!$A$5:$A$3471,A647,'Futures Data'!$B$5:$B$3471,B648)))&lt;0.000000001</f>
        <v>1</v>
      </c>
    </row>
    <row r="649" customFormat="false" ht="15" hidden="false" customHeight="false" outlineLevel="0" collapsed="false">
      <c r="A649" s="7" t="n">
        <v>46083</v>
      </c>
      <c r="B649" s="11" t="n">
        <f aca="false">C648</f>
        <v>46101</v>
      </c>
      <c r="C649" s="11" t="n">
        <f aca="false">IF(OR(H648,D649&lt;=$G$4),_xlfn.MINIFS('Futures Data'!$B$5:$B$3471,'Futures Data'!$A$5:$A$3471,A649,'Futures Data'!$B$5:$B$3471,"&gt;"&amp;B649),B649)</f>
        <v>46101</v>
      </c>
      <c r="D649" s="3" t="n">
        <f aca="false">COUNTIFS($A$47:$A$790,"&gt;"&amp;A649,$A$47:$A$790,"&lt;="&amp;B649)+IF(B649&gt;$G$5,NETWORKDAYS($G$5+1,B649),0)</f>
        <v>13</v>
      </c>
      <c r="E649" s="3" t="n">
        <f aca="false">SUMIFS('Futures Data'!$E$5:$E$3471,'Futures Data'!$A$5:$A$3471,A649,'Futures Data'!$B$5:$B$3471,C649)</f>
        <v>17620</v>
      </c>
      <c r="F649" s="11" t="n">
        <f aca="false">_xlfn.MINIFS('Futures Data'!$B$5:$B$3471,'Futures Data'!$A$5:$A$3471,A649,'Futures Data'!$B$5:$B$3471,"&gt;"&amp;C649)</f>
        <v>46132</v>
      </c>
      <c r="G649" s="3" t="n">
        <f aca="false">SUMIFS('Futures Data'!$E$5:$E$3471,'Futures Data'!$A$5:$A$3471,A649,'Futures Data'!$B$5:$B$3471,F649)</f>
        <v>12055</v>
      </c>
      <c r="H649" s="9" t="b">
        <f aca="false">G649&gt;E649</f>
        <v>0</v>
      </c>
      <c r="I649" s="9" t="b">
        <f aca="false">C649&lt;&gt;B649</f>
        <v>0</v>
      </c>
      <c r="J649" s="3" t="n">
        <f aca="false">SUMIFS('Futures Data'!$C$5:$C$3471,'Futures Data'!$A$5:$A$3471,A649,'Futures Data'!$B$5:$B$3471,B649)</f>
        <v>6236</v>
      </c>
      <c r="K649" s="3" t="n">
        <f aca="false">SUMIFS('Futures Data'!$C$5:$C$3471,'Futures Data'!$A$5:$A$3471,A649,'Futures Data'!$B$5:$B$3471,C649)</f>
        <v>6236</v>
      </c>
      <c r="L649" s="3" t="n">
        <f aca="false">K649-J649</f>
        <v>0</v>
      </c>
      <c r="M649" s="3" t="n">
        <f aca="false">M650+L649</f>
        <v>590</v>
      </c>
      <c r="N649" s="3" t="n">
        <f aca="false">J649+M649</f>
        <v>6826</v>
      </c>
      <c r="O649" s="13" t="n">
        <f aca="false">LN(J649/K648)</f>
        <v>-0.00352169405116036</v>
      </c>
      <c r="P649" s="13" t="n">
        <f aca="false">LN(N649/N648)</f>
        <v>-0.00321778835492568</v>
      </c>
      <c r="Q649" s="3" t="n">
        <f aca="false">SUMIFS('Futures Data'!$D$5:$D$3471,'Futures Data'!$A$5:$A$3471,A649,'Futures Data'!$B$5:$B$3471,B649)</f>
        <v>1820</v>
      </c>
      <c r="R649" s="7" t="n">
        <v>46101</v>
      </c>
      <c r="S649" s="9" t="b">
        <f aca="false">C649=R649</f>
        <v>1</v>
      </c>
      <c r="T649" s="9" t="b">
        <f aca="false">ABS(O649-LN(J649/SUMIFS('Futures Data'!$C$5:$C$3471,'Futures Data'!$A$5:$A$3471,A648,'Futures Data'!$B$5:$B$3471,B649)))&lt;0.000000001</f>
        <v>1</v>
      </c>
    </row>
    <row r="650" customFormat="false" ht="15" hidden="false" customHeight="false" outlineLevel="0" collapsed="false">
      <c r="A650" s="7" t="n">
        <v>46085</v>
      </c>
      <c r="B650" s="11" t="n">
        <f aca="false">C649</f>
        <v>46101</v>
      </c>
      <c r="C650" s="11" t="n">
        <f aca="false">IF(OR(H649,D650&lt;=$G$4),_xlfn.MINIFS('Futures Data'!$B$5:$B$3471,'Futures Data'!$A$5:$A$3471,A650,'Futures Data'!$B$5:$B$3471,"&gt;"&amp;B650),B650)</f>
        <v>46101</v>
      </c>
      <c r="D650" s="3" t="n">
        <f aca="false">COUNTIFS($A$47:$A$790,"&gt;"&amp;A650,$A$47:$A$790,"&lt;="&amp;B650)+IF(B650&gt;$G$5,NETWORKDAYS($G$5+1,B650),0)</f>
        <v>12</v>
      </c>
      <c r="E650" s="3" t="n">
        <f aca="false">SUMIFS('Futures Data'!$E$5:$E$3471,'Futures Data'!$A$5:$A$3471,A650,'Futures Data'!$B$5:$B$3471,C650)</f>
        <v>17160</v>
      </c>
      <c r="F650" s="11" t="n">
        <f aca="false">_xlfn.MINIFS('Futures Data'!$B$5:$B$3471,'Futures Data'!$A$5:$A$3471,A650,'Futures Data'!$B$5:$B$3471,"&gt;"&amp;C650)</f>
        <v>46132</v>
      </c>
      <c r="G650" s="3" t="n">
        <f aca="false">SUMIFS('Futures Data'!$E$5:$E$3471,'Futures Data'!$A$5:$A$3471,A650,'Futures Data'!$B$5:$B$3471,F650)</f>
        <v>12335</v>
      </c>
      <c r="H650" s="9" t="b">
        <f aca="false">G650&gt;E650</f>
        <v>0</v>
      </c>
      <c r="I650" s="9" t="b">
        <f aca="false">C650&lt;&gt;B650</f>
        <v>0</v>
      </c>
      <c r="J650" s="3" t="n">
        <f aca="false">SUMIFS('Futures Data'!$C$5:$C$3471,'Futures Data'!$A$5:$A$3471,A650,'Futures Data'!$B$5:$B$3471,B650)</f>
        <v>6255</v>
      </c>
      <c r="K650" s="3" t="n">
        <f aca="false">SUMIFS('Futures Data'!$C$5:$C$3471,'Futures Data'!$A$5:$A$3471,A650,'Futures Data'!$B$5:$B$3471,C650)</f>
        <v>6255</v>
      </c>
      <c r="L650" s="3" t="n">
        <f aca="false">K650-J650</f>
        <v>0</v>
      </c>
      <c r="M650" s="3" t="n">
        <f aca="false">M651+L650</f>
        <v>590</v>
      </c>
      <c r="N650" s="3" t="n">
        <f aca="false">J650+M650</f>
        <v>6845</v>
      </c>
      <c r="O650" s="13" t="n">
        <f aca="false">LN(J650/K649)</f>
        <v>0.00304219272334448</v>
      </c>
      <c r="P650" s="13" t="n">
        <f aca="false">LN(N650/N649)</f>
        <v>0.00277960825589689</v>
      </c>
      <c r="Q650" s="3" t="n">
        <f aca="false">SUMIFS('Futures Data'!$D$5:$D$3471,'Futures Data'!$A$5:$A$3471,A650,'Futures Data'!$B$5:$B$3471,B650)</f>
        <v>1480</v>
      </c>
      <c r="R650" s="7" t="n">
        <v>46101</v>
      </c>
      <c r="S650" s="9" t="b">
        <f aca="false">C650=R650</f>
        <v>1</v>
      </c>
      <c r="T650" s="9" t="b">
        <f aca="false">ABS(O650-LN(J650/SUMIFS('Futures Data'!$C$5:$C$3471,'Futures Data'!$A$5:$A$3471,A649,'Futures Data'!$B$5:$B$3471,B650)))&lt;0.000000001</f>
        <v>1</v>
      </c>
    </row>
    <row r="651" customFormat="false" ht="15" hidden="false" customHeight="false" outlineLevel="0" collapsed="false">
      <c r="A651" s="7" t="n">
        <v>46086</v>
      </c>
      <c r="B651" s="11" t="n">
        <f aca="false">C650</f>
        <v>46101</v>
      </c>
      <c r="C651" s="11" t="n">
        <f aca="false">IF(OR(H650,D651&lt;=$G$4),_xlfn.MINIFS('Futures Data'!$B$5:$B$3471,'Futures Data'!$A$5:$A$3471,A651,'Futures Data'!$B$5:$B$3471,"&gt;"&amp;B651),B651)</f>
        <v>46101</v>
      </c>
      <c r="D651" s="3" t="n">
        <f aca="false">COUNTIFS($A$47:$A$790,"&gt;"&amp;A651,$A$47:$A$790,"&lt;="&amp;B651)+IF(B651&gt;$G$5,NETWORKDAYS($G$5+1,B651),0)</f>
        <v>11</v>
      </c>
      <c r="E651" s="3" t="n">
        <f aca="false">SUMIFS('Futures Data'!$E$5:$E$3471,'Futures Data'!$A$5:$A$3471,A651,'Futures Data'!$B$5:$B$3471,C651)</f>
        <v>14625</v>
      </c>
      <c r="F651" s="11" t="n">
        <f aca="false">_xlfn.MINIFS('Futures Data'!$B$5:$B$3471,'Futures Data'!$A$5:$A$3471,A651,'Futures Data'!$B$5:$B$3471,"&gt;"&amp;C651)</f>
        <v>46132</v>
      </c>
      <c r="G651" s="3" t="n">
        <f aca="false">SUMIFS('Futures Data'!$E$5:$E$3471,'Futures Data'!$A$5:$A$3471,A651,'Futures Data'!$B$5:$B$3471,F651)</f>
        <v>15370</v>
      </c>
      <c r="H651" s="9" t="b">
        <f aca="false">G651&gt;E651</f>
        <v>1</v>
      </c>
      <c r="I651" s="9" t="b">
        <f aca="false">C651&lt;&gt;B651</f>
        <v>0</v>
      </c>
      <c r="J651" s="3" t="n">
        <f aca="false">SUMIFS('Futures Data'!$C$5:$C$3471,'Futures Data'!$A$5:$A$3471,A651,'Futures Data'!$B$5:$B$3471,B651)</f>
        <v>6324</v>
      </c>
      <c r="K651" s="3" t="n">
        <f aca="false">SUMIFS('Futures Data'!$C$5:$C$3471,'Futures Data'!$A$5:$A$3471,A651,'Futures Data'!$B$5:$B$3471,C651)</f>
        <v>6324</v>
      </c>
      <c r="L651" s="3" t="n">
        <f aca="false">K651-J651</f>
        <v>0</v>
      </c>
      <c r="M651" s="3" t="n">
        <f aca="false">M652+L651</f>
        <v>590</v>
      </c>
      <c r="N651" s="3" t="n">
        <f aca="false">J651+M651</f>
        <v>6914</v>
      </c>
      <c r="O651" s="13" t="n">
        <f aca="false">LN(J651/K650)</f>
        <v>0.0109707754283512</v>
      </c>
      <c r="P651" s="13" t="n">
        <f aca="false">LN(N651/N650)</f>
        <v>0.0100298827590205</v>
      </c>
      <c r="Q651" s="3" t="n">
        <f aca="false">SUMIFS('Futures Data'!$D$5:$D$3471,'Futures Data'!$A$5:$A$3471,A651,'Futures Data'!$B$5:$B$3471,B651)</f>
        <v>6365</v>
      </c>
      <c r="R651" s="7" t="n">
        <v>46101</v>
      </c>
      <c r="S651" s="9" t="b">
        <f aca="false">C651=R651</f>
        <v>1</v>
      </c>
      <c r="T651" s="9" t="b">
        <f aca="false">ABS(O651-LN(J651/SUMIFS('Futures Data'!$C$5:$C$3471,'Futures Data'!$A$5:$A$3471,A650,'Futures Data'!$B$5:$B$3471,B651)))&lt;0.000000001</f>
        <v>1</v>
      </c>
    </row>
    <row r="652" customFormat="false" ht="15" hidden="false" customHeight="false" outlineLevel="0" collapsed="false">
      <c r="A652" s="7" t="n">
        <v>46087</v>
      </c>
      <c r="B652" s="11" t="n">
        <f aca="false">C651</f>
        <v>46101</v>
      </c>
      <c r="C652" s="11" t="n">
        <f aca="false">IF(OR(H651,D652&lt;=$G$4),_xlfn.MINIFS('Futures Data'!$B$5:$B$3471,'Futures Data'!$A$5:$A$3471,A652,'Futures Data'!$B$5:$B$3471,"&gt;"&amp;B652),B652)</f>
        <v>46132</v>
      </c>
      <c r="D652" s="3" t="n">
        <f aca="false">COUNTIFS($A$47:$A$790,"&gt;"&amp;A652,$A$47:$A$790,"&lt;="&amp;B652)+IF(B652&gt;$G$5,NETWORKDAYS($G$5+1,B652),0)</f>
        <v>10</v>
      </c>
      <c r="E652" s="3" t="n">
        <f aca="false">SUMIFS('Futures Data'!$E$5:$E$3471,'Futures Data'!$A$5:$A$3471,A652,'Futures Data'!$B$5:$B$3471,C652)</f>
        <v>16570</v>
      </c>
      <c r="F652" s="11" t="n">
        <f aca="false">_xlfn.MINIFS('Futures Data'!$B$5:$B$3471,'Futures Data'!$A$5:$A$3471,A652,'Futures Data'!$B$5:$B$3471,"&gt;"&amp;C652)</f>
        <v>46162</v>
      </c>
      <c r="G652" s="3" t="n">
        <f aca="false">SUMIFS('Futures Data'!$E$5:$E$3471,'Futures Data'!$A$5:$A$3471,A652,'Futures Data'!$B$5:$B$3471,F652)</f>
        <v>265</v>
      </c>
      <c r="H652" s="9" t="b">
        <f aca="false">G652&gt;E652</f>
        <v>0</v>
      </c>
      <c r="I652" s="9" t="b">
        <f aca="false">C652&lt;&gt;B652</f>
        <v>1</v>
      </c>
      <c r="J652" s="3" t="n">
        <f aca="false">SUMIFS('Futures Data'!$C$5:$C$3471,'Futures Data'!$A$5:$A$3471,A652,'Futures Data'!$B$5:$B$3471,B652)</f>
        <v>6277</v>
      </c>
      <c r="K652" s="3" t="n">
        <f aca="false">SUMIFS('Futures Data'!$C$5:$C$3471,'Futures Data'!$A$5:$A$3471,A652,'Futures Data'!$B$5:$B$3471,C652)</f>
        <v>6322</v>
      </c>
      <c r="L652" s="3" t="n">
        <f aca="false">K652-J652</f>
        <v>45</v>
      </c>
      <c r="M652" s="3" t="n">
        <f aca="false">M653+L652</f>
        <v>590</v>
      </c>
      <c r="N652" s="3" t="n">
        <f aca="false">J652+M652</f>
        <v>6867</v>
      </c>
      <c r="O652" s="13" t="n">
        <f aca="false">LN(J652/K651)</f>
        <v>-0.00745976001183092</v>
      </c>
      <c r="P652" s="13" t="n">
        <f aca="false">LN(N652/N651)</f>
        <v>-0.00682101186089345</v>
      </c>
      <c r="Q652" s="3" t="n">
        <f aca="false">SUMIFS('Futures Data'!$D$5:$D$3471,'Futures Data'!$A$5:$A$3471,A652,'Futures Data'!$B$5:$B$3471,B652)</f>
        <v>3160</v>
      </c>
      <c r="R652" s="7" t="n">
        <v>46132</v>
      </c>
      <c r="S652" s="9" t="b">
        <f aca="false">C652=R652</f>
        <v>1</v>
      </c>
      <c r="T652" s="9" t="b">
        <f aca="false">ABS(O652-LN(J652/SUMIFS('Futures Data'!$C$5:$C$3471,'Futures Data'!$A$5:$A$3471,A651,'Futures Data'!$B$5:$B$3471,B652)))&lt;0.000000001</f>
        <v>1</v>
      </c>
    </row>
    <row r="653" customFormat="false" ht="15" hidden="false" customHeight="false" outlineLevel="0" collapsed="false">
      <c r="A653" s="7" t="n">
        <v>46090</v>
      </c>
      <c r="B653" s="11" t="n">
        <f aca="false">C652</f>
        <v>46132</v>
      </c>
      <c r="C653" s="11" t="n">
        <f aca="false">IF(OR(H652,D653&lt;=$G$4),_xlfn.MINIFS('Futures Data'!$B$5:$B$3471,'Futures Data'!$A$5:$A$3471,A653,'Futures Data'!$B$5:$B$3471,"&gt;"&amp;B653),B653)</f>
        <v>46132</v>
      </c>
      <c r="D653" s="3" t="n">
        <f aca="false">COUNTIFS($A$47:$A$790,"&gt;"&amp;A653,$A$47:$A$790,"&lt;="&amp;B653)+IF(B653&gt;$G$5,NETWORKDAYS($G$5+1,B653),0)</f>
        <v>26</v>
      </c>
      <c r="E653" s="3" t="n">
        <f aca="false">SUMIFS('Futures Data'!$E$5:$E$3471,'Futures Data'!$A$5:$A$3471,A653,'Futures Data'!$B$5:$B$3471,C653)</f>
        <v>19830</v>
      </c>
      <c r="F653" s="11" t="n">
        <f aca="false">_xlfn.MINIFS('Futures Data'!$B$5:$B$3471,'Futures Data'!$A$5:$A$3471,A653,'Futures Data'!$B$5:$B$3471,"&gt;"&amp;C653)</f>
        <v>46162</v>
      </c>
      <c r="G653" s="3" t="n">
        <f aca="false">SUMIFS('Futures Data'!$E$5:$E$3471,'Futures Data'!$A$5:$A$3471,A653,'Futures Data'!$B$5:$B$3471,F653)</f>
        <v>265</v>
      </c>
      <c r="H653" s="9" t="b">
        <f aca="false">G653&gt;E653</f>
        <v>0</v>
      </c>
      <c r="I653" s="9" t="b">
        <f aca="false">C653&lt;&gt;B653</f>
        <v>0</v>
      </c>
      <c r="J653" s="3" t="n">
        <f aca="false">SUMIFS('Futures Data'!$C$5:$C$3471,'Futures Data'!$A$5:$A$3471,A653,'Futures Data'!$B$5:$B$3471,B653)</f>
        <v>6427</v>
      </c>
      <c r="K653" s="3" t="n">
        <f aca="false">SUMIFS('Futures Data'!$C$5:$C$3471,'Futures Data'!$A$5:$A$3471,A653,'Futures Data'!$B$5:$B$3471,C653)</f>
        <v>6427</v>
      </c>
      <c r="L653" s="3" t="n">
        <f aca="false">K653-J653</f>
        <v>0</v>
      </c>
      <c r="M653" s="3" t="n">
        <f aca="false">M654+L653</f>
        <v>545</v>
      </c>
      <c r="N653" s="3" t="n">
        <f aca="false">J653+M653</f>
        <v>6972</v>
      </c>
      <c r="O653" s="13" t="n">
        <f aca="false">LN(J653/K652)</f>
        <v>0.0164722525957231</v>
      </c>
      <c r="P653" s="13" t="n">
        <f aca="false">LN(N653/N652)</f>
        <v>0.0151747980192351</v>
      </c>
      <c r="Q653" s="3" t="n">
        <f aca="false">SUMIFS('Futures Data'!$D$5:$D$3471,'Futures Data'!$A$5:$A$3471,A653,'Futures Data'!$B$5:$B$3471,B653)</f>
        <v>8545</v>
      </c>
      <c r="R653" s="7" t="n">
        <v>46132</v>
      </c>
      <c r="S653" s="9" t="b">
        <f aca="false">C653=R653</f>
        <v>1</v>
      </c>
      <c r="T653" s="9" t="b">
        <f aca="false">ABS(O653-LN(J653/SUMIFS('Futures Data'!$C$5:$C$3471,'Futures Data'!$A$5:$A$3471,A652,'Futures Data'!$B$5:$B$3471,B653)))&lt;0.000000001</f>
        <v>1</v>
      </c>
    </row>
    <row r="654" customFormat="false" ht="15" hidden="false" customHeight="false" outlineLevel="0" collapsed="false">
      <c r="A654" s="7" t="n">
        <v>46091</v>
      </c>
      <c r="B654" s="11" t="n">
        <f aca="false">C653</f>
        <v>46132</v>
      </c>
      <c r="C654" s="11" t="n">
        <f aca="false">IF(OR(H653,D654&lt;=$G$4),_xlfn.MINIFS('Futures Data'!$B$5:$B$3471,'Futures Data'!$A$5:$A$3471,A654,'Futures Data'!$B$5:$B$3471,"&gt;"&amp;B654),B654)</f>
        <v>46132</v>
      </c>
      <c r="D654" s="3" t="n">
        <f aca="false">COUNTIFS($A$47:$A$790,"&gt;"&amp;A654,$A$47:$A$790,"&lt;="&amp;B654)+IF(B654&gt;$G$5,NETWORKDAYS($G$5+1,B654),0)</f>
        <v>25</v>
      </c>
      <c r="E654" s="3" t="n">
        <f aca="false">SUMIFS('Futures Data'!$E$5:$E$3471,'Futures Data'!$A$5:$A$3471,A654,'Futures Data'!$B$5:$B$3471,C654)</f>
        <v>20920</v>
      </c>
      <c r="F654" s="11" t="n">
        <f aca="false">_xlfn.MINIFS('Futures Data'!$B$5:$B$3471,'Futures Data'!$A$5:$A$3471,A654,'Futures Data'!$B$5:$B$3471,"&gt;"&amp;C654)</f>
        <v>46162</v>
      </c>
      <c r="G654" s="3" t="n">
        <f aca="false">SUMIFS('Futures Data'!$E$5:$E$3471,'Futures Data'!$A$5:$A$3471,A654,'Futures Data'!$B$5:$B$3471,F654)</f>
        <v>570</v>
      </c>
      <c r="H654" s="9" t="b">
        <f aca="false">G654&gt;E654</f>
        <v>0</v>
      </c>
      <c r="I654" s="9" t="b">
        <f aca="false">C654&lt;&gt;B654</f>
        <v>0</v>
      </c>
      <c r="J654" s="3" t="n">
        <f aca="false">SUMIFS('Futures Data'!$C$5:$C$3471,'Futures Data'!$A$5:$A$3471,A654,'Futures Data'!$B$5:$B$3471,B654)</f>
        <v>6413</v>
      </c>
      <c r="K654" s="3" t="n">
        <f aca="false">SUMIFS('Futures Data'!$C$5:$C$3471,'Futures Data'!$A$5:$A$3471,A654,'Futures Data'!$B$5:$B$3471,C654)</f>
        <v>6413</v>
      </c>
      <c r="L654" s="3" t="n">
        <f aca="false">K654-J654</f>
        <v>0</v>
      </c>
      <c r="M654" s="3" t="n">
        <f aca="false">M655+L654</f>
        <v>545</v>
      </c>
      <c r="N654" s="3" t="n">
        <f aca="false">J654+M654</f>
        <v>6958</v>
      </c>
      <c r="O654" s="13" t="n">
        <f aca="false">LN(J654/K653)</f>
        <v>-0.0021806862224233</v>
      </c>
      <c r="P654" s="13" t="n">
        <f aca="false">LN(N654/N653)</f>
        <v>-0.00201005092802422</v>
      </c>
      <c r="Q654" s="3" t="n">
        <f aca="false">SUMIFS('Futures Data'!$D$5:$D$3471,'Futures Data'!$A$5:$A$3471,A654,'Futures Data'!$B$5:$B$3471,B654)</f>
        <v>4740</v>
      </c>
      <c r="R654" s="7" t="n">
        <v>46132</v>
      </c>
      <c r="S654" s="9" t="b">
        <f aca="false">C654=R654</f>
        <v>1</v>
      </c>
      <c r="T654" s="9" t="b">
        <f aca="false">ABS(O654-LN(J654/SUMIFS('Futures Data'!$C$5:$C$3471,'Futures Data'!$A$5:$A$3471,A653,'Futures Data'!$B$5:$B$3471,B654)))&lt;0.000000001</f>
        <v>1</v>
      </c>
    </row>
    <row r="655" customFormat="false" ht="15" hidden="false" customHeight="false" outlineLevel="0" collapsed="false">
      <c r="A655" s="7" t="n">
        <v>46092</v>
      </c>
      <c r="B655" s="11" t="n">
        <f aca="false">C654</f>
        <v>46132</v>
      </c>
      <c r="C655" s="11" t="n">
        <f aca="false">IF(OR(H654,D655&lt;=$G$4),_xlfn.MINIFS('Futures Data'!$B$5:$B$3471,'Futures Data'!$A$5:$A$3471,A655,'Futures Data'!$B$5:$B$3471,"&gt;"&amp;B655),B655)</f>
        <v>46132</v>
      </c>
      <c r="D655" s="3" t="n">
        <f aca="false">COUNTIFS($A$47:$A$790,"&gt;"&amp;A655,$A$47:$A$790,"&lt;="&amp;B655)+IF(B655&gt;$G$5,NETWORKDAYS($G$5+1,B655),0)</f>
        <v>24</v>
      </c>
      <c r="E655" s="3" t="n">
        <f aca="false">SUMIFS('Futures Data'!$E$5:$E$3471,'Futures Data'!$A$5:$A$3471,A655,'Futures Data'!$B$5:$B$3471,C655)</f>
        <v>21465</v>
      </c>
      <c r="F655" s="11" t="n">
        <f aca="false">_xlfn.MINIFS('Futures Data'!$B$5:$B$3471,'Futures Data'!$A$5:$A$3471,A655,'Futures Data'!$B$5:$B$3471,"&gt;"&amp;C655)</f>
        <v>46162</v>
      </c>
      <c r="G655" s="3" t="n">
        <f aca="false">SUMIFS('Futures Data'!$E$5:$E$3471,'Futures Data'!$A$5:$A$3471,A655,'Futures Data'!$B$5:$B$3471,F655)</f>
        <v>2675</v>
      </c>
      <c r="H655" s="9" t="b">
        <f aca="false">G655&gt;E655</f>
        <v>0</v>
      </c>
      <c r="I655" s="9" t="b">
        <f aca="false">C655&lt;&gt;B655</f>
        <v>0</v>
      </c>
      <c r="J655" s="3" t="n">
        <f aca="false">SUMIFS('Futures Data'!$C$5:$C$3471,'Futures Data'!$A$5:$A$3471,A655,'Futures Data'!$B$5:$B$3471,B655)</f>
        <v>6473</v>
      </c>
      <c r="K655" s="3" t="n">
        <f aca="false">SUMIFS('Futures Data'!$C$5:$C$3471,'Futures Data'!$A$5:$A$3471,A655,'Futures Data'!$B$5:$B$3471,C655)</f>
        <v>6473</v>
      </c>
      <c r="L655" s="3" t="n">
        <f aca="false">K655-J655</f>
        <v>0</v>
      </c>
      <c r="M655" s="3" t="n">
        <f aca="false">M656+L655</f>
        <v>545</v>
      </c>
      <c r="N655" s="3" t="n">
        <f aca="false">J655+M655</f>
        <v>7018</v>
      </c>
      <c r="O655" s="13" t="n">
        <f aca="false">LN(J655/K654)</f>
        <v>0.00931249939664725</v>
      </c>
      <c r="P655" s="13" t="n">
        <f aca="false">LN(N655/N654)</f>
        <v>0.00858620043127314</v>
      </c>
      <c r="Q655" s="3" t="n">
        <f aca="false">SUMIFS('Futures Data'!$D$5:$D$3471,'Futures Data'!$A$5:$A$3471,A655,'Futures Data'!$B$5:$B$3471,B655)</f>
        <v>8860</v>
      </c>
      <c r="R655" s="7" t="n">
        <v>46132</v>
      </c>
      <c r="S655" s="9" t="b">
        <f aca="false">C655=R655</f>
        <v>1</v>
      </c>
      <c r="T655" s="9" t="b">
        <f aca="false">ABS(O655-LN(J655/SUMIFS('Futures Data'!$C$5:$C$3471,'Futures Data'!$A$5:$A$3471,A654,'Futures Data'!$B$5:$B$3471,B655)))&lt;0.000000001</f>
        <v>1</v>
      </c>
    </row>
    <row r="656" customFormat="false" ht="15" hidden="false" customHeight="false" outlineLevel="0" collapsed="false">
      <c r="A656" s="7" t="n">
        <v>46093</v>
      </c>
      <c r="B656" s="11" t="n">
        <f aca="false">C655</f>
        <v>46132</v>
      </c>
      <c r="C656" s="11" t="n">
        <f aca="false">IF(OR(H655,D656&lt;=$G$4),_xlfn.MINIFS('Futures Data'!$B$5:$B$3471,'Futures Data'!$A$5:$A$3471,A656,'Futures Data'!$B$5:$B$3471,"&gt;"&amp;B656),B656)</f>
        <v>46132</v>
      </c>
      <c r="D656" s="3" t="n">
        <f aca="false">COUNTIFS($A$47:$A$790,"&gt;"&amp;A656,$A$47:$A$790,"&lt;="&amp;B656)+IF(B656&gt;$G$5,NETWORKDAYS($G$5+1,B656),0)</f>
        <v>23</v>
      </c>
      <c r="E656" s="3" t="n">
        <f aca="false">SUMIFS('Futures Data'!$E$5:$E$3471,'Futures Data'!$A$5:$A$3471,A656,'Futures Data'!$B$5:$B$3471,C656)</f>
        <v>22565</v>
      </c>
      <c r="F656" s="11" t="n">
        <f aca="false">_xlfn.MINIFS('Futures Data'!$B$5:$B$3471,'Futures Data'!$A$5:$A$3471,A656,'Futures Data'!$B$5:$B$3471,"&gt;"&amp;C656)</f>
        <v>46162</v>
      </c>
      <c r="G656" s="3" t="n">
        <f aca="false">SUMIFS('Futures Data'!$E$5:$E$3471,'Futures Data'!$A$5:$A$3471,A656,'Futures Data'!$B$5:$B$3471,F656)</f>
        <v>2840</v>
      </c>
      <c r="H656" s="9" t="b">
        <f aca="false">G656&gt;E656</f>
        <v>0</v>
      </c>
      <c r="I656" s="9" t="b">
        <f aca="false">C656&lt;&gt;B656</f>
        <v>0</v>
      </c>
      <c r="J656" s="3" t="n">
        <f aca="false">SUMIFS('Futures Data'!$C$5:$C$3471,'Futures Data'!$A$5:$A$3471,A656,'Futures Data'!$B$5:$B$3471,B656)</f>
        <v>6424</v>
      </c>
      <c r="K656" s="3" t="n">
        <f aca="false">SUMIFS('Futures Data'!$C$5:$C$3471,'Futures Data'!$A$5:$A$3471,A656,'Futures Data'!$B$5:$B$3471,C656)</f>
        <v>6424</v>
      </c>
      <c r="L656" s="3" t="n">
        <f aca="false">K656-J656</f>
        <v>0</v>
      </c>
      <c r="M656" s="3" t="n">
        <f aca="false">M657+L656</f>
        <v>545</v>
      </c>
      <c r="N656" s="3" t="n">
        <f aca="false">J656+M656</f>
        <v>6969</v>
      </c>
      <c r="O656" s="13" t="n">
        <f aca="false">LN(J656/K655)</f>
        <v>-0.00759870291891262</v>
      </c>
      <c r="P656" s="13" t="n">
        <f aca="false">LN(N656/N655)</f>
        <v>-0.0070065347046416</v>
      </c>
      <c r="Q656" s="3" t="n">
        <f aca="false">SUMIFS('Futures Data'!$D$5:$D$3471,'Futures Data'!$A$5:$A$3471,A656,'Futures Data'!$B$5:$B$3471,B656)</f>
        <v>6330</v>
      </c>
      <c r="R656" s="7" t="n">
        <v>46132</v>
      </c>
      <c r="S656" s="9" t="b">
        <f aca="false">C656=R656</f>
        <v>1</v>
      </c>
      <c r="T656" s="9" t="b">
        <f aca="false">ABS(O656-LN(J656/SUMIFS('Futures Data'!$C$5:$C$3471,'Futures Data'!$A$5:$A$3471,A655,'Futures Data'!$B$5:$B$3471,B656)))&lt;0.000000001</f>
        <v>1</v>
      </c>
    </row>
    <row r="657" customFormat="false" ht="15" hidden="false" customHeight="false" outlineLevel="0" collapsed="false">
      <c r="A657" s="7" t="n">
        <v>46094</v>
      </c>
      <c r="B657" s="11" t="n">
        <f aca="false">C656</f>
        <v>46132</v>
      </c>
      <c r="C657" s="11" t="n">
        <f aca="false">IF(OR(H656,D657&lt;=$G$4),_xlfn.MINIFS('Futures Data'!$B$5:$B$3471,'Futures Data'!$A$5:$A$3471,A657,'Futures Data'!$B$5:$B$3471,"&gt;"&amp;B657),B657)</f>
        <v>46132</v>
      </c>
      <c r="D657" s="3" t="n">
        <f aca="false">COUNTIFS($A$47:$A$790,"&gt;"&amp;A657,$A$47:$A$790,"&lt;="&amp;B657)+IF(B657&gt;$G$5,NETWORKDAYS($G$5+1,B657),0)</f>
        <v>22</v>
      </c>
      <c r="E657" s="3" t="n">
        <f aca="false">SUMIFS('Futures Data'!$E$5:$E$3471,'Futures Data'!$A$5:$A$3471,A657,'Futures Data'!$B$5:$B$3471,C657)</f>
        <v>22635</v>
      </c>
      <c r="F657" s="11" t="n">
        <f aca="false">_xlfn.MINIFS('Futures Data'!$B$5:$B$3471,'Futures Data'!$A$5:$A$3471,A657,'Futures Data'!$B$5:$B$3471,"&gt;"&amp;C657)</f>
        <v>46162</v>
      </c>
      <c r="G657" s="3" t="n">
        <f aca="false">SUMIFS('Futures Data'!$E$5:$E$3471,'Futures Data'!$A$5:$A$3471,A657,'Futures Data'!$B$5:$B$3471,F657)</f>
        <v>3080</v>
      </c>
      <c r="H657" s="9" t="b">
        <f aca="false">G657&gt;E657</f>
        <v>0</v>
      </c>
      <c r="I657" s="9" t="b">
        <f aca="false">C657&lt;&gt;B657</f>
        <v>0</v>
      </c>
      <c r="J657" s="3" t="n">
        <f aca="false">SUMIFS('Futures Data'!$C$5:$C$3471,'Futures Data'!$A$5:$A$3471,A657,'Futures Data'!$B$5:$B$3471,B657)</f>
        <v>6458</v>
      </c>
      <c r="K657" s="3" t="n">
        <f aca="false">SUMIFS('Futures Data'!$C$5:$C$3471,'Futures Data'!$A$5:$A$3471,A657,'Futures Data'!$B$5:$B$3471,C657)</f>
        <v>6458</v>
      </c>
      <c r="L657" s="3" t="n">
        <f aca="false">K657-J657</f>
        <v>0</v>
      </c>
      <c r="M657" s="3" t="n">
        <f aca="false">M658+L657</f>
        <v>545</v>
      </c>
      <c r="N657" s="3" t="n">
        <f aca="false">J657+M657</f>
        <v>7003</v>
      </c>
      <c r="O657" s="13" t="n">
        <f aca="false">LN(J657/K656)</f>
        <v>0.00527869569162283</v>
      </c>
      <c r="P657" s="13" t="n">
        <f aca="false">LN(N657/N656)</f>
        <v>0.00486688621699895</v>
      </c>
      <c r="Q657" s="3" t="n">
        <f aca="false">SUMIFS('Futures Data'!$D$5:$D$3471,'Futures Data'!$A$5:$A$3471,A657,'Futures Data'!$B$5:$B$3471,B657)</f>
        <v>4075</v>
      </c>
      <c r="R657" s="7" t="n">
        <v>46132</v>
      </c>
      <c r="S657" s="9" t="b">
        <f aca="false">C657=R657</f>
        <v>1</v>
      </c>
      <c r="T657" s="9" t="b">
        <f aca="false">ABS(O657-LN(J657/SUMIFS('Futures Data'!$C$5:$C$3471,'Futures Data'!$A$5:$A$3471,A656,'Futures Data'!$B$5:$B$3471,B657)))&lt;0.000000001</f>
        <v>1</v>
      </c>
    </row>
    <row r="658" customFormat="false" ht="15" hidden="false" customHeight="false" outlineLevel="0" collapsed="false">
      <c r="A658" s="7" t="n">
        <v>46097</v>
      </c>
      <c r="B658" s="11" t="n">
        <f aca="false">C657</f>
        <v>46132</v>
      </c>
      <c r="C658" s="11" t="n">
        <f aca="false">IF(OR(H657,D658&lt;=$G$4),_xlfn.MINIFS('Futures Data'!$B$5:$B$3471,'Futures Data'!$A$5:$A$3471,A658,'Futures Data'!$B$5:$B$3471,"&gt;"&amp;B658),B658)</f>
        <v>46132</v>
      </c>
      <c r="D658" s="3" t="n">
        <f aca="false">COUNTIFS($A$47:$A$790,"&gt;"&amp;A658,$A$47:$A$790,"&lt;="&amp;B658)+IF(B658&gt;$G$5,NETWORKDAYS($G$5+1,B658),0)</f>
        <v>21</v>
      </c>
      <c r="E658" s="3" t="n">
        <f aca="false">SUMIFS('Futures Data'!$E$5:$E$3471,'Futures Data'!$A$5:$A$3471,A658,'Futures Data'!$B$5:$B$3471,C658)</f>
        <v>23610</v>
      </c>
      <c r="F658" s="11" t="n">
        <f aca="false">_xlfn.MINIFS('Futures Data'!$B$5:$B$3471,'Futures Data'!$A$5:$A$3471,A658,'Futures Data'!$B$5:$B$3471,"&gt;"&amp;C658)</f>
        <v>46162</v>
      </c>
      <c r="G658" s="3" t="n">
        <f aca="false">SUMIFS('Futures Data'!$E$5:$E$3471,'Futures Data'!$A$5:$A$3471,A658,'Futures Data'!$B$5:$B$3471,F658)</f>
        <v>3995</v>
      </c>
      <c r="H658" s="9" t="b">
        <f aca="false">G658&gt;E658</f>
        <v>0</v>
      </c>
      <c r="I658" s="9" t="b">
        <f aca="false">C658&lt;&gt;B658</f>
        <v>0</v>
      </c>
      <c r="J658" s="3" t="n">
        <f aca="false">SUMIFS('Futures Data'!$C$5:$C$3471,'Futures Data'!$A$5:$A$3471,A658,'Futures Data'!$B$5:$B$3471,B658)</f>
        <v>6440</v>
      </c>
      <c r="K658" s="3" t="n">
        <f aca="false">SUMIFS('Futures Data'!$C$5:$C$3471,'Futures Data'!$A$5:$A$3471,A658,'Futures Data'!$B$5:$B$3471,C658)</f>
        <v>6440</v>
      </c>
      <c r="L658" s="3" t="n">
        <f aca="false">K658-J658</f>
        <v>0</v>
      </c>
      <c r="M658" s="3" t="n">
        <f aca="false">M659+L658</f>
        <v>545</v>
      </c>
      <c r="N658" s="3" t="n">
        <f aca="false">J658+M658</f>
        <v>6985</v>
      </c>
      <c r="O658" s="13" t="n">
        <f aca="false">LN(J658/K657)</f>
        <v>-0.00279113221982117</v>
      </c>
      <c r="P658" s="13" t="n">
        <f aca="false">LN(N658/N657)</f>
        <v>-0.0025736359644555</v>
      </c>
      <c r="Q658" s="3" t="n">
        <f aca="false">SUMIFS('Futures Data'!$D$5:$D$3471,'Futures Data'!$A$5:$A$3471,A658,'Futures Data'!$B$5:$B$3471,B658)</f>
        <v>5100</v>
      </c>
      <c r="R658" s="7" t="n">
        <v>46132</v>
      </c>
      <c r="S658" s="9" t="b">
        <f aca="false">C658=R658</f>
        <v>1</v>
      </c>
      <c r="T658" s="9" t="b">
        <f aca="false">ABS(O658-LN(J658/SUMIFS('Futures Data'!$C$5:$C$3471,'Futures Data'!$A$5:$A$3471,A657,'Futures Data'!$B$5:$B$3471,B658)))&lt;0.000000001</f>
        <v>1</v>
      </c>
    </row>
    <row r="659" customFormat="false" ht="15" hidden="false" customHeight="false" outlineLevel="0" collapsed="false">
      <c r="A659" s="7" t="n">
        <v>46098</v>
      </c>
      <c r="B659" s="11" t="n">
        <f aca="false">C658</f>
        <v>46132</v>
      </c>
      <c r="C659" s="11" t="n">
        <f aca="false">IF(OR(H658,D659&lt;=$G$4),_xlfn.MINIFS('Futures Data'!$B$5:$B$3471,'Futures Data'!$A$5:$A$3471,A659,'Futures Data'!$B$5:$B$3471,"&gt;"&amp;B659),B659)</f>
        <v>46132</v>
      </c>
      <c r="D659" s="3" t="n">
        <f aca="false">COUNTIFS($A$47:$A$790,"&gt;"&amp;A659,$A$47:$A$790,"&lt;="&amp;B659)+IF(B659&gt;$G$5,NETWORKDAYS($G$5+1,B659),0)</f>
        <v>20</v>
      </c>
      <c r="E659" s="3" t="n">
        <f aca="false">SUMIFS('Futures Data'!$E$5:$E$3471,'Futures Data'!$A$5:$A$3471,A659,'Futures Data'!$B$5:$B$3471,C659)</f>
        <v>24440</v>
      </c>
      <c r="F659" s="11" t="n">
        <f aca="false">_xlfn.MINIFS('Futures Data'!$B$5:$B$3471,'Futures Data'!$A$5:$A$3471,A659,'Futures Data'!$B$5:$B$3471,"&gt;"&amp;C659)</f>
        <v>46162</v>
      </c>
      <c r="G659" s="3" t="n">
        <f aca="false">SUMIFS('Futures Data'!$E$5:$E$3471,'Futures Data'!$A$5:$A$3471,A659,'Futures Data'!$B$5:$B$3471,F659)</f>
        <v>4735</v>
      </c>
      <c r="H659" s="9" t="b">
        <f aca="false">G659&gt;E659</f>
        <v>0</v>
      </c>
      <c r="I659" s="9" t="b">
        <f aca="false">C659&lt;&gt;B659</f>
        <v>0</v>
      </c>
      <c r="J659" s="3" t="n">
        <f aca="false">SUMIFS('Futures Data'!$C$5:$C$3471,'Futures Data'!$A$5:$A$3471,A659,'Futures Data'!$B$5:$B$3471,B659)</f>
        <v>6442</v>
      </c>
      <c r="K659" s="3" t="n">
        <f aca="false">SUMIFS('Futures Data'!$C$5:$C$3471,'Futures Data'!$A$5:$A$3471,A659,'Futures Data'!$B$5:$B$3471,C659)</f>
        <v>6442</v>
      </c>
      <c r="L659" s="3" t="n">
        <f aca="false">K659-J659</f>
        <v>0</v>
      </c>
      <c r="M659" s="3" t="n">
        <f aca="false">M660+L659</f>
        <v>545</v>
      </c>
      <c r="N659" s="3" t="n">
        <f aca="false">J659+M659</f>
        <v>6987</v>
      </c>
      <c r="O659" s="13" t="n">
        <f aca="false">LN(J659/K658)</f>
        <v>0.000310510792744787</v>
      </c>
      <c r="P659" s="13" t="n">
        <f aca="false">LN(N659/N658)</f>
        <v>0.000286286861388604</v>
      </c>
      <c r="Q659" s="3" t="n">
        <f aca="false">SUMIFS('Futures Data'!$D$5:$D$3471,'Futures Data'!$A$5:$A$3471,A659,'Futures Data'!$B$5:$B$3471,B659)</f>
        <v>4195</v>
      </c>
      <c r="R659" s="7" t="n">
        <v>46132</v>
      </c>
      <c r="S659" s="9" t="b">
        <f aca="false">C659=R659</f>
        <v>1</v>
      </c>
      <c r="T659" s="9" t="b">
        <f aca="false">ABS(O659-LN(J659/SUMIFS('Futures Data'!$C$5:$C$3471,'Futures Data'!$A$5:$A$3471,A658,'Futures Data'!$B$5:$B$3471,B659)))&lt;0.000000001</f>
        <v>1</v>
      </c>
    </row>
    <row r="660" customFormat="false" ht="15" hidden="false" customHeight="false" outlineLevel="0" collapsed="false">
      <c r="A660" s="7" t="n">
        <v>46099</v>
      </c>
      <c r="B660" s="11" t="n">
        <f aca="false">C659</f>
        <v>46132</v>
      </c>
      <c r="C660" s="11" t="n">
        <f aca="false">IF(OR(H659,D660&lt;=$G$4),_xlfn.MINIFS('Futures Data'!$B$5:$B$3471,'Futures Data'!$A$5:$A$3471,A660,'Futures Data'!$B$5:$B$3471,"&gt;"&amp;B660),B660)</f>
        <v>46132</v>
      </c>
      <c r="D660" s="3" t="n">
        <f aca="false">COUNTIFS($A$47:$A$790,"&gt;"&amp;A660,$A$47:$A$790,"&lt;="&amp;B660)+IF(B660&gt;$G$5,NETWORKDAYS($G$5+1,B660),0)</f>
        <v>19</v>
      </c>
      <c r="E660" s="3" t="n">
        <f aca="false">SUMIFS('Futures Data'!$E$5:$E$3471,'Futures Data'!$A$5:$A$3471,A660,'Futures Data'!$B$5:$B$3471,C660)</f>
        <v>23350</v>
      </c>
      <c r="F660" s="11" t="n">
        <f aca="false">_xlfn.MINIFS('Futures Data'!$B$5:$B$3471,'Futures Data'!$A$5:$A$3471,A660,'Futures Data'!$B$5:$B$3471,"&gt;"&amp;C660)</f>
        <v>46162</v>
      </c>
      <c r="G660" s="3" t="n">
        <f aca="false">SUMIFS('Futures Data'!$E$5:$E$3471,'Futures Data'!$A$5:$A$3471,A660,'Futures Data'!$B$5:$B$3471,F660)</f>
        <v>7045</v>
      </c>
      <c r="H660" s="9" t="b">
        <f aca="false">G660&gt;E660</f>
        <v>0</v>
      </c>
      <c r="I660" s="9" t="b">
        <f aca="false">C660&lt;&gt;B660</f>
        <v>0</v>
      </c>
      <c r="J660" s="3" t="n">
        <f aca="false">SUMIFS('Futures Data'!$C$5:$C$3471,'Futures Data'!$A$5:$A$3471,A660,'Futures Data'!$B$5:$B$3471,B660)</f>
        <v>6438</v>
      </c>
      <c r="K660" s="3" t="n">
        <f aca="false">SUMIFS('Futures Data'!$C$5:$C$3471,'Futures Data'!$A$5:$A$3471,A660,'Futures Data'!$B$5:$B$3471,C660)</f>
        <v>6438</v>
      </c>
      <c r="L660" s="3" t="n">
        <f aca="false">K660-J660</f>
        <v>0</v>
      </c>
      <c r="M660" s="3" t="n">
        <f aca="false">M661+L660</f>
        <v>545</v>
      </c>
      <c r="N660" s="3" t="n">
        <f aca="false">J660+M660</f>
        <v>6983</v>
      </c>
      <c r="O660" s="13" t="n">
        <f aca="false">LN(J660/K659)</f>
        <v>-0.000621118032390648</v>
      </c>
      <c r="P660" s="13" t="n">
        <f aca="false">LN(N660/N659)</f>
        <v>-0.000572655706415431</v>
      </c>
      <c r="Q660" s="3" t="n">
        <f aca="false">SUMIFS('Futures Data'!$D$5:$D$3471,'Futures Data'!$A$5:$A$3471,A660,'Futures Data'!$B$5:$B$3471,B660)</f>
        <v>5100</v>
      </c>
      <c r="R660" s="7" t="n">
        <v>46132</v>
      </c>
      <c r="S660" s="9" t="b">
        <f aca="false">C660=R660</f>
        <v>1</v>
      </c>
      <c r="T660" s="9" t="b">
        <f aca="false">ABS(O660-LN(J660/SUMIFS('Futures Data'!$C$5:$C$3471,'Futures Data'!$A$5:$A$3471,A659,'Futures Data'!$B$5:$B$3471,B660)))&lt;0.000000001</f>
        <v>1</v>
      </c>
    </row>
    <row r="661" customFormat="false" ht="15" hidden="false" customHeight="false" outlineLevel="0" collapsed="false">
      <c r="A661" s="7" t="n">
        <v>46100</v>
      </c>
      <c r="B661" s="11" t="n">
        <f aca="false">C660</f>
        <v>46132</v>
      </c>
      <c r="C661" s="11" t="n">
        <f aca="false">IF(OR(H660,D661&lt;=$G$4),_xlfn.MINIFS('Futures Data'!$B$5:$B$3471,'Futures Data'!$A$5:$A$3471,A661,'Futures Data'!$B$5:$B$3471,"&gt;"&amp;B661),B661)</f>
        <v>46132</v>
      </c>
      <c r="D661" s="3" t="n">
        <f aca="false">COUNTIFS($A$47:$A$790,"&gt;"&amp;A661,$A$47:$A$790,"&lt;="&amp;B661)+IF(B661&gt;$G$5,NETWORKDAYS($G$5+1,B661),0)</f>
        <v>18</v>
      </c>
      <c r="E661" s="3" t="n">
        <f aca="false">SUMIFS('Futures Data'!$E$5:$E$3471,'Futures Data'!$A$5:$A$3471,A661,'Futures Data'!$B$5:$B$3471,C661)</f>
        <v>22585</v>
      </c>
      <c r="F661" s="11" t="n">
        <f aca="false">_xlfn.MINIFS('Futures Data'!$B$5:$B$3471,'Futures Data'!$A$5:$A$3471,A661,'Futures Data'!$B$5:$B$3471,"&gt;"&amp;C661)</f>
        <v>46162</v>
      </c>
      <c r="G661" s="3" t="n">
        <f aca="false">SUMIFS('Futures Data'!$E$5:$E$3471,'Futures Data'!$A$5:$A$3471,A661,'Futures Data'!$B$5:$B$3471,F661)</f>
        <v>8365</v>
      </c>
      <c r="H661" s="9" t="b">
        <f aca="false">G661&gt;E661</f>
        <v>0</v>
      </c>
      <c r="I661" s="9" t="b">
        <f aca="false">C661&lt;&gt;B661</f>
        <v>0</v>
      </c>
      <c r="J661" s="3" t="n">
        <f aca="false">SUMIFS('Futures Data'!$C$5:$C$3471,'Futures Data'!$A$5:$A$3471,A661,'Futures Data'!$B$5:$B$3471,B661)</f>
        <v>6485</v>
      </c>
      <c r="K661" s="3" t="n">
        <f aca="false">SUMIFS('Futures Data'!$C$5:$C$3471,'Futures Data'!$A$5:$A$3471,A661,'Futures Data'!$B$5:$B$3471,C661)</f>
        <v>6485</v>
      </c>
      <c r="L661" s="3" t="n">
        <f aca="false">K661-J661</f>
        <v>0</v>
      </c>
      <c r="M661" s="3" t="n">
        <f aca="false">M662+L661</f>
        <v>545</v>
      </c>
      <c r="N661" s="3" t="n">
        <f aca="false">J661+M661</f>
        <v>7030</v>
      </c>
      <c r="O661" s="13" t="n">
        <f aca="false">LN(J661/K660)</f>
        <v>0.00727388489179084</v>
      </c>
      <c r="P661" s="13" t="n">
        <f aca="false">LN(N661/N660)</f>
        <v>0.00670808195867531</v>
      </c>
      <c r="Q661" s="3" t="n">
        <f aca="false">SUMIFS('Futures Data'!$D$5:$D$3471,'Futures Data'!$A$5:$A$3471,A661,'Futures Data'!$B$5:$B$3471,B661)</f>
        <v>4785</v>
      </c>
      <c r="R661" s="7" t="n">
        <v>46132</v>
      </c>
      <c r="S661" s="9" t="b">
        <f aca="false">C661=R661</f>
        <v>1</v>
      </c>
      <c r="T661" s="9" t="b">
        <f aca="false">ABS(O661-LN(J661/SUMIFS('Futures Data'!$C$5:$C$3471,'Futures Data'!$A$5:$A$3471,A660,'Futures Data'!$B$5:$B$3471,B661)))&lt;0.000000001</f>
        <v>1</v>
      </c>
    </row>
    <row r="662" customFormat="false" ht="15" hidden="false" customHeight="false" outlineLevel="0" collapsed="false">
      <c r="A662" s="7" t="n">
        <v>46101</v>
      </c>
      <c r="B662" s="11" t="n">
        <f aca="false">C661</f>
        <v>46132</v>
      </c>
      <c r="C662" s="11" t="n">
        <f aca="false">IF(OR(H661,D662&lt;=$G$4),_xlfn.MINIFS('Futures Data'!$B$5:$B$3471,'Futures Data'!$A$5:$A$3471,A662,'Futures Data'!$B$5:$B$3471,"&gt;"&amp;B662),B662)</f>
        <v>46132</v>
      </c>
      <c r="D662" s="3" t="n">
        <f aca="false">COUNTIFS($A$47:$A$790,"&gt;"&amp;A662,$A$47:$A$790,"&lt;="&amp;B662)+IF(B662&gt;$G$5,NETWORKDAYS($G$5+1,B662),0)</f>
        <v>17</v>
      </c>
      <c r="E662" s="3" t="n">
        <f aca="false">SUMIFS('Futures Data'!$E$5:$E$3471,'Futures Data'!$A$5:$A$3471,A662,'Futures Data'!$B$5:$B$3471,C662)</f>
        <v>21805</v>
      </c>
      <c r="F662" s="11" t="n">
        <f aca="false">_xlfn.MINIFS('Futures Data'!$B$5:$B$3471,'Futures Data'!$A$5:$A$3471,A662,'Futures Data'!$B$5:$B$3471,"&gt;"&amp;C662)</f>
        <v>46162</v>
      </c>
      <c r="G662" s="3" t="n">
        <f aca="false">SUMIFS('Futures Data'!$E$5:$E$3471,'Futures Data'!$A$5:$A$3471,A662,'Futures Data'!$B$5:$B$3471,F662)</f>
        <v>8790</v>
      </c>
      <c r="H662" s="9" t="b">
        <f aca="false">G662&gt;E662</f>
        <v>0</v>
      </c>
      <c r="I662" s="9" t="b">
        <f aca="false">C662&lt;&gt;B662</f>
        <v>0</v>
      </c>
      <c r="J662" s="3" t="n">
        <f aca="false">SUMIFS('Futures Data'!$C$5:$C$3471,'Futures Data'!$A$5:$A$3471,A662,'Futures Data'!$B$5:$B$3471,B662)</f>
        <v>6526</v>
      </c>
      <c r="K662" s="3" t="n">
        <f aca="false">SUMIFS('Futures Data'!$C$5:$C$3471,'Futures Data'!$A$5:$A$3471,A662,'Futures Data'!$B$5:$B$3471,C662)</f>
        <v>6526</v>
      </c>
      <c r="L662" s="3" t="n">
        <f aca="false">K662-J662</f>
        <v>0</v>
      </c>
      <c r="M662" s="3" t="n">
        <f aca="false">M663+L662</f>
        <v>545</v>
      </c>
      <c r="N662" s="3" t="n">
        <f aca="false">J662+M662</f>
        <v>7071</v>
      </c>
      <c r="O662" s="13" t="n">
        <f aca="false">LN(J662/K661)</f>
        <v>0.00630238040272167</v>
      </c>
      <c r="P662" s="13" t="n">
        <f aca="false">LN(N662/N661)</f>
        <v>0.00581520679953017</v>
      </c>
      <c r="Q662" s="3" t="n">
        <f aca="false">SUMIFS('Futures Data'!$D$5:$D$3471,'Futures Data'!$A$5:$A$3471,A662,'Futures Data'!$B$5:$B$3471,B662)</f>
        <v>4045</v>
      </c>
      <c r="R662" s="7" t="n">
        <v>46132</v>
      </c>
      <c r="S662" s="9" t="b">
        <f aca="false">C662=R662</f>
        <v>1</v>
      </c>
      <c r="T662" s="9" t="b">
        <f aca="false">ABS(O662-LN(J662/SUMIFS('Futures Data'!$C$5:$C$3471,'Futures Data'!$A$5:$A$3471,A661,'Futures Data'!$B$5:$B$3471,B662)))&lt;0.000000001</f>
        <v>1</v>
      </c>
    </row>
    <row r="663" customFormat="false" ht="15" hidden="false" customHeight="false" outlineLevel="0" collapsed="false">
      <c r="A663" s="7" t="n">
        <v>46104</v>
      </c>
      <c r="B663" s="11" t="n">
        <f aca="false">C662</f>
        <v>46132</v>
      </c>
      <c r="C663" s="11" t="n">
        <f aca="false">IF(OR(H662,D663&lt;=$G$4),_xlfn.MINIFS('Futures Data'!$B$5:$B$3471,'Futures Data'!$A$5:$A$3471,A663,'Futures Data'!$B$5:$B$3471,"&gt;"&amp;B663),B663)</f>
        <v>46132</v>
      </c>
      <c r="D663" s="3" t="n">
        <f aca="false">COUNTIFS($A$47:$A$790,"&gt;"&amp;A663,$A$47:$A$790,"&lt;="&amp;B663)+IF(B663&gt;$G$5,NETWORKDAYS($G$5+1,B663),0)</f>
        <v>16</v>
      </c>
      <c r="E663" s="3" t="n">
        <f aca="false">SUMIFS('Futures Data'!$E$5:$E$3471,'Futures Data'!$A$5:$A$3471,A663,'Futures Data'!$B$5:$B$3471,C663)</f>
        <v>20385</v>
      </c>
      <c r="F663" s="11" t="n">
        <f aca="false">_xlfn.MINIFS('Futures Data'!$B$5:$B$3471,'Futures Data'!$A$5:$A$3471,A663,'Futures Data'!$B$5:$B$3471,"&gt;"&amp;C663)</f>
        <v>46162</v>
      </c>
      <c r="G663" s="3" t="n">
        <f aca="false">SUMIFS('Futures Data'!$E$5:$E$3471,'Futures Data'!$A$5:$A$3471,A663,'Futures Data'!$B$5:$B$3471,F663)</f>
        <v>9520</v>
      </c>
      <c r="H663" s="9" t="b">
        <f aca="false">G663&gt;E663</f>
        <v>0</v>
      </c>
      <c r="I663" s="9" t="b">
        <f aca="false">C663&lt;&gt;B663</f>
        <v>0</v>
      </c>
      <c r="J663" s="3" t="n">
        <f aca="false">SUMIFS('Futures Data'!$C$5:$C$3471,'Futures Data'!$A$5:$A$3471,A663,'Futures Data'!$B$5:$B$3471,B663)</f>
        <v>6544</v>
      </c>
      <c r="K663" s="3" t="n">
        <f aca="false">SUMIFS('Futures Data'!$C$5:$C$3471,'Futures Data'!$A$5:$A$3471,A663,'Futures Data'!$B$5:$B$3471,C663)</f>
        <v>6544</v>
      </c>
      <c r="L663" s="3" t="n">
        <f aca="false">K663-J663</f>
        <v>0</v>
      </c>
      <c r="M663" s="3" t="n">
        <f aca="false">M664+L663</f>
        <v>545</v>
      </c>
      <c r="N663" s="3" t="n">
        <f aca="false">J663+M663</f>
        <v>7089</v>
      </c>
      <c r="O663" s="13" t="n">
        <f aca="false">LN(J663/K662)</f>
        <v>0.00275440112931703</v>
      </c>
      <c r="P663" s="13" t="n">
        <f aca="false">LN(N663/N662)</f>
        <v>0.00254237425077674</v>
      </c>
      <c r="Q663" s="3" t="n">
        <f aca="false">SUMIFS('Futures Data'!$D$5:$D$3471,'Futures Data'!$A$5:$A$3471,A663,'Futures Data'!$B$5:$B$3471,B663)</f>
        <v>4995</v>
      </c>
      <c r="R663" s="7" t="n">
        <v>46132</v>
      </c>
      <c r="S663" s="9" t="b">
        <f aca="false">C663=R663</f>
        <v>1</v>
      </c>
      <c r="T663" s="9" t="b">
        <f aca="false">ABS(O663-LN(J663/SUMIFS('Futures Data'!$C$5:$C$3471,'Futures Data'!$A$5:$A$3471,A662,'Futures Data'!$B$5:$B$3471,B663)))&lt;0.000000001</f>
        <v>1</v>
      </c>
    </row>
    <row r="664" customFormat="false" ht="15" hidden="false" customHeight="false" outlineLevel="0" collapsed="false">
      <c r="A664" s="7" t="n">
        <v>46105</v>
      </c>
      <c r="B664" s="11" t="n">
        <f aca="false">C663</f>
        <v>46132</v>
      </c>
      <c r="C664" s="11" t="n">
        <f aca="false">IF(OR(H663,D664&lt;=$G$4),_xlfn.MINIFS('Futures Data'!$B$5:$B$3471,'Futures Data'!$A$5:$A$3471,A664,'Futures Data'!$B$5:$B$3471,"&gt;"&amp;B664),B664)</f>
        <v>46132</v>
      </c>
      <c r="D664" s="3" t="n">
        <f aca="false">COUNTIFS($A$47:$A$790,"&gt;"&amp;A664,$A$47:$A$790,"&lt;="&amp;B664)+IF(B664&gt;$G$5,NETWORKDAYS($G$5+1,B664),0)</f>
        <v>15</v>
      </c>
      <c r="E664" s="3" t="n">
        <f aca="false">SUMIFS('Futures Data'!$E$5:$E$3471,'Futures Data'!$A$5:$A$3471,A664,'Futures Data'!$B$5:$B$3471,C664)</f>
        <v>20305</v>
      </c>
      <c r="F664" s="11" t="n">
        <f aca="false">_xlfn.MINIFS('Futures Data'!$B$5:$B$3471,'Futures Data'!$A$5:$A$3471,A664,'Futures Data'!$B$5:$B$3471,"&gt;"&amp;C664)</f>
        <v>46162</v>
      </c>
      <c r="G664" s="3" t="n">
        <f aca="false">SUMIFS('Futures Data'!$E$5:$E$3471,'Futures Data'!$A$5:$A$3471,A664,'Futures Data'!$B$5:$B$3471,F664)</f>
        <v>9700</v>
      </c>
      <c r="H664" s="9" t="b">
        <f aca="false">G664&gt;E664</f>
        <v>0</v>
      </c>
      <c r="I664" s="9" t="b">
        <f aca="false">C664&lt;&gt;B664</f>
        <v>0</v>
      </c>
      <c r="J664" s="3" t="n">
        <f aca="false">SUMIFS('Futures Data'!$C$5:$C$3471,'Futures Data'!$A$5:$A$3471,A664,'Futures Data'!$B$5:$B$3471,B664)</f>
        <v>6556</v>
      </c>
      <c r="K664" s="3" t="n">
        <f aca="false">SUMIFS('Futures Data'!$C$5:$C$3471,'Futures Data'!$A$5:$A$3471,A664,'Futures Data'!$B$5:$B$3471,C664)</f>
        <v>6556</v>
      </c>
      <c r="L664" s="3" t="n">
        <f aca="false">K664-J664</f>
        <v>0</v>
      </c>
      <c r="M664" s="3" t="n">
        <f aca="false">M665+L664</f>
        <v>545</v>
      </c>
      <c r="N664" s="3" t="n">
        <f aca="false">J664+M664</f>
        <v>7101</v>
      </c>
      <c r="O664" s="13" t="n">
        <f aca="false">LN(J664/K663)</f>
        <v>0.00183206158113732</v>
      </c>
      <c r="P664" s="13" t="n">
        <f aca="false">LN(N664/N663)</f>
        <v>0.00169133232707607</v>
      </c>
      <c r="Q664" s="3" t="n">
        <f aca="false">SUMIFS('Futures Data'!$D$5:$D$3471,'Futures Data'!$A$5:$A$3471,A664,'Futures Data'!$B$5:$B$3471,B664)</f>
        <v>2035</v>
      </c>
      <c r="R664" s="7" t="n">
        <v>46132</v>
      </c>
      <c r="S664" s="9" t="b">
        <f aca="false">C664=R664</f>
        <v>1</v>
      </c>
      <c r="T664" s="9" t="b">
        <f aca="false">ABS(O664-LN(J664/SUMIFS('Futures Data'!$C$5:$C$3471,'Futures Data'!$A$5:$A$3471,A663,'Futures Data'!$B$5:$B$3471,B664)))&lt;0.000000001</f>
        <v>1</v>
      </c>
    </row>
    <row r="665" customFormat="false" ht="15" hidden="false" customHeight="false" outlineLevel="0" collapsed="false">
      <c r="A665" s="7" t="n">
        <v>46106</v>
      </c>
      <c r="B665" s="11" t="n">
        <f aca="false">C664</f>
        <v>46132</v>
      </c>
      <c r="C665" s="11" t="n">
        <f aca="false">IF(OR(H664,D665&lt;=$G$4),_xlfn.MINIFS('Futures Data'!$B$5:$B$3471,'Futures Data'!$A$5:$A$3471,A665,'Futures Data'!$B$5:$B$3471,"&gt;"&amp;B665),B665)</f>
        <v>46132</v>
      </c>
      <c r="D665" s="3" t="n">
        <f aca="false">COUNTIFS($A$47:$A$790,"&gt;"&amp;A665,$A$47:$A$790,"&lt;="&amp;B665)+IF(B665&gt;$G$5,NETWORKDAYS($G$5+1,B665),0)</f>
        <v>14</v>
      </c>
      <c r="E665" s="3" t="n">
        <f aca="false">SUMIFS('Futures Data'!$E$5:$E$3471,'Futures Data'!$A$5:$A$3471,A665,'Futures Data'!$B$5:$B$3471,C665)</f>
        <v>19760</v>
      </c>
      <c r="F665" s="11" t="n">
        <f aca="false">_xlfn.MINIFS('Futures Data'!$B$5:$B$3471,'Futures Data'!$A$5:$A$3471,A665,'Futures Data'!$B$5:$B$3471,"&gt;"&amp;C665)</f>
        <v>46162</v>
      </c>
      <c r="G665" s="3" t="n">
        <f aca="false">SUMIFS('Futures Data'!$E$5:$E$3471,'Futures Data'!$A$5:$A$3471,A665,'Futures Data'!$B$5:$B$3471,F665)</f>
        <v>10095</v>
      </c>
      <c r="H665" s="9" t="b">
        <f aca="false">G665&gt;E665</f>
        <v>0</v>
      </c>
      <c r="I665" s="9" t="b">
        <f aca="false">C665&lt;&gt;B665</f>
        <v>0</v>
      </c>
      <c r="J665" s="3" t="n">
        <f aca="false">SUMIFS('Futures Data'!$C$5:$C$3471,'Futures Data'!$A$5:$A$3471,A665,'Futures Data'!$B$5:$B$3471,B665)</f>
        <v>6593</v>
      </c>
      <c r="K665" s="3" t="n">
        <f aca="false">SUMIFS('Futures Data'!$C$5:$C$3471,'Futures Data'!$A$5:$A$3471,A665,'Futures Data'!$B$5:$B$3471,C665)</f>
        <v>6593</v>
      </c>
      <c r="L665" s="3" t="n">
        <f aca="false">K665-J665</f>
        <v>0</v>
      </c>
      <c r="M665" s="3" t="n">
        <f aca="false">M666+L665</f>
        <v>545</v>
      </c>
      <c r="N665" s="3" t="n">
        <f aca="false">J665+M665</f>
        <v>7138</v>
      </c>
      <c r="O665" s="13" t="n">
        <f aca="false">LN(J665/K664)</f>
        <v>0.00562781924957941</v>
      </c>
      <c r="P665" s="13" t="n">
        <f aca="false">LN(N665/N664)</f>
        <v>0.00519700586801206</v>
      </c>
      <c r="Q665" s="3" t="n">
        <f aca="false">SUMIFS('Futures Data'!$D$5:$D$3471,'Futures Data'!$A$5:$A$3471,A665,'Futures Data'!$B$5:$B$3471,B665)</f>
        <v>2550</v>
      </c>
      <c r="R665" s="7" t="n">
        <v>46132</v>
      </c>
      <c r="S665" s="9" t="b">
        <f aca="false">C665=R665</f>
        <v>1</v>
      </c>
      <c r="T665" s="9" t="b">
        <f aca="false">ABS(O665-LN(J665/SUMIFS('Futures Data'!$C$5:$C$3471,'Futures Data'!$A$5:$A$3471,A664,'Futures Data'!$B$5:$B$3471,B665)))&lt;0.000000001</f>
        <v>1</v>
      </c>
    </row>
    <row r="666" customFormat="false" ht="15" hidden="false" customHeight="false" outlineLevel="0" collapsed="false">
      <c r="A666" s="7" t="n">
        <v>46108</v>
      </c>
      <c r="B666" s="11" t="n">
        <f aca="false">C665</f>
        <v>46132</v>
      </c>
      <c r="C666" s="11" t="n">
        <f aca="false">IF(OR(H665,D666&lt;=$G$4),_xlfn.MINIFS('Futures Data'!$B$5:$B$3471,'Futures Data'!$A$5:$A$3471,A666,'Futures Data'!$B$5:$B$3471,"&gt;"&amp;B666),B666)</f>
        <v>46132</v>
      </c>
      <c r="D666" s="3" t="n">
        <f aca="false">COUNTIFS($A$47:$A$790,"&gt;"&amp;A666,$A$47:$A$790,"&lt;="&amp;B666)+IF(B666&gt;$G$5,NETWORKDAYS($G$5+1,B666),0)</f>
        <v>13</v>
      </c>
      <c r="E666" s="3" t="n">
        <f aca="false">SUMIFS('Futures Data'!$E$5:$E$3471,'Futures Data'!$A$5:$A$3471,A666,'Futures Data'!$B$5:$B$3471,C666)</f>
        <v>18320</v>
      </c>
      <c r="F666" s="11" t="n">
        <f aca="false">_xlfn.MINIFS('Futures Data'!$B$5:$B$3471,'Futures Data'!$A$5:$A$3471,A666,'Futures Data'!$B$5:$B$3471,"&gt;"&amp;C666)</f>
        <v>46162</v>
      </c>
      <c r="G666" s="3" t="n">
        <f aca="false">SUMIFS('Futures Data'!$E$5:$E$3471,'Futures Data'!$A$5:$A$3471,A666,'Futures Data'!$B$5:$B$3471,F666)</f>
        <v>10750</v>
      </c>
      <c r="H666" s="9" t="b">
        <f aca="false">G666&gt;E666</f>
        <v>0</v>
      </c>
      <c r="I666" s="9" t="b">
        <f aca="false">C666&lt;&gt;B666</f>
        <v>0</v>
      </c>
      <c r="J666" s="3" t="n">
        <f aca="false">SUMIFS('Futures Data'!$C$5:$C$3471,'Futures Data'!$A$5:$A$3471,A666,'Futures Data'!$B$5:$B$3471,B666)</f>
        <v>6561</v>
      </c>
      <c r="K666" s="3" t="n">
        <f aca="false">SUMIFS('Futures Data'!$C$5:$C$3471,'Futures Data'!$A$5:$A$3471,A666,'Futures Data'!$B$5:$B$3471,C666)</f>
        <v>6561</v>
      </c>
      <c r="L666" s="3" t="n">
        <f aca="false">K666-J666</f>
        <v>0</v>
      </c>
      <c r="M666" s="3" t="n">
        <f aca="false">M667+L666</f>
        <v>545</v>
      </c>
      <c r="N666" s="3" t="n">
        <f aca="false">J666+M666</f>
        <v>7106</v>
      </c>
      <c r="O666" s="13" t="n">
        <f aca="false">LN(J666/K665)</f>
        <v>-0.00486544976842212</v>
      </c>
      <c r="P666" s="13" t="n">
        <f aca="false">LN(N666/N665)</f>
        <v>-0.00449312746913331</v>
      </c>
      <c r="Q666" s="3" t="n">
        <f aca="false">SUMIFS('Futures Data'!$D$5:$D$3471,'Futures Data'!$A$5:$A$3471,A666,'Futures Data'!$B$5:$B$3471,B666)</f>
        <v>3675</v>
      </c>
      <c r="R666" s="7" t="n">
        <v>46132</v>
      </c>
      <c r="S666" s="9" t="b">
        <f aca="false">C666=R666</f>
        <v>1</v>
      </c>
      <c r="T666" s="9" t="b">
        <f aca="false">ABS(O666-LN(J666/SUMIFS('Futures Data'!$C$5:$C$3471,'Futures Data'!$A$5:$A$3471,A665,'Futures Data'!$B$5:$B$3471,B666)))&lt;0.000000001</f>
        <v>1</v>
      </c>
    </row>
    <row r="667" customFormat="false" ht="15" hidden="false" customHeight="false" outlineLevel="0" collapsed="false">
      <c r="A667" s="7" t="n">
        <v>46111</v>
      </c>
      <c r="B667" s="11" t="n">
        <f aca="false">C666</f>
        <v>46132</v>
      </c>
      <c r="C667" s="11" t="n">
        <f aca="false">IF(OR(H666,D667&lt;=$G$4),_xlfn.MINIFS('Futures Data'!$B$5:$B$3471,'Futures Data'!$A$5:$A$3471,A667,'Futures Data'!$B$5:$B$3471,"&gt;"&amp;B667),B667)</f>
        <v>46132</v>
      </c>
      <c r="D667" s="3" t="n">
        <f aca="false">COUNTIFS($A$47:$A$790,"&gt;"&amp;A667,$A$47:$A$790,"&lt;="&amp;B667)+IF(B667&gt;$G$5,NETWORKDAYS($G$5+1,B667),0)</f>
        <v>12</v>
      </c>
      <c r="E667" s="3" t="n">
        <f aca="false">SUMIFS('Futures Data'!$E$5:$E$3471,'Futures Data'!$A$5:$A$3471,A667,'Futures Data'!$B$5:$B$3471,C667)</f>
        <v>17490</v>
      </c>
      <c r="F667" s="11" t="n">
        <f aca="false">_xlfn.MINIFS('Futures Data'!$B$5:$B$3471,'Futures Data'!$A$5:$A$3471,A667,'Futures Data'!$B$5:$B$3471,"&gt;"&amp;C667)</f>
        <v>46162</v>
      </c>
      <c r="G667" s="3" t="n">
        <f aca="false">SUMIFS('Futures Data'!$E$5:$E$3471,'Futures Data'!$A$5:$A$3471,A667,'Futures Data'!$B$5:$B$3471,F667)</f>
        <v>11705</v>
      </c>
      <c r="H667" s="9" t="b">
        <f aca="false">G667&gt;E667</f>
        <v>0</v>
      </c>
      <c r="I667" s="9" t="b">
        <f aca="false">C667&lt;&gt;B667</f>
        <v>0</v>
      </c>
      <c r="J667" s="3" t="n">
        <f aca="false">SUMIFS('Futures Data'!$C$5:$C$3471,'Futures Data'!$A$5:$A$3471,A667,'Futures Data'!$B$5:$B$3471,B667)</f>
        <v>6566</v>
      </c>
      <c r="K667" s="3" t="n">
        <f aca="false">SUMIFS('Futures Data'!$C$5:$C$3471,'Futures Data'!$A$5:$A$3471,A667,'Futures Data'!$B$5:$B$3471,C667)</f>
        <v>6566</v>
      </c>
      <c r="L667" s="3" t="n">
        <f aca="false">K667-J667</f>
        <v>0</v>
      </c>
      <c r="M667" s="3" t="n">
        <f aca="false">M668+L667</f>
        <v>545</v>
      </c>
      <c r="N667" s="3" t="n">
        <f aca="false">J667+M667</f>
        <v>7111</v>
      </c>
      <c r="O667" s="13" t="n">
        <f aca="false">LN(J667/K666)</f>
        <v>0.000761788716660449</v>
      </c>
      <c r="P667" s="13" t="n">
        <f aca="false">LN(N667/N666)</f>
        <v>0.000703383302545516</v>
      </c>
      <c r="Q667" s="3" t="n">
        <f aca="false">SUMIFS('Futures Data'!$D$5:$D$3471,'Futures Data'!$A$5:$A$3471,A667,'Futures Data'!$B$5:$B$3471,B667)</f>
        <v>2430</v>
      </c>
      <c r="R667" s="7" t="n">
        <v>46132</v>
      </c>
      <c r="S667" s="9" t="b">
        <f aca="false">C667=R667</f>
        <v>1</v>
      </c>
      <c r="T667" s="9" t="b">
        <f aca="false">ABS(O667-LN(J667/SUMIFS('Futures Data'!$C$5:$C$3471,'Futures Data'!$A$5:$A$3471,A666,'Futures Data'!$B$5:$B$3471,B667)))&lt;0.000000001</f>
        <v>1</v>
      </c>
    </row>
    <row r="668" customFormat="false" ht="15" hidden="false" customHeight="false" outlineLevel="0" collapsed="false">
      <c r="A668" s="7" t="n">
        <v>46113</v>
      </c>
      <c r="B668" s="11" t="n">
        <f aca="false">C667</f>
        <v>46132</v>
      </c>
      <c r="C668" s="11" t="n">
        <f aca="false">IF(OR(H667,D668&lt;=$G$4),_xlfn.MINIFS('Futures Data'!$B$5:$B$3471,'Futures Data'!$A$5:$A$3471,A668,'Futures Data'!$B$5:$B$3471,"&gt;"&amp;B668),B668)</f>
        <v>46132</v>
      </c>
      <c r="D668" s="3" t="n">
        <f aca="false">COUNTIFS($A$47:$A$790,"&gt;"&amp;A668,$A$47:$A$790,"&lt;="&amp;B668)+IF(B668&gt;$G$5,NETWORKDAYS($G$5+1,B668),0)</f>
        <v>11</v>
      </c>
      <c r="E668" s="3" t="n">
        <f aca="false">SUMIFS('Futures Data'!$E$5:$E$3471,'Futures Data'!$A$5:$A$3471,A668,'Futures Data'!$B$5:$B$3471,C668)</f>
        <v>17680</v>
      </c>
      <c r="F668" s="11" t="n">
        <f aca="false">_xlfn.MINIFS('Futures Data'!$B$5:$B$3471,'Futures Data'!$A$5:$A$3471,A668,'Futures Data'!$B$5:$B$3471,"&gt;"&amp;C668)</f>
        <v>46162</v>
      </c>
      <c r="G668" s="3" t="n">
        <f aca="false">SUMIFS('Futures Data'!$E$5:$E$3471,'Futures Data'!$A$5:$A$3471,A668,'Futures Data'!$B$5:$B$3471,F668)</f>
        <v>12310</v>
      </c>
      <c r="H668" s="9" t="b">
        <f aca="false">G668&gt;E668</f>
        <v>0</v>
      </c>
      <c r="I668" s="9" t="b">
        <f aca="false">C668&lt;&gt;B668</f>
        <v>0</v>
      </c>
      <c r="J668" s="3" t="n">
        <f aca="false">SUMIFS('Futures Data'!$C$5:$C$3471,'Futures Data'!$A$5:$A$3471,A668,'Futures Data'!$B$5:$B$3471,B668)</f>
        <v>6495</v>
      </c>
      <c r="K668" s="3" t="n">
        <f aca="false">SUMIFS('Futures Data'!$C$5:$C$3471,'Futures Data'!$A$5:$A$3471,A668,'Futures Data'!$B$5:$B$3471,C668)</f>
        <v>6495</v>
      </c>
      <c r="L668" s="3" t="n">
        <f aca="false">K668-J668</f>
        <v>0</v>
      </c>
      <c r="M668" s="3" t="n">
        <f aca="false">M669+L668</f>
        <v>545</v>
      </c>
      <c r="N668" s="3" t="n">
        <f aca="false">J668+M668</f>
        <v>7040</v>
      </c>
      <c r="O668" s="13" t="n">
        <f aca="false">LN(J668/K667)</f>
        <v>-0.010872168956838</v>
      </c>
      <c r="P668" s="13" t="n">
        <f aca="false">LN(N668/N667)</f>
        <v>-0.0100347107314298</v>
      </c>
      <c r="Q668" s="3" t="n">
        <f aca="false">SUMIFS('Futures Data'!$D$5:$D$3471,'Futures Data'!$A$5:$A$3471,A668,'Futures Data'!$B$5:$B$3471,B668)</f>
        <v>2940</v>
      </c>
      <c r="R668" s="7" t="n">
        <v>46132</v>
      </c>
      <c r="S668" s="9" t="b">
        <f aca="false">C668=R668</f>
        <v>1</v>
      </c>
      <c r="T668" s="9" t="b">
        <f aca="false">ABS(O668-LN(J668/SUMIFS('Futures Data'!$C$5:$C$3471,'Futures Data'!$A$5:$A$3471,A667,'Futures Data'!$B$5:$B$3471,B668)))&lt;0.000000001</f>
        <v>1</v>
      </c>
    </row>
    <row r="669" customFormat="false" ht="15" hidden="false" customHeight="false" outlineLevel="0" collapsed="false">
      <c r="A669" s="7" t="n">
        <v>46114</v>
      </c>
      <c r="B669" s="11" t="n">
        <f aca="false">C668</f>
        <v>46132</v>
      </c>
      <c r="C669" s="11" t="n">
        <f aca="false">IF(OR(H668,D669&lt;=$G$4),_xlfn.MINIFS('Futures Data'!$B$5:$B$3471,'Futures Data'!$A$5:$A$3471,A669,'Futures Data'!$B$5:$B$3471,"&gt;"&amp;B669),B669)</f>
        <v>46132</v>
      </c>
      <c r="D669" s="3" t="n">
        <f aca="false">COUNTIFS($A$47:$A$790,"&gt;"&amp;A669,$A$47:$A$790,"&lt;="&amp;B669)+IF(B669&gt;$G$5,NETWORKDAYS($G$5+1,B669),0)</f>
        <v>10</v>
      </c>
      <c r="E669" s="3" t="n">
        <f aca="false">SUMIFS('Futures Data'!$E$5:$E$3471,'Futures Data'!$A$5:$A$3471,A669,'Futures Data'!$B$5:$B$3471,C669)</f>
        <v>17505</v>
      </c>
      <c r="F669" s="11" t="n">
        <f aca="false">_xlfn.MINIFS('Futures Data'!$B$5:$B$3471,'Futures Data'!$A$5:$A$3471,A669,'Futures Data'!$B$5:$B$3471,"&gt;"&amp;C669)</f>
        <v>46162</v>
      </c>
      <c r="G669" s="3" t="n">
        <f aca="false">SUMIFS('Futures Data'!$E$5:$E$3471,'Futures Data'!$A$5:$A$3471,A669,'Futures Data'!$B$5:$B$3471,F669)</f>
        <v>13045</v>
      </c>
      <c r="H669" s="9" t="b">
        <f aca="false">G669&gt;E669</f>
        <v>0</v>
      </c>
      <c r="I669" s="9" t="b">
        <f aca="false">C669&lt;&gt;B669</f>
        <v>0</v>
      </c>
      <c r="J669" s="3" t="n">
        <f aca="false">SUMIFS('Futures Data'!$C$5:$C$3471,'Futures Data'!$A$5:$A$3471,A669,'Futures Data'!$B$5:$B$3471,B669)</f>
        <v>6503</v>
      </c>
      <c r="K669" s="3" t="n">
        <f aca="false">SUMIFS('Futures Data'!$C$5:$C$3471,'Futures Data'!$A$5:$A$3471,A669,'Futures Data'!$B$5:$B$3471,C669)</f>
        <v>6503</v>
      </c>
      <c r="L669" s="3" t="n">
        <f aca="false">K669-J669</f>
        <v>0</v>
      </c>
      <c r="M669" s="3" t="n">
        <f aca="false">M670+L669</f>
        <v>545</v>
      </c>
      <c r="N669" s="3" t="n">
        <f aca="false">J669+M669</f>
        <v>7048</v>
      </c>
      <c r="O669" s="13" t="n">
        <f aca="false">LN(J669/K668)</f>
        <v>0.00123095876445197</v>
      </c>
      <c r="P669" s="13" t="n">
        <f aca="false">LN(N669/N668)</f>
        <v>0.00113571846392743</v>
      </c>
      <c r="Q669" s="3" t="n">
        <f aca="false">SUMIFS('Futures Data'!$D$5:$D$3471,'Futures Data'!$A$5:$A$3471,A669,'Futures Data'!$B$5:$B$3471,B669)</f>
        <v>2570</v>
      </c>
      <c r="R669" s="7" t="n">
        <v>46132</v>
      </c>
      <c r="S669" s="9" t="b">
        <f aca="false">C669=R669</f>
        <v>1</v>
      </c>
      <c r="T669" s="9" t="b">
        <f aca="false">ABS(O669-LN(J669/SUMIFS('Futures Data'!$C$5:$C$3471,'Futures Data'!$A$5:$A$3471,A668,'Futures Data'!$B$5:$B$3471,B669)))&lt;0.000000001</f>
        <v>1</v>
      </c>
    </row>
    <row r="670" customFormat="false" ht="15" hidden="false" customHeight="false" outlineLevel="0" collapsed="false">
      <c r="A670" s="7" t="n">
        <v>46118</v>
      </c>
      <c r="B670" s="11" t="n">
        <f aca="false">C669</f>
        <v>46132</v>
      </c>
      <c r="C670" s="11" t="n">
        <f aca="false">IF(OR(H669,D670&lt;=$G$4),_xlfn.MINIFS('Futures Data'!$B$5:$B$3471,'Futures Data'!$A$5:$A$3471,A670,'Futures Data'!$B$5:$B$3471,"&gt;"&amp;B670),B670)</f>
        <v>46132</v>
      </c>
      <c r="D670" s="3" t="n">
        <f aca="false">COUNTIFS($A$47:$A$790,"&gt;"&amp;A670,$A$47:$A$790,"&lt;="&amp;B670)+IF(B670&gt;$G$5,NETWORKDAYS($G$5+1,B670),0)</f>
        <v>9</v>
      </c>
      <c r="E670" s="3" t="n">
        <f aca="false">SUMIFS('Futures Data'!$E$5:$E$3471,'Futures Data'!$A$5:$A$3471,A670,'Futures Data'!$B$5:$B$3471,C670)</f>
        <v>16255</v>
      </c>
      <c r="F670" s="11" t="n">
        <f aca="false">_xlfn.MINIFS('Futures Data'!$B$5:$B$3471,'Futures Data'!$A$5:$A$3471,A670,'Futures Data'!$B$5:$B$3471,"&gt;"&amp;C670)</f>
        <v>46162</v>
      </c>
      <c r="G670" s="3" t="n">
        <f aca="false">SUMIFS('Futures Data'!$E$5:$E$3471,'Futures Data'!$A$5:$A$3471,A670,'Futures Data'!$B$5:$B$3471,F670)</f>
        <v>14705</v>
      </c>
      <c r="H670" s="9" t="b">
        <f aca="false">G670&gt;E670</f>
        <v>0</v>
      </c>
      <c r="I670" s="9" t="b">
        <f aca="false">C670&lt;&gt;B670</f>
        <v>0</v>
      </c>
      <c r="J670" s="3" t="n">
        <f aca="false">SUMIFS('Futures Data'!$C$5:$C$3471,'Futures Data'!$A$5:$A$3471,A670,'Futures Data'!$B$5:$B$3471,B670)</f>
        <v>6380</v>
      </c>
      <c r="K670" s="3" t="n">
        <f aca="false">SUMIFS('Futures Data'!$C$5:$C$3471,'Futures Data'!$A$5:$A$3471,A670,'Futures Data'!$B$5:$B$3471,C670)</f>
        <v>6380</v>
      </c>
      <c r="L670" s="3" t="n">
        <f aca="false">K670-J670</f>
        <v>0</v>
      </c>
      <c r="M670" s="3" t="n">
        <f aca="false">M671+L670</f>
        <v>545</v>
      </c>
      <c r="N670" s="3" t="n">
        <f aca="false">J670+M670</f>
        <v>6925</v>
      </c>
      <c r="O670" s="13" t="n">
        <f aca="false">LN(J670/K669)</f>
        <v>-0.0190955115303163</v>
      </c>
      <c r="P670" s="13" t="n">
        <f aca="false">LN(N670/N669)</f>
        <v>-0.0176058365604762</v>
      </c>
      <c r="Q670" s="3" t="n">
        <f aca="false">SUMIFS('Futures Data'!$D$5:$D$3471,'Futures Data'!$A$5:$A$3471,A670,'Futures Data'!$B$5:$B$3471,B670)</f>
        <v>5185</v>
      </c>
      <c r="R670" s="7" t="n">
        <v>46132</v>
      </c>
      <c r="S670" s="9" t="b">
        <f aca="false">C670=R670</f>
        <v>1</v>
      </c>
      <c r="T670" s="9" t="b">
        <f aca="false">ABS(O670-LN(J670/SUMIFS('Futures Data'!$C$5:$C$3471,'Futures Data'!$A$5:$A$3471,A669,'Futures Data'!$B$5:$B$3471,B670)))&lt;0.000000001</f>
        <v>1</v>
      </c>
    </row>
    <row r="671" customFormat="false" ht="15" hidden="false" customHeight="false" outlineLevel="0" collapsed="false">
      <c r="A671" s="7" t="n">
        <v>46119</v>
      </c>
      <c r="B671" s="11" t="n">
        <f aca="false">C670</f>
        <v>46132</v>
      </c>
      <c r="C671" s="11" t="n">
        <f aca="false">IF(OR(H670,D671&lt;=$G$4),_xlfn.MINIFS('Futures Data'!$B$5:$B$3471,'Futures Data'!$A$5:$A$3471,A671,'Futures Data'!$B$5:$B$3471,"&gt;"&amp;B671),B671)</f>
        <v>46132</v>
      </c>
      <c r="D671" s="3" t="n">
        <f aca="false">COUNTIFS($A$47:$A$790,"&gt;"&amp;A671,$A$47:$A$790,"&lt;="&amp;B671)+IF(B671&gt;$G$5,NETWORKDAYS($G$5+1,B671),0)</f>
        <v>8</v>
      </c>
      <c r="E671" s="3" t="n">
        <f aca="false">SUMIFS('Futures Data'!$E$5:$E$3471,'Futures Data'!$A$5:$A$3471,A671,'Futures Data'!$B$5:$B$3471,C671)</f>
        <v>14985</v>
      </c>
      <c r="F671" s="11" t="n">
        <f aca="false">_xlfn.MINIFS('Futures Data'!$B$5:$B$3471,'Futures Data'!$A$5:$A$3471,A671,'Futures Data'!$B$5:$B$3471,"&gt;"&amp;C671)</f>
        <v>46162</v>
      </c>
      <c r="G671" s="3" t="n">
        <f aca="false">SUMIFS('Futures Data'!$E$5:$E$3471,'Futures Data'!$A$5:$A$3471,A671,'Futures Data'!$B$5:$B$3471,F671)</f>
        <v>16660</v>
      </c>
      <c r="H671" s="9" t="b">
        <f aca="false">G671&gt;E671</f>
        <v>1</v>
      </c>
      <c r="I671" s="9" t="b">
        <f aca="false">C671&lt;&gt;B671</f>
        <v>0</v>
      </c>
      <c r="J671" s="3" t="n">
        <f aca="false">SUMIFS('Futures Data'!$C$5:$C$3471,'Futures Data'!$A$5:$A$3471,A671,'Futures Data'!$B$5:$B$3471,B671)</f>
        <v>6392</v>
      </c>
      <c r="K671" s="3" t="n">
        <f aca="false">SUMIFS('Futures Data'!$C$5:$C$3471,'Futures Data'!$A$5:$A$3471,A671,'Futures Data'!$B$5:$B$3471,C671)</f>
        <v>6392</v>
      </c>
      <c r="L671" s="3" t="n">
        <f aca="false">K671-J671</f>
        <v>0</v>
      </c>
      <c r="M671" s="3" t="n">
        <f aca="false">M672+L671</f>
        <v>545</v>
      </c>
      <c r="N671" s="3" t="n">
        <f aca="false">J671+M671</f>
        <v>6937</v>
      </c>
      <c r="O671" s="13" t="n">
        <f aca="false">LN(J671/K670)</f>
        <v>0.00187911110727497</v>
      </c>
      <c r="P671" s="13" t="n">
        <f aca="false">LN(N671/N670)</f>
        <v>0.00173135232976198</v>
      </c>
      <c r="Q671" s="3" t="n">
        <f aca="false">SUMIFS('Futures Data'!$D$5:$D$3471,'Futures Data'!$A$5:$A$3471,A671,'Futures Data'!$B$5:$B$3471,B671)</f>
        <v>4225</v>
      </c>
      <c r="R671" s="7" t="n">
        <v>46132</v>
      </c>
      <c r="S671" s="9" t="b">
        <f aca="false">C671=R671</f>
        <v>1</v>
      </c>
      <c r="T671" s="9" t="b">
        <f aca="false">ABS(O671-LN(J671/SUMIFS('Futures Data'!$C$5:$C$3471,'Futures Data'!$A$5:$A$3471,A670,'Futures Data'!$B$5:$B$3471,B671)))&lt;0.000000001</f>
        <v>1</v>
      </c>
    </row>
    <row r="672" customFormat="false" ht="15" hidden="false" customHeight="false" outlineLevel="0" collapsed="false">
      <c r="A672" s="7" t="n">
        <v>46120</v>
      </c>
      <c r="B672" s="11" t="n">
        <f aca="false">C671</f>
        <v>46132</v>
      </c>
      <c r="C672" s="11" t="n">
        <f aca="false">IF(OR(H671,D672&lt;=$G$4),_xlfn.MINIFS('Futures Data'!$B$5:$B$3471,'Futures Data'!$A$5:$A$3471,A672,'Futures Data'!$B$5:$B$3471,"&gt;"&amp;B672),B672)</f>
        <v>46162</v>
      </c>
      <c r="D672" s="3" t="n">
        <f aca="false">COUNTIFS($A$47:$A$790,"&gt;"&amp;A672,$A$47:$A$790,"&lt;="&amp;B672)+IF(B672&gt;$G$5,NETWORKDAYS($G$5+1,B672),0)</f>
        <v>7</v>
      </c>
      <c r="E672" s="3" t="n">
        <f aca="false">SUMIFS('Futures Data'!$E$5:$E$3471,'Futures Data'!$A$5:$A$3471,A672,'Futures Data'!$B$5:$B$3471,C672)</f>
        <v>17900</v>
      </c>
      <c r="F672" s="11" t="n">
        <f aca="false">_xlfn.MINIFS('Futures Data'!$B$5:$B$3471,'Futures Data'!$A$5:$A$3471,A672,'Futures Data'!$B$5:$B$3471,"&gt;"&amp;C672)</f>
        <v>46192</v>
      </c>
      <c r="G672" s="3" t="n">
        <f aca="false">SUMIFS('Futures Data'!$E$5:$E$3471,'Futures Data'!$A$5:$A$3471,A672,'Futures Data'!$B$5:$B$3471,F672)</f>
        <v>30</v>
      </c>
      <c r="H672" s="9" t="b">
        <f aca="false">G672&gt;E672</f>
        <v>0</v>
      </c>
      <c r="I672" s="9" t="b">
        <f aca="false">C672&lt;&gt;B672</f>
        <v>1</v>
      </c>
      <c r="J672" s="3" t="n">
        <f aca="false">SUMIFS('Futures Data'!$C$5:$C$3471,'Futures Data'!$A$5:$A$3471,A672,'Futures Data'!$B$5:$B$3471,B672)</f>
        <v>6375</v>
      </c>
      <c r="K672" s="3" t="n">
        <f aca="false">SUMIFS('Futures Data'!$C$5:$C$3471,'Futures Data'!$A$5:$A$3471,A672,'Futures Data'!$B$5:$B$3471,C672)</f>
        <v>6441</v>
      </c>
      <c r="L672" s="3" t="n">
        <f aca="false">K672-J672</f>
        <v>66</v>
      </c>
      <c r="M672" s="3" t="n">
        <f aca="false">M673+L672</f>
        <v>545</v>
      </c>
      <c r="N672" s="3" t="n">
        <f aca="false">J672+M672</f>
        <v>6920</v>
      </c>
      <c r="O672" s="13" t="n">
        <f aca="false">LN(J672/K671)</f>
        <v>-0.00266311741948366</v>
      </c>
      <c r="P672" s="13" t="n">
        <f aca="false">LN(N672/N671)</f>
        <v>-0.00245363477358606</v>
      </c>
      <c r="Q672" s="3" t="n">
        <f aca="false">SUMIFS('Futures Data'!$D$5:$D$3471,'Futures Data'!$A$5:$A$3471,A672,'Futures Data'!$B$5:$B$3471,B672)</f>
        <v>2600</v>
      </c>
      <c r="R672" s="7" t="n">
        <v>46162</v>
      </c>
      <c r="S672" s="9" t="b">
        <f aca="false">C672=R672</f>
        <v>1</v>
      </c>
      <c r="T672" s="9" t="b">
        <f aca="false">ABS(O672-LN(J672/SUMIFS('Futures Data'!$C$5:$C$3471,'Futures Data'!$A$5:$A$3471,A671,'Futures Data'!$B$5:$B$3471,B672)))&lt;0.000000001</f>
        <v>1</v>
      </c>
    </row>
    <row r="673" customFormat="false" ht="15" hidden="false" customHeight="false" outlineLevel="0" collapsed="false">
      <c r="A673" s="7" t="n">
        <v>46121</v>
      </c>
      <c r="B673" s="11" t="n">
        <f aca="false">C672</f>
        <v>46162</v>
      </c>
      <c r="C673" s="11" t="n">
        <f aca="false">IF(OR(H672,D673&lt;=$G$4),_xlfn.MINIFS('Futures Data'!$B$5:$B$3471,'Futures Data'!$A$5:$A$3471,A673,'Futures Data'!$B$5:$B$3471,"&gt;"&amp;B673),B673)</f>
        <v>46162</v>
      </c>
      <c r="D673" s="3" t="n">
        <f aca="false">COUNTIFS($A$47:$A$790,"&gt;"&amp;A673,$A$47:$A$790,"&lt;="&amp;B673)+IF(B673&gt;$G$5,NETWORKDAYS($G$5+1,B673),0)</f>
        <v>27</v>
      </c>
      <c r="E673" s="3" t="n">
        <f aca="false">SUMIFS('Futures Data'!$E$5:$E$3471,'Futures Data'!$A$5:$A$3471,A673,'Futures Data'!$B$5:$B$3471,C673)</f>
        <v>19730</v>
      </c>
      <c r="F673" s="11" t="n">
        <f aca="false">_xlfn.MINIFS('Futures Data'!$B$5:$B$3471,'Futures Data'!$A$5:$A$3471,A673,'Futures Data'!$B$5:$B$3471,"&gt;"&amp;C673)</f>
        <v>46192</v>
      </c>
      <c r="G673" s="3" t="n">
        <f aca="false">SUMIFS('Futures Data'!$E$5:$E$3471,'Futures Data'!$A$5:$A$3471,A673,'Futures Data'!$B$5:$B$3471,F673)</f>
        <v>30</v>
      </c>
      <c r="H673" s="9" t="b">
        <f aca="false">G673&gt;E673</f>
        <v>0</v>
      </c>
      <c r="I673" s="9" t="b">
        <f aca="false">C673&lt;&gt;B673</f>
        <v>0</v>
      </c>
      <c r="J673" s="3" t="n">
        <f aca="false">SUMIFS('Futures Data'!$C$5:$C$3471,'Futures Data'!$A$5:$A$3471,A673,'Futures Data'!$B$5:$B$3471,B673)</f>
        <v>6456</v>
      </c>
      <c r="K673" s="3" t="n">
        <f aca="false">SUMIFS('Futures Data'!$C$5:$C$3471,'Futures Data'!$A$5:$A$3471,A673,'Futures Data'!$B$5:$B$3471,C673)</f>
        <v>6456</v>
      </c>
      <c r="L673" s="3" t="n">
        <f aca="false">K673-J673</f>
        <v>0</v>
      </c>
      <c r="M673" s="3" t="n">
        <f aca="false">M674+L673</f>
        <v>479</v>
      </c>
      <c r="N673" s="3" t="n">
        <f aca="false">J673+M673</f>
        <v>6935</v>
      </c>
      <c r="O673" s="13" t="n">
        <f aca="false">LN(J673/K672)</f>
        <v>0.00232612340289404</v>
      </c>
      <c r="P673" s="13" t="n">
        <f aca="false">LN(N673/N672)</f>
        <v>0.00216528413721676</v>
      </c>
      <c r="Q673" s="3" t="n">
        <f aca="false">SUMIFS('Futures Data'!$D$5:$D$3471,'Futures Data'!$A$5:$A$3471,A673,'Futures Data'!$B$5:$B$3471,B673)</f>
        <v>5365</v>
      </c>
      <c r="R673" s="7" t="n">
        <v>46162</v>
      </c>
      <c r="S673" s="9" t="b">
        <f aca="false">C673=R673</f>
        <v>1</v>
      </c>
      <c r="T673" s="9" t="b">
        <f aca="false">ABS(O673-LN(J673/SUMIFS('Futures Data'!$C$5:$C$3471,'Futures Data'!$A$5:$A$3471,A672,'Futures Data'!$B$5:$B$3471,B673)))&lt;0.000000001</f>
        <v>1</v>
      </c>
    </row>
    <row r="674" customFormat="false" ht="15" hidden="false" customHeight="false" outlineLevel="0" collapsed="false">
      <c r="A674" s="7" t="n">
        <v>46122</v>
      </c>
      <c r="B674" s="11" t="n">
        <f aca="false">C673</f>
        <v>46162</v>
      </c>
      <c r="C674" s="11" t="n">
        <f aca="false">IF(OR(H673,D674&lt;=$G$4),_xlfn.MINIFS('Futures Data'!$B$5:$B$3471,'Futures Data'!$A$5:$A$3471,A674,'Futures Data'!$B$5:$B$3471,"&gt;"&amp;B674),B674)</f>
        <v>46162</v>
      </c>
      <c r="D674" s="3" t="n">
        <f aca="false">COUNTIFS($A$47:$A$790,"&gt;"&amp;A674,$A$47:$A$790,"&lt;="&amp;B674)+IF(B674&gt;$G$5,NETWORKDAYS($G$5+1,B674),0)</f>
        <v>26</v>
      </c>
      <c r="E674" s="3" t="n">
        <f aca="false">SUMIFS('Futures Data'!$E$5:$E$3471,'Futures Data'!$A$5:$A$3471,A674,'Futures Data'!$B$5:$B$3471,C674)</f>
        <v>23540</v>
      </c>
      <c r="F674" s="11" t="n">
        <f aca="false">_xlfn.MINIFS('Futures Data'!$B$5:$B$3471,'Futures Data'!$A$5:$A$3471,A674,'Futures Data'!$B$5:$B$3471,"&gt;"&amp;C674)</f>
        <v>46192</v>
      </c>
      <c r="G674" s="3" t="n">
        <f aca="false">SUMIFS('Futures Data'!$E$5:$E$3471,'Futures Data'!$A$5:$A$3471,A674,'Futures Data'!$B$5:$B$3471,F674)</f>
        <v>30</v>
      </c>
      <c r="H674" s="9" t="b">
        <f aca="false">G674&gt;E674</f>
        <v>0</v>
      </c>
      <c r="I674" s="9" t="b">
        <f aca="false">C674&lt;&gt;B674</f>
        <v>0</v>
      </c>
      <c r="J674" s="3" t="n">
        <f aca="false">SUMIFS('Futures Data'!$C$5:$C$3471,'Futures Data'!$A$5:$A$3471,A674,'Futures Data'!$B$5:$B$3471,B674)</f>
        <v>6448</v>
      </c>
      <c r="K674" s="3" t="n">
        <f aca="false">SUMIFS('Futures Data'!$C$5:$C$3471,'Futures Data'!$A$5:$A$3471,A674,'Futures Data'!$B$5:$B$3471,C674)</f>
        <v>6448</v>
      </c>
      <c r="L674" s="3" t="n">
        <f aca="false">K674-J674</f>
        <v>0</v>
      </c>
      <c r="M674" s="3" t="n">
        <f aca="false">M675+L674</f>
        <v>479</v>
      </c>
      <c r="N674" s="3" t="n">
        <f aca="false">J674+M674</f>
        <v>6927</v>
      </c>
      <c r="O674" s="13" t="n">
        <f aca="false">LN(J674/K673)</f>
        <v>-0.00123992576332055</v>
      </c>
      <c r="P674" s="13" t="n">
        <f aca="false">LN(N674/N673)</f>
        <v>-0.00115423472632689</v>
      </c>
      <c r="Q674" s="3" t="n">
        <f aca="false">SUMIFS('Futures Data'!$D$5:$D$3471,'Futures Data'!$A$5:$A$3471,A674,'Futures Data'!$B$5:$B$3471,B674)</f>
        <v>7950</v>
      </c>
      <c r="R674" s="7" t="n">
        <v>46162</v>
      </c>
      <c r="S674" s="9" t="b">
        <f aca="false">C674=R674</f>
        <v>1</v>
      </c>
      <c r="T674" s="9" t="b">
        <f aca="false">ABS(O674-LN(J674/SUMIFS('Futures Data'!$C$5:$C$3471,'Futures Data'!$A$5:$A$3471,A673,'Futures Data'!$B$5:$B$3471,B674)))&lt;0.000000001</f>
        <v>1</v>
      </c>
    </row>
    <row r="675" customFormat="false" ht="15" hidden="false" customHeight="false" outlineLevel="0" collapsed="false">
      <c r="A675" s="7" t="n">
        <v>46125</v>
      </c>
      <c r="B675" s="11" t="n">
        <f aca="false">C674</f>
        <v>46162</v>
      </c>
      <c r="C675" s="11" t="n">
        <f aca="false">IF(OR(H674,D675&lt;=$G$4),_xlfn.MINIFS('Futures Data'!$B$5:$B$3471,'Futures Data'!$A$5:$A$3471,A675,'Futures Data'!$B$5:$B$3471,"&gt;"&amp;B675),B675)</f>
        <v>46162</v>
      </c>
      <c r="D675" s="3" t="n">
        <f aca="false">COUNTIFS($A$47:$A$790,"&gt;"&amp;A675,$A$47:$A$790,"&lt;="&amp;B675)+IF(B675&gt;$G$5,NETWORKDAYS($G$5+1,B675),0)</f>
        <v>25</v>
      </c>
      <c r="E675" s="3" t="n">
        <f aca="false">SUMIFS('Futures Data'!$E$5:$E$3471,'Futures Data'!$A$5:$A$3471,A675,'Futures Data'!$B$5:$B$3471,C675)</f>
        <v>25565</v>
      </c>
      <c r="F675" s="11" t="n">
        <f aca="false">_xlfn.MINIFS('Futures Data'!$B$5:$B$3471,'Futures Data'!$A$5:$A$3471,A675,'Futures Data'!$B$5:$B$3471,"&gt;"&amp;C675)</f>
        <v>46192</v>
      </c>
      <c r="G675" s="3" t="n">
        <f aca="false">SUMIFS('Futures Data'!$E$5:$E$3471,'Futures Data'!$A$5:$A$3471,A675,'Futures Data'!$B$5:$B$3471,F675)</f>
        <v>65</v>
      </c>
      <c r="H675" s="9" t="b">
        <f aca="false">G675&gt;E675</f>
        <v>0</v>
      </c>
      <c r="I675" s="9" t="b">
        <f aca="false">C675&lt;&gt;B675</f>
        <v>0</v>
      </c>
      <c r="J675" s="3" t="n">
        <f aca="false">SUMIFS('Futures Data'!$C$5:$C$3471,'Futures Data'!$A$5:$A$3471,A675,'Futures Data'!$B$5:$B$3471,B675)</f>
        <v>6475</v>
      </c>
      <c r="K675" s="3" t="n">
        <f aca="false">SUMIFS('Futures Data'!$C$5:$C$3471,'Futures Data'!$A$5:$A$3471,A675,'Futures Data'!$B$5:$B$3471,C675)</f>
        <v>6475</v>
      </c>
      <c r="L675" s="3" t="n">
        <f aca="false">K675-J675</f>
        <v>0</v>
      </c>
      <c r="M675" s="3" t="n">
        <f aca="false">M676+L675</f>
        <v>479</v>
      </c>
      <c r="N675" s="3" t="n">
        <f aca="false">J675+M675</f>
        <v>6954</v>
      </c>
      <c r="O675" s="13" t="n">
        <f aca="false">LN(J675/K674)</f>
        <v>0.00417860238127423</v>
      </c>
      <c r="P675" s="13" t="n">
        <f aca="false">LN(N675/N674)</f>
        <v>0.00389021454520162</v>
      </c>
      <c r="Q675" s="3" t="n">
        <f aca="false">SUMIFS('Futures Data'!$D$5:$D$3471,'Futures Data'!$A$5:$A$3471,A675,'Futures Data'!$B$5:$B$3471,B675)</f>
        <v>6555</v>
      </c>
      <c r="R675" s="7" t="n">
        <v>46162</v>
      </c>
      <c r="S675" s="9" t="b">
        <f aca="false">C675=R675</f>
        <v>1</v>
      </c>
      <c r="T675" s="9" t="b">
        <f aca="false">ABS(O675-LN(J675/SUMIFS('Futures Data'!$C$5:$C$3471,'Futures Data'!$A$5:$A$3471,A674,'Futures Data'!$B$5:$B$3471,B675)))&lt;0.000000001</f>
        <v>1</v>
      </c>
    </row>
    <row r="676" customFormat="false" ht="15" hidden="false" customHeight="false" outlineLevel="0" collapsed="false">
      <c r="A676" s="7" t="n">
        <v>46127</v>
      </c>
      <c r="B676" s="11" t="n">
        <f aca="false">C675</f>
        <v>46162</v>
      </c>
      <c r="C676" s="11" t="n">
        <f aca="false">IF(OR(H675,D676&lt;=$G$4),_xlfn.MINIFS('Futures Data'!$B$5:$B$3471,'Futures Data'!$A$5:$A$3471,A676,'Futures Data'!$B$5:$B$3471,"&gt;"&amp;B676),B676)</f>
        <v>46162</v>
      </c>
      <c r="D676" s="3" t="n">
        <f aca="false">COUNTIFS($A$47:$A$790,"&gt;"&amp;A676,$A$47:$A$790,"&lt;="&amp;B676)+IF(B676&gt;$G$5,NETWORKDAYS($G$5+1,B676),0)</f>
        <v>24</v>
      </c>
      <c r="E676" s="3" t="n">
        <f aca="false">SUMIFS('Futures Data'!$E$5:$E$3471,'Futures Data'!$A$5:$A$3471,A676,'Futures Data'!$B$5:$B$3471,C676)</f>
        <v>27095</v>
      </c>
      <c r="F676" s="11" t="n">
        <f aca="false">_xlfn.MINIFS('Futures Data'!$B$5:$B$3471,'Futures Data'!$A$5:$A$3471,A676,'Futures Data'!$B$5:$B$3471,"&gt;"&amp;C676)</f>
        <v>46192</v>
      </c>
      <c r="G676" s="3" t="n">
        <f aca="false">SUMIFS('Futures Data'!$E$5:$E$3471,'Futures Data'!$A$5:$A$3471,A676,'Futures Data'!$B$5:$B$3471,F676)</f>
        <v>40</v>
      </c>
      <c r="H676" s="9" t="b">
        <f aca="false">G676&gt;E676</f>
        <v>0</v>
      </c>
      <c r="I676" s="9" t="b">
        <f aca="false">C676&lt;&gt;B676</f>
        <v>0</v>
      </c>
      <c r="J676" s="3" t="n">
        <f aca="false">SUMIFS('Futures Data'!$C$5:$C$3471,'Futures Data'!$A$5:$A$3471,A676,'Futures Data'!$B$5:$B$3471,B676)</f>
        <v>6462</v>
      </c>
      <c r="K676" s="3" t="n">
        <f aca="false">SUMIFS('Futures Data'!$C$5:$C$3471,'Futures Data'!$A$5:$A$3471,A676,'Futures Data'!$B$5:$B$3471,C676)</f>
        <v>6462</v>
      </c>
      <c r="L676" s="3" t="n">
        <f aca="false">K676-J676</f>
        <v>0</v>
      </c>
      <c r="M676" s="3" t="n">
        <f aca="false">M677+L676</f>
        <v>479</v>
      </c>
      <c r="N676" s="3" t="n">
        <f aca="false">J676+M676</f>
        <v>6941</v>
      </c>
      <c r="O676" s="13" t="n">
        <f aca="false">LN(J676/K675)</f>
        <v>-0.00200974018329496</v>
      </c>
      <c r="P676" s="13" t="n">
        <f aca="false">LN(N676/N675)</f>
        <v>-0.00187117722822304</v>
      </c>
      <c r="Q676" s="3" t="n">
        <f aca="false">SUMIFS('Futures Data'!$D$5:$D$3471,'Futures Data'!$A$5:$A$3471,A676,'Futures Data'!$B$5:$B$3471,B676)</f>
        <v>5430</v>
      </c>
      <c r="R676" s="7" t="n">
        <v>46162</v>
      </c>
      <c r="S676" s="9" t="b">
        <f aca="false">C676=R676</f>
        <v>1</v>
      </c>
      <c r="T676" s="9" t="b">
        <f aca="false">ABS(O676-LN(J676/SUMIFS('Futures Data'!$C$5:$C$3471,'Futures Data'!$A$5:$A$3471,A675,'Futures Data'!$B$5:$B$3471,B676)))&lt;0.000000001</f>
        <v>1</v>
      </c>
    </row>
    <row r="677" customFormat="false" ht="15" hidden="false" customHeight="false" outlineLevel="0" collapsed="false">
      <c r="A677" s="7" t="n">
        <v>46128</v>
      </c>
      <c r="B677" s="11" t="n">
        <f aca="false">C676</f>
        <v>46162</v>
      </c>
      <c r="C677" s="11" t="n">
        <f aca="false">IF(OR(H676,D677&lt;=$G$4),_xlfn.MINIFS('Futures Data'!$B$5:$B$3471,'Futures Data'!$A$5:$A$3471,A677,'Futures Data'!$B$5:$B$3471,"&gt;"&amp;B677),B677)</f>
        <v>46162</v>
      </c>
      <c r="D677" s="3" t="n">
        <f aca="false">COUNTIFS($A$47:$A$790,"&gt;"&amp;A677,$A$47:$A$790,"&lt;="&amp;B677)+IF(B677&gt;$G$5,NETWORKDAYS($G$5+1,B677),0)</f>
        <v>23</v>
      </c>
      <c r="E677" s="3" t="n">
        <f aca="false">SUMIFS('Futures Data'!$E$5:$E$3471,'Futures Data'!$A$5:$A$3471,A677,'Futures Data'!$B$5:$B$3471,C677)</f>
        <v>27705</v>
      </c>
      <c r="F677" s="11" t="n">
        <f aca="false">_xlfn.MINIFS('Futures Data'!$B$5:$B$3471,'Futures Data'!$A$5:$A$3471,A677,'Futures Data'!$B$5:$B$3471,"&gt;"&amp;C677)</f>
        <v>46192</v>
      </c>
      <c r="G677" s="3" t="n">
        <f aca="false">SUMIFS('Futures Data'!$E$5:$E$3471,'Futures Data'!$A$5:$A$3471,A677,'Futures Data'!$B$5:$B$3471,F677)</f>
        <v>50</v>
      </c>
      <c r="H677" s="9" t="b">
        <f aca="false">G677&gt;E677</f>
        <v>0</v>
      </c>
      <c r="I677" s="9" t="b">
        <f aca="false">C677&lt;&gt;B677</f>
        <v>0</v>
      </c>
      <c r="J677" s="3" t="n">
        <f aca="false">SUMIFS('Futures Data'!$C$5:$C$3471,'Futures Data'!$A$5:$A$3471,A677,'Futures Data'!$B$5:$B$3471,B677)</f>
        <v>6495</v>
      </c>
      <c r="K677" s="3" t="n">
        <f aca="false">SUMIFS('Futures Data'!$C$5:$C$3471,'Futures Data'!$A$5:$A$3471,A677,'Futures Data'!$B$5:$B$3471,C677)</f>
        <v>6495</v>
      </c>
      <c r="L677" s="3" t="n">
        <f aca="false">K677-J677</f>
        <v>0</v>
      </c>
      <c r="M677" s="3" t="n">
        <f aca="false">M678+L677</f>
        <v>479</v>
      </c>
      <c r="N677" s="3" t="n">
        <f aca="false">J677+M677</f>
        <v>6974</v>
      </c>
      <c r="O677" s="13" t="n">
        <f aca="false">LN(J677/K676)</f>
        <v>0.00509378272025642</v>
      </c>
      <c r="P677" s="13" t="n">
        <f aca="false">LN(N677/N676)</f>
        <v>0.00474309189601285</v>
      </c>
      <c r="Q677" s="3" t="n">
        <f aca="false">SUMIFS('Futures Data'!$D$5:$D$3471,'Futures Data'!$A$5:$A$3471,A677,'Futures Data'!$B$5:$B$3471,B677)</f>
        <v>7105</v>
      </c>
      <c r="R677" s="7" t="n">
        <v>46162</v>
      </c>
      <c r="S677" s="9" t="b">
        <f aca="false">C677=R677</f>
        <v>1</v>
      </c>
      <c r="T677" s="9" t="b">
        <f aca="false">ABS(O677-LN(J677/SUMIFS('Futures Data'!$C$5:$C$3471,'Futures Data'!$A$5:$A$3471,A676,'Futures Data'!$B$5:$B$3471,B677)))&lt;0.000000001</f>
        <v>1</v>
      </c>
    </row>
    <row r="678" customFormat="false" ht="15" hidden="false" customHeight="false" outlineLevel="0" collapsed="false">
      <c r="A678" s="7" t="n">
        <v>46129</v>
      </c>
      <c r="B678" s="11" t="n">
        <f aca="false">C677</f>
        <v>46162</v>
      </c>
      <c r="C678" s="11" t="n">
        <f aca="false">IF(OR(H677,D678&lt;=$G$4),_xlfn.MINIFS('Futures Data'!$B$5:$B$3471,'Futures Data'!$A$5:$A$3471,A678,'Futures Data'!$B$5:$B$3471,"&gt;"&amp;B678),B678)</f>
        <v>46162</v>
      </c>
      <c r="D678" s="3" t="n">
        <f aca="false">COUNTIFS($A$47:$A$790,"&gt;"&amp;A678,$A$47:$A$790,"&lt;="&amp;B678)+IF(B678&gt;$G$5,NETWORKDAYS($G$5+1,B678),0)</f>
        <v>22</v>
      </c>
      <c r="E678" s="3" t="n">
        <f aca="false">SUMIFS('Futures Data'!$E$5:$E$3471,'Futures Data'!$A$5:$A$3471,A678,'Futures Data'!$B$5:$B$3471,C678)</f>
        <v>27745</v>
      </c>
      <c r="F678" s="11" t="n">
        <f aca="false">_xlfn.MINIFS('Futures Data'!$B$5:$B$3471,'Futures Data'!$A$5:$A$3471,A678,'Futures Data'!$B$5:$B$3471,"&gt;"&amp;C678)</f>
        <v>46192</v>
      </c>
      <c r="G678" s="3" t="n">
        <f aca="false">SUMIFS('Futures Data'!$E$5:$E$3471,'Futures Data'!$A$5:$A$3471,A678,'Futures Data'!$B$5:$B$3471,F678)</f>
        <v>145</v>
      </c>
      <c r="H678" s="9" t="b">
        <f aca="false">G678&gt;E678</f>
        <v>0</v>
      </c>
      <c r="I678" s="9" t="b">
        <f aca="false">C678&lt;&gt;B678</f>
        <v>0</v>
      </c>
      <c r="J678" s="3" t="n">
        <f aca="false">SUMIFS('Futures Data'!$C$5:$C$3471,'Futures Data'!$A$5:$A$3471,A678,'Futures Data'!$B$5:$B$3471,B678)</f>
        <v>6512</v>
      </c>
      <c r="K678" s="3" t="n">
        <f aca="false">SUMIFS('Futures Data'!$C$5:$C$3471,'Futures Data'!$A$5:$A$3471,A678,'Futures Data'!$B$5:$B$3471,C678)</f>
        <v>6512</v>
      </c>
      <c r="L678" s="3" t="n">
        <f aca="false">K678-J678</f>
        <v>0</v>
      </c>
      <c r="M678" s="3" t="n">
        <f aca="false">M679+L678</f>
        <v>479</v>
      </c>
      <c r="N678" s="3" t="n">
        <f aca="false">J678+M678</f>
        <v>6991</v>
      </c>
      <c r="O678" s="13" t="n">
        <f aca="false">LN(J678/K677)</f>
        <v>0.00261397857767624</v>
      </c>
      <c r="P678" s="13" t="n">
        <f aca="false">LN(N678/N677)</f>
        <v>0.00243465927638862</v>
      </c>
      <c r="Q678" s="3" t="n">
        <f aca="false">SUMIFS('Futures Data'!$D$5:$D$3471,'Futures Data'!$A$5:$A$3471,A678,'Futures Data'!$B$5:$B$3471,B678)</f>
        <v>6835</v>
      </c>
      <c r="R678" s="7" t="n">
        <v>46162</v>
      </c>
      <c r="S678" s="9" t="b">
        <f aca="false">C678=R678</f>
        <v>1</v>
      </c>
      <c r="T678" s="9" t="b">
        <f aca="false">ABS(O678-LN(J678/SUMIFS('Futures Data'!$C$5:$C$3471,'Futures Data'!$A$5:$A$3471,A677,'Futures Data'!$B$5:$B$3471,B678)))&lt;0.000000001</f>
        <v>1</v>
      </c>
    </row>
    <row r="679" customFormat="false" ht="15" hidden="false" customHeight="false" outlineLevel="0" collapsed="false">
      <c r="A679" s="7" t="n">
        <v>46132</v>
      </c>
      <c r="B679" s="11" t="n">
        <f aca="false">C678</f>
        <v>46162</v>
      </c>
      <c r="C679" s="11" t="n">
        <f aca="false">IF(OR(H678,D679&lt;=$G$4),_xlfn.MINIFS('Futures Data'!$B$5:$B$3471,'Futures Data'!$A$5:$A$3471,A679,'Futures Data'!$B$5:$B$3471,"&gt;"&amp;B679),B679)</f>
        <v>46162</v>
      </c>
      <c r="D679" s="3" t="n">
        <f aca="false">COUNTIFS($A$47:$A$790,"&gt;"&amp;A679,$A$47:$A$790,"&lt;="&amp;B679)+IF(B679&gt;$G$5,NETWORKDAYS($G$5+1,B679),0)</f>
        <v>21</v>
      </c>
      <c r="E679" s="3" t="n">
        <f aca="false">SUMIFS('Futures Data'!$E$5:$E$3471,'Futures Data'!$A$5:$A$3471,A679,'Futures Data'!$B$5:$B$3471,C679)</f>
        <v>27545</v>
      </c>
      <c r="F679" s="11" t="n">
        <f aca="false">_xlfn.MINIFS('Futures Data'!$B$5:$B$3471,'Futures Data'!$A$5:$A$3471,A679,'Futures Data'!$B$5:$B$3471,"&gt;"&amp;C679)</f>
        <v>46192</v>
      </c>
      <c r="G679" s="3" t="n">
        <f aca="false">SUMIFS('Futures Data'!$E$5:$E$3471,'Futures Data'!$A$5:$A$3471,A679,'Futures Data'!$B$5:$B$3471,F679)</f>
        <v>740</v>
      </c>
      <c r="H679" s="9" t="b">
        <f aca="false">G679&gt;E679</f>
        <v>0</v>
      </c>
      <c r="I679" s="9" t="b">
        <f aca="false">C679&lt;&gt;B679</f>
        <v>0</v>
      </c>
      <c r="J679" s="3" t="n">
        <f aca="false">SUMIFS('Futures Data'!$C$5:$C$3471,'Futures Data'!$A$5:$A$3471,A679,'Futures Data'!$B$5:$B$3471,B679)</f>
        <v>6481</v>
      </c>
      <c r="K679" s="3" t="n">
        <f aca="false">SUMIFS('Futures Data'!$C$5:$C$3471,'Futures Data'!$A$5:$A$3471,A679,'Futures Data'!$B$5:$B$3471,C679)</f>
        <v>6481</v>
      </c>
      <c r="L679" s="3" t="n">
        <f aca="false">K679-J679</f>
        <v>0</v>
      </c>
      <c r="M679" s="3" t="n">
        <f aca="false">M680+L679</f>
        <v>479</v>
      </c>
      <c r="N679" s="3" t="n">
        <f aca="false">J679+M679</f>
        <v>6960</v>
      </c>
      <c r="O679" s="13" t="n">
        <f aca="false">LN(J679/K678)</f>
        <v>-0.00477180925466023</v>
      </c>
      <c r="P679" s="13" t="n">
        <f aca="false">LN(N679/N678)</f>
        <v>-0.00444413318351985</v>
      </c>
      <c r="Q679" s="3" t="n">
        <f aca="false">SUMIFS('Futures Data'!$D$5:$D$3471,'Futures Data'!$A$5:$A$3471,A679,'Futures Data'!$B$5:$B$3471,B679)</f>
        <v>2725</v>
      </c>
      <c r="R679" s="7" t="n">
        <v>46162</v>
      </c>
      <c r="S679" s="9" t="b">
        <f aca="false">C679=R679</f>
        <v>1</v>
      </c>
      <c r="T679" s="9" t="b">
        <f aca="false">ABS(O679-LN(J679/SUMIFS('Futures Data'!$C$5:$C$3471,'Futures Data'!$A$5:$A$3471,A678,'Futures Data'!$B$5:$B$3471,B679)))&lt;0.000000001</f>
        <v>1</v>
      </c>
    </row>
    <row r="680" customFormat="false" ht="15" hidden="false" customHeight="false" outlineLevel="0" collapsed="false">
      <c r="A680" s="7" t="n">
        <v>46133</v>
      </c>
      <c r="B680" s="11" t="n">
        <f aca="false">C679</f>
        <v>46162</v>
      </c>
      <c r="C680" s="11" t="n">
        <f aca="false">IF(OR(H679,D680&lt;=$G$4),_xlfn.MINIFS('Futures Data'!$B$5:$B$3471,'Futures Data'!$A$5:$A$3471,A680,'Futures Data'!$B$5:$B$3471,"&gt;"&amp;B680),B680)</f>
        <v>46162</v>
      </c>
      <c r="D680" s="3" t="n">
        <f aca="false">COUNTIFS($A$47:$A$790,"&gt;"&amp;A680,$A$47:$A$790,"&lt;="&amp;B680)+IF(B680&gt;$G$5,NETWORKDAYS($G$5+1,B680),0)</f>
        <v>20</v>
      </c>
      <c r="E680" s="3" t="n">
        <f aca="false">SUMIFS('Futures Data'!$E$5:$E$3471,'Futures Data'!$A$5:$A$3471,A680,'Futures Data'!$B$5:$B$3471,C680)</f>
        <v>27795</v>
      </c>
      <c r="F680" s="11" t="n">
        <f aca="false">_xlfn.MINIFS('Futures Data'!$B$5:$B$3471,'Futures Data'!$A$5:$A$3471,A680,'Futures Data'!$B$5:$B$3471,"&gt;"&amp;C680)</f>
        <v>46192</v>
      </c>
      <c r="G680" s="3" t="n">
        <f aca="false">SUMIFS('Futures Data'!$E$5:$E$3471,'Futures Data'!$A$5:$A$3471,A680,'Futures Data'!$B$5:$B$3471,F680)</f>
        <v>895</v>
      </c>
      <c r="H680" s="9" t="b">
        <f aca="false">G680&gt;E680</f>
        <v>0</v>
      </c>
      <c r="I680" s="9" t="b">
        <f aca="false">C680&lt;&gt;B680</f>
        <v>0</v>
      </c>
      <c r="J680" s="3" t="n">
        <f aca="false">SUMIFS('Futures Data'!$C$5:$C$3471,'Futures Data'!$A$5:$A$3471,A680,'Futures Data'!$B$5:$B$3471,B680)</f>
        <v>6474</v>
      </c>
      <c r="K680" s="3" t="n">
        <f aca="false">SUMIFS('Futures Data'!$C$5:$C$3471,'Futures Data'!$A$5:$A$3471,A680,'Futures Data'!$B$5:$B$3471,C680)</f>
        <v>6474</v>
      </c>
      <c r="L680" s="3" t="n">
        <f aca="false">K680-J680</f>
        <v>0</v>
      </c>
      <c r="M680" s="3" t="n">
        <f aca="false">M681+L680</f>
        <v>479</v>
      </c>
      <c r="N680" s="3" t="n">
        <f aca="false">J680+M680</f>
        <v>6953</v>
      </c>
      <c r="O680" s="13" t="n">
        <f aca="false">LN(J680/K679)</f>
        <v>-0.00108066394152628</v>
      </c>
      <c r="P680" s="13" t="n">
        <f aca="false">LN(N680/N679)</f>
        <v>-0.00100625322944747</v>
      </c>
      <c r="Q680" s="3" t="n">
        <f aca="false">SUMIFS('Futures Data'!$D$5:$D$3471,'Futures Data'!$A$5:$A$3471,A680,'Futures Data'!$B$5:$B$3471,B680)</f>
        <v>2855</v>
      </c>
      <c r="R680" s="7" t="n">
        <v>46162</v>
      </c>
      <c r="S680" s="9" t="b">
        <f aca="false">C680=R680</f>
        <v>1</v>
      </c>
      <c r="T680" s="9" t="b">
        <f aca="false">ABS(O680-LN(J680/SUMIFS('Futures Data'!$C$5:$C$3471,'Futures Data'!$A$5:$A$3471,A679,'Futures Data'!$B$5:$B$3471,B680)))&lt;0.000000001</f>
        <v>1</v>
      </c>
    </row>
    <row r="681" customFormat="false" ht="15" hidden="false" customHeight="false" outlineLevel="0" collapsed="false">
      <c r="A681" s="7" t="n">
        <v>46134</v>
      </c>
      <c r="B681" s="11" t="n">
        <f aca="false">C680</f>
        <v>46162</v>
      </c>
      <c r="C681" s="11" t="n">
        <f aca="false">IF(OR(H680,D681&lt;=$G$4),_xlfn.MINIFS('Futures Data'!$B$5:$B$3471,'Futures Data'!$A$5:$A$3471,A681,'Futures Data'!$B$5:$B$3471,"&gt;"&amp;B681),B681)</f>
        <v>46162</v>
      </c>
      <c r="D681" s="3" t="n">
        <f aca="false">COUNTIFS($A$47:$A$790,"&gt;"&amp;A681,$A$47:$A$790,"&lt;="&amp;B681)+IF(B681&gt;$G$5,NETWORKDAYS($G$5+1,B681),0)</f>
        <v>19</v>
      </c>
      <c r="E681" s="3" t="n">
        <f aca="false">SUMIFS('Futures Data'!$E$5:$E$3471,'Futures Data'!$A$5:$A$3471,A681,'Futures Data'!$B$5:$B$3471,C681)</f>
        <v>27575</v>
      </c>
      <c r="F681" s="11" t="n">
        <f aca="false">_xlfn.MINIFS('Futures Data'!$B$5:$B$3471,'Futures Data'!$A$5:$A$3471,A681,'Futures Data'!$B$5:$B$3471,"&gt;"&amp;C681)</f>
        <v>46192</v>
      </c>
      <c r="G681" s="3" t="n">
        <f aca="false">SUMIFS('Futures Data'!$E$5:$E$3471,'Futures Data'!$A$5:$A$3471,A681,'Futures Data'!$B$5:$B$3471,F681)</f>
        <v>1685</v>
      </c>
      <c r="H681" s="9" t="b">
        <f aca="false">G681&gt;E681</f>
        <v>0</v>
      </c>
      <c r="I681" s="9" t="b">
        <f aca="false">C681&lt;&gt;B681</f>
        <v>0</v>
      </c>
      <c r="J681" s="3" t="n">
        <f aca="false">SUMIFS('Futures Data'!$C$5:$C$3471,'Futures Data'!$A$5:$A$3471,A681,'Futures Data'!$B$5:$B$3471,B681)</f>
        <v>6492</v>
      </c>
      <c r="K681" s="3" t="n">
        <f aca="false">SUMIFS('Futures Data'!$C$5:$C$3471,'Futures Data'!$A$5:$A$3471,A681,'Futures Data'!$B$5:$B$3471,C681)</f>
        <v>6492</v>
      </c>
      <c r="L681" s="3" t="n">
        <f aca="false">K681-J681</f>
        <v>0</v>
      </c>
      <c r="M681" s="3" t="n">
        <f aca="false">M682+L681</f>
        <v>479</v>
      </c>
      <c r="N681" s="3" t="n">
        <f aca="false">J681+M681</f>
        <v>6971</v>
      </c>
      <c r="O681" s="13" t="n">
        <f aca="false">LN(J681/K680)</f>
        <v>0.00277649414829222</v>
      </c>
      <c r="P681" s="13" t="n">
        <f aca="false">LN(N681/N680)</f>
        <v>0.00258546538738093</v>
      </c>
      <c r="Q681" s="3" t="n">
        <f aca="false">SUMIFS('Futures Data'!$D$5:$D$3471,'Futures Data'!$A$5:$A$3471,A681,'Futures Data'!$B$5:$B$3471,B681)</f>
        <v>2460</v>
      </c>
      <c r="R681" s="7" t="n">
        <v>46162</v>
      </c>
      <c r="S681" s="9" t="b">
        <f aca="false">C681=R681</f>
        <v>1</v>
      </c>
      <c r="T681" s="9" t="b">
        <f aca="false">ABS(O681-LN(J681/SUMIFS('Futures Data'!$C$5:$C$3471,'Futures Data'!$A$5:$A$3471,A680,'Futures Data'!$B$5:$B$3471,B681)))&lt;0.000000001</f>
        <v>1</v>
      </c>
    </row>
    <row r="682" customFormat="false" ht="15" hidden="false" customHeight="false" outlineLevel="0" collapsed="false">
      <c r="A682" s="7" t="n">
        <v>46135</v>
      </c>
      <c r="B682" s="11" t="n">
        <f aca="false">C681</f>
        <v>46162</v>
      </c>
      <c r="C682" s="11" t="n">
        <f aca="false">IF(OR(H681,D682&lt;=$G$4),_xlfn.MINIFS('Futures Data'!$B$5:$B$3471,'Futures Data'!$A$5:$A$3471,A682,'Futures Data'!$B$5:$B$3471,"&gt;"&amp;B682),B682)</f>
        <v>46162</v>
      </c>
      <c r="D682" s="3" t="n">
        <f aca="false">COUNTIFS($A$47:$A$790,"&gt;"&amp;A682,$A$47:$A$790,"&lt;="&amp;B682)+IF(B682&gt;$G$5,NETWORKDAYS($G$5+1,B682),0)</f>
        <v>18</v>
      </c>
      <c r="E682" s="3" t="n">
        <f aca="false">SUMIFS('Futures Data'!$E$5:$E$3471,'Futures Data'!$A$5:$A$3471,A682,'Futures Data'!$B$5:$B$3471,C682)</f>
        <v>27500</v>
      </c>
      <c r="F682" s="11" t="n">
        <f aca="false">_xlfn.MINIFS('Futures Data'!$B$5:$B$3471,'Futures Data'!$A$5:$A$3471,A682,'Futures Data'!$B$5:$B$3471,"&gt;"&amp;C682)</f>
        <v>46192</v>
      </c>
      <c r="G682" s="3" t="n">
        <f aca="false">SUMIFS('Futures Data'!$E$5:$E$3471,'Futures Data'!$A$5:$A$3471,A682,'Futures Data'!$B$5:$B$3471,F682)</f>
        <v>2375</v>
      </c>
      <c r="H682" s="9" t="b">
        <f aca="false">G682&gt;E682</f>
        <v>0</v>
      </c>
      <c r="I682" s="9" t="b">
        <f aca="false">C682&lt;&gt;B682</f>
        <v>0</v>
      </c>
      <c r="J682" s="3" t="n">
        <f aca="false">SUMIFS('Futures Data'!$C$5:$C$3471,'Futures Data'!$A$5:$A$3471,A682,'Futures Data'!$B$5:$B$3471,B682)</f>
        <v>6507</v>
      </c>
      <c r="K682" s="3" t="n">
        <f aca="false">SUMIFS('Futures Data'!$C$5:$C$3471,'Futures Data'!$A$5:$A$3471,A682,'Futures Data'!$B$5:$B$3471,C682)</f>
        <v>6507</v>
      </c>
      <c r="L682" s="3" t="n">
        <f aca="false">K682-J682</f>
        <v>0</v>
      </c>
      <c r="M682" s="3" t="n">
        <f aca="false">M683+L682</f>
        <v>479</v>
      </c>
      <c r="N682" s="3" t="n">
        <f aca="false">J682+M682</f>
        <v>6986</v>
      </c>
      <c r="O682" s="13" t="n">
        <f aca="false">LN(J682/K681)</f>
        <v>0.00230787086050221</v>
      </c>
      <c r="P682" s="13" t="n">
        <f aca="false">LN(N682/N681)</f>
        <v>0.0021494598803785</v>
      </c>
      <c r="Q682" s="3" t="n">
        <f aca="false">SUMIFS('Futures Data'!$D$5:$D$3471,'Futures Data'!$A$5:$A$3471,A682,'Futures Data'!$B$5:$B$3471,B682)</f>
        <v>3260</v>
      </c>
      <c r="R682" s="7" t="n">
        <v>46162</v>
      </c>
      <c r="S682" s="9" t="b">
        <f aca="false">C682=R682</f>
        <v>1</v>
      </c>
      <c r="T682" s="9" t="b">
        <f aca="false">ABS(O682-LN(J682/SUMIFS('Futures Data'!$C$5:$C$3471,'Futures Data'!$A$5:$A$3471,A681,'Futures Data'!$B$5:$B$3471,B682)))&lt;0.000000001</f>
        <v>1</v>
      </c>
    </row>
    <row r="683" customFormat="false" ht="15" hidden="false" customHeight="false" outlineLevel="0" collapsed="false">
      <c r="A683" s="7" t="n">
        <v>46136</v>
      </c>
      <c r="B683" s="11" t="n">
        <f aca="false">C682</f>
        <v>46162</v>
      </c>
      <c r="C683" s="11" t="n">
        <f aca="false">IF(OR(H682,D683&lt;=$G$4),_xlfn.MINIFS('Futures Data'!$B$5:$B$3471,'Futures Data'!$A$5:$A$3471,A683,'Futures Data'!$B$5:$B$3471,"&gt;"&amp;B683),B683)</f>
        <v>46162</v>
      </c>
      <c r="D683" s="3" t="n">
        <f aca="false">COUNTIFS($A$47:$A$790,"&gt;"&amp;A683,$A$47:$A$790,"&lt;="&amp;B683)+IF(B683&gt;$G$5,NETWORKDAYS($G$5+1,B683),0)</f>
        <v>17</v>
      </c>
      <c r="E683" s="3" t="n">
        <f aca="false">SUMIFS('Futures Data'!$E$5:$E$3471,'Futures Data'!$A$5:$A$3471,A683,'Futures Data'!$B$5:$B$3471,C683)</f>
        <v>26290</v>
      </c>
      <c r="F683" s="11" t="n">
        <f aca="false">_xlfn.MINIFS('Futures Data'!$B$5:$B$3471,'Futures Data'!$A$5:$A$3471,A683,'Futures Data'!$B$5:$B$3471,"&gt;"&amp;C683)</f>
        <v>46192</v>
      </c>
      <c r="G683" s="3" t="n">
        <f aca="false">SUMIFS('Futures Data'!$E$5:$E$3471,'Futures Data'!$A$5:$A$3471,A683,'Futures Data'!$B$5:$B$3471,F683)</f>
        <v>3580</v>
      </c>
      <c r="H683" s="9" t="b">
        <f aca="false">G683&gt;E683</f>
        <v>0</v>
      </c>
      <c r="I683" s="9" t="b">
        <f aca="false">C683&lt;&gt;B683</f>
        <v>0</v>
      </c>
      <c r="J683" s="3" t="n">
        <f aca="false">SUMIFS('Futures Data'!$C$5:$C$3471,'Futures Data'!$A$5:$A$3471,A683,'Futures Data'!$B$5:$B$3471,B683)</f>
        <v>6502</v>
      </c>
      <c r="K683" s="3" t="n">
        <f aca="false">SUMIFS('Futures Data'!$C$5:$C$3471,'Futures Data'!$A$5:$A$3471,A683,'Futures Data'!$B$5:$B$3471,C683)</f>
        <v>6502</v>
      </c>
      <c r="L683" s="3" t="n">
        <f aca="false">K683-J683</f>
        <v>0</v>
      </c>
      <c r="M683" s="3" t="n">
        <f aca="false">M684+L683</f>
        <v>479</v>
      </c>
      <c r="N683" s="3" t="n">
        <f aca="false">J683+M683</f>
        <v>6981</v>
      </c>
      <c r="O683" s="13" t="n">
        <f aca="false">LN(J683/K682)</f>
        <v>-0.000768698631133454</v>
      </c>
      <c r="P683" s="13" t="n">
        <f aca="false">LN(N683/N682)</f>
        <v>-0.000715973396375849</v>
      </c>
      <c r="Q683" s="3" t="n">
        <f aca="false">SUMIFS('Futures Data'!$D$5:$D$3471,'Futures Data'!$A$5:$A$3471,A683,'Futures Data'!$B$5:$B$3471,B683)</f>
        <v>6950</v>
      </c>
      <c r="R683" s="7" t="n">
        <v>46162</v>
      </c>
      <c r="S683" s="9" t="b">
        <f aca="false">C683=R683</f>
        <v>1</v>
      </c>
      <c r="T683" s="9" t="b">
        <f aca="false">ABS(O683-LN(J683/SUMIFS('Futures Data'!$C$5:$C$3471,'Futures Data'!$A$5:$A$3471,A682,'Futures Data'!$B$5:$B$3471,B683)))&lt;0.000000001</f>
        <v>1</v>
      </c>
    </row>
    <row r="684" customFormat="false" ht="15" hidden="false" customHeight="false" outlineLevel="0" collapsed="false">
      <c r="A684" s="7" t="n">
        <v>46139</v>
      </c>
      <c r="B684" s="11" t="n">
        <f aca="false">C683</f>
        <v>46162</v>
      </c>
      <c r="C684" s="11" t="n">
        <f aca="false">IF(OR(H683,D684&lt;=$G$4),_xlfn.MINIFS('Futures Data'!$B$5:$B$3471,'Futures Data'!$A$5:$A$3471,A684,'Futures Data'!$B$5:$B$3471,"&gt;"&amp;B684),B684)</f>
        <v>46162</v>
      </c>
      <c r="D684" s="3" t="n">
        <f aca="false">COUNTIFS($A$47:$A$790,"&gt;"&amp;A684,$A$47:$A$790,"&lt;="&amp;B684)+IF(B684&gt;$G$5,NETWORKDAYS($G$5+1,B684),0)</f>
        <v>16</v>
      </c>
      <c r="E684" s="3" t="n">
        <f aca="false">SUMIFS('Futures Data'!$E$5:$E$3471,'Futures Data'!$A$5:$A$3471,A684,'Futures Data'!$B$5:$B$3471,C684)</f>
        <v>25925</v>
      </c>
      <c r="F684" s="11" t="n">
        <f aca="false">_xlfn.MINIFS('Futures Data'!$B$5:$B$3471,'Futures Data'!$A$5:$A$3471,A684,'Futures Data'!$B$5:$B$3471,"&gt;"&amp;C684)</f>
        <v>46192</v>
      </c>
      <c r="G684" s="3" t="n">
        <f aca="false">SUMIFS('Futures Data'!$E$5:$E$3471,'Futures Data'!$A$5:$A$3471,A684,'Futures Data'!$B$5:$B$3471,F684)</f>
        <v>4650</v>
      </c>
      <c r="H684" s="9" t="b">
        <f aca="false">G684&gt;E684</f>
        <v>0</v>
      </c>
      <c r="I684" s="9" t="b">
        <f aca="false">C684&lt;&gt;B684</f>
        <v>0</v>
      </c>
      <c r="J684" s="3" t="n">
        <f aca="false">SUMIFS('Futures Data'!$C$5:$C$3471,'Futures Data'!$A$5:$A$3471,A684,'Futures Data'!$B$5:$B$3471,B684)</f>
        <v>6468</v>
      </c>
      <c r="K684" s="3" t="n">
        <f aca="false">SUMIFS('Futures Data'!$C$5:$C$3471,'Futures Data'!$A$5:$A$3471,A684,'Futures Data'!$B$5:$B$3471,C684)</f>
        <v>6468</v>
      </c>
      <c r="L684" s="3" t="n">
        <f aca="false">K684-J684</f>
        <v>0</v>
      </c>
      <c r="M684" s="3" t="n">
        <f aca="false">M685+L684</f>
        <v>479</v>
      </c>
      <c r="N684" s="3" t="n">
        <f aca="false">J684+M684</f>
        <v>6947</v>
      </c>
      <c r="O684" s="13" t="n">
        <f aca="false">LN(J684/K683)</f>
        <v>-0.0052428801668532</v>
      </c>
      <c r="P684" s="13" t="n">
        <f aca="false">LN(N684/N683)</f>
        <v>-0.00488226127752057</v>
      </c>
      <c r="Q684" s="3" t="n">
        <f aca="false">SUMIFS('Futures Data'!$D$5:$D$3471,'Futures Data'!$A$5:$A$3471,A684,'Futures Data'!$B$5:$B$3471,B684)</f>
        <v>5675</v>
      </c>
      <c r="R684" s="7" t="n">
        <v>46162</v>
      </c>
      <c r="S684" s="9" t="b">
        <f aca="false">C684=R684</f>
        <v>1</v>
      </c>
      <c r="T684" s="9" t="b">
        <f aca="false">ABS(O684-LN(J684/SUMIFS('Futures Data'!$C$5:$C$3471,'Futures Data'!$A$5:$A$3471,A683,'Futures Data'!$B$5:$B$3471,B684)))&lt;0.000000001</f>
        <v>1</v>
      </c>
    </row>
    <row r="685" customFormat="false" ht="15" hidden="false" customHeight="false" outlineLevel="0" collapsed="false">
      <c r="A685" s="7" t="n">
        <v>46140</v>
      </c>
      <c r="B685" s="11" t="n">
        <f aca="false">C684</f>
        <v>46162</v>
      </c>
      <c r="C685" s="11" t="n">
        <f aca="false">IF(OR(H684,D685&lt;=$G$4),_xlfn.MINIFS('Futures Data'!$B$5:$B$3471,'Futures Data'!$A$5:$A$3471,A685,'Futures Data'!$B$5:$B$3471,"&gt;"&amp;B685),B685)</f>
        <v>46162</v>
      </c>
      <c r="D685" s="3" t="n">
        <f aca="false">COUNTIFS($A$47:$A$790,"&gt;"&amp;A685,$A$47:$A$790,"&lt;="&amp;B685)+IF(B685&gt;$G$5,NETWORKDAYS($G$5+1,B685),0)</f>
        <v>15</v>
      </c>
      <c r="E685" s="3" t="n">
        <f aca="false">SUMIFS('Futures Data'!$E$5:$E$3471,'Futures Data'!$A$5:$A$3471,A685,'Futures Data'!$B$5:$B$3471,C685)</f>
        <v>24880</v>
      </c>
      <c r="F685" s="11" t="n">
        <f aca="false">_xlfn.MINIFS('Futures Data'!$B$5:$B$3471,'Futures Data'!$A$5:$A$3471,A685,'Futures Data'!$B$5:$B$3471,"&gt;"&amp;C685)</f>
        <v>46192</v>
      </c>
      <c r="G685" s="3" t="n">
        <f aca="false">SUMIFS('Futures Data'!$E$5:$E$3471,'Futures Data'!$A$5:$A$3471,A685,'Futures Data'!$B$5:$B$3471,F685)</f>
        <v>6020</v>
      </c>
      <c r="H685" s="9" t="b">
        <f aca="false">G685&gt;E685</f>
        <v>0</v>
      </c>
      <c r="I685" s="9" t="b">
        <f aca="false">C685&lt;&gt;B685</f>
        <v>0</v>
      </c>
      <c r="J685" s="3" t="n">
        <f aca="false">SUMIFS('Futures Data'!$C$5:$C$3471,'Futures Data'!$A$5:$A$3471,A685,'Futures Data'!$B$5:$B$3471,B685)</f>
        <v>6507</v>
      </c>
      <c r="K685" s="3" t="n">
        <f aca="false">SUMIFS('Futures Data'!$C$5:$C$3471,'Futures Data'!$A$5:$A$3471,A685,'Futures Data'!$B$5:$B$3471,C685)</f>
        <v>6507</v>
      </c>
      <c r="L685" s="3" t="n">
        <f aca="false">K685-J685</f>
        <v>0</v>
      </c>
      <c r="M685" s="3" t="n">
        <f aca="false">M686+L685</f>
        <v>479</v>
      </c>
      <c r="N685" s="3" t="n">
        <f aca="false">J685+M685</f>
        <v>6986</v>
      </c>
      <c r="O685" s="13" t="n">
        <f aca="false">LN(J685/K684)</f>
        <v>0.00601157879798663</v>
      </c>
      <c r="P685" s="13" t="n">
        <f aca="false">LN(N685/N684)</f>
        <v>0.00559823467389637</v>
      </c>
      <c r="Q685" s="3" t="n">
        <f aca="false">SUMIFS('Futures Data'!$D$5:$D$3471,'Futures Data'!$A$5:$A$3471,A685,'Futures Data'!$B$5:$B$3471,B685)</f>
        <v>7315</v>
      </c>
      <c r="R685" s="7" t="n">
        <v>46162</v>
      </c>
      <c r="S685" s="9" t="b">
        <f aca="false">C685=R685</f>
        <v>1</v>
      </c>
      <c r="T685" s="9" t="b">
        <f aca="false">ABS(O685-LN(J685/SUMIFS('Futures Data'!$C$5:$C$3471,'Futures Data'!$A$5:$A$3471,A684,'Futures Data'!$B$5:$B$3471,B685)))&lt;0.000000001</f>
        <v>1</v>
      </c>
    </row>
    <row r="686" customFormat="false" ht="15" hidden="false" customHeight="false" outlineLevel="0" collapsed="false">
      <c r="A686" s="7" t="n">
        <v>46141</v>
      </c>
      <c r="B686" s="11" t="n">
        <f aca="false">C685</f>
        <v>46162</v>
      </c>
      <c r="C686" s="11" t="n">
        <f aca="false">IF(OR(H685,D686&lt;=$G$4),_xlfn.MINIFS('Futures Data'!$B$5:$B$3471,'Futures Data'!$A$5:$A$3471,A686,'Futures Data'!$B$5:$B$3471,"&gt;"&amp;B686),B686)</f>
        <v>46162</v>
      </c>
      <c r="D686" s="3" t="n">
        <f aca="false">COUNTIFS($A$47:$A$790,"&gt;"&amp;A686,$A$47:$A$790,"&lt;="&amp;B686)+IF(B686&gt;$G$5,NETWORKDAYS($G$5+1,B686),0)</f>
        <v>14</v>
      </c>
      <c r="E686" s="3" t="n">
        <f aca="false">SUMIFS('Futures Data'!$E$5:$E$3471,'Futures Data'!$A$5:$A$3471,A686,'Futures Data'!$B$5:$B$3471,C686)</f>
        <v>24415</v>
      </c>
      <c r="F686" s="11" t="n">
        <f aca="false">_xlfn.MINIFS('Futures Data'!$B$5:$B$3471,'Futures Data'!$A$5:$A$3471,A686,'Futures Data'!$B$5:$B$3471,"&gt;"&amp;C686)</f>
        <v>46192</v>
      </c>
      <c r="G686" s="3" t="n">
        <f aca="false">SUMIFS('Futures Data'!$E$5:$E$3471,'Futures Data'!$A$5:$A$3471,A686,'Futures Data'!$B$5:$B$3471,F686)</f>
        <v>7075</v>
      </c>
      <c r="H686" s="9" t="b">
        <f aca="false">G686&gt;E686</f>
        <v>0</v>
      </c>
      <c r="I686" s="9" t="b">
        <f aca="false">C686&lt;&gt;B686</f>
        <v>0</v>
      </c>
      <c r="J686" s="3" t="n">
        <f aca="false">SUMIFS('Futures Data'!$C$5:$C$3471,'Futures Data'!$A$5:$A$3471,A686,'Futures Data'!$B$5:$B$3471,B686)</f>
        <v>6519</v>
      </c>
      <c r="K686" s="3" t="n">
        <f aca="false">SUMIFS('Futures Data'!$C$5:$C$3471,'Futures Data'!$A$5:$A$3471,A686,'Futures Data'!$B$5:$B$3471,C686)</f>
        <v>6519</v>
      </c>
      <c r="L686" s="3" t="n">
        <f aca="false">K686-J686</f>
        <v>0</v>
      </c>
      <c r="M686" s="3" t="n">
        <f aca="false">M687+L686</f>
        <v>479</v>
      </c>
      <c r="N686" s="3" t="n">
        <f aca="false">J686+M686</f>
        <v>6998</v>
      </c>
      <c r="O686" s="13" t="n">
        <f aca="false">LN(J686/K685)</f>
        <v>0.00184246942955525</v>
      </c>
      <c r="P686" s="13" t="n">
        <f aca="false">LN(N686/N685)</f>
        <v>0.00171624756085599</v>
      </c>
      <c r="Q686" s="3" t="n">
        <f aca="false">SUMIFS('Futures Data'!$D$5:$D$3471,'Futures Data'!$A$5:$A$3471,A686,'Futures Data'!$B$5:$B$3471,B686)</f>
        <v>5835</v>
      </c>
      <c r="R686" s="7" t="n">
        <v>46162</v>
      </c>
      <c r="S686" s="9" t="b">
        <f aca="false">C686=R686</f>
        <v>1</v>
      </c>
      <c r="T686" s="9" t="b">
        <f aca="false">ABS(O686-LN(J686/SUMIFS('Futures Data'!$C$5:$C$3471,'Futures Data'!$A$5:$A$3471,A685,'Futures Data'!$B$5:$B$3471,B686)))&lt;0.000000001</f>
        <v>1</v>
      </c>
    </row>
    <row r="687" customFormat="false" ht="15" hidden="false" customHeight="false" outlineLevel="0" collapsed="false">
      <c r="A687" s="7" t="n">
        <v>46142</v>
      </c>
      <c r="B687" s="11" t="n">
        <f aca="false">C686</f>
        <v>46162</v>
      </c>
      <c r="C687" s="11" t="n">
        <f aca="false">IF(OR(H686,D687&lt;=$G$4),_xlfn.MINIFS('Futures Data'!$B$5:$B$3471,'Futures Data'!$A$5:$A$3471,A687,'Futures Data'!$B$5:$B$3471,"&gt;"&amp;B687),B687)</f>
        <v>46162</v>
      </c>
      <c r="D687" s="3" t="n">
        <f aca="false">COUNTIFS($A$47:$A$790,"&gt;"&amp;A687,$A$47:$A$790,"&lt;="&amp;B687)+IF(B687&gt;$G$5,NETWORKDAYS($G$5+1,B687),0)</f>
        <v>13</v>
      </c>
      <c r="E687" s="3" t="n">
        <f aca="false">SUMIFS('Futures Data'!$E$5:$E$3471,'Futures Data'!$A$5:$A$3471,A687,'Futures Data'!$B$5:$B$3471,C687)</f>
        <v>20375</v>
      </c>
      <c r="F687" s="11" t="n">
        <f aca="false">_xlfn.MINIFS('Futures Data'!$B$5:$B$3471,'Futures Data'!$A$5:$A$3471,A687,'Futures Data'!$B$5:$B$3471,"&gt;"&amp;C687)</f>
        <v>46192</v>
      </c>
      <c r="G687" s="3" t="n">
        <f aca="false">SUMIFS('Futures Data'!$E$5:$E$3471,'Futures Data'!$A$5:$A$3471,A687,'Futures Data'!$B$5:$B$3471,F687)</f>
        <v>9795</v>
      </c>
      <c r="H687" s="9" t="b">
        <f aca="false">G687&gt;E687</f>
        <v>0</v>
      </c>
      <c r="I687" s="9" t="b">
        <f aca="false">C687&lt;&gt;B687</f>
        <v>0</v>
      </c>
      <c r="J687" s="3" t="n">
        <f aca="false">SUMIFS('Futures Data'!$C$5:$C$3471,'Futures Data'!$A$5:$A$3471,A687,'Futures Data'!$B$5:$B$3471,B687)</f>
        <v>6545</v>
      </c>
      <c r="K687" s="3" t="n">
        <f aca="false">SUMIFS('Futures Data'!$C$5:$C$3471,'Futures Data'!$A$5:$A$3471,A687,'Futures Data'!$B$5:$B$3471,C687)</f>
        <v>6545</v>
      </c>
      <c r="L687" s="3" t="n">
        <f aca="false">K687-J687</f>
        <v>0</v>
      </c>
      <c r="M687" s="3" t="n">
        <f aca="false">M688+L687</f>
        <v>479</v>
      </c>
      <c r="N687" s="3" t="n">
        <f aca="false">J687+M687</f>
        <v>7024</v>
      </c>
      <c r="O687" s="13" t="n">
        <f aca="false">LN(J687/K686)</f>
        <v>0.00398040941946105</v>
      </c>
      <c r="P687" s="13" t="n">
        <f aca="false">LN(N687/N686)</f>
        <v>0.00370846238731932</v>
      </c>
      <c r="Q687" s="3" t="n">
        <f aca="false">SUMIFS('Futures Data'!$D$5:$D$3471,'Futures Data'!$A$5:$A$3471,A687,'Futures Data'!$B$5:$B$3471,B687)</f>
        <v>8750</v>
      </c>
      <c r="R687" s="7" t="n">
        <v>46162</v>
      </c>
      <c r="S687" s="9" t="b">
        <f aca="false">C687=R687</f>
        <v>1</v>
      </c>
      <c r="T687" s="9" t="b">
        <f aca="false">ABS(O687-LN(J687/SUMIFS('Futures Data'!$C$5:$C$3471,'Futures Data'!$A$5:$A$3471,A686,'Futures Data'!$B$5:$B$3471,B687)))&lt;0.000000001</f>
        <v>1</v>
      </c>
    </row>
    <row r="688" customFormat="false" ht="15" hidden="false" customHeight="false" outlineLevel="0" collapsed="false">
      <c r="A688" s="7" t="n">
        <v>46146</v>
      </c>
      <c r="B688" s="11" t="n">
        <f aca="false">C687</f>
        <v>46162</v>
      </c>
      <c r="C688" s="11" t="n">
        <f aca="false">IF(OR(H687,D688&lt;=$G$4),_xlfn.MINIFS('Futures Data'!$B$5:$B$3471,'Futures Data'!$A$5:$A$3471,A688,'Futures Data'!$B$5:$B$3471,"&gt;"&amp;B688),B688)</f>
        <v>46162</v>
      </c>
      <c r="D688" s="3" t="n">
        <f aca="false">COUNTIFS($A$47:$A$790,"&gt;"&amp;A688,$A$47:$A$790,"&lt;="&amp;B688)+IF(B688&gt;$G$5,NETWORKDAYS($G$5+1,B688),0)</f>
        <v>12</v>
      </c>
      <c r="E688" s="3" t="n">
        <f aca="false">SUMIFS('Futures Data'!$E$5:$E$3471,'Futures Data'!$A$5:$A$3471,A688,'Futures Data'!$B$5:$B$3471,C688)</f>
        <v>18825</v>
      </c>
      <c r="F688" s="11" t="n">
        <f aca="false">_xlfn.MINIFS('Futures Data'!$B$5:$B$3471,'Futures Data'!$A$5:$A$3471,A688,'Futures Data'!$B$5:$B$3471,"&gt;"&amp;C688)</f>
        <v>46192</v>
      </c>
      <c r="G688" s="3" t="n">
        <f aca="false">SUMIFS('Futures Data'!$E$5:$E$3471,'Futures Data'!$A$5:$A$3471,A688,'Futures Data'!$B$5:$B$3471,F688)</f>
        <v>11560</v>
      </c>
      <c r="H688" s="9" t="b">
        <f aca="false">G688&gt;E688</f>
        <v>0</v>
      </c>
      <c r="I688" s="9" t="b">
        <f aca="false">C688&lt;&gt;B688</f>
        <v>0</v>
      </c>
      <c r="J688" s="3" t="n">
        <f aca="false">SUMIFS('Futures Data'!$C$5:$C$3471,'Futures Data'!$A$5:$A$3471,A688,'Futures Data'!$B$5:$B$3471,B688)</f>
        <v>6529</v>
      </c>
      <c r="K688" s="3" t="n">
        <f aca="false">SUMIFS('Futures Data'!$C$5:$C$3471,'Futures Data'!$A$5:$A$3471,A688,'Futures Data'!$B$5:$B$3471,C688)</f>
        <v>6529</v>
      </c>
      <c r="L688" s="3" t="n">
        <f aca="false">K688-J688</f>
        <v>0</v>
      </c>
      <c r="M688" s="3" t="n">
        <f aca="false">M689+L688</f>
        <v>479</v>
      </c>
      <c r="N688" s="3" t="n">
        <f aca="false">J688+M688</f>
        <v>7008</v>
      </c>
      <c r="O688" s="13" t="n">
        <f aca="false">LN(J688/K687)</f>
        <v>-0.00244760715736681</v>
      </c>
      <c r="P688" s="13" t="n">
        <f aca="false">LN(N688/N687)</f>
        <v>-0.00228050269872522</v>
      </c>
      <c r="Q688" s="3" t="n">
        <f aca="false">SUMIFS('Futures Data'!$D$5:$D$3471,'Futures Data'!$A$5:$A$3471,A688,'Futures Data'!$B$5:$B$3471,B688)</f>
        <v>5930</v>
      </c>
      <c r="R688" s="7" t="n">
        <v>46162</v>
      </c>
      <c r="S688" s="9" t="b">
        <f aca="false">C688=R688</f>
        <v>1</v>
      </c>
      <c r="T688" s="9" t="b">
        <f aca="false">ABS(O688-LN(J688/SUMIFS('Futures Data'!$C$5:$C$3471,'Futures Data'!$A$5:$A$3471,A687,'Futures Data'!$B$5:$B$3471,B688)))&lt;0.000000001</f>
        <v>1</v>
      </c>
    </row>
    <row r="689" customFormat="false" ht="15" hidden="false" customHeight="false" outlineLevel="0" collapsed="false">
      <c r="A689" s="7" t="n">
        <v>46147</v>
      </c>
      <c r="B689" s="11" t="n">
        <f aca="false">C688</f>
        <v>46162</v>
      </c>
      <c r="C689" s="11" t="n">
        <f aca="false">IF(OR(H688,D689&lt;=$G$4),_xlfn.MINIFS('Futures Data'!$B$5:$B$3471,'Futures Data'!$A$5:$A$3471,A689,'Futures Data'!$B$5:$B$3471,"&gt;"&amp;B689),B689)</f>
        <v>46162</v>
      </c>
      <c r="D689" s="3" t="n">
        <f aca="false">COUNTIFS($A$47:$A$790,"&gt;"&amp;A689,$A$47:$A$790,"&lt;="&amp;B689)+IF(B689&gt;$G$5,NETWORKDAYS($G$5+1,B689),0)</f>
        <v>11</v>
      </c>
      <c r="E689" s="3" t="n">
        <f aca="false">SUMIFS('Futures Data'!$E$5:$E$3471,'Futures Data'!$A$5:$A$3471,A689,'Futures Data'!$B$5:$B$3471,C689)</f>
        <v>18510</v>
      </c>
      <c r="F689" s="11" t="n">
        <f aca="false">_xlfn.MINIFS('Futures Data'!$B$5:$B$3471,'Futures Data'!$A$5:$A$3471,A689,'Futures Data'!$B$5:$B$3471,"&gt;"&amp;C689)</f>
        <v>46192</v>
      </c>
      <c r="G689" s="3" t="n">
        <f aca="false">SUMIFS('Futures Data'!$E$5:$E$3471,'Futures Data'!$A$5:$A$3471,A689,'Futures Data'!$B$5:$B$3471,F689)</f>
        <v>12765</v>
      </c>
      <c r="H689" s="9" t="b">
        <f aca="false">G689&gt;E689</f>
        <v>0</v>
      </c>
      <c r="I689" s="9" t="b">
        <f aca="false">C689&lt;&gt;B689</f>
        <v>0</v>
      </c>
      <c r="J689" s="3" t="n">
        <f aca="false">SUMIFS('Futures Data'!$C$5:$C$3471,'Futures Data'!$A$5:$A$3471,A689,'Futures Data'!$B$5:$B$3471,B689)</f>
        <v>6516</v>
      </c>
      <c r="K689" s="3" t="n">
        <f aca="false">SUMIFS('Futures Data'!$C$5:$C$3471,'Futures Data'!$A$5:$A$3471,A689,'Futures Data'!$B$5:$B$3471,C689)</f>
        <v>6516</v>
      </c>
      <c r="L689" s="3" t="n">
        <f aca="false">K689-J689</f>
        <v>0</v>
      </c>
      <c r="M689" s="3" t="n">
        <f aca="false">M690+L689</f>
        <v>479</v>
      </c>
      <c r="N689" s="3" t="n">
        <f aca="false">J689+M689</f>
        <v>6995</v>
      </c>
      <c r="O689" s="13" t="n">
        <f aca="false">LN(J689/K688)</f>
        <v>-0.00199310146469773</v>
      </c>
      <c r="P689" s="13" t="n">
        <f aca="false">LN(N689/N688)</f>
        <v>-0.0018567455166458</v>
      </c>
      <c r="Q689" s="3" t="n">
        <f aca="false">SUMIFS('Futures Data'!$D$5:$D$3471,'Futures Data'!$A$5:$A$3471,A689,'Futures Data'!$B$5:$B$3471,B689)</f>
        <v>3570</v>
      </c>
      <c r="R689" s="7" t="n">
        <v>46162</v>
      </c>
      <c r="S689" s="9" t="b">
        <f aca="false">C689=R689</f>
        <v>1</v>
      </c>
      <c r="T689" s="9" t="b">
        <f aca="false">ABS(O689-LN(J689/SUMIFS('Futures Data'!$C$5:$C$3471,'Futures Data'!$A$5:$A$3471,A688,'Futures Data'!$B$5:$B$3471,B689)))&lt;0.000000001</f>
        <v>1</v>
      </c>
    </row>
    <row r="690" customFormat="false" ht="15" hidden="false" customHeight="false" outlineLevel="0" collapsed="false">
      <c r="A690" s="7" t="n">
        <v>46148</v>
      </c>
      <c r="B690" s="11" t="n">
        <f aca="false">C689</f>
        <v>46162</v>
      </c>
      <c r="C690" s="11" t="n">
        <f aca="false">IF(OR(H689,D690&lt;=$G$4),_xlfn.MINIFS('Futures Data'!$B$5:$B$3471,'Futures Data'!$A$5:$A$3471,A690,'Futures Data'!$B$5:$B$3471,"&gt;"&amp;B690),B690)</f>
        <v>46162</v>
      </c>
      <c r="D690" s="3" t="n">
        <f aca="false">COUNTIFS($A$47:$A$790,"&gt;"&amp;A690,$A$47:$A$790,"&lt;="&amp;B690)+IF(B690&gt;$G$5,NETWORKDAYS($G$5+1,B690),0)</f>
        <v>10</v>
      </c>
      <c r="E690" s="3" t="n">
        <f aca="false">SUMIFS('Futures Data'!$E$5:$E$3471,'Futures Data'!$A$5:$A$3471,A690,'Futures Data'!$B$5:$B$3471,C690)</f>
        <v>14275</v>
      </c>
      <c r="F690" s="11" t="n">
        <f aca="false">_xlfn.MINIFS('Futures Data'!$B$5:$B$3471,'Futures Data'!$A$5:$A$3471,A690,'Futures Data'!$B$5:$B$3471,"&gt;"&amp;C690)</f>
        <v>46192</v>
      </c>
      <c r="G690" s="3" t="n">
        <f aca="false">SUMIFS('Futures Data'!$E$5:$E$3471,'Futures Data'!$A$5:$A$3471,A690,'Futures Data'!$B$5:$B$3471,F690)</f>
        <v>17020</v>
      </c>
      <c r="H690" s="9" t="b">
        <f aca="false">G690&gt;E690</f>
        <v>1</v>
      </c>
      <c r="I690" s="9" t="b">
        <f aca="false">C690&lt;&gt;B690</f>
        <v>0</v>
      </c>
      <c r="J690" s="3" t="n">
        <f aca="false">SUMIFS('Futures Data'!$C$5:$C$3471,'Futures Data'!$A$5:$A$3471,A690,'Futures Data'!$B$5:$B$3471,B690)</f>
        <v>6484</v>
      </c>
      <c r="K690" s="3" t="n">
        <f aca="false">SUMIFS('Futures Data'!$C$5:$C$3471,'Futures Data'!$A$5:$A$3471,A690,'Futures Data'!$B$5:$B$3471,C690)</f>
        <v>6484</v>
      </c>
      <c r="L690" s="3" t="n">
        <f aca="false">K690-J690</f>
        <v>0</v>
      </c>
      <c r="M690" s="3" t="n">
        <f aca="false">M691+L690</f>
        <v>479</v>
      </c>
      <c r="N690" s="3" t="n">
        <f aca="false">J690+M690</f>
        <v>6963</v>
      </c>
      <c r="O690" s="13" t="n">
        <f aca="false">LN(J690/K689)</f>
        <v>-0.00492308686636902</v>
      </c>
      <c r="P690" s="13" t="n">
        <f aca="false">LN(N690/N689)</f>
        <v>-0.00458519215703481</v>
      </c>
      <c r="Q690" s="3" t="n">
        <f aca="false">SUMIFS('Futures Data'!$D$5:$D$3471,'Futures Data'!$A$5:$A$3471,A690,'Futures Data'!$B$5:$B$3471,B690)</f>
        <v>6985</v>
      </c>
      <c r="R690" s="7" t="n">
        <v>46162</v>
      </c>
      <c r="S690" s="9" t="b">
        <f aca="false">C690=R690</f>
        <v>1</v>
      </c>
      <c r="T690" s="9" t="b">
        <f aca="false">ABS(O690-LN(J690/SUMIFS('Futures Data'!$C$5:$C$3471,'Futures Data'!$A$5:$A$3471,A689,'Futures Data'!$B$5:$B$3471,B690)))&lt;0.000000001</f>
        <v>1</v>
      </c>
    </row>
    <row r="691" customFormat="false" ht="15" hidden="false" customHeight="false" outlineLevel="0" collapsed="false">
      <c r="A691" s="7" t="n">
        <v>46149</v>
      </c>
      <c r="B691" s="11" t="n">
        <f aca="false">C690</f>
        <v>46162</v>
      </c>
      <c r="C691" s="11" t="n">
        <f aca="false">IF(OR(H690,D691&lt;=$G$4),_xlfn.MINIFS('Futures Data'!$B$5:$B$3471,'Futures Data'!$A$5:$A$3471,A691,'Futures Data'!$B$5:$B$3471,"&gt;"&amp;B691),B691)</f>
        <v>46192</v>
      </c>
      <c r="D691" s="3" t="n">
        <f aca="false">COUNTIFS($A$47:$A$790,"&gt;"&amp;A691,$A$47:$A$790,"&lt;="&amp;B691)+IF(B691&gt;$G$5,NETWORKDAYS($G$5+1,B691),0)</f>
        <v>9</v>
      </c>
      <c r="E691" s="3" t="n">
        <f aca="false">SUMIFS('Futures Data'!$E$5:$E$3471,'Futures Data'!$A$5:$A$3471,A691,'Futures Data'!$B$5:$B$3471,C691)</f>
        <v>19380</v>
      </c>
      <c r="F691" s="11" t="n">
        <f aca="false">_xlfn.MINIFS('Futures Data'!$B$5:$B$3471,'Futures Data'!$A$5:$A$3471,A691,'Futures Data'!$B$5:$B$3471,"&gt;"&amp;C691)</f>
        <v>46223</v>
      </c>
      <c r="G691" s="3" t="n">
        <f aca="false">SUMIFS('Futures Data'!$E$5:$E$3471,'Futures Data'!$A$5:$A$3471,A691,'Futures Data'!$B$5:$B$3471,F691)</f>
        <v>5</v>
      </c>
      <c r="H691" s="9" t="b">
        <f aca="false">G691&gt;E691</f>
        <v>0</v>
      </c>
      <c r="I691" s="9" t="b">
        <f aca="false">C691&lt;&gt;B691</f>
        <v>1</v>
      </c>
      <c r="J691" s="3" t="n">
        <f aca="false">SUMIFS('Futures Data'!$C$5:$C$3471,'Futures Data'!$A$5:$A$3471,A691,'Futures Data'!$B$5:$B$3471,B691)</f>
        <v>6501</v>
      </c>
      <c r="K691" s="3" t="n">
        <f aca="false">SUMIFS('Futures Data'!$C$5:$C$3471,'Futures Data'!$A$5:$A$3471,A691,'Futures Data'!$B$5:$B$3471,C691)</f>
        <v>6592</v>
      </c>
      <c r="L691" s="3" t="n">
        <f aca="false">K691-J691</f>
        <v>91</v>
      </c>
      <c r="M691" s="3" t="n">
        <f aca="false">M692+L691</f>
        <v>479</v>
      </c>
      <c r="N691" s="3" t="n">
        <f aca="false">J691+M691</f>
        <v>6980</v>
      </c>
      <c r="O691" s="13" t="n">
        <f aca="false">LN(J691/K690)</f>
        <v>0.00261840734890197</v>
      </c>
      <c r="P691" s="13" t="n">
        <f aca="false">LN(N691/N690)</f>
        <v>0.00243850081387147</v>
      </c>
      <c r="Q691" s="3" t="n">
        <f aca="false">SUMIFS('Futures Data'!$D$5:$D$3471,'Futures Data'!$A$5:$A$3471,A691,'Futures Data'!$B$5:$B$3471,B691)</f>
        <v>6425</v>
      </c>
      <c r="R691" s="7" t="n">
        <v>46192</v>
      </c>
      <c r="S691" s="9" t="b">
        <f aca="false">C691=R691</f>
        <v>1</v>
      </c>
      <c r="T691" s="9" t="b">
        <f aca="false">ABS(O691-LN(J691/SUMIFS('Futures Data'!$C$5:$C$3471,'Futures Data'!$A$5:$A$3471,A690,'Futures Data'!$B$5:$B$3471,B691)))&lt;0.000000001</f>
        <v>1</v>
      </c>
    </row>
    <row r="692" customFormat="false" ht="15" hidden="false" customHeight="false" outlineLevel="0" collapsed="false">
      <c r="A692" s="7" t="n">
        <v>46150</v>
      </c>
      <c r="B692" s="11" t="n">
        <f aca="false">C691</f>
        <v>46192</v>
      </c>
      <c r="C692" s="11" t="n">
        <f aca="false">IF(OR(H691,D692&lt;=$G$4),_xlfn.MINIFS('Futures Data'!$B$5:$B$3471,'Futures Data'!$A$5:$A$3471,A692,'Futures Data'!$B$5:$B$3471,"&gt;"&amp;B692),B692)</f>
        <v>46192</v>
      </c>
      <c r="D692" s="3" t="n">
        <f aca="false">COUNTIFS($A$47:$A$790,"&gt;"&amp;A692,$A$47:$A$790,"&lt;="&amp;B692)+IF(B692&gt;$G$5,NETWORKDAYS($G$5+1,B692),0)</f>
        <v>29</v>
      </c>
      <c r="E692" s="3" t="n">
        <f aca="false">SUMIFS('Futures Data'!$E$5:$E$3471,'Futures Data'!$A$5:$A$3471,A692,'Futures Data'!$B$5:$B$3471,C692)</f>
        <v>20925</v>
      </c>
      <c r="F692" s="11" t="n">
        <f aca="false">_xlfn.MINIFS('Futures Data'!$B$5:$B$3471,'Futures Data'!$A$5:$A$3471,A692,'Futures Data'!$B$5:$B$3471,"&gt;"&amp;C692)</f>
        <v>46223</v>
      </c>
      <c r="G692" s="3" t="n">
        <f aca="false">SUMIFS('Futures Data'!$E$5:$E$3471,'Futures Data'!$A$5:$A$3471,A692,'Futures Data'!$B$5:$B$3471,F692)</f>
        <v>5</v>
      </c>
      <c r="H692" s="9" t="b">
        <f aca="false">G692&gt;E692</f>
        <v>0</v>
      </c>
      <c r="I692" s="9" t="b">
        <f aca="false">C692&lt;&gt;B692</f>
        <v>0</v>
      </c>
      <c r="J692" s="3" t="n">
        <f aca="false">SUMIFS('Futures Data'!$C$5:$C$3471,'Futures Data'!$A$5:$A$3471,A692,'Futures Data'!$B$5:$B$3471,B692)</f>
        <v>6572</v>
      </c>
      <c r="K692" s="3" t="n">
        <f aca="false">SUMIFS('Futures Data'!$C$5:$C$3471,'Futures Data'!$A$5:$A$3471,A692,'Futures Data'!$B$5:$B$3471,C692)</f>
        <v>6572</v>
      </c>
      <c r="L692" s="3" t="n">
        <f aca="false">K692-J692</f>
        <v>0</v>
      </c>
      <c r="M692" s="3" t="n">
        <f aca="false">M693+L692</f>
        <v>388</v>
      </c>
      <c r="N692" s="3" t="n">
        <f aca="false">J692+M692</f>
        <v>6960</v>
      </c>
      <c r="O692" s="13" t="n">
        <f aca="false">LN(J692/K691)</f>
        <v>-0.0030385924321489</v>
      </c>
      <c r="P692" s="13" t="n">
        <f aca="false">LN(N692/N691)</f>
        <v>-0.00286944242795282</v>
      </c>
      <c r="Q692" s="3" t="n">
        <f aca="false">SUMIFS('Futures Data'!$D$5:$D$3471,'Futures Data'!$A$5:$A$3471,A692,'Futures Data'!$B$5:$B$3471,B692)</f>
        <v>4775</v>
      </c>
      <c r="R692" s="7" t="n">
        <v>46192</v>
      </c>
      <c r="S692" s="9" t="b">
        <f aca="false">C692=R692</f>
        <v>1</v>
      </c>
      <c r="T692" s="9" t="b">
        <f aca="false">ABS(O692-LN(J692/SUMIFS('Futures Data'!$C$5:$C$3471,'Futures Data'!$A$5:$A$3471,A691,'Futures Data'!$B$5:$B$3471,B692)))&lt;0.000000001</f>
        <v>1</v>
      </c>
    </row>
    <row r="693" customFormat="false" ht="15" hidden="false" customHeight="false" outlineLevel="0" collapsed="false">
      <c r="A693" s="7" t="n">
        <v>46153</v>
      </c>
      <c r="B693" s="11" t="n">
        <f aca="false">C692</f>
        <v>46192</v>
      </c>
      <c r="C693" s="11" t="n">
        <f aca="false">IF(OR(H692,D693&lt;=$G$4),_xlfn.MINIFS('Futures Data'!$B$5:$B$3471,'Futures Data'!$A$5:$A$3471,A693,'Futures Data'!$B$5:$B$3471,"&gt;"&amp;B693),B693)</f>
        <v>46192</v>
      </c>
      <c r="D693" s="3" t="n">
        <f aca="false">COUNTIFS($A$47:$A$790,"&gt;"&amp;A693,$A$47:$A$790,"&lt;="&amp;B693)+IF(B693&gt;$G$5,NETWORKDAYS($G$5+1,B693),0)</f>
        <v>28</v>
      </c>
      <c r="E693" s="3" t="n">
        <f aca="false">SUMIFS('Futures Data'!$E$5:$E$3471,'Futures Data'!$A$5:$A$3471,A693,'Futures Data'!$B$5:$B$3471,C693)</f>
        <v>22115</v>
      </c>
      <c r="F693" s="11" t="n">
        <f aca="false">_xlfn.MINIFS('Futures Data'!$B$5:$B$3471,'Futures Data'!$A$5:$A$3471,A693,'Futures Data'!$B$5:$B$3471,"&gt;"&amp;C693)</f>
        <v>46223</v>
      </c>
      <c r="G693" s="3" t="n">
        <f aca="false">SUMIFS('Futures Data'!$E$5:$E$3471,'Futures Data'!$A$5:$A$3471,A693,'Futures Data'!$B$5:$B$3471,F693)</f>
        <v>315</v>
      </c>
      <c r="H693" s="9" t="b">
        <f aca="false">G693&gt;E693</f>
        <v>0</v>
      </c>
      <c r="I693" s="9" t="b">
        <f aca="false">C693&lt;&gt;B693</f>
        <v>0</v>
      </c>
      <c r="J693" s="3" t="n">
        <f aca="false">SUMIFS('Futures Data'!$C$5:$C$3471,'Futures Data'!$A$5:$A$3471,A693,'Futures Data'!$B$5:$B$3471,B693)</f>
        <v>6568</v>
      </c>
      <c r="K693" s="3" t="n">
        <f aca="false">SUMIFS('Futures Data'!$C$5:$C$3471,'Futures Data'!$A$5:$A$3471,A693,'Futures Data'!$B$5:$B$3471,C693)</f>
        <v>6568</v>
      </c>
      <c r="L693" s="3" t="n">
        <f aca="false">K693-J693</f>
        <v>0</v>
      </c>
      <c r="M693" s="3" t="n">
        <f aca="false">M694+L693</f>
        <v>388</v>
      </c>
      <c r="N693" s="3" t="n">
        <f aca="false">J693+M693</f>
        <v>6956</v>
      </c>
      <c r="O693" s="13" t="n">
        <f aca="false">LN(J693/K692)</f>
        <v>-0.000608828024894588</v>
      </c>
      <c r="P693" s="13" t="n">
        <f aca="false">LN(N693/N692)</f>
        <v>-0.000574877854291664</v>
      </c>
      <c r="Q693" s="3" t="n">
        <f aca="false">SUMIFS('Futures Data'!$D$5:$D$3471,'Futures Data'!$A$5:$A$3471,A693,'Futures Data'!$B$5:$B$3471,B693)</f>
        <v>4430</v>
      </c>
      <c r="R693" s="7" t="n">
        <v>46192</v>
      </c>
      <c r="S693" s="9" t="b">
        <f aca="false">C693=R693</f>
        <v>1</v>
      </c>
      <c r="T693" s="9" t="b">
        <f aca="false">ABS(O693-LN(J693/SUMIFS('Futures Data'!$C$5:$C$3471,'Futures Data'!$A$5:$A$3471,A692,'Futures Data'!$B$5:$B$3471,B693)))&lt;0.000000001</f>
        <v>1</v>
      </c>
    </row>
    <row r="694" customFormat="false" ht="15" hidden="false" customHeight="false" outlineLevel="0" collapsed="false">
      <c r="A694" s="7" t="n">
        <v>46154</v>
      </c>
      <c r="B694" s="11" t="n">
        <f aca="false">C693</f>
        <v>46192</v>
      </c>
      <c r="C694" s="11" t="n">
        <f aca="false">IF(OR(H693,D694&lt;=$G$4),_xlfn.MINIFS('Futures Data'!$B$5:$B$3471,'Futures Data'!$A$5:$A$3471,A694,'Futures Data'!$B$5:$B$3471,"&gt;"&amp;B694),B694)</f>
        <v>46192</v>
      </c>
      <c r="D694" s="3" t="n">
        <f aca="false">COUNTIFS($A$47:$A$790,"&gt;"&amp;A694,$A$47:$A$790,"&lt;="&amp;B694)+IF(B694&gt;$G$5,NETWORKDAYS($G$5+1,B694),0)</f>
        <v>27</v>
      </c>
      <c r="E694" s="3" t="n">
        <f aca="false">SUMIFS('Futures Data'!$E$5:$E$3471,'Futures Data'!$A$5:$A$3471,A694,'Futures Data'!$B$5:$B$3471,C694)</f>
        <v>23770</v>
      </c>
      <c r="F694" s="11" t="n">
        <f aca="false">_xlfn.MINIFS('Futures Data'!$B$5:$B$3471,'Futures Data'!$A$5:$A$3471,A694,'Futures Data'!$B$5:$B$3471,"&gt;"&amp;C694)</f>
        <v>46223</v>
      </c>
      <c r="G694" s="3" t="n">
        <f aca="false">SUMIFS('Futures Data'!$E$5:$E$3471,'Futures Data'!$A$5:$A$3471,A694,'Futures Data'!$B$5:$B$3471,F694)</f>
        <v>415</v>
      </c>
      <c r="H694" s="9" t="b">
        <f aca="false">G694&gt;E694</f>
        <v>0</v>
      </c>
      <c r="I694" s="9" t="b">
        <f aca="false">C694&lt;&gt;B694</f>
        <v>0</v>
      </c>
      <c r="J694" s="3" t="n">
        <f aca="false">SUMIFS('Futures Data'!$C$5:$C$3471,'Futures Data'!$A$5:$A$3471,A694,'Futures Data'!$B$5:$B$3471,B694)</f>
        <v>6569</v>
      </c>
      <c r="K694" s="3" t="n">
        <f aca="false">SUMIFS('Futures Data'!$C$5:$C$3471,'Futures Data'!$A$5:$A$3471,A694,'Futures Data'!$B$5:$B$3471,C694)</f>
        <v>6569</v>
      </c>
      <c r="L694" s="3" t="n">
        <f aca="false">K694-J694</f>
        <v>0</v>
      </c>
      <c r="M694" s="3" t="n">
        <f aca="false">M695+L694</f>
        <v>388</v>
      </c>
      <c r="N694" s="3" t="n">
        <f aca="false">J694+M694</f>
        <v>6957</v>
      </c>
      <c r="O694" s="13" t="n">
        <f aca="false">LN(J694/K693)</f>
        <v>0.000152241760208798</v>
      </c>
      <c r="P694" s="13" t="n">
        <f aca="false">LN(N694/N693)</f>
        <v>0.000143750449467728</v>
      </c>
      <c r="Q694" s="3" t="n">
        <f aca="false">SUMIFS('Futures Data'!$D$5:$D$3471,'Futures Data'!$A$5:$A$3471,A694,'Futures Data'!$B$5:$B$3471,B694)</f>
        <v>3915</v>
      </c>
      <c r="R694" s="7" t="n">
        <v>46192</v>
      </c>
      <c r="S694" s="9" t="b">
        <f aca="false">C694=R694</f>
        <v>1</v>
      </c>
      <c r="T694" s="9" t="b">
        <f aca="false">ABS(O694-LN(J694/SUMIFS('Futures Data'!$C$5:$C$3471,'Futures Data'!$A$5:$A$3471,A693,'Futures Data'!$B$5:$B$3471,B694)))&lt;0.000000001</f>
        <v>1</v>
      </c>
    </row>
    <row r="695" customFormat="false" ht="15" hidden="false" customHeight="false" outlineLevel="0" collapsed="false">
      <c r="A695" s="7" t="n">
        <v>46155</v>
      </c>
      <c r="B695" s="11" t="n">
        <f aca="false">C694</f>
        <v>46192</v>
      </c>
      <c r="C695" s="11" t="n">
        <f aca="false">IF(OR(H694,D695&lt;=$G$4),_xlfn.MINIFS('Futures Data'!$B$5:$B$3471,'Futures Data'!$A$5:$A$3471,A695,'Futures Data'!$B$5:$B$3471,"&gt;"&amp;B695),B695)</f>
        <v>46192</v>
      </c>
      <c r="D695" s="3" t="n">
        <f aca="false">COUNTIFS($A$47:$A$790,"&gt;"&amp;A695,$A$47:$A$790,"&lt;="&amp;B695)+IF(B695&gt;$G$5,NETWORKDAYS($G$5+1,B695),0)</f>
        <v>26</v>
      </c>
      <c r="E695" s="3" t="n">
        <f aca="false">SUMIFS('Futures Data'!$E$5:$E$3471,'Futures Data'!$A$5:$A$3471,A695,'Futures Data'!$B$5:$B$3471,C695)</f>
        <v>25905</v>
      </c>
      <c r="F695" s="11" t="n">
        <f aca="false">_xlfn.MINIFS('Futures Data'!$B$5:$B$3471,'Futures Data'!$A$5:$A$3471,A695,'Futures Data'!$B$5:$B$3471,"&gt;"&amp;C695)</f>
        <v>46223</v>
      </c>
      <c r="G695" s="3" t="n">
        <f aca="false">SUMIFS('Futures Data'!$E$5:$E$3471,'Futures Data'!$A$5:$A$3471,A695,'Futures Data'!$B$5:$B$3471,F695)</f>
        <v>825</v>
      </c>
      <c r="H695" s="9" t="b">
        <f aca="false">G695&gt;E695</f>
        <v>0</v>
      </c>
      <c r="I695" s="9" t="b">
        <f aca="false">C695&lt;&gt;B695</f>
        <v>0</v>
      </c>
      <c r="J695" s="3" t="n">
        <f aca="false">SUMIFS('Futures Data'!$C$5:$C$3471,'Futures Data'!$A$5:$A$3471,A695,'Futures Data'!$B$5:$B$3471,B695)</f>
        <v>6604</v>
      </c>
      <c r="K695" s="3" t="n">
        <f aca="false">SUMIFS('Futures Data'!$C$5:$C$3471,'Futures Data'!$A$5:$A$3471,A695,'Futures Data'!$B$5:$B$3471,C695)</f>
        <v>6604</v>
      </c>
      <c r="L695" s="3" t="n">
        <f aca="false">K695-J695</f>
        <v>0</v>
      </c>
      <c r="M695" s="3" t="n">
        <f aca="false">M696+L695</f>
        <v>388</v>
      </c>
      <c r="N695" s="3" t="n">
        <f aca="false">J695+M695</f>
        <v>6992</v>
      </c>
      <c r="O695" s="13" t="n">
        <f aca="false">LN(J695/K694)</f>
        <v>0.00531391214754579</v>
      </c>
      <c r="P695" s="13" t="n">
        <f aca="false">LN(N695/N694)</f>
        <v>0.00501829141173001</v>
      </c>
      <c r="Q695" s="3" t="n">
        <f aca="false">SUMIFS('Futures Data'!$D$5:$D$3471,'Futures Data'!$A$5:$A$3471,A695,'Futures Data'!$B$5:$B$3471,B695)</f>
        <v>8285</v>
      </c>
      <c r="R695" s="7" t="n">
        <v>46192</v>
      </c>
      <c r="S695" s="9" t="b">
        <f aca="false">C695=R695</f>
        <v>1</v>
      </c>
      <c r="T695" s="9" t="b">
        <f aca="false">ABS(O695-LN(J695/SUMIFS('Futures Data'!$C$5:$C$3471,'Futures Data'!$A$5:$A$3471,A694,'Futures Data'!$B$5:$B$3471,B695)))&lt;0.000000001</f>
        <v>1</v>
      </c>
    </row>
    <row r="696" customFormat="false" ht="15" hidden="false" customHeight="false" outlineLevel="0" collapsed="false">
      <c r="A696" s="7" t="n">
        <v>46156</v>
      </c>
      <c r="B696" s="11" t="n">
        <f aca="false">C695</f>
        <v>46192</v>
      </c>
      <c r="C696" s="11" t="n">
        <f aca="false">IF(OR(H695,D696&lt;=$G$4),_xlfn.MINIFS('Futures Data'!$B$5:$B$3471,'Futures Data'!$A$5:$A$3471,A696,'Futures Data'!$B$5:$B$3471,"&gt;"&amp;B696),B696)</f>
        <v>46192</v>
      </c>
      <c r="D696" s="3" t="n">
        <f aca="false">COUNTIFS($A$47:$A$790,"&gt;"&amp;A696,$A$47:$A$790,"&lt;="&amp;B696)+IF(B696&gt;$G$5,NETWORKDAYS($G$5+1,B696),0)</f>
        <v>25</v>
      </c>
      <c r="E696" s="3" t="n">
        <f aca="false">SUMIFS('Futures Data'!$E$5:$E$3471,'Futures Data'!$A$5:$A$3471,A696,'Futures Data'!$B$5:$B$3471,C696)</f>
        <v>25965</v>
      </c>
      <c r="F696" s="11" t="n">
        <f aca="false">_xlfn.MINIFS('Futures Data'!$B$5:$B$3471,'Futures Data'!$A$5:$A$3471,A696,'Futures Data'!$B$5:$B$3471,"&gt;"&amp;C696)</f>
        <v>46223</v>
      </c>
      <c r="G696" s="3" t="n">
        <f aca="false">SUMIFS('Futures Data'!$E$5:$E$3471,'Futures Data'!$A$5:$A$3471,A696,'Futures Data'!$B$5:$B$3471,F696)</f>
        <v>1040</v>
      </c>
      <c r="H696" s="9" t="b">
        <f aca="false">G696&gt;E696</f>
        <v>0</v>
      </c>
      <c r="I696" s="9" t="b">
        <f aca="false">C696&lt;&gt;B696</f>
        <v>0</v>
      </c>
      <c r="J696" s="3" t="n">
        <f aca="false">SUMIFS('Futures Data'!$C$5:$C$3471,'Futures Data'!$A$5:$A$3471,A696,'Futures Data'!$B$5:$B$3471,B696)</f>
        <v>6641</v>
      </c>
      <c r="K696" s="3" t="n">
        <f aca="false">SUMIFS('Futures Data'!$C$5:$C$3471,'Futures Data'!$A$5:$A$3471,A696,'Futures Data'!$B$5:$B$3471,C696)</f>
        <v>6641</v>
      </c>
      <c r="L696" s="3" t="n">
        <f aca="false">K696-J696</f>
        <v>0</v>
      </c>
      <c r="M696" s="3" t="n">
        <f aca="false">M697+L696</f>
        <v>388</v>
      </c>
      <c r="N696" s="3" t="n">
        <f aca="false">J696+M696</f>
        <v>7029</v>
      </c>
      <c r="O696" s="13" t="n">
        <f aca="false">LN(J696/K695)</f>
        <v>0.00558702850069509</v>
      </c>
      <c r="P696" s="13" t="n">
        <f aca="false">LN(N696/N695)</f>
        <v>0.00527780984053403</v>
      </c>
      <c r="Q696" s="3" t="n">
        <f aca="false">SUMIFS('Futures Data'!$D$5:$D$3471,'Futures Data'!$A$5:$A$3471,A696,'Futures Data'!$B$5:$B$3471,B696)</f>
        <v>10350</v>
      </c>
      <c r="R696" s="7" t="n">
        <v>46192</v>
      </c>
      <c r="S696" s="9" t="b">
        <f aca="false">C696=R696</f>
        <v>1</v>
      </c>
      <c r="T696" s="9" t="b">
        <f aca="false">ABS(O696-LN(J696/SUMIFS('Futures Data'!$C$5:$C$3471,'Futures Data'!$A$5:$A$3471,A695,'Futures Data'!$B$5:$B$3471,B696)))&lt;0.000000001</f>
        <v>1</v>
      </c>
    </row>
    <row r="697" customFormat="false" ht="15" hidden="false" customHeight="false" outlineLevel="0" collapsed="false">
      <c r="A697" s="7" t="n">
        <v>46157</v>
      </c>
      <c r="B697" s="11" t="n">
        <f aca="false">C696</f>
        <v>46192</v>
      </c>
      <c r="C697" s="11" t="n">
        <f aca="false">IF(OR(H696,D697&lt;=$G$4),_xlfn.MINIFS('Futures Data'!$B$5:$B$3471,'Futures Data'!$A$5:$A$3471,A697,'Futures Data'!$B$5:$B$3471,"&gt;"&amp;B697),B697)</f>
        <v>46192</v>
      </c>
      <c r="D697" s="3" t="n">
        <f aca="false">COUNTIFS($A$47:$A$790,"&gt;"&amp;A697,$A$47:$A$790,"&lt;="&amp;B697)+IF(B697&gt;$G$5,NETWORKDAYS($G$5+1,B697),0)</f>
        <v>24</v>
      </c>
      <c r="E697" s="3" t="n">
        <f aca="false">SUMIFS('Futures Data'!$E$5:$E$3471,'Futures Data'!$A$5:$A$3471,A697,'Futures Data'!$B$5:$B$3471,C697)</f>
        <v>28830</v>
      </c>
      <c r="F697" s="11" t="n">
        <f aca="false">_xlfn.MINIFS('Futures Data'!$B$5:$B$3471,'Futures Data'!$A$5:$A$3471,A697,'Futures Data'!$B$5:$B$3471,"&gt;"&amp;C697)</f>
        <v>46223</v>
      </c>
      <c r="G697" s="3" t="n">
        <f aca="false">SUMIFS('Futures Data'!$E$5:$E$3471,'Futures Data'!$A$5:$A$3471,A697,'Futures Data'!$B$5:$B$3471,F697)</f>
        <v>1245</v>
      </c>
      <c r="H697" s="9" t="b">
        <f aca="false">G697&gt;E697</f>
        <v>0</v>
      </c>
      <c r="I697" s="9" t="b">
        <f aca="false">C697&lt;&gt;B697</f>
        <v>0</v>
      </c>
      <c r="J697" s="3" t="n">
        <f aca="false">SUMIFS('Futures Data'!$C$5:$C$3471,'Futures Data'!$A$5:$A$3471,A697,'Futures Data'!$B$5:$B$3471,B697)</f>
        <v>6613</v>
      </c>
      <c r="K697" s="3" t="n">
        <f aca="false">SUMIFS('Futures Data'!$C$5:$C$3471,'Futures Data'!$A$5:$A$3471,A697,'Futures Data'!$B$5:$B$3471,C697)</f>
        <v>6613</v>
      </c>
      <c r="L697" s="3" t="n">
        <f aca="false">K697-J697</f>
        <v>0</v>
      </c>
      <c r="M697" s="3" t="n">
        <f aca="false">M698+L697</f>
        <v>388</v>
      </c>
      <c r="N697" s="3" t="n">
        <f aca="false">J697+M697</f>
        <v>7001</v>
      </c>
      <c r="O697" s="13" t="n">
        <f aca="false">LN(J697/K696)</f>
        <v>-0.00422514586605131</v>
      </c>
      <c r="P697" s="13" t="n">
        <f aca="false">LN(N697/N696)</f>
        <v>-0.0039914521987078</v>
      </c>
      <c r="Q697" s="3" t="n">
        <f aca="false">SUMIFS('Futures Data'!$D$5:$D$3471,'Futures Data'!$A$5:$A$3471,A697,'Futures Data'!$B$5:$B$3471,B697)</f>
        <v>7125</v>
      </c>
      <c r="R697" s="7" t="n">
        <v>46192</v>
      </c>
      <c r="S697" s="9" t="b">
        <f aca="false">C697=R697</f>
        <v>1</v>
      </c>
      <c r="T697" s="9" t="b">
        <f aca="false">ABS(O697-LN(J697/SUMIFS('Futures Data'!$C$5:$C$3471,'Futures Data'!$A$5:$A$3471,A696,'Futures Data'!$B$5:$B$3471,B697)))&lt;0.000000001</f>
        <v>1</v>
      </c>
    </row>
    <row r="698" customFormat="false" ht="15" hidden="false" customHeight="false" outlineLevel="0" collapsed="false">
      <c r="A698" s="7" t="n">
        <v>46160</v>
      </c>
      <c r="B698" s="11" t="n">
        <f aca="false">C697</f>
        <v>46192</v>
      </c>
      <c r="C698" s="11" t="n">
        <f aca="false">IF(OR(H697,D698&lt;=$G$4),_xlfn.MINIFS('Futures Data'!$B$5:$B$3471,'Futures Data'!$A$5:$A$3471,A698,'Futures Data'!$B$5:$B$3471,"&gt;"&amp;B698),B698)</f>
        <v>46192</v>
      </c>
      <c r="D698" s="3" t="n">
        <f aca="false">COUNTIFS($A$47:$A$790,"&gt;"&amp;A698,$A$47:$A$790,"&lt;="&amp;B698)+IF(B698&gt;$G$5,NETWORKDAYS($G$5+1,B698),0)</f>
        <v>23</v>
      </c>
      <c r="E698" s="3" t="n">
        <f aca="false">SUMIFS('Futures Data'!$E$5:$E$3471,'Futures Data'!$A$5:$A$3471,A698,'Futures Data'!$B$5:$B$3471,C698)</f>
        <v>29430</v>
      </c>
      <c r="F698" s="11" t="n">
        <f aca="false">_xlfn.MINIFS('Futures Data'!$B$5:$B$3471,'Futures Data'!$A$5:$A$3471,A698,'Futures Data'!$B$5:$B$3471,"&gt;"&amp;C698)</f>
        <v>46223</v>
      </c>
      <c r="G698" s="3" t="n">
        <f aca="false">SUMIFS('Futures Data'!$E$5:$E$3471,'Futures Data'!$A$5:$A$3471,A698,'Futures Data'!$B$5:$B$3471,F698)</f>
        <v>1445</v>
      </c>
      <c r="H698" s="9" t="b">
        <f aca="false">G698&gt;E698</f>
        <v>0</v>
      </c>
      <c r="I698" s="9" t="b">
        <f aca="false">C698&lt;&gt;B698</f>
        <v>0</v>
      </c>
      <c r="J698" s="3" t="n">
        <f aca="false">SUMIFS('Futures Data'!$C$5:$C$3471,'Futures Data'!$A$5:$A$3471,A698,'Futures Data'!$B$5:$B$3471,B698)</f>
        <v>6622</v>
      </c>
      <c r="K698" s="3" t="n">
        <f aca="false">SUMIFS('Futures Data'!$C$5:$C$3471,'Futures Data'!$A$5:$A$3471,A698,'Futures Data'!$B$5:$B$3471,C698)</f>
        <v>6622</v>
      </c>
      <c r="L698" s="3" t="n">
        <f aca="false">K698-J698</f>
        <v>0</v>
      </c>
      <c r="M698" s="3" t="n">
        <f aca="false">M699+L698</f>
        <v>388</v>
      </c>
      <c r="N698" s="3" t="n">
        <f aca="false">J698+M698</f>
        <v>7010</v>
      </c>
      <c r="O698" s="13" t="n">
        <f aca="false">LN(J698/K697)</f>
        <v>0.00136003043252928</v>
      </c>
      <c r="P698" s="13" t="n">
        <f aca="false">LN(N698/N697)</f>
        <v>0.00128470505143822</v>
      </c>
      <c r="Q698" s="3" t="n">
        <f aca="false">SUMIFS('Futures Data'!$D$5:$D$3471,'Futures Data'!$A$5:$A$3471,A698,'Futures Data'!$B$5:$B$3471,B698)</f>
        <v>6170</v>
      </c>
      <c r="R698" s="7" t="n">
        <v>46192</v>
      </c>
      <c r="S698" s="9" t="b">
        <f aca="false">C698=R698</f>
        <v>1</v>
      </c>
      <c r="T698" s="9" t="b">
        <f aca="false">ABS(O698-LN(J698/SUMIFS('Futures Data'!$C$5:$C$3471,'Futures Data'!$A$5:$A$3471,A697,'Futures Data'!$B$5:$B$3471,B698)))&lt;0.000000001</f>
        <v>1</v>
      </c>
    </row>
    <row r="699" customFormat="false" ht="15" hidden="false" customHeight="false" outlineLevel="0" collapsed="false">
      <c r="A699" s="7" t="n">
        <v>46161</v>
      </c>
      <c r="B699" s="11" t="n">
        <f aca="false">C698</f>
        <v>46192</v>
      </c>
      <c r="C699" s="11" t="n">
        <f aca="false">IF(OR(H698,D699&lt;=$G$4),_xlfn.MINIFS('Futures Data'!$B$5:$B$3471,'Futures Data'!$A$5:$A$3471,A699,'Futures Data'!$B$5:$B$3471,"&gt;"&amp;B699),B699)</f>
        <v>46192</v>
      </c>
      <c r="D699" s="3" t="n">
        <f aca="false">COUNTIFS($A$47:$A$790,"&gt;"&amp;A699,$A$47:$A$790,"&lt;="&amp;B699)+IF(B699&gt;$G$5,NETWORKDAYS($G$5+1,B699),0)</f>
        <v>22</v>
      </c>
      <c r="E699" s="3" t="n">
        <f aca="false">SUMIFS('Futures Data'!$E$5:$E$3471,'Futures Data'!$A$5:$A$3471,A699,'Futures Data'!$B$5:$B$3471,C699)</f>
        <v>30125</v>
      </c>
      <c r="F699" s="11" t="n">
        <f aca="false">_xlfn.MINIFS('Futures Data'!$B$5:$B$3471,'Futures Data'!$A$5:$A$3471,A699,'Futures Data'!$B$5:$B$3471,"&gt;"&amp;C699)</f>
        <v>46223</v>
      </c>
      <c r="G699" s="3" t="n">
        <f aca="false">SUMIFS('Futures Data'!$E$5:$E$3471,'Futures Data'!$A$5:$A$3471,A699,'Futures Data'!$B$5:$B$3471,F699)</f>
        <v>1450</v>
      </c>
      <c r="H699" s="9" t="b">
        <f aca="false">G699&gt;E699</f>
        <v>0</v>
      </c>
      <c r="I699" s="9" t="b">
        <f aca="false">C699&lt;&gt;B699</f>
        <v>0</v>
      </c>
      <c r="J699" s="3" t="n">
        <f aca="false">SUMIFS('Futures Data'!$C$5:$C$3471,'Futures Data'!$A$5:$A$3471,A699,'Futures Data'!$B$5:$B$3471,B699)</f>
        <v>6628</v>
      </c>
      <c r="K699" s="3" t="n">
        <f aca="false">SUMIFS('Futures Data'!$C$5:$C$3471,'Futures Data'!$A$5:$A$3471,A699,'Futures Data'!$B$5:$B$3471,C699)</f>
        <v>6628</v>
      </c>
      <c r="L699" s="3" t="n">
        <f aca="false">K699-J699</f>
        <v>0</v>
      </c>
      <c r="M699" s="3" t="n">
        <f aca="false">M700+L699</f>
        <v>388</v>
      </c>
      <c r="N699" s="3" t="n">
        <f aca="false">J699+M699</f>
        <v>7016</v>
      </c>
      <c r="O699" s="13" t="n">
        <f aca="false">LN(J699/K698)</f>
        <v>0.000905660439261864</v>
      </c>
      <c r="P699" s="13" t="n">
        <f aca="false">LN(N699/N698)</f>
        <v>0.000855554023383233</v>
      </c>
      <c r="Q699" s="3" t="n">
        <f aca="false">SUMIFS('Futures Data'!$D$5:$D$3471,'Futures Data'!$A$5:$A$3471,A699,'Futures Data'!$B$5:$B$3471,B699)</f>
        <v>5035</v>
      </c>
      <c r="R699" s="7" t="n">
        <v>46192</v>
      </c>
      <c r="S699" s="9" t="b">
        <f aca="false">C699=R699</f>
        <v>1</v>
      </c>
      <c r="T699" s="9" t="b">
        <f aca="false">ABS(O699-LN(J699/SUMIFS('Futures Data'!$C$5:$C$3471,'Futures Data'!$A$5:$A$3471,A698,'Futures Data'!$B$5:$B$3471,B699)))&lt;0.000000001</f>
        <v>1</v>
      </c>
    </row>
    <row r="700" customFormat="false" ht="15" hidden="false" customHeight="false" outlineLevel="0" collapsed="false">
      <c r="A700" s="7" t="n">
        <v>46162</v>
      </c>
      <c r="B700" s="11" t="n">
        <f aca="false">C699</f>
        <v>46192</v>
      </c>
      <c r="C700" s="11" t="n">
        <f aca="false">IF(OR(H699,D700&lt;=$G$4),_xlfn.MINIFS('Futures Data'!$B$5:$B$3471,'Futures Data'!$A$5:$A$3471,A700,'Futures Data'!$B$5:$B$3471,"&gt;"&amp;B700),B700)</f>
        <v>46192</v>
      </c>
      <c r="D700" s="3" t="n">
        <f aca="false">COUNTIFS($A$47:$A$790,"&gt;"&amp;A700,$A$47:$A$790,"&lt;="&amp;B700)+IF(B700&gt;$G$5,NETWORKDAYS($G$5+1,B700),0)</f>
        <v>21</v>
      </c>
      <c r="E700" s="3" t="n">
        <f aca="false">SUMIFS('Futures Data'!$E$5:$E$3471,'Futures Data'!$A$5:$A$3471,A700,'Futures Data'!$B$5:$B$3471,C700)</f>
        <v>29700</v>
      </c>
      <c r="F700" s="11" t="n">
        <f aca="false">_xlfn.MINIFS('Futures Data'!$B$5:$B$3471,'Futures Data'!$A$5:$A$3471,A700,'Futures Data'!$B$5:$B$3471,"&gt;"&amp;C700)</f>
        <v>46223</v>
      </c>
      <c r="G700" s="3" t="n">
        <f aca="false">SUMIFS('Futures Data'!$E$5:$E$3471,'Futures Data'!$A$5:$A$3471,A700,'Futures Data'!$B$5:$B$3471,F700)</f>
        <v>3380</v>
      </c>
      <c r="H700" s="9" t="b">
        <f aca="false">G700&gt;E700</f>
        <v>0</v>
      </c>
      <c r="I700" s="9" t="b">
        <f aca="false">C700&lt;&gt;B700</f>
        <v>0</v>
      </c>
      <c r="J700" s="3" t="n">
        <f aca="false">SUMIFS('Futures Data'!$C$5:$C$3471,'Futures Data'!$A$5:$A$3471,A700,'Futures Data'!$B$5:$B$3471,B700)</f>
        <v>6654</v>
      </c>
      <c r="K700" s="3" t="n">
        <f aca="false">SUMIFS('Futures Data'!$C$5:$C$3471,'Futures Data'!$A$5:$A$3471,A700,'Futures Data'!$B$5:$B$3471,C700)</f>
        <v>6654</v>
      </c>
      <c r="L700" s="3" t="n">
        <f aca="false">K700-J700</f>
        <v>0</v>
      </c>
      <c r="M700" s="3" t="n">
        <f aca="false">M701+L700</f>
        <v>388</v>
      </c>
      <c r="N700" s="3" t="n">
        <f aca="false">J700+M700</f>
        <v>7042</v>
      </c>
      <c r="O700" s="13" t="n">
        <f aca="false">LN(J700/K699)</f>
        <v>0.00391507803196856</v>
      </c>
      <c r="P700" s="13" t="n">
        <f aca="false">LN(N700/N699)</f>
        <v>0.00369896566297882</v>
      </c>
      <c r="Q700" s="3" t="n">
        <f aca="false">SUMIFS('Futures Data'!$D$5:$D$3471,'Futures Data'!$A$5:$A$3471,A700,'Futures Data'!$B$5:$B$3471,B700)</f>
        <v>7140</v>
      </c>
      <c r="R700" s="7" t="n">
        <v>46192</v>
      </c>
      <c r="S700" s="9" t="b">
        <f aca="false">C700=R700</f>
        <v>1</v>
      </c>
      <c r="T700" s="9" t="b">
        <f aca="false">ABS(O700-LN(J700/SUMIFS('Futures Data'!$C$5:$C$3471,'Futures Data'!$A$5:$A$3471,A699,'Futures Data'!$B$5:$B$3471,B700)))&lt;0.000000001</f>
        <v>1</v>
      </c>
    </row>
    <row r="701" customFormat="false" ht="15" hidden="false" customHeight="false" outlineLevel="0" collapsed="false">
      <c r="A701" s="7" t="n">
        <v>46163</v>
      </c>
      <c r="B701" s="11" t="n">
        <f aca="false">C700</f>
        <v>46192</v>
      </c>
      <c r="C701" s="11" t="n">
        <f aca="false">IF(OR(H700,D701&lt;=$G$4),_xlfn.MINIFS('Futures Data'!$B$5:$B$3471,'Futures Data'!$A$5:$A$3471,A701,'Futures Data'!$B$5:$B$3471,"&gt;"&amp;B701),B701)</f>
        <v>46192</v>
      </c>
      <c r="D701" s="3" t="n">
        <f aca="false">COUNTIFS($A$47:$A$790,"&gt;"&amp;A701,$A$47:$A$790,"&lt;="&amp;B701)+IF(B701&gt;$G$5,NETWORKDAYS($G$5+1,B701),0)</f>
        <v>20</v>
      </c>
      <c r="E701" s="3" t="n">
        <f aca="false">SUMIFS('Futures Data'!$E$5:$E$3471,'Futures Data'!$A$5:$A$3471,A701,'Futures Data'!$B$5:$B$3471,C701)</f>
        <v>28850</v>
      </c>
      <c r="F701" s="11" t="n">
        <f aca="false">_xlfn.MINIFS('Futures Data'!$B$5:$B$3471,'Futures Data'!$A$5:$A$3471,A701,'Futures Data'!$B$5:$B$3471,"&gt;"&amp;C701)</f>
        <v>46223</v>
      </c>
      <c r="G701" s="3" t="n">
        <f aca="false">SUMIFS('Futures Data'!$E$5:$E$3471,'Futures Data'!$A$5:$A$3471,A701,'Futures Data'!$B$5:$B$3471,F701)</f>
        <v>4640</v>
      </c>
      <c r="H701" s="9" t="b">
        <f aca="false">G701&gt;E701</f>
        <v>0</v>
      </c>
      <c r="I701" s="9" t="b">
        <f aca="false">C701&lt;&gt;B701</f>
        <v>0</v>
      </c>
      <c r="J701" s="3" t="n">
        <f aca="false">SUMIFS('Futures Data'!$C$5:$C$3471,'Futures Data'!$A$5:$A$3471,A701,'Futures Data'!$B$5:$B$3471,B701)</f>
        <v>6655</v>
      </c>
      <c r="K701" s="3" t="n">
        <f aca="false">SUMIFS('Futures Data'!$C$5:$C$3471,'Futures Data'!$A$5:$A$3471,A701,'Futures Data'!$B$5:$B$3471,C701)</f>
        <v>6655</v>
      </c>
      <c r="L701" s="3" t="n">
        <f aca="false">K701-J701</f>
        <v>0</v>
      </c>
      <c r="M701" s="3" t="n">
        <f aca="false">M702+L701</f>
        <v>388</v>
      </c>
      <c r="N701" s="3" t="n">
        <f aca="false">J701+M701</f>
        <v>7043</v>
      </c>
      <c r="O701" s="13" t="n">
        <f aca="false">LN(J701/K700)</f>
        <v>0.000150274250789988</v>
      </c>
      <c r="P701" s="13" t="n">
        <f aca="false">LN(N701/N700)</f>
        <v>0.000141995030412584</v>
      </c>
      <c r="Q701" s="3" t="n">
        <f aca="false">SUMIFS('Futures Data'!$D$5:$D$3471,'Futures Data'!$A$5:$A$3471,A701,'Futures Data'!$B$5:$B$3471,B701)</f>
        <v>5815</v>
      </c>
      <c r="R701" s="7" t="n">
        <v>46192</v>
      </c>
      <c r="S701" s="9" t="b">
        <f aca="false">C701=R701</f>
        <v>1</v>
      </c>
      <c r="T701" s="9" t="b">
        <f aca="false">ABS(O701-LN(J701/SUMIFS('Futures Data'!$C$5:$C$3471,'Futures Data'!$A$5:$A$3471,A700,'Futures Data'!$B$5:$B$3471,B701)))&lt;0.000000001</f>
        <v>1</v>
      </c>
    </row>
    <row r="702" customFormat="false" ht="15" hidden="false" customHeight="false" outlineLevel="0" collapsed="false">
      <c r="A702" s="7" t="n">
        <v>46164</v>
      </c>
      <c r="B702" s="11" t="n">
        <f aca="false">C701</f>
        <v>46192</v>
      </c>
      <c r="C702" s="11" t="n">
        <f aca="false">IF(OR(H701,D702&lt;=$G$4),_xlfn.MINIFS('Futures Data'!$B$5:$B$3471,'Futures Data'!$A$5:$A$3471,A702,'Futures Data'!$B$5:$B$3471,"&gt;"&amp;B702),B702)</f>
        <v>46192</v>
      </c>
      <c r="D702" s="3" t="n">
        <f aca="false">COUNTIFS($A$47:$A$790,"&gt;"&amp;A702,$A$47:$A$790,"&lt;="&amp;B702)+IF(B702&gt;$G$5,NETWORKDAYS($G$5+1,B702),0)</f>
        <v>19</v>
      </c>
      <c r="E702" s="3" t="n">
        <f aca="false">SUMIFS('Futures Data'!$E$5:$E$3471,'Futures Data'!$A$5:$A$3471,A702,'Futures Data'!$B$5:$B$3471,C702)</f>
        <v>28065</v>
      </c>
      <c r="F702" s="11" t="n">
        <f aca="false">_xlfn.MINIFS('Futures Data'!$B$5:$B$3471,'Futures Data'!$A$5:$A$3471,A702,'Futures Data'!$B$5:$B$3471,"&gt;"&amp;C702)</f>
        <v>46223</v>
      </c>
      <c r="G702" s="3" t="n">
        <f aca="false">SUMIFS('Futures Data'!$E$5:$E$3471,'Futures Data'!$A$5:$A$3471,A702,'Futures Data'!$B$5:$B$3471,F702)</f>
        <v>5335</v>
      </c>
      <c r="H702" s="9" t="b">
        <f aca="false">G702&gt;E702</f>
        <v>0</v>
      </c>
      <c r="I702" s="9" t="b">
        <f aca="false">C702&lt;&gt;B702</f>
        <v>0</v>
      </c>
      <c r="J702" s="3" t="n">
        <f aca="false">SUMIFS('Futures Data'!$C$5:$C$3471,'Futures Data'!$A$5:$A$3471,A702,'Futures Data'!$B$5:$B$3471,B702)</f>
        <v>6593</v>
      </c>
      <c r="K702" s="3" t="n">
        <f aca="false">SUMIFS('Futures Data'!$C$5:$C$3471,'Futures Data'!$A$5:$A$3471,A702,'Futures Data'!$B$5:$B$3471,C702)</f>
        <v>6593</v>
      </c>
      <c r="L702" s="3" t="n">
        <f aca="false">K702-J702</f>
        <v>0</v>
      </c>
      <c r="M702" s="3" t="n">
        <f aca="false">M703+L702</f>
        <v>388</v>
      </c>
      <c r="N702" s="3" t="n">
        <f aca="false">J702+M702</f>
        <v>6981</v>
      </c>
      <c r="O702" s="13" t="n">
        <f aca="false">LN(J702/K701)</f>
        <v>-0.00935997171591231</v>
      </c>
      <c r="P702" s="13" t="n">
        <f aca="false">LN(N702/N701)</f>
        <v>-0.00884204277500895</v>
      </c>
      <c r="Q702" s="3" t="n">
        <f aca="false">SUMIFS('Futures Data'!$D$5:$D$3471,'Futures Data'!$A$5:$A$3471,A702,'Futures Data'!$B$5:$B$3471,B702)</f>
        <v>5545</v>
      </c>
      <c r="R702" s="7" t="n">
        <v>46192</v>
      </c>
      <c r="S702" s="9" t="b">
        <f aca="false">C702=R702</f>
        <v>1</v>
      </c>
      <c r="T702" s="9" t="b">
        <f aca="false">ABS(O702-LN(J702/SUMIFS('Futures Data'!$C$5:$C$3471,'Futures Data'!$A$5:$A$3471,A701,'Futures Data'!$B$5:$B$3471,B702)))&lt;0.000000001</f>
        <v>1</v>
      </c>
    </row>
    <row r="703" customFormat="false" ht="15" hidden="false" customHeight="false" outlineLevel="0" collapsed="false">
      <c r="A703" s="7" t="n">
        <v>46167</v>
      </c>
      <c r="B703" s="11" t="n">
        <f aca="false">C702</f>
        <v>46192</v>
      </c>
      <c r="C703" s="11" t="n">
        <f aca="false">IF(OR(H702,D703&lt;=$G$4),_xlfn.MINIFS('Futures Data'!$B$5:$B$3471,'Futures Data'!$A$5:$A$3471,A703,'Futures Data'!$B$5:$B$3471,"&gt;"&amp;B703),B703)</f>
        <v>46192</v>
      </c>
      <c r="D703" s="3" t="n">
        <f aca="false">COUNTIFS($A$47:$A$790,"&gt;"&amp;A703,$A$47:$A$790,"&lt;="&amp;B703)+IF(B703&gt;$G$5,NETWORKDAYS($G$5+1,B703),0)</f>
        <v>18</v>
      </c>
      <c r="E703" s="3" t="n">
        <f aca="false">SUMIFS('Futures Data'!$E$5:$E$3471,'Futures Data'!$A$5:$A$3471,A703,'Futures Data'!$B$5:$B$3471,C703)</f>
        <v>26550</v>
      </c>
      <c r="F703" s="11" t="n">
        <f aca="false">_xlfn.MINIFS('Futures Data'!$B$5:$B$3471,'Futures Data'!$A$5:$A$3471,A703,'Futures Data'!$B$5:$B$3471,"&gt;"&amp;C703)</f>
        <v>46223</v>
      </c>
      <c r="G703" s="3" t="n">
        <f aca="false">SUMIFS('Futures Data'!$E$5:$E$3471,'Futures Data'!$A$5:$A$3471,A703,'Futures Data'!$B$5:$B$3471,F703)</f>
        <v>7300</v>
      </c>
      <c r="H703" s="9" t="b">
        <f aca="false">G703&gt;E703</f>
        <v>0</v>
      </c>
      <c r="I703" s="9" t="b">
        <f aca="false">C703&lt;&gt;B703</f>
        <v>0</v>
      </c>
      <c r="J703" s="3" t="n">
        <f aca="false">SUMIFS('Futures Data'!$C$5:$C$3471,'Futures Data'!$A$5:$A$3471,A703,'Futures Data'!$B$5:$B$3471,B703)</f>
        <v>6623</v>
      </c>
      <c r="K703" s="3" t="n">
        <f aca="false">SUMIFS('Futures Data'!$C$5:$C$3471,'Futures Data'!$A$5:$A$3471,A703,'Futures Data'!$B$5:$B$3471,C703)</f>
        <v>6623</v>
      </c>
      <c r="L703" s="3" t="n">
        <f aca="false">K703-J703</f>
        <v>0</v>
      </c>
      <c r="M703" s="3" t="n">
        <f aca="false">M704+L703</f>
        <v>388</v>
      </c>
      <c r="N703" s="3" t="n">
        <f aca="false">J703+M703</f>
        <v>7011</v>
      </c>
      <c r="O703" s="13" t="n">
        <f aca="false">LN(J703/K702)</f>
        <v>0.00453995937167975</v>
      </c>
      <c r="P703" s="13" t="n">
        <f aca="false">LN(N703/N702)</f>
        <v>0.00428817123656619</v>
      </c>
      <c r="Q703" s="3" t="n">
        <f aca="false">SUMIFS('Futures Data'!$D$5:$D$3471,'Futures Data'!$A$5:$A$3471,A703,'Futures Data'!$B$5:$B$3471,B703)</f>
        <v>4960</v>
      </c>
      <c r="R703" s="7" t="n">
        <v>46192</v>
      </c>
      <c r="S703" s="9" t="b">
        <f aca="false">C703=R703</f>
        <v>1</v>
      </c>
      <c r="T703" s="9" t="b">
        <f aca="false">ABS(O703-LN(J703/SUMIFS('Futures Data'!$C$5:$C$3471,'Futures Data'!$A$5:$A$3471,A702,'Futures Data'!$B$5:$B$3471,B703)))&lt;0.000000001</f>
        <v>1</v>
      </c>
    </row>
    <row r="704" customFormat="false" ht="15" hidden="false" customHeight="false" outlineLevel="0" collapsed="false">
      <c r="A704" s="7" t="n">
        <v>46168</v>
      </c>
      <c r="B704" s="11" t="n">
        <f aca="false">C703</f>
        <v>46192</v>
      </c>
      <c r="C704" s="11" t="n">
        <f aca="false">IF(OR(H703,D704&lt;=$G$4),_xlfn.MINIFS('Futures Data'!$B$5:$B$3471,'Futures Data'!$A$5:$A$3471,A704,'Futures Data'!$B$5:$B$3471,"&gt;"&amp;B704),B704)</f>
        <v>46192</v>
      </c>
      <c r="D704" s="3" t="n">
        <f aca="false">COUNTIFS($A$47:$A$790,"&gt;"&amp;A704,$A$47:$A$790,"&lt;="&amp;B704)+IF(B704&gt;$G$5,NETWORKDAYS($G$5+1,B704),0)</f>
        <v>17</v>
      </c>
      <c r="E704" s="3" t="n">
        <f aca="false">SUMIFS('Futures Data'!$E$5:$E$3471,'Futures Data'!$A$5:$A$3471,A704,'Futures Data'!$B$5:$B$3471,C704)</f>
        <v>25470</v>
      </c>
      <c r="F704" s="11" t="n">
        <f aca="false">_xlfn.MINIFS('Futures Data'!$B$5:$B$3471,'Futures Data'!$A$5:$A$3471,A704,'Futures Data'!$B$5:$B$3471,"&gt;"&amp;C704)</f>
        <v>46223</v>
      </c>
      <c r="G704" s="3" t="n">
        <f aca="false">SUMIFS('Futures Data'!$E$5:$E$3471,'Futures Data'!$A$5:$A$3471,A704,'Futures Data'!$B$5:$B$3471,F704)</f>
        <v>8625</v>
      </c>
      <c r="H704" s="9" t="b">
        <f aca="false">G704&gt;E704</f>
        <v>0</v>
      </c>
      <c r="I704" s="9" t="b">
        <f aca="false">C704&lt;&gt;B704</f>
        <v>0</v>
      </c>
      <c r="J704" s="3" t="n">
        <f aca="false">SUMIFS('Futures Data'!$C$5:$C$3471,'Futures Data'!$A$5:$A$3471,A704,'Futures Data'!$B$5:$B$3471,B704)</f>
        <v>6587</v>
      </c>
      <c r="K704" s="3" t="n">
        <f aca="false">SUMIFS('Futures Data'!$C$5:$C$3471,'Futures Data'!$A$5:$A$3471,A704,'Futures Data'!$B$5:$B$3471,C704)</f>
        <v>6587</v>
      </c>
      <c r="L704" s="3" t="n">
        <f aca="false">K704-J704</f>
        <v>0</v>
      </c>
      <c r="M704" s="3" t="n">
        <f aca="false">M705+L704</f>
        <v>388</v>
      </c>
      <c r="N704" s="3" t="n">
        <f aca="false">J704+M704</f>
        <v>6975</v>
      </c>
      <c r="O704" s="13" t="n">
        <f aca="false">LN(J704/K703)</f>
        <v>-0.00545042984428654</v>
      </c>
      <c r="P704" s="13" t="n">
        <f aca="false">LN(N704/N703)</f>
        <v>-0.00514801651740124</v>
      </c>
      <c r="Q704" s="3" t="n">
        <f aca="false">SUMIFS('Futures Data'!$D$5:$D$3471,'Futures Data'!$A$5:$A$3471,A704,'Futures Data'!$B$5:$B$3471,B704)</f>
        <v>4895</v>
      </c>
      <c r="R704" s="7" t="n">
        <v>46192</v>
      </c>
      <c r="S704" s="9" t="b">
        <f aca="false">C704=R704</f>
        <v>1</v>
      </c>
      <c r="T704" s="9" t="b">
        <f aca="false">ABS(O704-LN(J704/SUMIFS('Futures Data'!$C$5:$C$3471,'Futures Data'!$A$5:$A$3471,A703,'Futures Data'!$B$5:$B$3471,B704)))&lt;0.000000001</f>
        <v>1</v>
      </c>
    </row>
    <row r="705" customFormat="false" ht="15" hidden="false" customHeight="false" outlineLevel="0" collapsed="false">
      <c r="A705" s="7" t="n">
        <v>46169</v>
      </c>
      <c r="B705" s="11" t="n">
        <f aca="false">C704</f>
        <v>46192</v>
      </c>
      <c r="C705" s="11" t="n">
        <f aca="false">IF(OR(H704,D705&lt;=$G$4),_xlfn.MINIFS('Futures Data'!$B$5:$B$3471,'Futures Data'!$A$5:$A$3471,A705,'Futures Data'!$B$5:$B$3471,"&gt;"&amp;B705),B705)</f>
        <v>46192</v>
      </c>
      <c r="D705" s="3" t="n">
        <f aca="false">COUNTIFS($A$47:$A$790,"&gt;"&amp;A705,$A$47:$A$790,"&lt;="&amp;B705)+IF(B705&gt;$G$5,NETWORKDAYS($G$5+1,B705),0)</f>
        <v>16</v>
      </c>
      <c r="E705" s="3" t="n">
        <f aca="false">SUMIFS('Futures Data'!$E$5:$E$3471,'Futures Data'!$A$5:$A$3471,A705,'Futures Data'!$B$5:$B$3471,C705)</f>
        <v>24715</v>
      </c>
      <c r="F705" s="11" t="n">
        <f aca="false">_xlfn.MINIFS('Futures Data'!$B$5:$B$3471,'Futures Data'!$A$5:$A$3471,A705,'Futures Data'!$B$5:$B$3471,"&gt;"&amp;C705)</f>
        <v>46223</v>
      </c>
      <c r="G705" s="3" t="n">
        <f aca="false">SUMIFS('Futures Data'!$E$5:$E$3471,'Futures Data'!$A$5:$A$3471,A705,'Futures Data'!$B$5:$B$3471,F705)</f>
        <v>9230</v>
      </c>
      <c r="H705" s="9" t="b">
        <f aca="false">G705&gt;E705</f>
        <v>0</v>
      </c>
      <c r="I705" s="9" t="b">
        <f aca="false">C705&lt;&gt;B705</f>
        <v>0</v>
      </c>
      <c r="J705" s="3" t="n">
        <f aca="false">SUMIFS('Futures Data'!$C$5:$C$3471,'Futures Data'!$A$5:$A$3471,A705,'Futures Data'!$B$5:$B$3471,B705)</f>
        <v>6574</v>
      </c>
      <c r="K705" s="3" t="n">
        <f aca="false">SUMIFS('Futures Data'!$C$5:$C$3471,'Futures Data'!$A$5:$A$3471,A705,'Futures Data'!$B$5:$B$3471,C705)</f>
        <v>6574</v>
      </c>
      <c r="L705" s="3" t="n">
        <f aca="false">K705-J705</f>
        <v>0</v>
      </c>
      <c r="M705" s="3" t="n">
        <f aca="false">M706+L705</f>
        <v>388</v>
      </c>
      <c r="N705" s="3" t="n">
        <f aca="false">J705+M705</f>
        <v>6962</v>
      </c>
      <c r="O705" s="13" t="n">
        <f aca="false">LN(J705/K704)</f>
        <v>-0.00197553441652827</v>
      </c>
      <c r="P705" s="13" t="n">
        <f aca="false">LN(N705/N704)</f>
        <v>-0.00186553831818221</v>
      </c>
      <c r="Q705" s="3" t="n">
        <f aca="false">SUMIFS('Futures Data'!$D$5:$D$3471,'Futures Data'!$A$5:$A$3471,A705,'Futures Data'!$B$5:$B$3471,B705)</f>
        <v>3045</v>
      </c>
      <c r="R705" s="7" t="n">
        <v>46192</v>
      </c>
      <c r="S705" s="9" t="b">
        <f aca="false">C705=R705</f>
        <v>1</v>
      </c>
      <c r="T705" s="9" t="b">
        <f aca="false">ABS(O705-LN(J705/SUMIFS('Futures Data'!$C$5:$C$3471,'Futures Data'!$A$5:$A$3471,A704,'Futures Data'!$B$5:$B$3471,B705)))&lt;0.000000001</f>
        <v>1</v>
      </c>
    </row>
    <row r="706" customFormat="false" ht="15" hidden="false" customHeight="false" outlineLevel="0" collapsed="false">
      <c r="A706" s="7" t="n">
        <v>46171</v>
      </c>
      <c r="B706" s="11" t="n">
        <f aca="false">C705</f>
        <v>46192</v>
      </c>
      <c r="C706" s="11" t="n">
        <f aca="false">IF(OR(H705,D706&lt;=$G$4),_xlfn.MINIFS('Futures Data'!$B$5:$B$3471,'Futures Data'!$A$5:$A$3471,A706,'Futures Data'!$B$5:$B$3471,"&gt;"&amp;B706),B706)</f>
        <v>46192</v>
      </c>
      <c r="D706" s="3" t="n">
        <f aca="false">COUNTIFS($A$47:$A$790,"&gt;"&amp;A706,$A$47:$A$790,"&lt;="&amp;B706)+IF(B706&gt;$G$5,NETWORKDAYS($G$5+1,B706),0)</f>
        <v>15</v>
      </c>
      <c r="E706" s="3" t="n">
        <f aca="false">SUMIFS('Futures Data'!$E$5:$E$3471,'Futures Data'!$A$5:$A$3471,A706,'Futures Data'!$B$5:$B$3471,C706)</f>
        <v>24710</v>
      </c>
      <c r="F706" s="11" t="n">
        <f aca="false">_xlfn.MINIFS('Futures Data'!$B$5:$B$3471,'Futures Data'!$A$5:$A$3471,A706,'Futures Data'!$B$5:$B$3471,"&gt;"&amp;C706)</f>
        <v>46223</v>
      </c>
      <c r="G706" s="3" t="n">
        <f aca="false">SUMIFS('Futures Data'!$E$5:$E$3471,'Futures Data'!$A$5:$A$3471,A706,'Futures Data'!$B$5:$B$3471,F706)</f>
        <v>9200</v>
      </c>
      <c r="H706" s="9" t="b">
        <f aca="false">G706&gt;E706</f>
        <v>0</v>
      </c>
      <c r="I706" s="9" t="b">
        <f aca="false">C706&lt;&gt;B706</f>
        <v>0</v>
      </c>
      <c r="J706" s="3" t="n">
        <f aca="false">SUMIFS('Futures Data'!$C$5:$C$3471,'Futures Data'!$A$5:$A$3471,A706,'Futures Data'!$B$5:$B$3471,B706)</f>
        <v>6562</v>
      </c>
      <c r="K706" s="3" t="n">
        <f aca="false">SUMIFS('Futures Data'!$C$5:$C$3471,'Futures Data'!$A$5:$A$3471,A706,'Futures Data'!$B$5:$B$3471,C706)</f>
        <v>6562</v>
      </c>
      <c r="L706" s="3" t="n">
        <f aca="false">K706-J706</f>
        <v>0</v>
      </c>
      <c r="M706" s="3" t="n">
        <f aca="false">M707+L706</f>
        <v>388</v>
      </c>
      <c r="N706" s="3" t="n">
        <f aca="false">J706+M706</f>
        <v>6950</v>
      </c>
      <c r="O706" s="13" t="n">
        <f aca="false">LN(J706/K705)</f>
        <v>-0.00182704070311773</v>
      </c>
      <c r="P706" s="13" t="n">
        <f aca="false">LN(N706/N705)</f>
        <v>-0.00172512981254641</v>
      </c>
      <c r="Q706" s="3" t="n">
        <f aca="false">SUMIFS('Futures Data'!$D$5:$D$3471,'Futures Data'!$A$5:$A$3471,A706,'Futures Data'!$B$5:$B$3471,B706)</f>
        <v>1965</v>
      </c>
      <c r="R706" s="7" t="n">
        <v>46192</v>
      </c>
      <c r="S706" s="9" t="b">
        <f aca="false">C706=R706</f>
        <v>1</v>
      </c>
      <c r="T706" s="9" t="b">
        <f aca="false">ABS(O706-LN(J706/SUMIFS('Futures Data'!$C$5:$C$3471,'Futures Data'!$A$5:$A$3471,A705,'Futures Data'!$B$5:$B$3471,B706)))&lt;0.000000001</f>
        <v>1</v>
      </c>
    </row>
    <row r="707" customFormat="false" ht="15" hidden="false" customHeight="false" outlineLevel="0" collapsed="false">
      <c r="A707" s="7" t="n">
        <v>46174</v>
      </c>
      <c r="B707" s="11" t="n">
        <f aca="false">C706</f>
        <v>46192</v>
      </c>
      <c r="C707" s="11" t="n">
        <f aca="false">IF(OR(H706,D707&lt;=$G$4),_xlfn.MINIFS('Futures Data'!$B$5:$B$3471,'Futures Data'!$A$5:$A$3471,A707,'Futures Data'!$B$5:$B$3471,"&gt;"&amp;B707),B707)</f>
        <v>46192</v>
      </c>
      <c r="D707" s="3" t="n">
        <f aca="false">COUNTIFS($A$47:$A$790,"&gt;"&amp;A707,$A$47:$A$790,"&lt;="&amp;B707)+IF(B707&gt;$G$5,NETWORKDAYS($G$5+1,B707),0)</f>
        <v>14</v>
      </c>
      <c r="E707" s="3" t="n">
        <f aca="false">SUMIFS('Futures Data'!$E$5:$E$3471,'Futures Data'!$A$5:$A$3471,A707,'Futures Data'!$B$5:$B$3471,C707)</f>
        <v>24000</v>
      </c>
      <c r="F707" s="11" t="n">
        <f aca="false">_xlfn.MINIFS('Futures Data'!$B$5:$B$3471,'Futures Data'!$A$5:$A$3471,A707,'Futures Data'!$B$5:$B$3471,"&gt;"&amp;C707)</f>
        <v>46223</v>
      </c>
      <c r="G707" s="3" t="n">
        <f aca="false">SUMIFS('Futures Data'!$E$5:$E$3471,'Futures Data'!$A$5:$A$3471,A707,'Futures Data'!$B$5:$B$3471,F707)</f>
        <v>9595</v>
      </c>
      <c r="H707" s="9" t="b">
        <f aca="false">G707&gt;E707</f>
        <v>0</v>
      </c>
      <c r="I707" s="9" t="b">
        <f aca="false">C707&lt;&gt;B707</f>
        <v>0</v>
      </c>
      <c r="J707" s="3" t="n">
        <f aca="false">SUMIFS('Futures Data'!$C$5:$C$3471,'Futures Data'!$A$5:$A$3471,A707,'Futures Data'!$B$5:$B$3471,B707)</f>
        <v>6548</v>
      </c>
      <c r="K707" s="3" t="n">
        <f aca="false">SUMIFS('Futures Data'!$C$5:$C$3471,'Futures Data'!$A$5:$A$3471,A707,'Futures Data'!$B$5:$B$3471,C707)</f>
        <v>6548</v>
      </c>
      <c r="L707" s="3" t="n">
        <f aca="false">K707-J707</f>
        <v>0</v>
      </c>
      <c r="M707" s="3" t="n">
        <f aca="false">M708+L707</f>
        <v>388</v>
      </c>
      <c r="N707" s="3" t="n">
        <f aca="false">J707+M707</f>
        <v>6936</v>
      </c>
      <c r="O707" s="13" t="n">
        <f aca="false">LN(J707/K706)</f>
        <v>-0.00213577503002142</v>
      </c>
      <c r="P707" s="13" t="n">
        <f aca="false">LN(N707/N706)</f>
        <v>-0.00201642009846005</v>
      </c>
      <c r="Q707" s="3" t="n">
        <f aca="false">SUMIFS('Futures Data'!$D$5:$D$3471,'Futures Data'!$A$5:$A$3471,A707,'Futures Data'!$B$5:$B$3471,B707)</f>
        <v>2680</v>
      </c>
      <c r="R707" s="7" t="n">
        <v>46192</v>
      </c>
      <c r="S707" s="9" t="b">
        <f aca="false">C707=R707</f>
        <v>1</v>
      </c>
      <c r="T707" s="9" t="b">
        <f aca="false">ABS(O707-LN(J707/SUMIFS('Futures Data'!$C$5:$C$3471,'Futures Data'!$A$5:$A$3471,A706,'Futures Data'!$B$5:$B$3471,B707)))&lt;0.000000001</f>
        <v>1</v>
      </c>
    </row>
    <row r="708" customFormat="false" ht="15" hidden="false" customHeight="false" outlineLevel="0" collapsed="false">
      <c r="A708" s="7" t="n">
        <v>46175</v>
      </c>
      <c r="B708" s="11" t="n">
        <f aca="false">C707</f>
        <v>46192</v>
      </c>
      <c r="C708" s="11" t="n">
        <f aca="false">IF(OR(H707,D708&lt;=$G$4),_xlfn.MINIFS('Futures Data'!$B$5:$B$3471,'Futures Data'!$A$5:$A$3471,A708,'Futures Data'!$B$5:$B$3471,"&gt;"&amp;B708),B708)</f>
        <v>46192</v>
      </c>
      <c r="D708" s="3" t="n">
        <f aca="false">COUNTIFS($A$47:$A$790,"&gt;"&amp;A708,$A$47:$A$790,"&lt;="&amp;B708)+IF(B708&gt;$G$5,NETWORKDAYS($G$5+1,B708),0)</f>
        <v>13</v>
      </c>
      <c r="E708" s="3" t="n">
        <f aca="false">SUMIFS('Futures Data'!$E$5:$E$3471,'Futures Data'!$A$5:$A$3471,A708,'Futures Data'!$B$5:$B$3471,C708)</f>
        <v>23505</v>
      </c>
      <c r="F708" s="11" t="n">
        <f aca="false">_xlfn.MINIFS('Futures Data'!$B$5:$B$3471,'Futures Data'!$A$5:$A$3471,A708,'Futures Data'!$B$5:$B$3471,"&gt;"&amp;C708)</f>
        <v>46223</v>
      </c>
      <c r="G708" s="3" t="n">
        <f aca="false">SUMIFS('Futures Data'!$E$5:$E$3471,'Futures Data'!$A$5:$A$3471,A708,'Futures Data'!$B$5:$B$3471,F708)</f>
        <v>10150</v>
      </c>
      <c r="H708" s="9" t="b">
        <f aca="false">G708&gt;E708</f>
        <v>0</v>
      </c>
      <c r="I708" s="9" t="b">
        <f aca="false">C708&lt;&gt;B708</f>
        <v>0</v>
      </c>
      <c r="J708" s="3" t="n">
        <f aca="false">SUMIFS('Futures Data'!$C$5:$C$3471,'Futures Data'!$A$5:$A$3471,A708,'Futures Data'!$B$5:$B$3471,B708)</f>
        <v>6534</v>
      </c>
      <c r="K708" s="3" t="n">
        <f aca="false">SUMIFS('Futures Data'!$C$5:$C$3471,'Futures Data'!$A$5:$A$3471,A708,'Futures Data'!$B$5:$B$3471,C708)</f>
        <v>6534</v>
      </c>
      <c r="L708" s="3" t="n">
        <f aca="false">K708-J708</f>
        <v>0</v>
      </c>
      <c r="M708" s="3" t="n">
        <f aca="false">M709+L708</f>
        <v>388</v>
      </c>
      <c r="N708" s="3" t="n">
        <f aca="false">J708+M708</f>
        <v>6922</v>
      </c>
      <c r="O708" s="13" t="n">
        <f aca="false">LN(J708/K707)</f>
        <v>-0.00214034633001002</v>
      </c>
      <c r="P708" s="13" t="n">
        <f aca="false">LN(N708/N707)</f>
        <v>-0.00202049426508823</v>
      </c>
      <c r="Q708" s="3" t="n">
        <f aca="false">SUMIFS('Futures Data'!$D$5:$D$3471,'Futures Data'!$A$5:$A$3471,A708,'Futures Data'!$B$5:$B$3471,B708)</f>
        <v>1380</v>
      </c>
      <c r="R708" s="7" t="n">
        <v>46192</v>
      </c>
      <c r="S708" s="9" t="b">
        <f aca="false">C708=R708</f>
        <v>1</v>
      </c>
      <c r="T708" s="9" t="b">
        <f aca="false">ABS(O708-LN(J708/SUMIFS('Futures Data'!$C$5:$C$3471,'Futures Data'!$A$5:$A$3471,A707,'Futures Data'!$B$5:$B$3471,B708)))&lt;0.000000001</f>
        <v>1</v>
      </c>
    </row>
    <row r="709" customFormat="false" ht="15" hidden="false" customHeight="false" outlineLevel="0" collapsed="false">
      <c r="A709" s="7" t="n">
        <v>46176</v>
      </c>
      <c r="B709" s="11" t="n">
        <f aca="false">C708</f>
        <v>46192</v>
      </c>
      <c r="C709" s="11" t="n">
        <f aca="false">IF(OR(H708,D709&lt;=$G$4),_xlfn.MINIFS('Futures Data'!$B$5:$B$3471,'Futures Data'!$A$5:$A$3471,A709,'Futures Data'!$B$5:$B$3471,"&gt;"&amp;B709),B709)</f>
        <v>46192</v>
      </c>
      <c r="D709" s="3" t="n">
        <f aca="false">COUNTIFS($A$47:$A$790,"&gt;"&amp;A709,$A$47:$A$790,"&lt;="&amp;B709)+IF(B709&gt;$G$5,NETWORKDAYS($G$5+1,B709),0)</f>
        <v>12</v>
      </c>
      <c r="E709" s="3" t="n">
        <f aca="false">SUMIFS('Futures Data'!$E$5:$E$3471,'Futures Data'!$A$5:$A$3471,A709,'Futures Data'!$B$5:$B$3471,C709)</f>
        <v>21025</v>
      </c>
      <c r="F709" s="11" t="n">
        <f aca="false">_xlfn.MINIFS('Futures Data'!$B$5:$B$3471,'Futures Data'!$A$5:$A$3471,A709,'Futures Data'!$B$5:$B$3471,"&gt;"&amp;C709)</f>
        <v>46223</v>
      </c>
      <c r="G709" s="3" t="n">
        <f aca="false">SUMIFS('Futures Data'!$E$5:$E$3471,'Futures Data'!$A$5:$A$3471,A709,'Futures Data'!$B$5:$B$3471,F709)</f>
        <v>12585</v>
      </c>
      <c r="H709" s="9" t="b">
        <f aca="false">G709&gt;E709</f>
        <v>0</v>
      </c>
      <c r="I709" s="9" t="b">
        <f aca="false">C709&lt;&gt;B709</f>
        <v>0</v>
      </c>
      <c r="J709" s="3" t="n">
        <f aca="false">SUMIFS('Futures Data'!$C$5:$C$3471,'Futures Data'!$A$5:$A$3471,A709,'Futures Data'!$B$5:$B$3471,B709)</f>
        <v>6578</v>
      </c>
      <c r="K709" s="3" t="n">
        <f aca="false">SUMIFS('Futures Data'!$C$5:$C$3471,'Futures Data'!$A$5:$A$3471,A709,'Futures Data'!$B$5:$B$3471,C709)</f>
        <v>6578</v>
      </c>
      <c r="L709" s="3" t="n">
        <f aca="false">K709-J709</f>
        <v>0</v>
      </c>
      <c r="M709" s="3" t="n">
        <f aca="false">M710+L709</f>
        <v>388</v>
      </c>
      <c r="N709" s="3" t="n">
        <f aca="false">J709+M709</f>
        <v>6966</v>
      </c>
      <c r="O709" s="13" t="n">
        <f aca="false">LN(J709/K708)</f>
        <v>0.00671143458798678</v>
      </c>
      <c r="P709" s="13" t="n">
        <f aca="false">LN(N709/N708)</f>
        <v>0.00633642673065698</v>
      </c>
      <c r="Q709" s="3" t="n">
        <f aca="false">SUMIFS('Futures Data'!$D$5:$D$3471,'Futures Data'!$A$5:$A$3471,A709,'Futures Data'!$B$5:$B$3471,B709)</f>
        <v>5055</v>
      </c>
      <c r="R709" s="7" t="n">
        <v>46192</v>
      </c>
      <c r="S709" s="9" t="b">
        <f aca="false">C709=R709</f>
        <v>1</v>
      </c>
      <c r="T709" s="9" t="b">
        <f aca="false">ABS(O709-LN(J709/SUMIFS('Futures Data'!$C$5:$C$3471,'Futures Data'!$A$5:$A$3471,A708,'Futures Data'!$B$5:$B$3471,B709)))&lt;0.000000001</f>
        <v>1</v>
      </c>
    </row>
    <row r="710" customFormat="false" ht="15" hidden="false" customHeight="false" outlineLevel="0" collapsed="false">
      <c r="A710" s="7" t="n">
        <v>46177</v>
      </c>
      <c r="B710" s="11" t="n">
        <f aca="false">C709</f>
        <v>46192</v>
      </c>
      <c r="C710" s="11" t="n">
        <f aca="false">IF(OR(H709,D710&lt;=$G$4),_xlfn.MINIFS('Futures Data'!$B$5:$B$3471,'Futures Data'!$A$5:$A$3471,A710,'Futures Data'!$B$5:$B$3471,"&gt;"&amp;B710),B710)</f>
        <v>46192</v>
      </c>
      <c r="D710" s="3" t="n">
        <f aca="false">COUNTIFS($A$47:$A$790,"&gt;"&amp;A710,$A$47:$A$790,"&lt;="&amp;B710)+IF(B710&gt;$G$5,NETWORKDAYS($G$5+1,B710),0)</f>
        <v>11</v>
      </c>
      <c r="E710" s="3" t="n">
        <f aca="false">SUMIFS('Futures Data'!$E$5:$E$3471,'Futures Data'!$A$5:$A$3471,A710,'Futures Data'!$B$5:$B$3471,C710)</f>
        <v>20270</v>
      </c>
      <c r="F710" s="11" t="n">
        <f aca="false">_xlfn.MINIFS('Futures Data'!$B$5:$B$3471,'Futures Data'!$A$5:$A$3471,A710,'Futures Data'!$B$5:$B$3471,"&gt;"&amp;C710)</f>
        <v>46223</v>
      </c>
      <c r="G710" s="3" t="n">
        <f aca="false">SUMIFS('Futures Data'!$E$5:$E$3471,'Futures Data'!$A$5:$A$3471,A710,'Futures Data'!$B$5:$B$3471,F710)</f>
        <v>13540</v>
      </c>
      <c r="H710" s="9" t="b">
        <f aca="false">G710&gt;E710</f>
        <v>0</v>
      </c>
      <c r="I710" s="9" t="b">
        <f aca="false">C710&lt;&gt;B710</f>
        <v>0</v>
      </c>
      <c r="J710" s="3" t="n">
        <f aca="false">SUMIFS('Futures Data'!$C$5:$C$3471,'Futures Data'!$A$5:$A$3471,A710,'Futures Data'!$B$5:$B$3471,B710)</f>
        <v>6561</v>
      </c>
      <c r="K710" s="3" t="n">
        <f aca="false">SUMIFS('Futures Data'!$C$5:$C$3471,'Futures Data'!$A$5:$A$3471,A710,'Futures Data'!$B$5:$B$3471,C710)</f>
        <v>6561</v>
      </c>
      <c r="L710" s="3" t="n">
        <f aca="false">K710-J710</f>
        <v>0</v>
      </c>
      <c r="M710" s="3" t="n">
        <f aca="false">M711+L710</f>
        <v>388</v>
      </c>
      <c r="N710" s="3" t="n">
        <f aca="false">J710+M710</f>
        <v>6949</v>
      </c>
      <c r="O710" s="13" t="n">
        <f aca="false">LN(J710/K709)</f>
        <v>-0.00258771740412472</v>
      </c>
      <c r="P710" s="13" t="n">
        <f aca="false">LN(N710/N709)</f>
        <v>-0.0024434076116192</v>
      </c>
      <c r="Q710" s="3" t="n">
        <f aca="false">SUMIFS('Futures Data'!$D$5:$D$3471,'Futures Data'!$A$5:$A$3471,A710,'Futures Data'!$B$5:$B$3471,B710)</f>
        <v>2235</v>
      </c>
      <c r="R710" s="7" t="n">
        <v>46192</v>
      </c>
      <c r="S710" s="9" t="b">
        <f aca="false">C710=R710</f>
        <v>1</v>
      </c>
      <c r="T710" s="9" t="b">
        <f aca="false">ABS(O710-LN(J710/SUMIFS('Futures Data'!$C$5:$C$3471,'Futures Data'!$A$5:$A$3471,A709,'Futures Data'!$B$5:$B$3471,B710)))&lt;0.000000001</f>
        <v>1</v>
      </c>
    </row>
    <row r="711" customFormat="false" ht="15" hidden="false" customHeight="false" outlineLevel="0" collapsed="false">
      <c r="A711" s="7" t="n">
        <v>46178</v>
      </c>
      <c r="B711" s="11" t="n">
        <f aca="false">C710</f>
        <v>46192</v>
      </c>
      <c r="C711" s="11" t="n">
        <f aca="false">IF(OR(H710,D711&lt;=$G$4),_xlfn.MINIFS('Futures Data'!$B$5:$B$3471,'Futures Data'!$A$5:$A$3471,A711,'Futures Data'!$B$5:$B$3471,"&gt;"&amp;B711),B711)</f>
        <v>46192</v>
      </c>
      <c r="D711" s="3" t="n">
        <f aca="false">COUNTIFS($A$47:$A$790,"&gt;"&amp;A711,$A$47:$A$790,"&lt;="&amp;B711)+IF(B711&gt;$G$5,NETWORKDAYS($G$5+1,B711),0)</f>
        <v>10</v>
      </c>
      <c r="E711" s="3" t="n">
        <f aca="false">SUMIFS('Futures Data'!$E$5:$E$3471,'Futures Data'!$A$5:$A$3471,A711,'Futures Data'!$B$5:$B$3471,C711)</f>
        <v>19055</v>
      </c>
      <c r="F711" s="11" t="n">
        <f aca="false">_xlfn.MINIFS('Futures Data'!$B$5:$B$3471,'Futures Data'!$A$5:$A$3471,A711,'Futures Data'!$B$5:$B$3471,"&gt;"&amp;C711)</f>
        <v>46223</v>
      </c>
      <c r="G711" s="3" t="n">
        <f aca="false">SUMIFS('Futures Data'!$E$5:$E$3471,'Futures Data'!$A$5:$A$3471,A711,'Futures Data'!$B$5:$B$3471,F711)</f>
        <v>15490</v>
      </c>
      <c r="H711" s="9" t="b">
        <f aca="false">G711&gt;E711</f>
        <v>0</v>
      </c>
      <c r="I711" s="9" t="b">
        <f aca="false">C711&lt;&gt;B711</f>
        <v>0</v>
      </c>
      <c r="J711" s="3" t="n">
        <f aca="false">SUMIFS('Futures Data'!$C$5:$C$3471,'Futures Data'!$A$5:$A$3471,A711,'Futures Data'!$B$5:$B$3471,B711)</f>
        <v>6582</v>
      </c>
      <c r="K711" s="3" t="n">
        <f aca="false">SUMIFS('Futures Data'!$C$5:$C$3471,'Futures Data'!$A$5:$A$3471,A711,'Futures Data'!$B$5:$B$3471,C711)</f>
        <v>6582</v>
      </c>
      <c r="L711" s="3" t="n">
        <f aca="false">K711-J711</f>
        <v>0</v>
      </c>
      <c r="M711" s="3" t="n">
        <f aca="false">M712+L711</f>
        <v>388</v>
      </c>
      <c r="N711" s="3" t="n">
        <f aca="false">J711+M711</f>
        <v>6970</v>
      </c>
      <c r="O711" s="13" t="n">
        <f aca="false">LN(J711/K710)</f>
        <v>0.00319562015840776</v>
      </c>
      <c r="P711" s="13" t="n">
        <f aca="false">LN(N711/N710)</f>
        <v>0.00301746044024229</v>
      </c>
      <c r="Q711" s="3" t="n">
        <f aca="false">SUMIFS('Futures Data'!$D$5:$D$3471,'Futures Data'!$A$5:$A$3471,A711,'Futures Data'!$B$5:$B$3471,B711)</f>
        <v>3365</v>
      </c>
      <c r="R711" s="7" t="n">
        <v>46192</v>
      </c>
      <c r="S711" s="9" t="b">
        <f aca="false">C711=R711</f>
        <v>1</v>
      </c>
      <c r="T711" s="9" t="b">
        <f aca="false">ABS(O711-LN(J711/SUMIFS('Futures Data'!$C$5:$C$3471,'Futures Data'!$A$5:$A$3471,A710,'Futures Data'!$B$5:$B$3471,B711)))&lt;0.000000001</f>
        <v>1</v>
      </c>
    </row>
    <row r="712" customFormat="false" ht="15" hidden="false" customHeight="false" outlineLevel="0" collapsed="false">
      <c r="A712" s="7" t="n">
        <v>46181</v>
      </c>
      <c r="B712" s="11" t="n">
        <f aca="false">C711</f>
        <v>46192</v>
      </c>
      <c r="C712" s="11" t="n">
        <f aca="false">IF(OR(H711,D712&lt;=$G$4),_xlfn.MINIFS('Futures Data'!$B$5:$B$3471,'Futures Data'!$A$5:$A$3471,A712,'Futures Data'!$B$5:$B$3471,"&gt;"&amp;B712),B712)</f>
        <v>46192</v>
      </c>
      <c r="D712" s="3" t="n">
        <f aca="false">COUNTIFS($A$47:$A$790,"&gt;"&amp;A712,$A$47:$A$790,"&lt;="&amp;B712)+IF(B712&gt;$G$5,NETWORKDAYS($G$5+1,B712),0)</f>
        <v>9</v>
      </c>
      <c r="E712" s="3" t="n">
        <f aca="false">SUMIFS('Futures Data'!$E$5:$E$3471,'Futures Data'!$A$5:$A$3471,A712,'Futures Data'!$B$5:$B$3471,C712)</f>
        <v>17455</v>
      </c>
      <c r="F712" s="11" t="n">
        <f aca="false">_xlfn.MINIFS('Futures Data'!$B$5:$B$3471,'Futures Data'!$A$5:$A$3471,A712,'Futures Data'!$B$5:$B$3471,"&gt;"&amp;C712)</f>
        <v>46223</v>
      </c>
      <c r="G712" s="3" t="n">
        <f aca="false">SUMIFS('Futures Data'!$E$5:$E$3471,'Futures Data'!$A$5:$A$3471,A712,'Futures Data'!$B$5:$B$3471,F712)</f>
        <v>16800</v>
      </c>
      <c r="H712" s="9" t="b">
        <f aca="false">G712&gt;E712</f>
        <v>0</v>
      </c>
      <c r="I712" s="9" t="b">
        <f aca="false">C712&lt;&gt;B712</f>
        <v>0</v>
      </c>
      <c r="J712" s="3" t="n">
        <f aca="false">SUMIFS('Futures Data'!$C$5:$C$3471,'Futures Data'!$A$5:$A$3471,A712,'Futures Data'!$B$5:$B$3471,B712)</f>
        <v>6572</v>
      </c>
      <c r="K712" s="3" t="n">
        <f aca="false">SUMIFS('Futures Data'!$C$5:$C$3471,'Futures Data'!$A$5:$A$3471,A712,'Futures Data'!$B$5:$B$3471,C712)</f>
        <v>6572</v>
      </c>
      <c r="L712" s="3" t="n">
        <f aca="false">K712-J712</f>
        <v>0</v>
      </c>
      <c r="M712" s="3" t="n">
        <f aca="false">M713+L712</f>
        <v>388</v>
      </c>
      <c r="N712" s="3" t="n">
        <f aca="false">J712+M712</f>
        <v>6960</v>
      </c>
      <c r="O712" s="13" t="n">
        <f aca="false">LN(J712/K711)</f>
        <v>-0.00152045034612654</v>
      </c>
      <c r="P712" s="13" t="n">
        <f aca="false">LN(N712/N711)</f>
        <v>-0.00143575042610426</v>
      </c>
      <c r="Q712" s="3" t="n">
        <f aca="false">SUMIFS('Futures Data'!$D$5:$D$3471,'Futures Data'!$A$5:$A$3471,A712,'Futures Data'!$B$5:$B$3471,B712)</f>
        <v>3280</v>
      </c>
      <c r="R712" s="7" t="n">
        <v>46192</v>
      </c>
      <c r="S712" s="9" t="b">
        <f aca="false">C712=R712</f>
        <v>1</v>
      </c>
      <c r="T712" s="9" t="b">
        <f aca="false">ABS(O712-LN(J712/SUMIFS('Futures Data'!$C$5:$C$3471,'Futures Data'!$A$5:$A$3471,A711,'Futures Data'!$B$5:$B$3471,B712)))&lt;0.000000001</f>
        <v>1</v>
      </c>
    </row>
    <row r="713" customFormat="false" ht="15" hidden="false" customHeight="false" outlineLevel="0" collapsed="false">
      <c r="A713" s="7" t="n">
        <v>46182</v>
      </c>
      <c r="B713" s="11" t="n">
        <f aca="false">C712</f>
        <v>46192</v>
      </c>
      <c r="C713" s="11" t="n">
        <f aca="false">IF(OR(H712,D713&lt;=$G$4),_xlfn.MINIFS('Futures Data'!$B$5:$B$3471,'Futures Data'!$A$5:$A$3471,A713,'Futures Data'!$B$5:$B$3471,"&gt;"&amp;B713),B713)</f>
        <v>46192</v>
      </c>
      <c r="D713" s="3" t="n">
        <f aca="false">COUNTIFS($A$47:$A$790,"&gt;"&amp;A713,$A$47:$A$790,"&lt;="&amp;B713)+IF(B713&gt;$G$5,NETWORKDAYS($G$5+1,B713),0)</f>
        <v>8</v>
      </c>
      <c r="E713" s="3" t="n">
        <f aca="false">SUMIFS('Futures Data'!$E$5:$E$3471,'Futures Data'!$A$5:$A$3471,A713,'Futures Data'!$B$5:$B$3471,C713)</f>
        <v>15780</v>
      </c>
      <c r="F713" s="11" t="n">
        <f aca="false">_xlfn.MINIFS('Futures Data'!$B$5:$B$3471,'Futures Data'!$A$5:$A$3471,A713,'Futures Data'!$B$5:$B$3471,"&gt;"&amp;C713)</f>
        <v>46223</v>
      </c>
      <c r="G713" s="3" t="n">
        <f aca="false">SUMIFS('Futures Data'!$E$5:$E$3471,'Futures Data'!$A$5:$A$3471,A713,'Futures Data'!$B$5:$B$3471,F713)</f>
        <v>17960</v>
      </c>
      <c r="H713" s="9" t="b">
        <f aca="false">G713&gt;E713</f>
        <v>1</v>
      </c>
      <c r="I713" s="9" t="b">
        <f aca="false">C713&lt;&gt;B713</f>
        <v>0</v>
      </c>
      <c r="J713" s="3" t="n">
        <f aca="false">SUMIFS('Futures Data'!$C$5:$C$3471,'Futures Data'!$A$5:$A$3471,A713,'Futures Data'!$B$5:$B$3471,B713)</f>
        <v>6554</v>
      </c>
      <c r="K713" s="3" t="n">
        <f aca="false">SUMIFS('Futures Data'!$C$5:$C$3471,'Futures Data'!$A$5:$A$3471,A713,'Futures Data'!$B$5:$B$3471,C713)</f>
        <v>6554</v>
      </c>
      <c r="L713" s="3" t="n">
        <f aca="false">K713-J713</f>
        <v>0</v>
      </c>
      <c r="M713" s="3" t="n">
        <f aca="false">M714+L713</f>
        <v>388</v>
      </c>
      <c r="N713" s="3" t="n">
        <f aca="false">J713+M713</f>
        <v>6942</v>
      </c>
      <c r="O713" s="13" t="n">
        <f aca="false">LN(J713/K712)</f>
        <v>-0.0027426498983988</v>
      </c>
      <c r="P713" s="13" t="n">
        <f aca="false">LN(N713/N712)</f>
        <v>-0.00258955690673379</v>
      </c>
      <c r="Q713" s="3" t="n">
        <f aca="false">SUMIFS('Futures Data'!$D$5:$D$3471,'Futures Data'!$A$5:$A$3471,A713,'Futures Data'!$B$5:$B$3471,B713)</f>
        <v>3075</v>
      </c>
      <c r="R713" s="7" t="n">
        <v>46192</v>
      </c>
      <c r="S713" s="9" t="b">
        <f aca="false">C713=R713</f>
        <v>1</v>
      </c>
      <c r="T713" s="9" t="b">
        <f aca="false">ABS(O713-LN(J713/SUMIFS('Futures Data'!$C$5:$C$3471,'Futures Data'!$A$5:$A$3471,A712,'Futures Data'!$B$5:$B$3471,B713)))&lt;0.000000001</f>
        <v>1</v>
      </c>
    </row>
    <row r="714" customFormat="false" ht="15" hidden="false" customHeight="false" outlineLevel="0" collapsed="false">
      <c r="A714" s="7" t="n">
        <v>46183</v>
      </c>
      <c r="B714" s="11" t="n">
        <f aca="false">C713</f>
        <v>46192</v>
      </c>
      <c r="C714" s="11" t="n">
        <f aca="false">IF(OR(H713,D714&lt;=$G$4),_xlfn.MINIFS('Futures Data'!$B$5:$B$3471,'Futures Data'!$A$5:$A$3471,A714,'Futures Data'!$B$5:$B$3471,"&gt;"&amp;B714),B714)</f>
        <v>46223</v>
      </c>
      <c r="D714" s="3" t="n">
        <f aca="false">COUNTIFS($A$47:$A$790,"&gt;"&amp;A714,$A$47:$A$790,"&lt;="&amp;B714)+IF(B714&gt;$G$5,NETWORKDAYS($G$5+1,B714),0)</f>
        <v>7</v>
      </c>
      <c r="E714" s="3" t="n">
        <f aca="false">SUMIFS('Futures Data'!$E$5:$E$3471,'Futures Data'!$A$5:$A$3471,A714,'Futures Data'!$B$5:$B$3471,C714)</f>
        <v>19745</v>
      </c>
      <c r="F714" s="11" t="n">
        <f aca="false">_xlfn.MINIFS('Futures Data'!$B$5:$B$3471,'Futures Data'!$A$5:$A$3471,A714,'Futures Data'!$B$5:$B$3471,"&gt;"&amp;C714)</f>
        <v>46254</v>
      </c>
      <c r="G714" s="3" t="n">
        <f aca="false">SUMIFS('Futures Data'!$E$5:$E$3471,'Futures Data'!$A$5:$A$3471,A714,'Futures Data'!$B$5:$B$3471,F714)</f>
        <v>0</v>
      </c>
      <c r="H714" s="9" t="b">
        <f aca="false">G714&gt;E714</f>
        <v>0</v>
      </c>
      <c r="I714" s="9" t="b">
        <f aca="false">C714&lt;&gt;B714</f>
        <v>1</v>
      </c>
      <c r="J714" s="3" t="n">
        <f aca="false">SUMIFS('Futures Data'!$C$5:$C$3471,'Futures Data'!$A$5:$A$3471,A714,'Futures Data'!$B$5:$B$3471,B714)</f>
        <v>6549</v>
      </c>
      <c r="K714" s="3" t="n">
        <f aca="false">SUMIFS('Futures Data'!$C$5:$C$3471,'Futures Data'!$A$5:$A$3471,A714,'Futures Data'!$B$5:$B$3471,C714)</f>
        <v>6656</v>
      </c>
      <c r="L714" s="3" t="n">
        <f aca="false">K714-J714</f>
        <v>107</v>
      </c>
      <c r="M714" s="3" t="n">
        <f aca="false">M715+L714</f>
        <v>388</v>
      </c>
      <c r="N714" s="3" t="n">
        <f aca="false">J714+M714</f>
        <v>6937</v>
      </c>
      <c r="O714" s="13" t="n">
        <f aca="false">LN(J714/K713)</f>
        <v>-0.00076318404070627</v>
      </c>
      <c r="P714" s="13" t="n">
        <f aca="false">LN(N714/N713)</f>
        <v>-0.000720513036430308</v>
      </c>
      <c r="Q714" s="3" t="n">
        <f aca="false">SUMIFS('Futures Data'!$D$5:$D$3471,'Futures Data'!$A$5:$A$3471,A714,'Futures Data'!$B$5:$B$3471,B714)</f>
        <v>4655</v>
      </c>
      <c r="R714" s="7" t="n">
        <v>46223</v>
      </c>
      <c r="S714" s="9" t="b">
        <f aca="false">C714=R714</f>
        <v>1</v>
      </c>
      <c r="T714" s="9" t="b">
        <f aca="false">ABS(O714-LN(J714/SUMIFS('Futures Data'!$C$5:$C$3471,'Futures Data'!$A$5:$A$3471,A713,'Futures Data'!$B$5:$B$3471,B714)))&lt;0.000000001</f>
        <v>1</v>
      </c>
    </row>
    <row r="715" customFormat="false" ht="15" hidden="false" customHeight="false" outlineLevel="0" collapsed="false">
      <c r="A715" s="7" t="n">
        <v>46184</v>
      </c>
      <c r="B715" s="11" t="n">
        <f aca="false">C714</f>
        <v>46223</v>
      </c>
      <c r="C715" s="11" t="n">
        <f aca="false">IF(OR(H714,D715&lt;=$G$4),_xlfn.MINIFS('Futures Data'!$B$5:$B$3471,'Futures Data'!$A$5:$A$3471,A715,'Futures Data'!$B$5:$B$3471,"&gt;"&amp;B715),B715)</f>
        <v>46223</v>
      </c>
      <c r="D715" s="3" t="n">
        <f aca="false">COUNTIFS($A$47:$A$790,"&gt;"&amp;A715,$A$47:$A$790,"&lt;="&amp;B715)+IF(B715&gt;$G$5,NETWORKDAYS($G$5+1,B715),0)</f>
        <v>26</v>
      </c>
      <c r="E715" s="3" t="n">
        <f aca="false">SUMIFS('Futures Data'!$E$5:$E$3471,'Futures Data'!$A$5:$A$3471,A715,'Futures Data'!$B$5:$B$3471,C715)</f>
        <v>20635</v>
      </c>
      <c r="F715" s="11" t="n">
        <f aca="false">_xlfn.MINIFS('Futures Data'!$B$5:$B$3471,'Futures Data'!$A$5:$A$3471,A715,'Futures Data'!$B$5:$B$3471,"&gt;"&amp;C715)</f>
        <v>46254</v>
      </c>
      <c r="G715" s="3" t="n">
        <f aca="false">SUMIFS('Futures Data'!$E$5:$E$3471,'Futures Data'!$A$5:$A$3471,A715,'Futures Data'!$B$5:$B$3471,F715)</f>
        <v>0</v>
      </c>
      <c r="H715" s="9" t="b">
        <f aca="false">G715&gt;E715</f>
        <v>0</v>
      </c>
      <c r="I715" s="9" t="b">
        <f aca="false">C715&lt;&gt;B715</f>
        <v>0</v>
      </c>
      <c r="J715" s="3" t="n">
        <f aca="false">SUMIFS('Futures Data'!$C$5:$C$3471,'Futures Data'!$A$5:$A$3471,A715,'Futures Data'!$B$5:$B$3471,B715)</f>
        <v>6680</v>
      </c>
      <c r="K715" s="3" t="n">
        <f aca="false">SUMIFS('Futures Data'!$C$5:$C$3471,'Futures Data'!$A$5:$A$3471,A715,'Futures Data'!$B$5:$B$3471,C715)</f>
        <v>6680</v>
      </c>
      <c r="L715" s="3" t="n">
        <f aca="false">K715-J715</f>
        <v>0</v>
      </c>
      <c r="M715" s="3" t="n">
        <f aca="false">M716+L715</f>
        <v>281</v>
      </c>
      <c r="N715" s="3" t="n">
        <f aca="false">J715+M715</f>
        <v>6961</v>
      </c>
      <c r="O715" s="13" t="n">
        <f aca="false">LN(J715/K714)</f>
        <v>0.00359928402964682</v>
      </c>
      <c r="P715" s="13" t="n">
        <f aca="false">LN(N715/N714)</f>
        <v>0.00345373778336525</v>
      </c>
      <c r="Q715" s="3" t="n">
        <f aca="false">SUMIFS('Futures Data'!$D$5:$D$3471,'Futures Data'!$A$5:$A$3471,A715,'Futures Data'!$B$5:$B$3471,B715)</f>
        <v>3875</v>
      </c>
      <c r="R715" s="7" t="n">
        <v>46223</v>
      </c>
      <c r="S715" s="9" t="b">
        <f aca="false">C715=R715</f>
        <v>1</v>
      </c>
      <c r="T715" s="9" t="b">
        <f aca="false">ABS(O715-LN(J715/SUMIFS('Futures Data'!$C$5:$C$3471,'Futures Data'!$A$5:$A$3471,A714,'Futures Data'!$B$5:$B$3471,B715)))&lt;0.000000001</f>
        <v>1</v>
      </c>
    </row>
    <row r="716" customFormat="false" ht="15" hidden="false" customHeight="false" outlineLevel="0" collapsed="false">
      <c r="A716" s="7" t="n">
        <v>46185</v>
      </c>
      <c r="B716" s="11" t="n">
        <f aca="false">C715</f>
        <v>46223</v>
      </c>
      <c r="C716" s="11" t="n">
        <f aca="false">IF(OR(H715,D716&lt;=$G$4),_xlfn.MINIFS('Futures Data'!$B$5:$B$3471,'Futures Data'!$A$5:$A$3471,A716,'Futures Data'!$B$5:$B$3471,"&gt;"&amp;B716),B716)</f>
        <v>46223</v>
      </c>
      <c r="D716" s="3" t="n">
        <f aca="false">COUNTIFS($A$47:$A$790,"&gt;"&amp;A716,$A$47:$A$790,"&lt;="&amp;B716)+IF(B716&gt;$G$5,NETWORKDAYS($G$5+1,B716),0)</f>
        <v>25</v>
      </c>
      <c r="E716" s="3" t="n">
        <f aca="false">SUMIFS('Futures Data'!$E$5:$E$3471,'Futures Data'!$A$5:$A$3471,A716,'Futures Data'!$B$5:$B$3471,C716)</f>
        <v>22990</v>
      </c>
      <c r="F716" s="11" t="n">
        <f aca="false">_xlfn.MINIFS('Futures Data'!$B$5:$B$3471,'Futures Data'!$A$5:$A$3471,A716,'Futures Data'!$B$5:$B$3471,"&gt;"&amp;C716)</f>
        <v>46254</v>
      </c>
      <c r="G716" s="3" t="n">
        <f aca="false">SUMIFS('Futures Data'!$E$5:$E$3471,'Futures Data'!$A$5:$A$3471,A716,'Futures Data'!$B$5:$B$3471,F716)</f>
        <v>0</v>
      </c>
      <c r="H716" s="9" t="b">
        <f aca="false">G716&gt;E716</f>
        <v>0</v>
      </c>
      <c r="I716" s="9" t="b">
        <f aca="false">C716&lt;&gt;B716</f>
        <v>0</v>
      </c>
      <c r="J716" s="3" t="n">
        <f aca="false">SUMIFS('Futures Data'!$C$5:$C$3471,'Futures Data'!$A$5:$A$3471,A716,'Futures Data'!$B$5:$B$3471,B716)</f>
        <v>6703</v>
      </c>
      <c r="K716" s="3" t="n">
        <f aca="false">SUMIFS('Futures Data'!$C$5:$C$3471,'Futures Data'!$A$5:$A$3471,A716,'Futures Data'!$B$5:$B$3471,C716)</f>
        <v>6703</v>
      </c>
      <c r="L716" s="3" t="n">
        <f aca="false">K716-J716</f>
        <v>0</v>
      </c>
      <c r="M716" s="3" t="n">
        <f aca="false">M717+L716</f>
        <v>281</v>
      </c>
      <c r="N716" s="3" t="n">
        <f aca="false">J716+M716</f>
        <v>6984</v>
      </c>
      <c r="O716" s="13" t="n">
        <f aca="false">LN(J716/K715)</f>
        <v>0.00343719982726628</v>
      </c>
      <c r="P716" s="13" t="n">
        <f aca="false">LN(N716/N715)</f>
        <v>0.00329867635077163</v>
      </c>
      <c r="Q716" s="3" t="n">
        <f aca="false">SUMIFS('Futures Data'!$D$5:$D$3471,'Futures Data'!$A$5:$A$3471,A716,'Futures Data'!$B$5:$B$3471,B716)</f>
        <v>9320</v>
      </c>
      <c r="R716" s="7" t="n">
        <v>46223</v>
      </c>
      <c r="S716" s="9" t="b">
        <f aca="false">C716=R716</f>
        <v>1</v>
      </c>
      <c r="T716" s="9" t="b">
        <f aca="false">ABS(O716-LN(J716/SUMIFS('Futures Data'!$C$5:$C$3471,'Futures Data'!$A$5:$A$3471,A715,'Futures Data'!$B$5:$B$3471,B716)))&lt;0.000000001</f>
        <v>1</v>
      </c>
    </row>
    <row r="717" customFormat="false" ht="15" hidden="false" customHeight="false" outlineLevel="0" collapsed="false">
      <c r="A717" s="7" t="n">
        <v>46188</v>
      </c>
      <c r="B717" s="11" t="n">
        <f aca="false">C716</f>
        <v>46223</v>
      </c>
      <c r="C717" s="11" t="n">
        <f aca="false">IF(OR(H716,D717&lt;=$G$4),_xlfn.MINIFS('Futures Data'!$B$5:$B$3471,'Futures Data'!$A$5:$A$3471,A717,'Futures Data'!$B$5:$B$3471,"&gt;"&amp;B717),B717)</f>
        <v>46223</v>
      </c>
      <c r="D717" s="3" t="n">
        <f aca="false">COUNTIFS($A$47:$A$790,"&gt;"&amp;A717,$A$47:$A$790,"&lt;="&amp;B717)+IF(B717&gt;$G$5,NETWORKDAYS($G$5+1,B717),0)</f>
        <v>24</v>
      </c>
      <c r="E717" s="3" t="n">
        <f aca="false">SUMIFS('Futures Data'!$E$5:$E$3471,'Futures Data'!$A$5:$A$3471,A717,'Futures Data'!$B$5:$B$3471,C717)</f>
        <v>24565</v>
      </c>
      <c r="F717" s="11" t="n">
        <f aca="false">_xlfn.MINIFS('Futures Data'!$B$5:$B$3471,'Futures Data'!$A$5:$A$3471,A717,'Futures Data'!$B$5:$B$3471,"&gt;"&amp;C717)</f>
        <v>46254</v>
      </c>
      <c r="G717" s="3" t="n">
        <f aca="false">SUMIFS('Futures Data'!$E$5:$E$3471,'Futures Data'!$A$5:$A$3471,A717,'Futures Data'!$B$5:$B$3471,F717)</f>
        <v>0</v>
      </c>
      <c r="H717" s="9" t="b">
        <f aca="false">G717&gt;E717</f>
        <v>0</v>
      </c>
      <c r="I717" s="9" t="b">
        <f aca="false">C717&lt;&gt;B717</f>
        <v>0</v>
      </c>
      <c r="J717" s="3" t="n">
        <f aca="false">SUMIFS('Futures Data'!$C$5:$C$3471,'Futures Data'!$A$5:$A$3471,A717,'Futures Data'!$B$5:$B$3471,B717)</f>
        <v>6727</v>
      </c>
      <c r="K717" s="3" t="n">
        <f aca="false">SUMIFS('Futures Data'!$C$5:$C$3471,'Futures Data'!$A$5:$A$3471,A717,'Futures Data'!$B$5:$B$3471,C717)</f>
        <v>6727</v>
      </c>
      <c r="L717" s="3" t="n">
        <f aca="false">K717-J717</f>
        <v>0</v>
      </c>
      <c r="M717" s="3" t="n">
        <f aca="false">M718+L717</f>
        <v>281</v>
      </c>
      <c r="N717" s="3" t="n">
        <f aca="false">J717+M717</f>
        <v>7008</v>
      </c>
      <c r="O717" s="13" t="n">
        <f aca="false">LN(J717/K716)</f>
        <v>0.0035740916676481</v>
      </c>
      <c r="P717" s="13" t="n">
        <f aca="false">LN(N717/N716)</f>
        <v>0.00343053509678922</v>
      </c>
      <c r="Q717" s="3" t="n">
        <f aca="false">SUMIFS('Futures Data'!$D$5:$D$3471,'Futures Data'!$A$5:$A$3471,A717,'Futures Data'!$B$5:$B$3471,B717)</f>
        <v>3730</v>
      </c>
      <c r="R717" s="7" t="n">
        <v>46223</v>
      </c>
      <c r="S717" s="9" t="b">
        <f aca="false">C717=R717</f>
        <v>1</v>
      </c>
      <c r="T717" s="9" t="b">
        <f aca="false">ABS(O717-LN(J717/SUMIFS('Futures Data'!$C$5:$C$3471,'Futures Data'!$A$5:$A$3471,A716,'Futures Data'!$B$5:$B$3471,B717)))&lt;0.000000001</f>
        <v>1</v>
      </c>
    </row>
    <row r="718" customFormat="false" ht="15" hidden="false" customHeight="false" outlineLevel="0" collapsed="false">
      <c r="A718" s="7" t="n">
        <v>46189</v>
      </c>
      <c r="B718" s="11" t="n">
        <f aca="false">C717</f>
        <v>46223</v>
      </c>
      <c r="C718" s="11" t="n">
        <f aca="false">IF(OR(H717,D718&lt;=$G$4),_xlfn.MINIFS('Futures Data'!$B$5:$B$3471,'Futures Data'!$A$5:$A$3471,A718,'Futures Data'!$B$5:$B$3471,"&gt;"&amp;B718),B718)</f>
        <v>46223</v>
      </c>
      <c r="D718" s="3" t="n">
        <f aca="false">COUNTIFS($A$47:$A$790,"&gt;"&amp;A718,$A$47:$A$790,"&lt;="&amp;B718)+IF(B718&gt;$G$5,NETWORKDAYS($G$5+1,B718),0)</f>
        <v>23</v>
      </c>
      <c r="E718" s="3" t="n">
        <f aca="false">SUMIFS('Futures Data'!$E$5:$E$3471,'Futures Data'!$A$5:$A$3471,A718,'Futures Data'!$B$5:$B$3471,C718)</f>
        <v>25165</v>
      </c>
      <c r="F718" s="11" t="n">
        <f aca="false">_xlfn.MINIFS('Futures Data'!$B$5:$B$3471,'Futures Data'!$A$5:$A$3471,A718,'Futures Data'!$B$5:$B$3471,"&gt;"&amp;C718)</f>
        <v>46254</v>
      </c>
      <c r="G718" s="3" t="n">
        <f aca="false">SUMIFS('Futures Data'!$E$5:$E$3471,'Futures Data'!$A$5:$A$3471,A718,'Futures Data'!$B$5:$B$3471,F718)</f>
        <v>610</v>
      </c>
      <c r="H718" s="9" t="b">
        <f aca="false">G718&gt;E718</f>
        <v>0</v>
      </c>
      <c r="I718" s="9" t="b">
        <f aca="false">C718&lt;&gt;B718</f>
        <v>0</v>
      </c>
      <c r="J718" s="3" t="n">
        <f aca="false">SUMIFS('Futures Data'!$C$5:$C$3471,'Futures Data'!$A$5:$A$3471,A718,'Futures Data'!$B$5:$B$3471,B718)</f>
        <v>6859</v>
      </c>
      <c r="K718" s="3" t="n">
        <f aca="false">SUMIFS('Futures Data'!$C$5:$C$3471,'Futures Data'!$A$5:$A$3471,A718,'Futures Data'!$B$5:$B$3471,C718)</f>
        <v>6859</v>
      </c>
      <c r="L718" s="3" t="n">
        <f aca="false">K718-J718</f>
        <v>0</v>
      </c>
      <c r="M718" s="3" t="n">
        <f aca="false">M719+L718</f>
        <v>281</v>
      </c>
      <c r="N718" s="3" t="n">
        <f aca="false">J718+M718</f>
        <v>7140</v>
      </c>
      <c r="O718" s="13" t="n">
        <f aca="false">LN(J718/K717)</f>
        <v>0.0194323794737156</v>
      </c>
      <c r="P718" s="13" t="n">
        <f aca="false">LN(N718/N717)</f>
        <v>0.0186604227174026</v>
      </c>
      <c r="Q718" s="3" t="n">
        <f aca="false">SUMIFS('Futures Data'!$D$5:$D$3471,'Futures Data'!$A$5:$A$3471,A718,'Futures Data'!$B$5:$B$3471,B718)</f>
        <v>12035</v>
      </c>
      <c r="R718" s="7" t="n">
        <v>46223</v>
      </c>
      <c r="S718" s="9" t="b">
        <f aca="false">C718=R718</f>
        <v>1</v>
      </c>
      <c r="T718" s="9" t="b">
        <f aca="false">ABS(O718-LN(J718/SUMIFS('Futures Data'!$C$5:$C$3471,'Futures Data'!$A$5:$A$3471,A717,'Futures Data'!$B$5:$B$3471,B718)))&lt;0.000000001</f>
        <v>1</v>
      </c>
    </row>
    <row r="719" customFormat="false" ht="15" hidden="false" customHeight="false" outlineLevel="0" collapsed="false">
      <c r="A719" s="7" t="n">
        <v>46190</v>
      </c>
      <c r="B719" s="11" t="n">
        <f aca="false">C718</f>
        <v>46223</v>
      </c>
      <c r="C719" s="11" t="n">
        <f aca="false">IF(OR(H718,D719&lt;=$G$4),_xlfn.MINIFS('Futures Data'!$B$5:$B$3471,'Futures Data'!$A$5:$A$3471,A719,'Futures Data'!$B$5:$B$3471,"&gt;"&amp;B719),B719)</f>
        <v>46223</v>
      </c>
      <c r="D719" s="3" t="n">
        <f aca="false">COUNTIFS($A$47:$A$790,"&gt;"&amp;A719,$A$47:$A$790,"&lt;="&amp;B719)+IF(B719&gt;$G$5,NETWORKDAYS($G$5+1,B719),0)</f>
        <v>22</v>
      </c>
      <c r="E719" s="3" t="n">
        <f aca="false">SUMIFS('Futures Data'!$E$5:$E$3471,'Futures Data'!$A$5:$A$3471,A719,'Futures Data'!$B$5:$B$3471,C719)</f>
        <v>28105</v>
      </c>
      <c r="F719" s="11" t="n">
        <f aca="false">_xlfn.MINIFS('Futures Data'!$B$5:$B$3471,'Futures Data'!$A$5:$A$3471,A719,'Futures Data'!$B$5:$B$3471,"&gt;"&amp;C719)</f>
        <v>46254</v>
      </c>
      <c r="G719" s="3" t="n">
        <f aca="false">SUMIFS('Futures Data'!$E$5:$E$3471,'Futures Data'!$A$5:$A$3471,A719,'Futures Data'!$B$5:$B$3471,F719)</f>
        <v>695</v>
      </c>
      <c r="H719" s="9" t="b">
        <f aca="false">G719&gt;E719</f>
        <v>0</v>
      </c>
      <c r="I719" s="9" t="b">
        <f aca="false">C719&lt;&gt;B719</f>
        <v>0</v>
      </c>
      <c r="J719" s="3" t="n">
        <f aca="false">SUMIFS('Futures Data'!$C$5:$C$3471,'Futures Data'!$A$5:$A$3471,A719,'Futures Data'!$B$5:$B$3471,B719)</f>
        <v>6921</v>
      </c>
      <c r="K719" s="3" t="n">
        <f aca="false">SUMIFS('Futures Data'!$C$5:$C$3471,'Futures Data'!$A$5:$A$3471,A719,'Futures Data'!$B$5:$B$3471,C719)</f>
        <v>6921</v>
      </c>
      <c r="L719" s="3" t="n">
        <f aca="false">K719-J719</f>
        <v>0</v>
      </c>
      <c r="M719" s="3" t="n">
        <f aca="false">M720+L719</f>
        <v>281</v>
      </c>
      <c r="N719" s="3" t="n">
        <f aca="false">J719+M719</f>
        <v>7202</v>
      </c>
      <c r="O719" s="13" t="n">
        <f aca="false">LN(J719/K718)</f>
        <v>0.00899860934254204</v>
      </c>
      <c r="P719" s="13" t="n">
        <f aca="false">LN(N719/N718)</f>
        <v>0.00864598887519045</v>
      </c>
      <c r="Q719" s="3" t="n">
        <f aca="false">SUMIFS('Futures Data'!$D$5:$D$3471,'Futures Data'!$A$5:$A$3471,A719,'Futures Data'!$B$5:$B$3471,B719)</f>
        <v>9365</v>
      </c>
      <c r="R719" s="7" t="n">
        <v>46223</v>
      </c>
      <c r="S719" s="9" t="b">
        <f aca="false">C719=R719</f>
        <v>1</v>
      </c>
      <c r="T719" s="9" t="b">
        <f aca="false">ABS(O719-LN(J719/SUMIFS('Futures Data'!$C$5:$C$3471,'Futures Data'!$A$5:$A$3471,A718,'Futures Data'!$B$5:$B$3471,B719)))&lt;0.000000001</f>
        <v>1</v>
      </c>
    </row>
    <row r="720" customFormat="false" ht="15" hidden="false" customHeight="false" outlineLevel="0" collapsed="false">
      <c r="A720" s="7" t="n">
        <v>46191</v>
      </c>
      <c r="B720" s="11" t="n">
        <f aca="false">C719</f>
        <v>46223</v>
      </c>
      <c r="C720" s="11" t="n">
        <f aca="false">IF(OR(H719,D720&lt;=$G$4),_xlfn.MINIFS('Futures Data'!$B$5:$B$3471,'Futures Data'!$A$5:$A$3471,A720,'Futures Data'!$B$5:$B$3471,"&gt;"&amp;B720),B720)</f>
        <v>46223</v>
      </c>
      <c r="D720" s="3" t="n">
        <f aca="false">COUNTIFS($A$47:$A$790,"&gt;"&amp;A720,$A$47:$A$790,"&lt;="&amp;B720)+IF(B720&gt;$G$5,NETWORKDAYS($G$5+1,B720),0)</f>
        <v>21</v>
      </c>
      <c r="E720" s="3" t="n">
        <f aca="false">SUMIFS('Futures Data'!$E$5:$E$3471,'Futures Data'!$A$5:$A$3471,A720,'Futures Data'!$B$5:$B$3471,C720)</f>
        <v>28640</v>
      </c>
      <c r="F720" s="11" t="n">
        <f aca="false">_xlfn.MINIFS('Futures Data'!$B$5:$B$3471,'Futures Data'!$A$5:$A$3471,A720,'Futures Data'!$B$5:$B$3471,"&gt;"&amp;C720)</f>
        <v>46254</v>
      </c>
      <c r="G720" s="3" t="n">
        <f aca="false">SUMIFS('Futures Data'!$E$5:$E$3471,'Futures Data'!$A$5:$A$3471,A720,'Futures Data'!$B$5:$B$3471,F720)</f>
        <v>1440</v>
      </c>
      <c r="H720" s="9" t="b">
        <f aca="false">G720&gt;E720</f>
        <v>0</v>
      </c>
      <c r="I720" s="9" t="b">
        <f aca="false">C720&lt;&gt;B720</f>
        <v>0</v>
      </c>
      <c r="J720" s="3" t="n">
        <f aca="false">SUMIFS('Futures Data'!$C$5:$C$3471,'Futures Data'!$A$5:$A$3471,A720,'Futures Data'!$B$5:$B$3471,B720)</f>
        <v>6914</v>
      </c>
      <c r="K720" s="3" t="n">
        <f aca="false">SUMIFS('Futures Data'!$C$5:$C$3471,'Futures Data'!$A$5:$A$3471,A720,'Futures Data'!$B$5:$B$3471,C720)</f>
        <v>6914</v>
      </c>
      <c r="L720" s="3" t="n">
        <f aca="false">K720-J720</f>
        <v>0</v>
      </c>
      <c r="M720" s="3" t="n">
        <f aca="false">M721+L720</f>
        <v>281</v>
      </c>
      <c r="N720" s="3" t="n">
        <f aca="false">J720+M720</f>
        <v>7195</v>
      </c>
      <c r="O720" s="13" t="n">
        <f aca="false">LN(J720/K719)</f>
        <v>-0.00101192636029347</v>
      </c>
      <c r="P720" s="13" t="n">
        <f aca="false">LN(N720/N719)</f>
        <v>-0.000972424887352393</v>
      </c>
      <c r="Q720" s="3" t="n">
        <f aca="false">SUMIFS('Futures Data'!$D$5:$D$3471,'Futures Data'!$A$5:$A$3471,A720,'Futures Data'!$B$5:$B$3471,B720)</f>
        <v>7375</v>
      </c>
      <c r="R720" s="7" t="n">
        <v>46223</v>
      </c>
      <c r="S720" s="9" t="b">
        <f aca="false">C720=R720</f>
        <v>1</v>
      </c>
      <c r="T720" s="9" t="b">
        <f aca="false">ABS(O720-LN(J720/SUMIFS('Futures Data'!$C$5:$C$3471,'Futures Data'!$A$5:$A$3471,A719,'Futures Data'!$B$5:$B$3471,B720)))&lt;0.000000001</f>
        <v>1</v>
      </c>
    </row>
    <row r="721" customFormat="false" ht="15" hidden="false" customHeight="false" outlineLevel="0" collapsed="false">
      <c r="A721" s="7" t="n">
        <v>46192</v>
      </c>
      <c r="B721" s="11" t="n">
        <f aca="false">C720</f>
        <v>46223</v>
      </c>
      <c r="C721" s="11" t="n">
        <f aca="false">IF(OR(H720,D721&lt;=$G$4),_xlfn.MINIFS('Futures Data'!$B$5:$B$3471,'Futures Data'!$A$5:$A$3471,A721,'Futures Data'!$B$5:$B$3471,"&gt;"&amp;B721),B721)</f>
        <v>46223</v>
      </c>
      <c r="D721" s="3" t="n">
        <f aca="false">COUNTIFS($A$47:$A$790,"&gt;"&amp;A721,$A$47:$A$790,"&lt;="&amp;B721)+IF(B721&gt;$G$5,NETWORKDAYS($G$5+1,B721),0)</f>
        <v>20</v>
      </c>
      <c r="E721" s="3" t="n">
        <f aca="false">SUMIFS('Futures Data'!$E$5:$E$3471,'Futures Data'!$A$5:$A$3471,A721,'Futures Data'!$B$5:$B$3471,C721)</f>
        <v>28845</v>
      </c>
      <c r="F721" s="11" t="n">
        <f aca="false">_xlfn.MINIFS('Futures Data'!$B$5:$B$3471,'Futures Data'!$A$5:$A$3471,A721,'Futures Data'!$B$5:$B$3471,"&gt;"&amp;C721)</f>
        <v>46254</v>
      </c>
      <c r="G721" s="3" t="n">
        <f aca="false">SUMIFS('Futures Data'!$E$5:$E$3471,'Futures Data'!$A$5:$A$3471,A721,'Futures Data'!$B$5:$B$3471,F721)</f>
        <v>1820</v>
      </c>
      <c r="H721" s="9" t="b">
        <f aca="false">G721&gt;E721</f>
        <v>0</v>
      </c>
      <c r="I721" s="9" t="b">
        <f aca="false">C721&lt;&gt;B721</f>
        <v>0</v>
      </c>
      <c r="J721" s="3" t="n">
        <f aca="false">SUMIFS('Futures Data'!$C$5:$C$3471,'Futures Data'!$A$5:$A$3471,A721,'Futures Data'!$B$5:$B$3471,B721)</f>
        <v>6928</v>
      </c>
      <c r="K721" s="3" t="n">
        <f aca="false">SUMIFS('Futures Data'!$C$5:$C$3471,'Futures Data'!$A$5:$A$3471,A721,'Futures Data'!$B$5:$B$3471,C721)</f>
        <v>6928</v>
      </c>
      <c r="L721" s="3" t="n">
        <f aca="false">K721-J721</f>
        <v>0</v>
      </c>
      <c r="M721" s="3" t="n">
        <f aca="false">M722+L721</f>
        <v>281</v>
      </c>
      <c r="N721" s="3" t="n">
        <f aca="false">J721+M721</f>
        <v>7209</v>
      </c>
      <c r="O721" s="13" t="n">
        <f aca="false">LN(J721/K720)</f>
        <v>0.00202282976070126</v>
      </c>
      <c r="P721" s="13" t="n">
        <f aca="false">LN(N721/N720)</f>
        <v>0.00194390508311038</v>
      </c>
      <c r="Q721" s="3" t="n">
        <f aca="false">SUMIFS('Futures Data'!$D$5:$D$3471,'Futures Data'!$A$5:$A$3471,A721,'Futures Data'!$B$5:$B$3471,B721)</f>
        <v>4150</v>
      </c>
      <c r="R721" s="7" t="n">
        <v>46223</v>
      </c>
      <c r="S721" s="9" t="b">
        <f aca="false">C721=R721</f>
        <v>1</v>
      </c>
      <c r="T721" s="9" t="b">
        <f aca="false">ABS(O721-LN(J721/SUMIFS('Futures Data'!$C$5:$C$3471,'Futures Data'!$A$5:$A$3471,A720,'Futures Data'!$B$5:$B$3471,B721)))&lt;0.000000001</f>
        <v>1</v>
      </c>
    </row>
    <row r="722" customFormat="false" ht="15" hidden="false" customHeight="false" outlineLevel="0" collapsed="false">
      <c r="A722" s="7" t="n">
        <v>46195</v>
      </c>
      <c r="B722" s="11" t="n">
        <f aca="false">C721</f>
        <v>46223</v>
      </c>
      <c r="C722" s="11" t="n">
        <f aca="false">IF(OR(H721,D722&lt;=$G$4),_xlfn.MINIFS('Futures Data'!$B$5:$B$3471,'Futures Data'!$A$5:$A$3471,A722,'Futures Data'!$B$5:$B$3471,"&gt;"&amp;B722),B722)</f>
        <v>46223</v>
      </c>
      <c r="D722" s="3" t="n">
        <f aca="false">COUNTIFS($A$47:$A$790,"&gt;"&amp;A722,$A$47:$A$790,"&lt;="&amp;B722)+IF(B722&gt;$G$5,NETWORKDAYS($G$5+1,B722),0)</f>
        <v>19</v>
      </c>
      <c r="E722" s="3" t="n">
        <f aca="false">SUMIFS('Futures Data'!$E$5:$E$3471,'Futures Data'!$A$5:$A$3471,A722,'Futures Data'!$B$5:$B$3471,C722)</f>
        <v>28225</v>
      </c>
      <c r="F722" s="11" t="n">
        <f aca="false">_xlfn.MINIFS('Futures Data'!$B$5:$B$3471,'Futures Data'!$A$5:$A$3471,A722,'Futures Data'!$B$5:$B$3471,"&gt;"&amp;C722)</f>
        <v>46254</v>
      </c>
      <c r="G722" s="3" t="n">
        <f aca="false">SUMIFS('Futures Data'!$E$5:$E$3471,'Futures Data'!$A$5:$A$3471,A722,'Futures Data'!$B$5:$B$3471,F722)</f>
        <v>4160</v>
      </c>
      <c r="H722" s="9" t="b">
        <f aca="false">G722&gt;E722</f>
        <v>0</v>
      </c>
      <c r="I722" s="9" t="b">
        <f aca="false">C722&lt;&gt;B722</f>
        <v>0</v>
      </c>
      <c r="J722" s="3" t="n">
        <f aca="false">SUMIFS('Futures Data'!$C$5:$C$3471,'Futures Data'!$A$5:$A$3471,A722,'Futures Data'!$B$5:$B$3471,B722)</f>
        <v>7066</v>
      </c>
      <c r="K722" s="3" t="n">
        <f aca="false">SUMIFS('Futures Data'!$C$5:$C$3471,'Futures Data'!$A$5:$A$3471,A722,'Futures Data'!$B$5:$B$3471,C722)</f>
        <v>7066</v>
      </c>
      <c r="L722" s="3" t="n">
        <f aca="false">K722-J722</f>
        <v>0</v>
      </c>
      <c r="M722" s="3" t="n">
        <f aca="false">M723+L722</f>
        <v>281</v>
      </c>
      <c r="N722" s="3" t="n">
        <f aca="false">J722+M722</f>
        <v>7347</v>
      </c>
      <c r="O722" s="13" t="n">
        <f aca="false">LN(J722/K721)</f>
        <v>0.0197233776768195</v>
      </c>
      <c r="P722" s="13" t="n">
        <f aca="false">LN(N722/N721)</f>
        <v>0.0189618212156988</v>
      </c>
      <c r="Q722" s="3" t="n">
        <f aca="false">SUMIFS('Futures Data'!$D$5:$D$3471,'Futures Data'!$A$5:$A$3471,A722,'Futures Data'!$B$5:$B$3471,B722)</f>
        <v>11610</v>
      </c>
      <c r="R722" s="7" t="n">
        <v>46223</v>
      </c>
      <c r="S722" s="9" t="b">
        <f aca="false">C722=R722</f>
        <v>1</v>
      </c>
      <c r="T722" s="9" t="b">
        <f aca="false">ABS(O722-LN(J722/SUMIFS('Futures Data'!$C$5:$C$3471,'Futures Data'!$A$5:$A$3471,A721,'Futures Data'!$B$5:$B$3471,B722)))&lt;0.000000001</f>
        <v>1</v>
      </c>
    </row>
    <row r="723" customFormat="false" ht="15" hidden="false" customHeight="false" outlineLevel="0" collapsed="false">
      <c r="A723" s="7" t="n">
        <v>46196</v>
      </c>
      <c r="B723" s="11" t="n">
        <f aca="false">C722</f>
        <v>46223</v>
      </c>
      <c r="C723" s="11" t="n">
        <f aca="false">IF(OR(H722,D723&lt;=$G$4),_xlfn.MINIFS('Futures Data'!$B$5:$B$3471,'Futures Data'!$A$5:$A$3471,A723,'Futures Data'!$B$5:$B$3471,"&gt;"&amp;B723),B723)</f>
        <v>46223</v>
      </c>
      <c r="D723" s="3" t="n">
        <f aca="false">COUNTIFS($A$47:$A$790,"&gt;"&amp;A723,$A$47:$A$790,"&lt;="&amp;B723)+IF(B723&gt;$G$5,NETWORKDAYS($G$5+1,B723),0)</f>
        <v>18</v>
      </c>
      <c r="E723" s="3" t="n">
        <f aca="false">SUMIFS('Futures Data'!$E$5:$E$3471,'Futures Data'!$A$5:$A$3471,A723,'Futures Data'!$B$5:$B$3471,C723)</f>
        <v>28760</v>
      </c>
      <c r="F723" s="11" t="n">
        <f aca="false">_xlfn.MINIFS('Futures Data'!$B$5:$B$3471,'Futures Data'!$A$5:$A$3471,A723,'Futures Data'!$B$5:$B$3471,"&gt;"&amp;C723)</f>
        <v>46254</v>
      </c>
      <c r="G723" s="3" t="n">
        <f aca="false">SUMIFS('Futures Data'!$E$5:$E$3471,'Futures Data'!$A$5:$A$3471,A723,'Futures Data'!$B$5:$B$3471,F723)</f>
        <v>4565</v>
      </c>
      <c r="H723" s="9" t="b">
        <f aca="false">G723&gt;E723</f>
        <v>0</v>
      </c>
      <c r="I723" s="9" t="b">
        <f aca="false">C723&lt;&gt;B723</f>
        <v>0</v>
      </c>
      <c r="J723" s="3" t="n">
        <f aca="false">SUMIFS('Futures Data'!$C$5:$C$3471,'Futures Data'!$A$5:$A$3471,A723,'Futures Data'!$B$5:$B$3471,B723)</f>
        <v>7024</v>
      </c>
      <c r="K723" s="3" t="n">
        <f aca="false">SUMIFS('Futures Data'!$C$5:$C$3471,'Futures Data'!$A$5:$A$3471,A723,'Futures Data'!$B$5:$B$3471,C723)</f>
        <v>7024</v>
      </c>
      <c r="L723" s="3" t="n">
        <f aca="false">K723-J723</f>
        <v>0</v>
      </c>
      <c r="M723" s="3" t="n">
        <f aca="false">M724+L723</f>
        <v>281</v>
      </c>
      <c r="N723" s="3" t="n">
        <f aca="false">J723+M723</f>
        <v>7305</v>
      </c>
      <c r="O723" s="13" t="n">
        <f aca="false">LN(J723/K722)</f>
        <v>-0.00596169260413791</v>
      </c>
      <c r="P723" s="13" t="n">
        <f aca="false">LN(N723/N722)</f>
        <v>-0.00573302143547758</v>
      </c>
      <c r="Q723" s="3" t="n">
        <f aca="false">SUMIFS('Futures Data'!$D$5:$D$3471,'Futures Data'!$A$5:$A$3471,A723,'Futures Data'!$B$5:$B$3471,B723)</f>
        <v>8835</v>
      </c>
      <c r="R723" s="7" t="n">
        <v>46223</v>
      </c>
      <c r="S723" s="9" t="b">
        <f aca="false">C723=R723</f>
        <v>1</v>
      </c>
      <c r="T723" s="9" t="b">
        <f aca="false">ABS(O723-LN(J723/SUMIFS('Futures Data'!$C$5:$C$3471,'Futures Data'!$A$5:$A$3471,A722,'Futures Data'!$B$5:$B$3471,B723)))&lt;0.000000001</f>
        <v>1</v>
      </c>
    </row>
    <row r="724" customFormat="false" ht="15" hidden="false" customHeight="false" outlineLevel="0" collapsed="false">
      <c r="A724" s="7" t="n">
        <v>46197</v>
      </c>
      <c r="B724" s="11" t="n">
        <f aca="false">C723</f>
        <v>46223</v>
      </c>
      <c r="C724" s="11" t="n">
        <f aca="false">IF(OR(H723,D724&lt;=$G$4),_xlfn.MINIFS('Futures Data'!$B$5:$B$3471,'Futures Data'!$A$5:$A$3471,A724,'Futures Data'!$B$5:$B$3471,"&gt;"&amp;B724),B724)</f>
        <v>46223</v>
      </c>
      <c r="D724" s="3" t="n">
        <f aca="false">COUNTIFS($A$47:$A$790,"&gt;"&amp;A724,$A$47:$A$790,"&lt;="&amp;B724)+IF(B724&gt;$G$5,NETWORKDAYS($G$5+1,B724),0)</f>
        <v>17</v>
      </c>
      <c r="E724" s="3" t="n">
        <f aca="false">SUMIFS('Futures Data'!$E$5:$E$3471,'Futures Data'!$A$5:$A$3471,A724,'Futures Data'!$B$5:$B$3471,C724)</f>
        <v>27910</v>
      </c>
      <c r="F724" s="11" t="n">
        <f aca="false">_xlfn.MINIFS('Futures Data'!$B$5:$B$3471,'Futures Data'!$A$5:$A$3471,A724,'Futures Data'!$B$5:$B$3471,"&gt;"&amp;C724)</f>
        <v>46254</v>
      </c>
      <c r="G724" s="3" t="n">
        <f aca="false">SUMIFS('Futures Data'!$E$5:$E$3471,'Futures Data'!$A$5:$A$3471,A724,'Futures Data'!$B$5:$B$3471,F724)</f>
        <v>6810</v>
      </c>
      <c r="H724" s="9" t="b">
        <f aca="false">G724&gt;E724</f>
        <v>0</v>
      </c>
      <c r="I724" s="9" t="b">
        <f aca="false">C724&lt;&gt;B724</f>
        <v>0</v>
      </c>
      <c r="J724" s="3" t="n">
        <f aca="false">SUMIFS('Futures Data'!$C$5:$C$3471,'Futures Data'!$A$5:$A$3471,A724,'Futures Data'!$B$5:$B$3471,B724)</f>
        <v>7098</v>
      </c>
      <c r="K724" s="3" t="n">
        <f aca="false">SUMIFS('Futures Data'!$C$5:$C$3471,'Futures Data'!$A$5:$A$3471,A724,'Futures Data'!$B$5:$B$3471,C724)</f>
        <v>7098</v>
      </c>
      <c r="L724" s="3" t="n">
        <f aca="false">K724-J724</f>
        <v>0</v>
      </c>
      <c r="M724" s="3" t="n">
        <f aca="false">M725+L724</f>
        <v>281</v>
      </c>
      <c r="N724" s="3" t="n">
        <f aca="false">J724+M724</f>
        <v>7379</v>
      </c>
      <c r="O724" s="13" t="n">
        <f aca="false">LN(J724/K723)</f>
        <v>0.0104801978914891</v>
      </c>
      <c r="P724" s="13" t="n">
        <f aca="false">LN(N724/N723)</f>
        <v>0.0100790828735667</v>
      </c>
      <c r="Q724" s="3" t="n">
        <f aca="false">SUMIFS('Futures Data'!$D$5:$D$3471,'Futures Data'!$A$5:$A$3471,A724,'Futures Data'!$B$5:$B$3471,B724)</f>
        <v>11515</v>
      </c>
      <c r="R724" s="7" t="n">
        <v>46223</v>
      </c>
      <c r="S724" s="9" t="b">
        <f aca="false">C724=R724</f>
        <v>1</v>
      </c>
      <c r="T724" s="9" t="b">
        <f aca="false">ABS(O724-LN(J724/SUMIFS('Futures Data'!$C$5:$C$3471,'Futures Data'!$A$5:$A$3471,A723,'Futures Data'!$B$5:$B$3471,B724)))&lt;0.000000001</f>
        <v>1</v>
      </c>
    </row>
    <row r="725" customFormat="false" ht="15" hidden="false" customHeight="false" outlineLevel="0" collapsed="false">
      <c r="A725" s="7" t="n">
        <v>46198</v>
      </c>
      <c r="B725" s="11" t="n">
        <f aca="false">C724</f>
        <v>46223</v>
      </c>
      <c r="C725" s="11" t="n">
        <f aca="false">IF(OR(H724,D725&lt;=$G$4),_xlfn.MINIFS('Futures Data'!$B$5:$B$3471,'Futures Data'!$A$5:$A$3471,A725,'Futures Data'!$B$5:$B$3471,"&gt;"&amp;B725),B725)</f>
        <v>46223</v>
      </c>
      <c r="D725" s="3" t="n">
        <f aca="false">COUNTIFS($A$47:$A$790,"&gt;"&amp;A725,$A$47:$A$790,"&lt;="&amp;B725)+IF(B725&gt;$G$5,NETWORKDAYS($G$5+1,B725),0)</f>
        <v>16</v>
      </c>
      <c r="E725" s="3" t="n">
        <f aca="false">SUMIFS('Futures Data'!$E$5:$E$3471,'Futures Data'!$A$5:$A$3471,A725,'Futures Data'!$B$5:$B$3471,C725)</f>
        <v>26760</v>
      </c>
      <c r="F725" s="11" t="n">
        <f aca="false">_xlfn.MINIFS('Futures Data'!$B$5:$B$3471,'Futures Data'!$A$5:$A$3471,A725,'Futures Data'!$B$5:$B$3471,"&gt;"&amp;C725)</f>
        <v>46254</v>
      </c>
      <c r="G725" s="3" t="n">
        <f aca="false">SUMIFS('Futures Data'!$E$5:$E$3471,'Futures Data'!$A$5:$A$3471,A725,'Futures Data'!$B$5:$B$3471,F725)</f>
        <v>8085</v>
      </c>
      <c r="H725" s="9" t="b">
        <f aca="false">G725&gt;E725</f>
        <v>0</v>
      </c>
      <c r="I725" s="9" t="b">
        <f aca="false">C725&lt;&gt;B725</f>
        <v>0</v>
      </c>
      <c r="J725" s="3" t="n">
        <f aca="false">SUMIFS('Futures Data'!$C$5:$C$3471,'Futures Data'!$A$5:$A$3471,A725,'Futures Data'!$B$5:$B$3471,B725)</f>
        <v>7057</v>
      </c>
      <c r="K725" s="3" t="n">
        <f aca="false">SUMIFS('Futures Data'!$C$5:$C$3471,'Futures Data'!$A$5:$A$3471,A725,'Futures Data'!$B$5:$B$3471,C725)</f>
        <v>7057</v>
      </c>
      <c r="L725" s="3" t="n">
        <f aca="false">K725-J725</f>
        <v>0</v>
      </c>
      <c r="M725" s="3" t="n">
        <f aca="false">M726+L725</f>
        <v>281</v>
      </c>
      <c r="N725" s="3" t="n">
        <f aca="false">J725+M725</f>
        <v>7338</v>
      </c>
      <c r="O725" s="13" t="n">
        <f aca="false">LN(J725/K724)</f>
        <v>-0.00579302220561155</v>
      </c>
      <c r="P725" s="13" t="n">
        <f aca="false">LN(N725/N724)</f>
        <v>-0.00557180214313932</v>
      </c>
      <c r="Q725" s="3" t="n">
        <f aca="false">SUMIFS('Futures Data'!$D$5:$D$3471,'Futures Data'!$A$5:$A$3471,A725,'Futures Data'!$B$5:$B$3471,B725)</f>
        <v>5855</v>
      </c>
      <c r="R725" s="7" t="n">
        <v>46223</v>
      </c>
      <c r="S725" s="9" t="b">
        <f aca="false">C725=R725</f>
        <v>1</v>
      </c>
      <c r="T725" s="9" t="b">
        <f aca="false">ABS(O725-LN(J725/SUMIFS('Futures Data'!$C$5:$C$3471,'Futures Data'!$A$5:$A$3471,A724,'Futures Data'!$B$5:$B$3471,B725)))&lt;0.000000001</f>
        <v>1</v>
      </c>
    </row>
    <row r="726" customFormat="false" ht="15" hidden="false" customHeight="false" outlineLevel="0" collapsed="false">
      <c r="A726" s="7" t="n">
        <v>46202</v>
      </c>
      <c r="B726" s="11" t="n">
        <f aca="false">C725</f>
        <v>46223</v>
      </c>
      <c r="C726" s="11" t="n">
        <f aca="false">IF(OR(H725,D726&lt;=$G$4),_xlfn.MINIFS('Futures Data'!$B$5:$B$3471,'Futures Data'!$A$5:$A$3471,A726,'Futures Data'!$B$5:$B$3471,"&gt;"&amp;B726),B726)</f>
        <v>46223</v>
      </c>
      <c r="D726" s="3" t="n">
        <f aca="false">COUNTIFS($A$47:$A$790,"&gt;"&amp;A726,$A$47:$A$790,"&lt;="&amp;B726)+IF(B726&gt;$G$5,NETWORKDAYS($G$5+1,B726),0)</f>
        <v>15</v>
      </c>
      <c r="E726" s="3" t="n">
        <f aca="false">SUMIFS('Futures Data'!$E$5:$E$3471,'Futures Data'!$A$5:$A$3471,A726,'Futures Data'!$B$5:$B$3471,C726)</f>
        <v>27175</v>
      </c>
      <c r="F726" s="11" t="n">
        <f aca="false">_xlfn.MINIFS('Futures Data'!$B$5:$B$3471,'Futures Data'!$A$5:$A$3471,A726,'Futures Data'!$B$5:$B$3471,"&gt;"&amp;C726)</f>
        <v>46254</v>
      </c>
      <c r="G726" s="3" t="n">
        <f aca="false">SUMIFS('Futures Data'!$E$5:$E$3471,'Futures Data'!$A$5:$A$3471,A726,'Futures Data'!$B$5:$B$3471,F726)</f>
        <v>9230</v>
      </c>
      <c r="H726" s="9" t="b">
        <f aca="false">G726&gt;E726</f>
        <v>0</v>
      </c>
      <c r="I726" s="9" t="b">
        <f aca="false">C726&lt;&gt;B726</f>
        <v>0</v>
      </c>
      <c r="J726" s="3" t="n">
        <f aca="false">SUMIFS('Futures Data'!$C$5:$C$3471,'Futures Data'!$A$5:$A$3471,A726,'Futures Data'!$B$5:$B$3471,B726)</f>
        <v>7142</v>
      </c>
      <c r="K726" s="3" t="n">
        <f aca="false">SUMIFS('Futures Data'!$C$5:$C$3471,'Futures Data'!$A$5:$A$3471,A726,'Futures Data'!$B$5:$B$3471,C726)</f>
        <v>7142</v>
      </c>
      <c r="L726" s="3" t="n">
        <f aca="false">K726-J726</f>
        <v>0</v>
      </c>
      <c r="M726" s="3" t="n">
        <f aca="false">M727+L726</f>
        <v>281</v>
      </c>
      <c r="N726" s="3" t="n">
        <f aca="false">J726+M726</f>
        <v>7423</v>
      </c>
      <c r="O726" s="13" t="n">
        <f aca="false">LN(J726/K725)</f>
        <v>0.0119728171535634</v>
      </c>
      <c r="P726" s="13" t="n">
        <f aca="false">LN(N726/N725)</f>
        <v>0.0115169622023197</v>
      </c>
      <c r="Q726" s="3" t="n">
        <f aca="false">SUMIFS('Futures Data'!$D$5:$D$3471,'Futures Data'!$A$5:$A$3471,A726,'Futures Data'!$B$5:$B$3471,B726)</f>
        <v>4515</v>
      </c>
      <c r="R726" s="7" t="n">
        <v>46223</v>
      </c>
      <c r="S726" s="9" t="b">
        <f aca="false">C726=R726</f>
        <v>1</v>
      </c>
      <c r="T726" s="9" t="b">
        <f aca="false">ABS(O726-LN(J726/SUMIFS('Futures Data'!$C$5:$C$3471,'Futures Data'!$A$5:$A$3471,A725,'Futures Data'!$B$5:$B$3471,B726)))&lt;0.000000001</f>
        <v>1</v>
      </c>
    </row>
    <row r="727" customFormat="false" ht="15" hidden="false" customHeight="false" outlineLevel="0" collapsed="false">
      <c r="A727" s="7" t="n">
        <v>46203</v>
      </c>
      <c r="B727" s="11" t="n">
        <f aca="false">C726</f>
        <v>46223</v>
      </c>
      <c r="C727" s="11" t="n">
        <f aca="false">IF(OR(H726,D727&lt;=$G$4),_xlfn.MINIFS('Futures Data'!$B$5:$B$3471,'Futures Data'!$A$5:$A$3471,A727,'Futures Data'!$B$5:$B$3471,"&gt;"&amp;B727),B727)</f>
        <v>46223</v>
      </c>
      <c r="D727" s="3" t="n">
        <f aca="false">COUNTIFS($A$47:$A$790,"&gt;"&amp;A727,$A$47:$A$790,"&lt;="&amp;B727)+IF(B727&gt;$G$5,NETWORKDAYS($G$5+1,B727),0)</f>
        <v>14</v>
      </c>
      <c r="E727" s="3" t="n">
        <f aca="false">SUMIFS('Futures Data'!$E$5:$E$3471,'Futures Data'!$A$5:$A$3471,A727,'Futures Data'!$B$5:$B$3471,C727)</f>
        <v>26945</v>
      </c>
      <c r="F727" s="11" t="n">
        <f aca="false">_xlfn.MINIFS('Futures Data'!$B$5:$B$3471,'Futures Data'!$A$5:$A$3471,A727,'Futures Data'!$B$5:$B$3471,"&gt;"&amp;C727)</f>
        <v>46254</v>
      </c>
      <c r="G727" s="3" t="n">
        <f aca="false">SUMIFS('Futures Data'!$E$5:$E$3471,'Futures Data'!$A$5:$A$3471,A727,'Futures Data'!$B$5:$B$3471,F727)</f>
        <v>10200</v>
      </c>
      <c r="H727" s="9" t="b">
        <f aca="false">G727&gt;E727</f>
        <v>0</v>
      </c>
      <c r="I727" s="9" t="b">
        <f aca="false">C727&lt;&gt;B727</f>
        <v>0</v>
      </c>
      <c r="J727" s="3" t="n">
        <f aca="false">SUMIFS('Futures Data'!$C$5:$C$3471,'Futures Data'!$A$5:$A$3471,A727,'Futures Data'!$B$5:$B$3471,B727)</f>
        <v>7084</v>
      </c>
      <c r="K727" s="3" t="n">
        <f aca="false">SUMIFS('Futures Data'!$C$5:$C$3471,'Futures Data'!$A$5:$A$3471,A727,'Futures Data'!$B$5:$B$3471,C727)</f>
        <v>7084</v>
      </c>
      <c r="L727" s="3" t="n">
        <f aca="false">K727-J727</f>
        <v>0</v>
      </c>
      <c r="M727" s="3" t="n">
        <f aca="false">M728+L727</f>
        <v>281</v>
      </c>
      <c r="N727" s="3" t="n">
        <f aca="false">J727+M727</f>
        <v>7365</v>
      </c>
      <c r="O727" s="13" t="n">
        <f aca="false">LN(J727/K726)</f>
        <v>-0.00815412925166961</v>
      </c>
      <c r="P727" s="13" t="n">
        <f aca="false">LN(N727/N726)</f>
        <v>-0.00784423822081626</v>
      </c>
      <c r="Q727" s="3" t="n">
        <f aca="false">SUMIFS('Futures Data'!$D$5:$D$3471,'Futures Data'!$A$5:$A$3471,A727,'Futures Data'!$B$5:$B$3471,B727)</f>
        <v>4150</v>
      </c>
      <c r="R727" s="7" t="n">
        <v>46223</v>
      </c>
      <c r="S727" s="9" t="b">
        <f aca="false">C727=R727</f>
        <v>1</v>
      </c>
      <c r="T727" s="9" t="b">
        <f aca="false">ABS(O727-LN(J727/SUMIFS('Futures Data'!$C$5:$C$3471,'Futures Data'!$A$5:$A$3471,A726,'Futures Data'!$B$5:$B$3471,B727)))&lt;0.000000001</f>
        <v>1</v>
      </c>
    </row>
    <row r="728" customFormat="false" ht="15" hidden="false" customHeight="false" outlineLevel="0" collapsed="false">
      <c r="A728" s="7" t="n">
        <v>46204</v>
      </c>
      <c r="B728" s="11" t="n">
        <f aca="false">C727</f>
        <v>46223</v>
      </c>
      <c r="C728" s="11" t="n">
        <f aca="false">IF(OR(H727,D728&lt;=$G$4),_xlfn.MINIFS('Futures Data'!$B$5:$B$3471,'Futures Data'!$A$5:$A$3471,A728,'Futures Data'!$B$5:$B$3471,"&gt;"&amp;B728),B728)</f>
        <v>46223</v>
      </c>
      <c r="D728" s="3" t="n">
        <f aca="false">COUNTIFS($A$47:$A$790,"&gt;"&amp;A728,$A$47:$A$790,"&lt;="&amp;B728)+IF(B728&gt;$G$5,NETWORKDAYS($G$5+1,B728),0)</f>
        <v>13</v>
      </c>
      <c r="E728" s="3" t="n">
        <f aca="false">SUMIFS('Futures Data'!$E$5:$E$3471,'Futures Data'!$A$5:$A$3471,A728,'Futures Data'!$B$5:$B$3471,C728)</f>
        <v>25120</v>
      </c>
      <c r="F728" s="11" t="n">
        <f aca="false">_xlfn.MINIFS('Futures Data'!$B$5:$B$3471,'Futures Data'!$A$5:$A$3471,A728,'Futures Data'!$B$5:$B$3471,"&gt;"&amp;C728)</f>
        <v>46254</v>
      </c>
      <c r="G728" s="3" t="n">
        <f aca="false">SUMIFS('Futures Data'!$E$5:$E$3471,'Futures Data'!$A$5:$A$3471,A728,'Futures Data'!$B$5:$B$3471,F728)</f>
        <v>13080</v>
      </c>
      <c r="H728" s="9" t="b">
        <f aca="false">G728&gt;E728</f>
        <v>0</v>
      </c>
      <c r="I728" s="9" t="b">
        <f aca="false">C728&lt;&gt;B728</f>
        <v>0</v>
      </c>
      <c r="J728" s="3" t="n">
        <f aca="false">SUMIFS('Futures Data'!$C$5:$C$3471,'Futures Data'!$A$5:$A$3471,A728,'Futures Data'!$B$5:$B$3471,B728)</f>
        <v>7005</v>
      </c>
      <c r="K728" s="3" t="n">
        <f aca="false">SUMIFS('Futures Data'!$C$5:$C$3471,'Futures Data'!$A$5:$A$3471,A728,'Futures Data'!$B$5:$B$3471,C728)</f>
        <v>7005</v>
      </c>
      <c r="L728" s="3" t="n">
        <f aca="false">K728-J728</f>
        <v>0</v>
      </c>
      <c r="M728" s="3" t="n">
        <f aca="false">M729+L728</f>
        <v>281</v>
      </c>
      <c r="N728" s="3" t="n">
        <f aca="false">J728+M728</f>
        <v>7286</v>
      </c>
      <c r="O728" s="13" t="n">
        <f aca="false">LN(J728/K727)</f>
        <v>-0.0112145401316168</v>
      </c>
      <c r="P728" s="13" t="n">
        <f aca="false">LN(N728/N727)</f>
        <v>-0.0107843513282216</v>
      </c>
      <c r="Q728" s="3" t="n">
        <f aca="false">SUMIFS('Futures Data'!$D$5:$D$3471,'Futures Data'!$A$5:$A$3471,A728,'Futures Data'!$B$5:$B$3471,B728)</f>
        <v>7700</v>
      </c>
      <c r="R728" s="7" t="n">
        <v>46223</v>
      </c>
      <c r="S728" s="9" t="b">
        <f aca="false">C728=R728</f>
        <v>1</v>
      </c>
      <c r="T728" s="9" t="b">
        <f aca="false">ABS(O728-LN(J728/SUMIFS('Futures Data'!$C$5:$C$3471,'Futures Data'!$A$5:$A$3471,A727,'Futures Data'!$B$5:$B$3471,B728)))&lt;0.000000001</f>
        <v>1</v>
      </c>
    </row>
    <row r="729" customFormat="false" ht="15" hidden="false" customHeight="false" outlineLevel="0" collapsed="false">
      <c r="A729" s="7" t="n">
        <v>46205</v>
      </c>
      <c r="B729" s="11" t="n">
        <f aca="false">C728</f>
        <v>46223</v>
      </c>
      <c r="C729" s="11" t="n">
        <f aca="false">IF(OR(H728,D729&lt;=$G$4),_xlfn.MINIFS('Futures Data'!$B$5:$B$3471,'Futures Data'!$A$5:$A$3471,A729,'Futures Data'!$B$5:$B$3471,"&gt;"&amp;B729),B729)</f>
        <v>46223</v>
      </c>
      <c r="D729" s="3" t="n">
        <f aca="false">COUNTIFS($A$47:$A$790,"&gt;"&amp;A729,$A$47:$A$790,"&lt;="&amp;B729)+IF(B729&gt;$G$5,NETWORKDAYS($G$5+1,B729),0)</f>
        <v>12</v>
      </c>
      <c r="E729" s="3" t="n">
        <f aca="false">SUMIFS('Futures Data'!$E$5:$E$3471,'Futures Data'!$A$5:$A$3471,A729,'Futures Data'!$B$5:$B$3471,C729)</f>
        <v>24220</v>
      </c>
      <c r="F729" s="11" t="n">
        <f aca="false">_xlfn.MINIFS('Futures Data'!$B$5:$B$3471,'Futures Data'!$A$5:$A$3471,A729,'Futures Data'!$B$5:$B$3471,"&gt;"&amp;C729)</f>
        <v>46254</v>
      </c>
      <c r="G729" s="3" t="n">
        <f aca="false">SUMIFS('Futures Data'!$E$5:$E$3471,'Futures Data'!$A$5:$A$3471,A729,'Futures Data'!$B$5:$B$3471,F729)</f>
        <v>14750</v>
      </c>
      <c r="H729" s="9" t="b">
        <f aca="false">G729&gt;E729</f>
        <v>0</v>
      </c>
      <c r="I729" s="9" t="b">
        <f aca="false">C729&lt;&gt;B729</f>
        <v>0</v>
      </c>
      <c r="J729" s="3" t="n">
        <f aca="false">SUMIFS('Futures Data'!$C$5:$C$3471,'Futures Data'!$A$5:$A$3471,A729,'Futures Data'!$B$5:$B$3471,B729)</f>
        <v>6968</v>
      </c>
      <c r="K729" s="3" t="n">
        <f aca="false">SUMIFS('Futures Data'!$C$5:$C$3471,'Futures Data'!$A$5:$A$3471,A729,'Futures Data'!$B$5:$B$3471,C729)</f>
        <v>6968</v>
      </c>
      <c r="L729" s="3" t="n">
        <f aca="false">K729-J729</f>
        <v>0</v>
      </c>
      <c r="M729" s="3" t="n">
        <f aca="false">M730+L729</f>
        <v>281</v>
      </c>
      <c r="N729" s="3" t="n">
        <f aca="false">J729+M729</f>
        <v>7249</v>
      </c>
      <c r="O729" s="13" t="n">
        <f aca="false">LN(J729/K728)</f>
        <v>-0.00529594023876866</v>
      </c>
      <c r="P729" s="13" t="n">
        <f aca="false">LN(N729/N728)</f>
        <v>-0.00509117026763133</v>
      </c>
      <c r="Q729" s="3" t="n">
        <f aca="false">SUMIFS('Futures Data'!$D$5:$D$3471,'Futures Data'!$A$5:$A$3471,A729,'Futures Data'!$B$5:$B$3471,B729)</f>
        <v>5810</v>
      </c>
      <c r="R729" s="7" t="n">
        <v>46223</v>
      </c>
      <c r="S729" s="9" t="b">
        <f aca="false">C729=R729</f>
        <v>1</v>
      </c>
      <c r="T729" s="9" t="b">
        <f aca="false">ABS(O729-LN(J729/SUMIFS('Futures Data'!$C$5:$C$3471,'Futures Data'!$A$5:$A$3471,A728,'Futures Data'!$B$5:$B$3471,B729)))&lt;0.000000001</f>
        <v>1</v>
      </c>
    </row>
    <row r="730" customFormat="false" ht="15" hidden="false" customHeight="false" outlineLevel="0" collapsed="false">
      <c r="A730" s="7" t="n">
        <v>46206</v>
      </c>
      <c r="B730" s="11" t="n">
        <f aca="false">C729</f>
        <v>46223</v>
      </c>
      <c r="C730" s="11" t="n">
        <f aca="false">IF(OR(H729,D730&lt;=$G$4),_xlfn.MINIFS('Futures Data'!$B$5:$B$3471,'Futures Data'!$A$5:$A$3471,A730,'Futures Data'!$B$5:$B$3471,"&gt;"&amp;B730),B730)</f>
        <v>46223</v>
      </c>
      <c r="D730" s="3" t="n">
        <f aca="false">COUNTIFS($A$47:$A$790,"&gt;"&amp;A730,$A$47:$A$790,"&lt;="&amp;B730)+IF(B730&gt;$G$5,NETWORKDAYS($G$5+1,B730),0)</f>
        <v>11</v>
      </c>
      <c r="E730" s="3" t="n">
        <f aca="false">SUMIFS('Futures Data'!$E$5:$E$3471,'Futures Data'!$A$5:$A$3471,A730,'Futures Data'!$B$5:$B$3471,C730)</f>
        <v>24105</v>
      </c>
      <c r="F730" s="11" t="n">
        <f aca="false">_xlfn.MINIFS('Futures Data'!$B$5:$B$3471,'Futures Data'!$A$5:$A$3471,A730,'Futures Data'!$B$5:$B$3471,"&gt;"&amp;C730)</f>
        <v>46254</v>
      </c>
      <c r="G730" s="3" t="n">
        <f aca="false">SUMIFS('Futures Data'!$E$5:$E$3471,'Futures Data'!$A$5:$A$3471,A730,'Futures Data'!$B$5:$B$3471,F730)</f>
        <v>15475</v>
      </c>
      <c r="H730" s="9" t="b">
        <f aca="false">G730&gt;E730</f>
        <v>0</v>
      </c>
      <c r="I730" s="9" t="b">
        <f aca="false">C730&lt;&gt;B730</f>
        <v>0</v>
      </c>
      <c r="J730" s="3" t="n">
        <f aca="false">SUMIFS('Futures Data'!$C$5:$C$3471,'Futures Data'!$A$5:$A$3471,A730,'Futures Data'!$B$5:$B$3471,B730)</f>
        <v>6958</v>
      </c>
      <c r="K730" s="3" t="n">
        <f aca="false">SUMIFS('Futures Data'!$C$5:$C$3471,'Futures Data'!$A$5:$A$3471,A730,'Futures Data'!$B$5:$B$3471,C730)</f>
        <v>6958</v>
      </c>
      <c r="L730" s="3" t="n">
        <f aca="false">K730-J730</f>
        <v>0</v>
      </c>
      <c r="M730" s="3" t="n">
        <f aca="false">M731+L730</f>
        <v>281</v>
      </c>
      <c r="N730" s="3" t="n">
        <f aca="false">J730+M730</f>
        <v>7239</v>
      </c>
      <c r="O730" s="13" t="n">
        <f aca="false">LN(J730/K729)</f>
        <v>-0.00143616282045138</v>
      </c>
      <c r="P730" s="13" t="n">
        <f aca="false">LN(N730/N729)</f>
        <v>-0.00138045300773636</v>
      </c>
      <c r="Q730" s="3" t="n">
        <f aca="false">SUMIFS('Futures Data'!$D$5:$D$3471,'Futures Data'!$A$5:$A$3471,A730,'Futures Data'!$B$5:$B$3471,B730)</f>
        <v>2825</v>
      </c>
      <c r="R730" s="7" t="n">
        <v>46223</v>
      </c>
      <c r="S730" s="9" t="b">
        <f aca="false">C730=R730</f>
        <v>1</v>
      </c>
      <c r="T730" s="9" t="b">
        <f aca="false">ABS(O730-LN(J730/SUMIFS('Futures Data'!$C$5:$C$3471,'Futures Data'!$A$5:$A$3471,A729,'Futures Data'!$B$5:$B$3471,B730)))&lt;0.000000001</f>
        <v>1</v>
      </c>
    </row>
    <row r="731" customFormat="false" ht="15" hidden="false" customHeight="false" outlineLevel="0" collapsed="false">
      <c r="A731" s="7" t="n">
        <v>46209</v>
      </c>
      <c r="B731" s="11" t="n">
        <f aca="false">C730</f>
        <v>46223</v>
      </c>
      <c r="C731" s="11" t="n">
        <f aca="false">IF(OR(H730,D731&lt;=$G$4),_xlfn.MINIFS('Futures Data'!$B$5:$B$3471,'Futures Data'!$A$5:$A$3471,A731,'Futures Data'!$B$5:$B$3471,"&gt;"&amp;B731),B731)</f>
        <v>46223</v>
      </c>
      <c r="D731" s="3" t="n">
        <f aca="false">COUNTIFS($A$47:$A$790,"&gt;"&amp;A731,$A$47:$A$790,"&lt;="&amp;B731)+IF(B731&gt;$G$5,NETWORKDAYS($G$5+1,B731),0)</f>
        <v>10</v>
      </c>
      <c r="E731" s="3" t="n">
        <f aca="false">SUMIFS('Futures Data'!$E$5:$E$3471,'Futures Data'!$A$5:$A$3471,A731,'Futures Data'!$B$5:$B$3471,C731)</f>
        <v>20145</v>
      </c>
      <c r="F731" s="11" t="n">
        <f aca="false">_xlfn.MINIFS('Futures Data'!$B$5:$B$3471,'Futures Data'!$A$5:$A$3471,A731,'Futures Data'!$B$5:$B$3471,"&gt;"&amp;C731)</f>
        <v>46254</v>
      </c>
      <c r="G731" s="3" t="n">
        <f aca="false">SUMIFS('Futures Data'!$E$5:$E$3471,'Futures Data'!$A$5:$A$3471,A731,'Futures Data'!$B$5:$B$3471,F731)</f>
        <v>21375</v>
      </c>
      <c r="H731" s="9" t="b">
        <f aca="false">G731&gt;E731</f>
        <v>1</v>
      </c>
      <c r="I731" s="9" t="b">
        <f aca="false">C731&lt;&gt;B731</f>
        <v>0</v>
      </c>
      <c r="J731" s="3" t="n">
        <f aca="false">SUMIFS('Futures Data'!$C$5:$C$3471,'Futures Data'!$A$5:$A$3471,A731,'Futures Data'!$B$5:$B$3471,B731)</f>
        <v>6984</v>
      </c>
      <c r="K731" s="3" t="n">
        <f aca="false">SUMIFS('Futures Data'!$C$5:$C$3471,'Futures Data'!$A$5:$A$3471,A731,'Futures Data'!$B$5:$B$3471,C731)</f>
        <v>6984</v>
      </c>
      <c r="L731" s="3" t="n">
        <f aca="false">K731-J731</f>
        <v>0</v>
      </c>
      <c r="M731" s="3" t="n">
        <f aca="false">M732+L731</f>
        <v>281</v>
      </c>
      <c r="N731" s="3" t="n">
        <f aca="false">J731+M731</f>
        <v>7265</v>
      </c>
      <c r="O731" s="13" t="n">
        <f aca="false">LN(J731/K730)</f>
        <v>0.00372974180755071</v>
      </c>
      <c r="P731" s="13" t="n">
        <f aca="false">LN(N731/N730)</f>
        <v>0.0035852217112418</v>
      </c>
      <c r="Q731" s="3" t="n">
        <f aca="false">SUMIFS('Futures Data'!$D$5:$D$3471,'Futures Data'!$A$5:$A$3471,A731,'Futures Data'!$B$5:$B$3471,B731)</f>
        <v>7305</v>
      </c>
      <c r="R731" s="7" t="n">
        <v>46223</v>
      </c>
      <c r="S731" s="9" t="b">
        <f aca="false">C731=R731</f>
        <v>1</v>
      </c>
      <c r="T731" s="9" t="b">
        <f aca="false">ABS(O731-LN(J731/SUMIFS('Futures Data'!$C$5:$C$3471,'Futures Data'!$A$5:$A$3471,A730,'Futures Data'!$B$5:$B$3471,B731)))&lt;0.000000001</f>
        <v>1</v>
      </c>
    </row>
    <row r="732" customFormat="false" ht="15" hidden="false" customHeight="false" outlineLevel="0" collapsed="false">
      <c r="A732" s="7" t="n">
        <v>46210</v>
      </c>
      <c r="B732" s="11" t="n">
        <f aca="false">C731</f>
        <v>46223</v>
      </c>
      <c r="C732" s="11" t="n">
        <f aca="false">IF(OR(H731,D732&lt;=$G$4),_xlfn.MINIFS('Futures Data'!$B$5:$B$3471,'Futures Data'!$A$5:$A$3471,A732,'Futures Data'!$B$5:$B$3471,"&gt;"&amp;B732),B732)</f>
        <v>46254</v>
      </c>
      <c r="D732" s="3" t="n">
        <f aca="false">COUNTIFS($A$47:$A$790,"&gt;"&amp;A732,$A$47:$A$790,"&lt;="&amp;B732)+IF(B732&gt;$G$5,NETWORKDAYS($G$5+1,B732),0)</f>
        <v>9</v>
      </c>
      <c r="E732" s="3" t="n">
        <f aca="false">SUMIFS('Futures Data'!$E$5:$E$3471,'Futures Data'!$A$5:$A$3471,A732,'Futures Data'!$B$5:$B$3471,C732)</f>
        <v>24600</v>
      </c>
      <c r="F732" s="11" t="n">
        <f aca="false">_xlfn.MINIFS('Futures Data'!$B$5:$B$3471,'Futures Data'!$A$5:$A$3471,A732,'Futures Data'!$B$5:$B$3471,"&gt;"&amp;C732)</f>
        <v>46283</v>
      </c>
      <c r="G732" s="3" t="n">
        <f aca="false">SUMIFS('Futures Data'!$E$5:$E$3471,'Futures Data'!$A$5:$A$3471,A732,'Futures Data'!$B$5:$B$3471,F732)</f>
        <v>5</v>
      </c>
      <c r="H732" s="9" t="b">
        <f aca="false">G732&gt;E732</f>
        <v>0</v>
      </c>
      <c r="I732" s="9" t="b">
        <f aca="false">C732&lt;&gt;B732</f>
        <v>1</v>
      </c>
      <c r="J732" s="3" t="n">
        <f aca="false">SUMIFS('Futures Data'!$C$5:$C$3471,'Futures Data'!$A$5:$A$3471,A732,'Futures Data'!$B$5:$B$3471,B732)</f>
        <v>7042</v>
      </c>
      <c r="K732" s="3" t="n">
        <f aca="false">SUMIFS('Futures Data'!$C$5:$C$3471,'Futures Data'!$A$5:$A$3471,A732,'Futures Data'!$B$5:$B$3471,C732)</f>
        <v>7125</v>
      </c>
      <c r="L732" s="3" t="n">
        <f aca="false">K732-J732</f>
        <v>83</v>
      </c>
      <c r="M732" s="3" t="n">
        <f aca="false">M733+L732</f>
        <v>281</v>
      </c>
      <c r="N732" s="3" t="n">
        <f aca="false">J732+M732</f>
        <v>7323</v>
      </c>
      <c r="O732" s="13" t="n">
        <f aca="false">LN(J732/K731)</f>
        <v>0.00827040219555966</v>
      </c>
      <c r="P732" s="13" t="n">
        <f aca="false">LN(N732/N731)</f>
        <v>0.00795178305668652</v>
      </c>
      <c r="Q732" s="3" t="n">
        <f aca="false">SUMIFS('Futures Data'!$D$5:$D$3471,'Futures Data'!$A$5:$A$3471,A732,'Futures Data'!$B$5:$B$3471,B732)</f>
        <v>5705</v>
      </c>
      <c r="R732" s="7" t="n">
        <v>46254</v>
      </c>
      <c r="S732" s="9" t="b">
        <f aca="false">C732=R732</f>
        <v>1</v>
      </c>
      <c r="T732" s="9" t="b">
        <f aca="false">ABS(O732-LN(J732/SUMIFS('Futures Data'!$C$5:$C$3471,'Futures Data'!$A$5:$A$3471,A731,'Futures Data'!$B$5:$B$3471,B732)))&lt;0.000000001</f>
        <v>1</v>
      </c>
    </row>
    <row r="733" customFormat="false" ht="15" hidden="false" customHeight="false" outlineLevel="0" collapsed="false">
      <c r="A733" s="7" t="n">
        <v>46211</v>
      </c>
      <c r="B733" s="11" t="n">
        <f aca="false">C732</f>
        <v>46254</v>
      </c>
      <c r="C733" s="11" t="n">
        <f aca="false">IF(OR(H732,D733&lt;=$G$4),_xlfn.MINIFS('Futures Data'!$B$5:$B$3471,'Futures Data'!$A$5:$A$3471,A733,'Futures Data'!$B$5:$B$3471,"&gt;"&amp;B733),B733)</f>
        <v>46254</v>
      </c>
      <c r="D733" s="3" t="n">
        <f aca="false">COUNTIFS($A$47:$A$790,"&gt;"&amp;A733,$A$47:$A$790,"&lt;="&amp;B733)+IF(B733&gt;$G$5,NETWORKDAYS($G$5+1,B733),0)</f>
        <v>31</v>
      </c>
      <c r="E733" s="3" t="n">
        <f aca="false">SUMIFS('Futures Data'!$E$5:$E$3471,'Futures Data'!$A$5:$A$3471,A733,'Futures Data'!$B$5:$B$3471,C733)</f>
        <v>25185</v>
      </c>
      <c r="F733" s="11" t="n">
        <f aca="false">_xlfn.MINIFS('Futures Data'!$B$5:$B$3471,'Futures Data'!$A$5:$A$3471,A733,'Futures Data'!$B$5:$B$3471,"&gt;"&amp;C733)</f>
        <v>46283</v>
      </c>
      <c r="G733" s="3" t="n">
        <f aca="false">SUMIFS('Futures Data'!$E$5:$E$3471,'Futures Data'!$A$5:$A$3471,A733,'Futures Data'!$B$5:$B$3471,F733)</f>
        <v>5</v>
      </c>
      <c r="H733" s="9" t="b">
        <f aca="false">G733&gt;E733</f>
        <v>0</v>
      </c>
      <c r="I733" s="9" t="b">
        <f aca="false">C733&lt;&gt;B733</f>
        <v>0</v>
      </c>
      <c r="J733" s="3" t="n">
        <f aca="false">SUMIFS('Futures Data'!$C$5:$C$3471,'Futures Data'!$A$5:$A$3471,A733,'Futures Data'!$B$5:$B$3471,B733)</f>
        <v>7135</v>
      </c>
      <c r="K733" s="3" t="n">
        <f aca="false">SUMIFS('Futures Data'!$C$5:$C$3471,'Futures Data'!$A$5:$A$3471,A733,'Futures Data'!$B$5:$B$3471,C733)</f>
        <v>7135</v>
      </c>
      <c r="L733" s="3" t="n">
        <f aca="false">K733-J733</f>
        <v>0</v>
      </c>
      <c r="M733" s="3" t="n">
        <f aca="false">M734+L733</f>
        <v>198</v>
      </c>
      <c r="N733" s="3" t="n">
        <f aca="false">J733+M733</f>
        <v>7333</v>
      </c>
      <c r="O733" s="13" t="n">
        <f aca="false">LN(J733/K732)</f>
        <v>0.00140252477408543</v>
      </c>
      <c r="P733" s="13" t="n">
        <f aca="false">LN(N733/N732)</f>
        <v>0.00136462903272986</v>
      </c>
      <c r="Q733" s="3" t="n">
        <f aca="false">SUMIFS('Futures Data'!$D$5:$D$3471,'Futures Data'!$A$5:$A$3471,A733,'Futures Data'!$B$5:$B$3471,B733)</f>
        <v>3945</v>
      </c>
      <c r="R733" s="7" t="n">
        <v>46254</v>
      </c>
      <c r="S733" s="9" t="b">
        <f aca="false">C733=R733</f>
        <v>1</v>
      </c>
      <c r="T733" s="9" t="b">
        <f aca="false">ABS(O733-LN(J733/SUMIFS('Futures Data'!$C$5:$C$3471,'Futures Data'!$A$5:$A$3471,A732,'Futures Data'!$B$5:$B$3471,B733)))&lt;0.000000001</f>
        <v>1</v>
      </c>
    </row>
    <row r="734" customFormat="false" ht="15" hidden="false" customHeight="false" outlineLevel="0" collapsed="false">
      <c r="A734" s="7" t="n">
        <v>46212</v>
      </c>
      <c r="B734" s="11" t="n">
        <f aca="false">C733</f>
        <v>46254</v>
      </c>
      <c r="C734" s="11" t="n">
        <f aca="false">IF(OR(H733,D734&lt;=$G$4),_xlfn.MINIFS('Futures Data'!$B$5:$B$3471,'Futures Data'!$A$5:$A$3471,A734,'Futures Data'!$B$5:$B$3471,"&gt;"&amp;B734),B734)</f>
        <v>46254</v>
      </c>
      <c r="D734" s="3" t="n">
        <f aca="false">COUNTIFS($A$47:$A$790,"&gt;"&amp;A734,$A$47:$A$790,"&lt;="&amp;B734)+IF(B734&gt;$G$5,NETWORKDAYS($G$5+1,B734),0)</f>
        <v>30</v>
      </c>
      <c r="E734" s="3" t="n">
        <f aca="false">SUMIFS('Futures Data'!$E$5:$E$3471,'Futures Data'!$A$5:$A$3471,A734,'Futures Data'!$B$5:$B$3471,C734)</f>
        <v>27825</v>
      </c>
      <c r="F734" s="11" t="n">
        <f aca="false">_xlfn.MINIFS('Futures Data'!$B$5:$B$3471,'Futures Data'!$A$5:$A$3471,A734,'Futures Data'!$B$5:$B$3471,"&gt;"&amp;C734)</f>
        <v>46283</v>
      </c>
      <c r="G734" s="3" t="n">
        <f aca="false">SUMIFS('Futures Data'!$E$5:$E$3471,'Futures Data'!$A$5:$A$3471,A734,'Futures Data'!$B$5:$B$3471,F734)</f>
        <v>5</v>
      </c>
      <c r="H734" s="9" t="b">
        <f aca="false">G734&gt;E734</f>
        <v>0</v>
      </c>
      <c r="I734" s="9" t="b">
        <f aca="false">C734&lt;&gt;B734</f>
        <v>0</v>
      </c>
      <c r="J734" s="3" t="n">
        <f aca="false">SUMIFS('Futures Data'!$C$5:$C$3471,'Futures Data'!$A$5:$A$3471,A734,'Futures Data'!$B$5:$B$3471,B734)</f>
        <v>7164</v>
      </c>
      <c r="K734" s="3" t="n">
        <f aca="false">SUMIFS('Futures Data'!$C$5:$C$3471,'Futures Data'!$A$5:$A$3471,A734,'Futures Data'!$B$5:$B$3471,C734)</f>
        <v>7164</v>
      </c>
      <c r="L734" s="3" t="n">
        <f aca="false">K734-J734</f>
        <v>0</v>
      </c>
      <c r="M734" s="3" t="n">
        <f aca="false">M735+L734</f>
        <v>198</v>
      </c>
      <c r="N734" s="3" t="n">
        <f aca="false">J734+M734</f>
        <v>7362</v>
      </c>
      <c r="O734" s="13" t="n">
        <f aca="false">LN(J734/K733)</f>
        <v>0.00405623326966556</v>
      </c>
      <c r="P734" s="13" t="n">
        <f aca="false">LN(N734/N733)</f>
        <v>0.0039469258451669</v>
      </c>
      <c r="Q734" s="3" t="n">
        <f aca="false">SUMIFS('Futures Data'!$D$5:$D$3471,'Futures Data'!$A$5:$A$3471,A734,'Futures Data'!$B$5:$B$3471,B734)</f>
        <v>7375</v>
      </c>
      <c r="R734" s="7" t="n">
        <v>46254</v>
      </c>
      <c r="S734" s="9" t="b">
        <f aca="false">C734=R734</f>
        <v>1</v>
      </c>
      <c r="T734" s="9" t="b">
        <f aca="false">ABS(O734-LN(J734/SUMIFS('Futures Data'!$C$5:$C$3471,'Futures Data'!$A$5:$A$3471,A733,'Futures Data'!$B$5:$B$3471,B734)))&lt;0.000000001</f>
        <v>1</v>
      </c>
    </row>
    <row r="735" customFormat="false" ht="15" hidden="false" customHeight="false" outlineLevel="0" collapsed="false">
      <c r="A735" s="7" t="n">
        <v>46213</v>
      </c>
      <c r="B735" s="11" t="n">
        <f aca="false">C734</f>
        <v>46254</v>
      </c>
      <c r="C735" s="11" t="n">
        <f aca="false">IF(OR(H734,D735&lt;=$G$4),_xlfn.MINIFS('Futures Data'!$B$5:$B$3471,'Futures Data'!$A$5:$A$3471,A735,'Futures Data'!$B$5:$B$3471,"&gt;"&amp;B735),B735)</f>
        <v>46254</v>
      </c>
      <c r="D735" s="3" t="n">
        <f aca="false">COUNTIFS($A$47:$A$790,"&gt;"&amp;A735,$A$47:$A$790,"&lt;="&amp;B735)+IF(B735&gt;$G$5,NETWORKDAYS($G$5+1,B735),0)</f>
        <v>29</v>
      </c>
      <c r="E735" s="3" t="n">
        <f aca="false">SUMIFS('Futures Data'!$E$5:$E$3471,'Futures Data'!$A$5:$A$3471,A735,'Futures Data'!$B$5:$B$3471,C735)</f>
        <v>29425</v>
      </c>
      <c r="F735" s="11" t="n">
        <f aca="false">_xlfn.MINIFS('Futures Data'!$B$5:$B$3471,'Futures Data'!$A$5:$A$3471,A735,'Futures Data'!$B$5:$B$3471,"&gt;"&amp;C735)</f>
        <v>46283</v>
      </c>
      <c r="G735" s="3" t="n">
        <f aca="false">SUMIFS('Futures Data'!$E$5:$E$3471,'Futures Data'!$A$5:$A$3471,A735,'Futures Data'!$B$5:$B$3471,F735)</f>
        <v>5</v>
      </c>
      <c r="H735" s="9" t="b">
        <f aca="false">G735&gt;E735</f>
        <v>0</v>
      </c>
      <c r="I735" s="9" t="b">
        <f aca="false">C735&lt;&gt;B735</f>
        <v>0</v>
      </c>
      <c r="J735" s="3" t="n">
        <f aca="false">SUMIFS('Futures Data'!$C$5:$C$3471,'Futures Data'!$A$5:$A$3471,A735,'Futures Data'!$B$5:$B$3471,B735)</f>
        <v>7173</v>
      </c>
      <c r="K735" s="3" t="n">
        <f aca="false">SUMIFS('Futures Data'!$C$5:$C$3471,'Futures Data'!$A$5:$A$3471,A735,'Futures Data'!$B$5:$B$3471,C735)</f>
        <v>7173</v>
      </c>
      <c r="L735" s="3" t="n">
        <f aca="false">K735-J735</f>
        <v>0</v>
      </c>
      <c r="M735" s="3" t="n">
        <f aca="false">M736+L735</f>
        <v>198</v>
      </c>
      <c r="N735" s="3" t="n">
        <f aca="false">J735+M735</f>
        <v>7371</v>
      </c>
      <c r="O735" s="13" t="n">
        <f aca="false">LN(J735/K734)</f>
        <v>0.001255492945832</v>
      </c>
      <c r="P735" s="13" t="n">
        <f aca="false">LN(N735/N734)</f>
        <v>0.00122174725032229</v>
      </c>
      <c r="Q735" s="3" t="n">
        <f aca="false">SUMIFS('Futures Data'!$D$5:$D$3471,'Futures Data'!$A$5:$A$3471,A735,'Futures Data'!$B$5:$B$3471,B735)</f>
        <v>5460</v>
      </c>
      <c r="R735" s="7" t="n">
        <v>46254</v>
      </c>
      <c r="S735" s="9" t="b">
        <f aca="false">C735=R735</f>
        <v>1</v>
      </c>
      <c r="T735" s="9" t="b">
        <f aca="false">ABS(O735-LN(J735/SUMIFS('Futures Data'!$C$5:$C$3471,'Futures Data'!$A$5:$A$3471,A734,'Futures Data'!$B$5:$B$3471,B735)))&lt;0.000000001</f>
        <v>1</v>
      </c>
    </row>
    <row r="736" customFormat="false" ht="15" hidden="false" customHeight="false" outlineLevel="0" collapsed="false">
      <c r="A736" s="7" t="n">
        <v>46216</v>
      </c>
      <c r="B736" s="11" t="n">
        <f aca="false">C735</f>
        <v>46254</v>
      </c>
      <c r="C736" s="11" t="n">
        <f aca="false">IF(OR(H735,D736&lt;=$G$4),_xlfn.MINIFS('Futures Data'!$B$5:$B$3471,'Futures Data'!$A$5:$A$3471,A736,'Futures Data'!$B$5:$B$3471,"&gt;"&amp;B736),B736)</f>
        <v>46254</v>
      </c>
      <c r="D736" s="3" t="n">
        <f aca="false">COUNTIFS($A$47:$A$790,"&gt;"&amp;A736,$A$47:$A$790,"&lt;="&amp;B736)+IF(B736&gt;$G$5,NETWORKDAYS($G$5+1,B736),0)</f>
        <v>28</v>
      </c>
      <c r="E736" s="3" t="n">
        <f aca="false">SUMIFS('Futures Data'!$E$5:$E$3471,'Futures Data'!$A$5:$A$3471,A736,'Futures Data'!$B$5:$B$3471,C736)</f>
        <v>30620</v>
      </c>
      <c r="F736" s="11" t="n">
        <f aca="false">_xlfn.MINIFS('Futures Data'!$B$5:$B$3471,'Futures Data'!$A$5:$A$3471,A736,'Futures Data'!$B$5:$B$3471,"&gt;"&amp;C736)</f>
        <v>46283</v>
      </c>
      <c r="G736" s="3" t="n">
        <f aca="false">SUMIFS('Futures Data'!$E$5:$E$3471,'Futures Data'!$A$5:$A$3471,A736,'Futures Data'!$B$5:$B$3471,F736)</f>
        <v>40</v>
      </c>
      <c r="H736" s="9" t="b">
        <f aca="false">G736&gt;E736</f>
        <v>0</v>
      </c>
      <c r="I736" s="9" t="b">
        <f aca="false">C736&lt;&gt;B736</f>
        <v>0</v>
      </c>
      <c r="J736" s="3" t="n">
        <f aca="false">SUMIFS('Futures Data'!$C$5:$C$3471,'Futures Data'!$A$5:$A$3471,A736,'Futures Data'!$B$5:$B$3471,B736)</f>
        <v>7213</v>
      </c>
      <c r="K736" s="3" t="n">
        <f aca="false">SUMIFS('Futures Data'!$C$5:$C$3471,'Futures Data'!$A$5:$A$3471,A736,'Futures Data'!$B$5:$B$3471,C736)</f>
        <v>7213</v>
      </c>
      <c r="L736" s="3" t="n">
        <f aca="false">K736-J736</f>
        <v>0</v>
      </c>
      <c r="M736" s="3" t="n">
        <f aca="false">M737+L736</f>
        <v>198</v>
      </c>
      <c r="N736" s="3" t="n">
        <f aca="false">J736+M736</f>
        <v>7411</v>
      </c>
      <c r="O736" s="13" t="n">
        <f aca="false">LN(J736/K735)</f>
        <v>0.00556097637723815</v>
      </c>
      <c r="P736" s="13" t="n">
        <f aca="false">LN(N736/N735)</f>
        <v>0.00541200076207</v>
      </c>
      <c r="Q736" s="3" t="n">
        <f aca="false">SUMIFS('Futures Data'!$D$5:$D$3471,'Futures Data'!$A$5:$A$3471,A736,'Futures Data'!$B$5:$B$3471,B736)</f>
        <v>9570</v>
      </c>
      <c r="R736" s="7" t="n">
        <v>46254</v>
      </c>
      <c r="S736" s="9" t="b">
        <f aca="false">C736=R736</f>
        <v>1</v>
      </c>
      <c r="T736" s="9" t="b">
        <f aca="false">ABS(O736-LN(J736/SUMIFS('Futures Data'!$C$5:$C$3471,'Futures Data'!$A$5:$A$3471,A735,'Futures Data'!$B$5:$B$3471,B736)))&lt;0.000000001</f>
        <v>1</v>
      </c>
    </row>
    <row r="737" customFormat="false" ht="15" hidden="false" customHeight="false" outlineLevel="0" collapsed="false">
      <c r="A737" s="7" t="n">
        <v>46217</v>
      </c>
      <c r="B737" s="11" t="n">
        <f aca="false">C736</f>
        <v>46254</v>
      </c>
      <c r="C737" s="11" t="n">
        <f aca="false">IF(OR(H736,D737&lt;=$G$4),_xlfn.MINIFS('Futures Data'!$B$5:$B$3471,'Futures Data'!$A$5:$A$3471,A737,'Futures Data'!$B$5:$B$3471,"&gt;"&amp;B737),B737)</f>
        <v>46254</v>
      </c>
      <c r="D737" s="3" t="n">
        <f aca="false">COUNTIFS($A$47:$A$790,"&gt;"&amp;A737,$A$47:$A$790,"&lt;="&amp;B737)+IF(B737&gt;$G$5,NETWORKDAYS($G$5+1,B737),0)</f>
        <v>27</v>
      </c>
      <c r="E737" s="3" t="n">
        <f aca="false">SUMIFS('Futures Data'!$E$5:$E$3471,'Futures Data'!$A$5:$A$3471,A737,'Futures Data'!$B$5:$B$3471,C737)</f>
        <v>34740</v>
      </c>
      <c r="F737" s="11" t="n">
        <f aca="false">_xlfn.MINIFS('Futures Data'!$B$5:$B$3471,'Futures Data'!$A$5:$A$3471,A737,'Futures Data'!$B$5:$B$3471,"&gt;"&amp;C737)</f>
        <v>46283</v>
      </c>
      <c r="G737" s="3" t="n">
        <f aca="false">SUMIFS('Futures Data'!$E$5:$E$3471,'Futures Data'!$A$5:$A$3471,A737,'Futures Data'!$B$5:$B$3471,F737)</f>
        <v>140</v>
      </c>
      <c r="H737" s="9" t="b">
        <f aca="false">G737&gt;E737</f>
        <v>0</v>
      </c>
      <c r="I737" s="9" t="b">
        <f aca="false">C737&lt;&gt;B737</f>
        <v>0</v>
      </c>
      <c r="J737" s="3" t="n">
        <f aca="false">SUMIFS('Futures Data'!$C$5:$C$3471,'Futures Data'!$A$5:$A$3471,A737,'Futures Data'!$B$5:$B$3471,B737)</f>
        <v>7287</v>
      </c>
      <c r="K737" s="3" t="n">
        <f aca="false">SUMIFS('Futures Data'!$C$5:$C$3471,'Futures Data'!$A$5:$A$3471,A737,'Futures Data'!$B$5:$B$3471,C737)</f>
        <v>7287</v>
      </c>
      <c r="L737" s="3" t="n">
        <f aca="false">K737-J737</f>
        <v>0</v>
      </c>
      <c r="M737" s="3" t="n">
        <f aca="false">M738+L737</f>
        <v>198</v>
      </c>
      <c r="N737" s="3" t="n">
        <f aca="false">J737+M737</f>
        <v>7485</v>
      </c>
      <c r="O737" s="13" t="n">
        <f aca="false">LN(J737/K736)</f>
        <v>0.0102069851666096</v>
      </c>
      <c r="P737" s="13" t="n">
        <f aca="false">LN(N737/N736)</f>
        <v>0.00993563490236985</v>
      </c>
      <c r="Q737" s="3" t="n">
        <f aca="false">SUMIFS('Futures Data'!$D$5:$D$3471,'Futures Data'!$A$5:$A$3471,A737,'Futures Data'!$B$5:$B$3471,B737)</f>
        <v>11830</v>
      </c>
      <c r="R737" s="7" t="n">
        <v>46254</v>
      </c>
      <c r="S737" s="9" t="b">
        <f aca="false">C737=R737</f>
        <v>1</v>
      </c>
      <c r="T737" s="9" t="b">
        <f aca="false">ABS(O737-LN(J737/SUMIFS('Futures Data'!$C$5:$C$3471,'Futures Data'!$A$5:$A$3471,A736,'Futures Data'!$B$5:$B$3471,B737)))&lt;0.000000001</f>
        <v>1</v>
      </c>
    </row>
    <row r="738" customFormat="false" ht="15" hidden="false" customHeight="false" outlineLevel="0" collapsed="false">
      <c r="A738" s="7" t="n">
        <v>46218</v>
      </c>
      <c r="B738" s="11" t="n">
        <f aca="false">C737</f>
        <v>46254</v>
      </c>
      <c r="C738" s="11" t="n">
        <f aca="false">IF(OR(H737,D738&lt;=$G$4),_xlfn.MINIFS('Futures Data'!$B$5:$B$3471,'Futures Data'!$A$5:$A$3471,A738,'Futures Data'!$B$5:$B$3471,"&gt;"&amp;B738),B738)</f>
        <v>46254</v>
      </c>
      <c r="D738" s="3" t="n">
        <f aca="false">COUNTIFS($A$47:$A$790,"&gt;"&amp;A738,$A$47:$A$790,"&lt;="&amp;B738)+IF(B738&gt;$G$5,NETWORKDAYS($G$5+1,B738),0)</f>
        <v>26</v>
      </c>
      <c r="E738" s="3" t="n">
        <f aca="false">SUMIFS('Futures Data'!$E$5:$E$3471,'Futures Data'!$A$5:$A$3471,A738,'Futures Data'!$B$5:$B$3471,C738)</f>
        <v>36520</v>
      </c>
      <c r="F738" s="11" t="n">
        <f aca="false">_xlfn.MINIFS('Futures Data'!$B$5:$B$3471,'Futures Data'!$A$5:$A$3471,A738,'Futures Data'!$B$5:$B$3471,"&gt;"&amp;C738)</f>
        <v>46283</v>
      </c>
      <c r="G738" s="3" t="n">
        <f aca="false">SUMIFS('Futures Data'!$E$5:$E$3471,'Futures Data'!$A$5:$A$3471,A738,'Futures Data'!$B$5:$B$3471,F738)</f>
        <v>225</v>
      </c>
      <c r="H738" s="9" t="b">
        <f aca="false">G738&gt;E738</f>
        <v>0</v>
      </c>
      <c r="I738" s="9" t="b">
        <f aca="false">C738&lt;&gt;B738</f>
        <v>0</v>
      </c>
      <c r="J738" s="3" t="n">
        <f aca="false">SUMIFS('Futures Data'!$C$5:$C$3471,'Futures Data'!$A$5:$A$3471,A738,'Futures Data'!$B$5:$B$3471,B738)</f>
        <v>7276</v>
      </c>
      <c r="K738" s="3" t="n">
        <f aca="false">SUMIFS('Futures Data'!$C$5:$C$3471,'Futures Data'!$A$5:$A$3471,A738,'Futures Data'!$B$5:$B$3471,C738)</f>
        <v>7276</v>
      </c>
      <c r="L738" s="3" t="n">
        <f aca="false">K738-J738</f>
        <v>0</v>
      </c>
      <c r="M738" s="3" t="n">
        <f aca="false">M739+L738</f>
        <v>198</v>
      </c>
      <c r="N738" s="3" t="n">
        <f aca="false">J738+M738</f>
        <v>7474</v>
      </c>
      <c r="O738" s="13" t="n">
        <f aca="false">LN(J738/K737)</f>
        <v>-0.00151067803226934</v>
      </c>
      <c r="P738" s="13" t="n">
        <f aca="false">LN(N738/N737)</f>
        <v>-0.0014706868082995</v>
      </c>
      <c r="Q738" s="3" t="n">
        <f aca="false">SUMIFS('Futures Data'!$D$5:$D$3471,'Futures Data'!$A$5:$A$3471,A738,'Futures Data'!$B$5:$B$3471,B738)</f>
        <v>9035</v>
      </c>
      <c r="R738" s="7" t="n">
        <v>46254</v>
      </c>
      <c r="S738" s="9" t="b">
        <f aca="false">C738=R738</f>
        <v>1</v>
      </c>
      <c r="T738" s="9" t="b">
        <f aca="false">ABS(O738-LN(J738/SUMIFS('Futures Data'!$C$5:$C$3471,'Futures Data'!$A$5:$A$3471,A737,'Futures Data'!$B$5:$B$3471,B738)))&lt;0.000000001</f>
        <v>1</v>
      </c>
    </row>
    <row r="739" customFormat="false" ht="15" hidden="false" customHeight="false" outlineLevel="0" collapsed="false">
      <c r="A739" s="7" t="n">
        <v>46219</v>
      </c>
      <c r="B739" s="11" t="n">
        <f aca="false">C738</f>
        <v>46254</v>
      </c>
      <c r="C739" s="11" t="n">
        <f aca="false">IF(OR(H738,D739&lt;=$G$4),_xlfn.MINIFS('Futures Data'!$B$5:$B$3471,'Futures Data'!$A$5:$A$3471,A739,'Futures Data'!$B$5:$B$3471,"&gt;"&amp;B739),B739)</f>
        <v>46254</v>
      </c>
      <c r="D739" s="3" t="n">
        <f aca="false">COUNTIFS($A$47:$A$790,"&gt;"&amp;A739,$A$47:$A$790,"&lt;="&amp;B739)+IF(B739&gt;$G$5,NETWORKDAYS($G$5+1,B739),0)</f>
        <v>25</v>
      </c>
      <c r="E739" s="3" t="n">
        <f aca="false">SUMIFS('Futures Data'!$E$5:$E$3471,'Futures Data'!$A$5:$A$3471,A739,'Futures Data'!$B$5:$B$3471,C739)</f>
        <v>38470</v>
      </c>
      <c r="F739" s="11" t="n">
        <f aca="false">_xlfn.MINIFS('Futures Data'!$B$5:$B$3471,'Futures Data'!$A$5:$A$3471,A739,'Futures Data'!$B$5:$B$3471,"&gt;"&amp;C739)</f>
        <v>46283</v>
      </c>
      <c r="G739" s="3" t="n">
        <f aca="false">SUMIFS('Futures Data'!$E$5:$E$3471,'Futures Data'!$A$5:$A$3471,A739,'Futures Data'!$B$5:$B$3471,F739)</f>
        <v>240</v>
      </c>
      <c r="H739" s="9" t="b">
        <f aca="false">G739&gt;E739</f>
        <v>0</v>
      </c>
      <c r="I739" s="9" t="b">
        <f aca="false">C739&lt;&gt;B739</f>
        <v>0</v>
      </c>
      <c r="J739" s="3" t="n">
        <f aca="false">SUMIFS('Futures Data'!$C$5:$C$3471,'Futures Data'!$A$5:$A$3471,A739,'Futures Data'!$B$5:$B$3471,B739)</f>
        <v>7186</v>
      </c>
      <c r="K739" s="3" t="n">
        <f aca="false">SUMIFS('Futures Data'!$C$5:$C$3471,'Futures Data'!$A$5:$A$3471,A739,'Futures Data'!$B$5:$B$3471,C739)</f>
        <v>7186</v>
      </c>
      <c r="L739" s="3" t="n">
        <f aca="false">K739-J739</f>
        <v>0</v>
      </c>
      <c r="M739" s="3" t="n">
        <f aca="false">M740+L739</f>
        <v>198</v>
      </c>
      <c r="N739" s="3" t="n">
        <f aca="false">J739+M739</f>
        <v>7384</v>
      </c>
      <c r="O739" s="13" t="n">
        <f aca="false">LN(J739/K738)</f>
        <v>-0.0124465719645489</v>
      </c>
      <c r="P739" s="13" t="n">
        <f aca="false">LN(N739/N738)</f>
        <v>-0.0121148338627411</v>
      </c>
      <c r="Q739" s="3" t="n">
        <f aca="false">SUMIFS('Futures Data'!$D$5:$D$3471,'Futures Data'!$A$5:$A$3471,A739,'Futures Data'!$B$5:$B$3471,B739)</f>
        <v>12240</v>
      </c>
      <c r="R739" s="7" t="n">
        <v>46254</v>
      </c>
      <c r="S739" s="9" t="b">
        <f aca="false">C739=R739</f>
        <v>1</v>
      </c>
      <c r="T739" s="9" t="b">
        <f aca="false">ABS(O739-LN(J739/SUMIFS('Futures Data'!$C$5:$C$3471,'Futures Data'!$A$5:$A$3471,A738,'Futures Data'!$B$5:$B$3471,B739)))&lt;0.000000001</f>
        <v>1</v>
      </c>
    </row>
    <row r="740" customFormat="false" ht="15" hidden="false" customHeight="false" outlineLevel="0" collapsed="false">
      <c r="A740" s="7" t="n">
        <v>46220</v>
      </c>
      <c r="B740" s="11" t="n">
        <f aca="false">C739</f>
        <v>46254</v>
      </c>
      <c r="C740" s="11" t="n">
        <f aca="false">IF(OR(H739,D740&lt;=$G$4),_xlfn.MINIFS('Futures Data'!$B$5:$B$3471,'Futures Data'!$A$5:$A$3471,A740,'Futures Data'!$B$5:$B$3471,"&gt;"&amp;B740),B740)</f>
        <v>46254</v>
      </c>
      <c r="D740" s="3" t="n">
        <f aca="false">COUNTIFS($A$47:$A$790,"&gt;"&amp;A740,$A$47:$A$790,"&lt;="&amp;B740)+IF(B740&gt;$G$5,NETWORKDAYS($G$5+1,B740),0)</f>
        <v>24</v>
      </c>
      <c r="E740" s="3" t="n">
        <f aca="false">SUMIFS('Futures Data'!$E$5:$E$3471,'Futures Data'!$A$5:$A$3471,A740,'Futures Data'!$B$5:$B$3471,C740)</f>
        <v>38775</v>
      </c>
      <c r="F740" s="11" t="n">
        <f aca="false">_xlfn.MINIFS('Futures Data'!$B$5:$B$3471,'Futures Data'!$A$5:$A$3471,A740,'Futures Data'!$B$5:$B$3471,"&gt;"&amp;C740)</f>
        <v>46283</v>
      </c>
      <c r="G740" s="3" t="n">
        <f aca="false">SUMIFS('Futures Data'!$E$5:$E$3471,'Futures Data'!$A$5:$A$3471,A740,'Futures Data'!$B$5:$B$3471,F740)</f>
        <v>355</v>
      </c>
      <c r="H740" s="9" t="b">
        <f aca="false">G740&gt;E740</f>
        <v>0</v>
      </c>
      <c r="I740" s="9" t="b">
        <f aca="false">C740&lt;&gt;B740</f>
        <v>0</v>
      </c>
      <c r="J740" s="3" t="n">
        <f aca="false">SUMIFS('Futures Data'!$C$5:$C$3471,'Futures Data'!$A$5:$A$3471,A740,'Futures Data'!$B$5:$B$3471,B740)</f>
        <v>7230</v>
      </c>
      <c r="K740" s="3" t="n">
        <f aca="false">SUMIFS('Futures Data'!$C$5:$C$3471,'Futures Data'!$A$5:$A$3471,A740,'Futures Data'!$B$5:$B$3471,C740)</f>
        <v>7230</v>
      </c>
      <c r="L740" s="3" t="n">
        <f aca="false">K740-J740</f>
        <v>0</v>
      </c>
      <c r="M740" s="3" t="n">
        <f aca="false">M741+L740</f>
        <v>198</v>
      </c>
      <c r="N740" s="3" t="n">
        <f aca="false">J740+M740</f>
        <v>7428</v>
      </c>
      <c r="O740" s="13" t="n">
        <f aca="false">LN(J740/K739)</f>
        <v>0.00610434747934638</v>
      </c>
      <c r="P740" s="13" t="n">
        <f aca="false">LN(N740/N739)</f>
        <v>0.00594114628990842</v>
      </c>
      <c r="Q740" s="3" t="n">
        <f aca="false">SUMIFS('Futures Data'!$D$5:$D$3471,'Futures Data'!$A$5:$A$3471,A740,'Futures Data'!$B$5:$B$3471,B740)</f>
        <v>5920</v>
      </c>
      <c r="R740" s="7" t="n">
        <v>46254</v>
      </c>
      <c r="S740" s="9" t="b">
        <f aca="false">C740=R740</f>
        <v>1</v>
      </c>
      <c r="T740" s="9" t="b">
        <f aca="false">ABS(O740-LN(J740/SUMIFS('Futures Data'!$C$5:$C$3471,'Futures Data'!$A$5:$A$3471,A739,'Futures Data'!$B$5:$B$3471,B740)))&lt;0.000000001</f>
        <v>1</v>
      </c>
    </row>
    <row r="741" customFormat="false" ht="15" hidden="false" customHeight="false" outlineLevel="0" collapsed="false">
      <c r="A741" s="7" t="n">
        <v>46223</v>
      </c>
      <c r="B741" s="11" t="n">
        <f aca="false">C740</f>
        <v>46254</v>
      </c>
      <c r="C741" s="11" t="n">
        <f aca="false">IF(OR(H740,D741&lt;=$G$4),_xlfn.MINIFS('Futures Data'!$B$5:$B$3471,'Futures Data'!$A$5:$A$3471,A741,'Futures Data'!$B$5:$B$3471,"&gt;"&amp;B741),B741)</f>
        <v>46254</v>
      </c>
      <c r="D741" s="3" t="n">
        <f aca="false">COUNTIFS($A$47:$A$790,"&gt;"&amp;A741,$A$47:$A$790,"&lt;="&amp;B741)+IF(B741&gt;$G$5,NETWORKDAYS($G$5+1,B741),0)</f>
        <v>23</v>
      </c>
      <c r="E741" s="3" t="n">
        <f aca="false">SUMIFS('Futures Data'!$E$5:$E$3471,'Futures Data'!$A$5:$A$3471,A741,'Futures Data'!$B$5:$B$3471,C741)</f>
        <v>38580</v>
      </c>
      <c r="F741" s="11" t="n">
        <f aca="false">_xlfn.MINIFS('Futures Data'!$B$5:$B$3471,'Futures Data'!$A$5:$A$3471,A741,'Futures Data'!$B$5:$B$3471,"&gt;"&amp;C741)</f>
        <v>46283</v>
      </c>
      <c r="G741" s="3" t="n">
        <f aca="false">SUMIFS('Futures Data'!$E$5:$E$3471,'Futures Data'!$A$5:$A$3471,A741,'Futures Data'!$B$5:$B$3471,F741)</f>
        <v>575</v>
      </c>
      <c r="H741" s="9" t="b">
        <f aca="false">G741&gt;E741</f>
        <v>0</v>
      </c>
      <c r="I741" s="9" t="b">
        <f aca="false">C741&lt;&gt;B741</f>
        <v>0</v>
      </c>
      <c r="J741" s="3" t="n">
        <f aca="false">SUMIFS('Futures Data'!$C$5:$C$3471,'Futures Data'!$A$5:$A$3471,A741,'Futures Data'!$B$5:$B$3471,B741)</f>
        <v>7191</v>
      </c>
      <c r="K741" s="3" t="n">
        <f aca="false">SUMIFS('Futures Data'!$C$5:$C$3471,'Futures Data'!$A$5:$A$3471,A741,'Futures Data'!$B$5:$B$3471,C741)</f>
        <v>7191</v>
      </c>
      <c r="L741" s="3" t="n">
        <f aca="false">K741-J741</f>
        <v>0</v>
      </c>
      <c r="M741" s="3" t="n">
        <f aca="false">M742+L741</f>
        <v>198</v>
      </c>
      <c r="N741" s="3" t="n">
        <f aca="false">J741+M741</f>
        <v>7389</v>
      </c>
      <c r="O741" s="13" t="n">
        <f aca="false">LN(J741/K740)</f>
        <v>-0.0054087920503163</v>
      </c>
      <c r="P741" s="13" t="n">
        <f aca="false">LN(N741/N740)</f>
        <v>-0.00526423568394879</v>
      </c>
      <c r="Q741" s="3" t="n">
        <f aca="false">SUMIFS('Futures Data'!$D$5:$D$3471,'Futures Data'!$A$5:$A$3471,A741,'Futures Data'!$B$5:$B$3471,B741)</f>
        <v>7030</v>
      </c>
      <c r="R741" s="7" t="n">
        <v>46254</v>
      </c>
      <c r="S741" s="9" t="b">
        <f aca="false">C741=R741</f>
        <v>1</v>
      </c>
      <c r="T741" s="9" t="b">
        <f aca="false">ABS(O741-LN(J741/SUMIFS('Futures Data'!$C$5:$C$3471,'Futures Data'!$A$5:$A$3471,A740,'Futures Data'!$B$5:$B$3471,B741)))&lt;0.000000001</f>
        <v>1</v>
      </c>
    </row>
    <row r="742" customFormat="false" ht="15" hidden="false" customHeight="false" outlineLevel="0" collapsed="false">
      <c r="A742" s="7" t="n">
        <v>46224</v>
      </c>
      <c r="B742" s="11" t="n">
        <f aca="false">C741</f>
        <v>46254</v>
      </c>
      <c r="C742" s="11" t="n">
        <f aca="false">IF(OR(H741,D742&lt;=$G$4),_xlfn.MINIFS('Futures Data'!$B$5:$B$3471,'Futures Data'!$A$5:$A$3471,A742,'Futures Data'!$B$5:$B$3471,"&gt;"&amp;B742),B742)</f>
        <v>46254</v>
      </c>
      <c r="D742" s="3" t="n">
        <f aca="false">COUNTIFS($A$47:$A$790,"&gt;"&amp;A742,$A$47:$A$790,"&lt;="&amp;B742)+IF(B742&gt;$G$5,NETWORKDAYS($G$5+1,B742),0)</f>
        <v>22</v>
      </c>
      <c r="E742" s="3" t="n">
        <f aca="false">SUMIFS('Futures Data'!$E$5:$E$3471,'Futures Data'!$A$5:$A$3471,A742,'Futures Data'!$B$5:$B$3471,C742)</f>
        <v>37960</v>
      </c>
      <c r="F742" s="11" t="n">
        <f aca="false">_xlfn.MINIFS('Futures Data'!$B$5:$B$3471,'Futures Data'!$A$5:$A$3471,A742,'Futures Data'!$B$5:$B$3471,"&gt;"&amp;C742)</f>
        <v>46283</v>
      </c>
      <c r="G742" s="3" t="n">
        <f aca="false">SUMIFS('Futures Data'!$E$5:$E$3471,'Futures Data'!$A$5:$A$3471,A742,'Futures Data'!$B$5:$B$3471,F742)</f>
        <v>965</v>
      </c>
      <c r="H742" s="9" t="b">
        <f aca="false">G742&gt;E742</f>
        <v>0</v>
      </c>
      <c r="I742" s="9" t="b">
        <f aca="false">C742&lt;&gt;B742</f>
        <v>0</v>
      </c>
      <c r="J742" s="3" t="n">
        <f aca="false">SUMIFS('Futures Data'!$C$5:$C$3471,'Futures Data'!$A$5:$A$3471,A742,'Futures Data'!$B$5:$B$3471,B742)</f>
        <v>7170</v>
      </c>
      <c r="K742" s="3" t="n">
        <f aca="false">SUMIFS('Futures Data'!$C$5:$C$3471,'Futures Data'!$A$5:$A$3471,A742,'Futures Data'!$B$5:$B$3471,C742)</f>
        <v>7170</v>
      </c>
      <c r="L742" s="3" t="n">
        <f aca="false">K742-J742</f>
        <v>0</v>
      </c>
      <c r="M742" s="3" t="n">
        <f aca="false">M743+L742</f>
        <v>198</v>
      </c>
      <c r="N742" s="3" t="n">
        <f aca="false">J742+M742</f>
        <v>7368</v>
      </c>
      <c r="O742" s="13" t="n">
        <f aca="false">LN(J742/K741)</f>
        <v>-0.00292458950882804</v>
      </c>
      <c r="P742" s="13" t="n">
        <f aca="false">LN(N742/N741)</f>
        <v>-0.00284610885350483</v>
      </c>
      <c r="Q742" s="3" t="n">
        <f aca="false">SUMIFS('Futures Data'!$D$5:$D$3471,'Futures Data'!$A$5:$A$3471,A742,'Futures Data'!$B$5:$B$3471,B742)</f>
        <v>6735</v>
      </c>
      <c r="R742" s="7" t="n">
        <v>46254</v>
      </c>
      <c r="S742" s="9" t="b">
        <f aca="false">C742=R742</f>
        <v>1</v>
      </c>
      <c r="T742" s="9" t="b">
        <f aca="false">ABS(O742-LN(J742/SUMIFS('Futures Data'!$C$5:$C$3471,'Futures Data'!$A$5:$A$3471,A741,'Futures Data'!$B$5:$B$3471,B742)))&lt;0.000000001</f>
        <v>1</v>
      </c>
    </row>
    <row r="743" customFormat="false" ht="15" hidden="false" customHeight="false" outlineLevel="0" collapsed="false">
      <c r="A743" s="7" t="n">
        <v>46225</v>
      </c>
      <c r="B743" s="11" t="n">
        <f aca="false">C742</f>
        <v>46254</v>
      </c>
      <c r="C743" s="11" t="n">
        <f aca="false">IF(OR(H742,D743&lt;=$G$4),_xlfn.MINIFS('Futures Data'!$B$5:$B$3471,'Futures Data'!$A$5:$A$3471,A743,'Futures Data'!$B$5:$B$3471,"&gt;"&amp;B743),B743)</f>
        <v>46254</v>
      </c>
      <c r="D743" s="3" t="n">
        <f aca="false">COUNTIFS($A$47:$A$790,"&gt;"&amp;A743,$A$47:$A$790,"&lt;="&amp;B743)+IF(B743&gt;$G$5,NETWORKDAYS($G$5+1,B743),0)</f>
        <v>21</v>
      </c>
      <c r="E743" s="3" t="n">
        <f aca="false">SUMIFS('Futures Data'!$E$5:$E$3471,'Futures Data'!$A$5:$A$3471,A743,'Futures Data'!$B$5:$B$3471,C743)</f>
        <v>36990</v>
      </c>
      <c r="F743" s="11" t="n">
        <f aca="false">_xlfn.MINIFS('Futures Data'!$B$5:$B$3471,'Futures Data'!$A$5:$A$3471,A743,'Futures Data'!$B$5:$B$3471,"&gt;"&amp;C743)</f>
        <v>46283</v>
      </c>
      <c r="G743" s="3" t="n">
        <f aca="false">SUMIFS('Futures Data'!$E$5:$E$3471,'Futures Data'!$A$5:$A$3471,A743,'Futures Data'!$B$5:$B$3471,F743)</f>
        <v>1810</v>
      </c>
      <c r="H743" s="9" t="b">
        <f aca="false">G743&gt;E743</f>
        <v>0</v>
      </c>
      <c r="I743" s="9" t="b">
        <f aca="false">C743&lt;&gt;B743</f>
        <v>0</v>
      </c>
      <c r="J743" s="3" t="n">
        <f aca="false">SUMIFS('Futures Data'!$C$5:$C$3471,'Futures Data'!$A$5:$A$3471,A743,'Futures Data'!$B$5:$B$3471,B743)</f>
        <v>7173</v>
      </c>
      <c r="K743" s="3" t="n">
        <f aca="false">SUMIFS('Futures Data'!$C$5:$C$3471,'Futures Data'!$A$5:$A$3471,A743,'Futures Data'!$B$5:$B$3471,C743)</f>
        <v>7173</v>
      </c>
      <c r="L743" s="3" t="n">
        <f aca="false">K743-J743</f>
        <v>0</v>
      </c>
      <c r="M743" s="3" t="n">
        <f aca="false">M744+L743</f>
        <v>198</v>
      </c>
      <c r="N743" s="3" t="n">
        <f aca="false">J743+M743</f>
        <v>7371</v>
      </c>
      <c r="O743" s="13" t="n">
        <f aca="false">LN(J743/K742)</f>
        <v>0.000418322532768331</v>
      </c>
      <c r="P743" s="13" t="n">
        <f aca="false">LN(N743/N742)</f>
        <v>0.000407083254146089</v>
      </c>
      <c r="Q743" s="3" t="n">
        <f aca="false">SUMIFS('Futures Data'!$D$5:$D$3471,'Futures Data'!$A$5:$A$3471,A743,'Futures Data'!$B$5:$B$3471,B743)</f>
        <v>3280</v>
      </c>
      <c r="R743" s="7" t="n">
        <v>46254</v>
      </c>
      <c r="S743" s="9" t="b">
        <f aca="false">C743=R743</f>
        <v>1</v>
      </c>
      <c r="T743" s="9" t="b">
        <f aca="false">ABS(O743-LN(J743/SUMIFS('Futures Data'!$C$5:$C$3471,'Futures Data'!$A$5:$A$3471,A742,'Futures Data'!$B$5:$B$3471,B743)))&lt;0.000000001</f>
        <v>1</v>
      </c>
    </row>
    <row r="744" customFormat="false" ht="15" hidden="false" customHeight="false" outlineLevel="0" collapsed="false">
      <c r="A744" s="7" t="n">
        <v>46226</v>
      </c>
      <c r="B744" s="11" t="n">
        <f aca="false">C743</f>
        <v>46254</v>
      </c>
      <c r="C744" s="11" t="n">
        <f aca="false">IF(OR(H743,D744&lt;=$G$4),_xlfn.MINIFS('Futures Data'!$B$5:$B$3471,'Futures Data'!$A$5:$A$3471,A744,'Futures Data'!$B$5:$B$3471,"&gt;"&amp;B744),B744)</f>
        <v>46254</v>
      </c>
      <c r="D744" s="3" t="n">
        <f aca="false">COUNTIFS($A$47:$A$790,"&gt;"&amp;A744,$A$47:$A$790,"&lt;="&amp;B744)+IF(B744&gt;$G$5,NETWORKDAYS($G$5+1,B744),0)</f>
        <v>20</v>
      </c>
      <c r="E744" s="3" t="n">
        <f aca="false">SUMIFS('Futures Data'!$E$5:$E$3471,'Futures Data'!$A$5:$A$3471,A744,'Futures Data'!$B$5:$B$3471,C744)</f>
        <v>34555</v>
      </c>
      <c r="F744" s="11" t="n">
        <f aca="false">_xlfn.MINIFS('Futures Data'!$B$5:$B$3471,'Futures Data'!$A$5:$A$3471,A744,'Futures Data'!$B$5:$B$3471,"&gt;"&amp;C744)</f>
        <v>46283</v>
      </c>
      <c r="G744" s="3" t="n">
        <f aca="false">SUMIFS('Futures Data'!$E$5:$E$3471,'Futures Data'!$A$5:$A$3471,A744,'Futures Data'!$B$5:$B$3471,F744)</f>
        <v>3085</v>
      </c>
      <c r="H744" s="9" t="b">
        <f aca="false">G744&gt;E744</f>
        <v>0</v>
      </c>
      <c r="I744" s="9" t="b">
        <f aca="false">C744&lt;&gt;B744</f>
        <v>0</v>
      </c>
      <c r="J744" s="3" t="n">
        <f aca="false">SUMIFS('Futures Data'!$C$5:$C$3471,'Futures Data'!$A$5:$A$3471,A744,'Futures Data'!$B$5:$B$3471,B744)</f>
        <v>7107</v>
      </c>
      <c r="K744" s="3" t="n">
        <f aca="false">SUMIFS('Futures Data'!$C$5:$C$3471,'Futures Data'!$A$5:$A$3471,A744,'Futures Data'!$B$5:$B$3471,C744)</f>
        <v>7107</v>
      </c>
      <c r="L744" s="3" t="n">
        <f aca="false">K744-J744</f>
        <v>0</v>
      </c>
      <c r="M744" s="3" t="n">
        <f aca="false">M745+L744</f>
        <v>198</v>
      </c>
      <c r="N744" s="3" t="n">
        <f aca="false">J744+M744</f>
        <v>7305</v>
      </c>
      <c r="O744" s="13" t="n">
        <f aca="false">LN(J744/K743)</f>
        <v>-0.00924376329953927</v>
      </c>
      <c r="P744" s="13" t="n">
        <f aca="false">LN(N744/N743)</f>
        <v>-0.00899433700448899</v>
      </c>
      <c r="Q744" s="3" t="n">
        <f aca="false">SUMIFS('Futures Data'!$D$5:$D$3471,'Futures Data'!$A$5:$A$3471,A744,'Futures Data'!$B$5:$B$3471,B744)</f>
        <v>7805</v>
      </c>
      <c r="R744" s="7" t="n">
        <v>46254</v>
      </c>
      <c r="S744" s="9" t="b">
        <f aca="false">C744=R744</f>
        <v>1</v>
      </c>
      <c r="T744" s="9" t="b">
        <f aca="false">ABS(O744-LN(J744/SUMIFS('Futures Data'!$C$5:$C$3471,'Futures Data'!$A$5:$A$3471,A743,'Futures Data'!$B$5:$B$3471,B744)))&lt;0.000000001</f>
        <v>1</v>
      </c>
    </row>
    <row r="745" customFormat="false" ht="15" hidden="false" customHeight="false" outlineLevel="0" collapsed="false">
      <c r="A745" s="7" t="n">
        <v>46227</v>
      </c>
      <c r="B745" s="11" t="n">
        <f aca="false">C744</f>
        <v>46254</v>
      </c>
      <c r="C745" s="11" t="n">
        <f aca="false">IF(OR(H744,D745&lt;=$G$4),_xlfn.MINIFS('Futures Data'!$B$5:$B$3471,'Futures Data'!$A$5:$A$3471,A745,'Futures Data'!$B$5:$B$3471,"&gt;"&amp;B745),B745)</f>
        <v>46254</v>
      </c>
      <c r="D745" s="3" t="n">
        <f aca="false">COUNTIFS($A$47:$A$790,"&gt;"&amp;A745,$A$47:$A$790,"&lt;="&amp;B745)+IF(B745&gt;$G$5,NETWORKDAYS($G$5+1,B745),0)</f>
        <v>19</v>
      </c>
      <c r="E745" s="3" t="n">
        <f aca="false">SUMIFS('Futures Data'!$E$5:$E$3471,'Futures Data'!$A$5:$A$3471,A745,'Futures Data'!$B$5:$B$3471,C745)</f>
        <v>33685</v>
      </c>
      <c r="F745" s="11" t="n">
        <f aca="false">_xlfn.MINIFS('Futures Data'!$B$5:$B$3471,'Futures Data'!$A$5:$A$3471,A745,'Futures Data'!$B$5:$B$3471,"&gt;"&amp;C745)</f>
        <v>46283</v>
      </c>
      <c r="G745" s="3" t="n">
        <f aca="false">SUMIFS('Futures Data'!$E$5:$E$3471,'Futures Data'!$A$5:$A$3471,A745,'Futures Data'!$B$5:$B$3471,F745)</f>
        <v>4650</v>
      </c>
      <c r="H745" s="9" t="b">
        <f aca="false">G745&gt;E745</f>
        <v>0</v>
      </c>
      <c r="I745" s="9" t="b">
        <f aca="false">C745&lt;&gt;B745</f>
        <v>0</v>
      </c>
      <c r="J745" s="3" t="n">
        <f aca="false">SUMIFS('Futures Data'!$C$5:$C$3471,'Futures Data'!$A$5:$A$3471,A745,'Futures Data'!$B$5:$B$3471,B745)</f>
        <v>7126</v>
      </c>
      <c r="K745" s="3" t="n">
        <f aca="false">SUMIFS('Futures Data'!$C$5:$C$3471,'Futures Data'!$A$5:$A$3471,A745,'Futures Data'!$B$5:$B$3471,C745)</f>
        <v>7126</v>
      </c>
      <c r="L745" s="3" t="n">
        <f aca="false">K745-J745</f>
        <v>0</v>
      </c>
      <c r="M745" s="3" t="n">
        <f aca="false">M746+L745</f>
        <v>198</v>
      </c>
      <c r="N745" s="3" t="n">
        <f aca="false">J745+M745</f>
        <v>7324</v>
      </c>
      <c r="O745" s="13" t="n">
        <f aca="false">LN(J745/K744)</f>
        <v>0.00266985333888618</v>
      </c>
      <c r="P745" s="13" t="n">
        <f aca="false">LN(N745/N744)</f>
        <v>0.00259758160960149</v>
      </c>
      <c r="Q745" s="3" t="n">
        <f aca="false">SUMIFS('Futures Data'!$D$5:$D$3471,'Futures Data'!$A$5:$A$3471,A745,'Futures Data'!$B$5:$B$3471,B745)</f>
        <v>5465</v>
      </c>
      <c r="R745" s="7" t="n">
        <v>46254</v>
      </c>
      <c r="S745" s="9" t="b">
        <f aca="false">C745=R745</f>
        <v>1</v>
      </c>
      <c r="T745" s="9" t="b">
        <f aca="false">ABS(O745-LN(J745/SUMIFS('Futures Data'!$C$5:$C$3471,'Futures Data'!$A$5:$A$3471,A744,'Futures Data'!$B$5:$B$3471,B745)))&lt;0.000000001</f>
        <v>1</v>
      </c>
    </row>
    <row r="746" customFormat="false" ht="15" hidden="false" customHeight="false" outlineLevel="0" collapsed="false">
      <c r="A746" s="7" t="n">
        <v>46230</v>
      </c>
      <c r="B746" s="11" t="n">
        <f aca="false">C745</f>
        <v>46254</v>
      </c>
      <c r="C746" s="11" t="n">
        <f aca="false">IF(OR(H745,D746&lt;=$G$4),_xlfn.MINIFS('Futures Data'!$B$5:$B$3471,'Futures Data'!$A$5:$A$3471,A746,'Futures Data'!$B$5:$B$3471,"&gt;"&amp;B746),B746)</f>
        <v>46254</v>
      </c>
      <c r="D746" s="3" t="n">
        <f aca="false">COUNTIFS($A$47:$A$790,"&gt;"&amp;A746,$A$47:$A$790,"&lt;="&amp;B746)+IF(B746&gt;$G$5,NETWORKDAYS($G$5+1,B746),0)</f>
        <v>18</v>
      </c>
      <c r="E746" s="3" t="n">
        <f aca="false">SUMIFS('Futures Data'!$E$5:$E$3471,'Futures Data'!$A$5:$A$3471,A746,'Futures Data'!$B$5:$B$3471,C746)</f>
        <v>31945</v>
      </c>
      <c r="F746" s="11" t="n">
        <f aca="false">_xlfn.MINIFS('Futures Data'!$B$5:$B$3471,'Futures Data'!$A$5:$A$3471,A746,'Futures Data'!$B$5:$B$3471,"&gt;"&amp;C746)</f>
        <v>46283</v>
      </c>
      <c r="G746" s="3" t="n">
        <f aca="false">SUMIFS('Futures Data'!$E$5:$E$3471,'Futures Data'!$A$5:$A$3471,A746,'Futures Data'!$B$5:$B$3471,F746)</f>
        <v>5795</v>
      </c>
      <c r="H746" s="9" t="b">
        <f aca="false">G746&gt;E746</f>
        <v>0</v>
      </c>
      <c r="I746" s="9" t="b">
        <f aca="false">C746&lt;&gt;B746</f>
        <v>0</v>
      </c>
      <c r="J746" s="3" t="n">
        <f aca="false">SUMIFS('Futures Data'!$C$5:$C$3471,'Futures Data'!$A$5:$A$3471,A746,'Futures Data'!$B$5:$B$3471,B746)</f>
        <v>7013</v>
      </c>
      <c r="K746" s="3" t="n">
        <f aca="false">SUMIFS('Futures Data'!$C$5:$C$3471,'Futures Data'!$A$5:$A$3471,A746,'Futures Data'!$B$5:$B$3471,C746)</f>
        <v>7013</v>
      </c>
      <c r="L746" s="3" t="n">
        <f aca="false">K746-J746</f>
        <v>0</v>
      </c>
      <c r="M746" s="3" t="n">
        <f aca="false">M747+L746</f>
        <v>198</v>
      </c>
      <c r="N746" s="3" t="n">
        <f aca="false">J746+M746</f>
        <v>7211</v>
      </c>
      <c r="O746" s="13" t="n">
        <f aca="false">LN(J746/K745)</f>
        <v>-0.0159844976288709</v>
      </c>
      <c r="P746" s="13" t="n">
        <f aca="false">LN(N746/N745)</f>
        <v>-0.0155489888776418</v>
      </c>
      <c r="Q746" s="3" t="n">
        <f aca="false">SUMIFS('Futures Data'!$D$5:$D$3471,'Futures Data'!$A$5:$A$3471,A746,'Futures Data'!$B$5:$B$3471,B746)</f>
        <v>7365</v>
      </c>
      <c r="R746" s="7" t="n">
        <v>46254</v>
      </c>
      <c r="S746" s="9" t="b">
        <f aca="false">C746=R746</f>
        <v>1</v>
      </c>
      <c r="T746" s="9" t="b">
        <f aca="false">ABS(O746-LN(J746/SUMIFS('Futures Data'!$C$5:$C$3471,'Futures Data'!$A$5:$A$3471,A745,'Futures Data'!$B$5:$B$3471,B746)))&lt;0.000000001</f>
        <v>1</v>
      </c>
    </row>
    <row r="747" customFormat="false" ht="15" hidden="false" customHeight="false" outlineLevel="0" collapsed="false">
      <c r="A747" s="7" t="n">
        <v>46231</v>
      </c>
      <c r="B747" s="11" t="n">
        <f aca="false">C746</f>
        <v>46254</v>
      </c>
      <c r="C747" s="11" t="n">
        <f aca="false">IF(OR(H746,D747&lt;=$G$4),_xlfn.MINIFS('Futures Data'!$B$5:$B$3471,'Futures Data'!$A$5:$A$3471,A747,'Futures Data'!$B$5:$B$3471,"&gt;"&amp;B747),B747)</f>
        <v>46254</v>
      </c>
      <c r="D747" s="3" t="n">
        <f aca="false">COUNTIFS($A$47:$A$790,"&gt;"&amp;A747,$A$47:$A$790,"&lt;="&amp;B747)+IF(B747&gt;$G$5,NETWORKDAYS($G$5+1,B747),0)</f>
        <v>17</v>
      </c>
      <c r="E747" s="3" t="n">
        <f aca="false">SUMIFS('Futures Data'!$E$5:$E$3471,'Futures Data'!$A$5:$A$3471,A747,'Futures Data'!$B$5:$B$3471,C747)</f>
        <v>30085</v>
      </c>
      <c r="F747" s="11" t="n">
        <f aca="false">_xlfn.MINIFS('Futures Data'!$B$5:$B$3471,'Futures Data'!$A$5:$A$3471,A747,'Futures Data'!$B$5:$B$3471,"&gt;"&amp;C747)</f>
        <v>46283</v>
      </c>
      <c r="G747" s="3" t="n">
        <f aca="false">SUMIFS('Futures Data'!$E$5:$E$3471,'Futures Data'!$A$5:$A$3471,A747,'Futures Data'!$B$5:$B$3471,F747)</f>
        <v>6890</v>
      </c>
      <c r="H747" s="9" t="b">
        <f aca="false">G747&gt;E747</f>
        <v>0</v>
      </c>
      <c r="I747" s="9" t="b">
        <f aca="false">C747&lt;&gt;B747</f>
        <v>0</v>
      </c>
      <c r="J747" s="3" t="n">
        <f aca="false">SUMIFS('Futures Data'!$C$5:$C$3471,'Futures Data'!$A$5:$A$3471,A747,'Futures Data'!$B$5:$B$3471,B747)</f>
        <v>7023</v>
      </c>
      <c r="K747" s="3" t="n">
        <f aca="false">SUMIFS('Futures Data'!$C$5:$C$3471,'Futures Data'!$A$5:$A$3471,A747,'Futures Data'!$B$5:$B$3471,C747)</f>
        <v>7023</v>
      </c>
      <c r="L747" s="3" t="n">
        <f aca="false">K747-J747</f>
        <v>0</v>
      </c>
      <c r="M747" s="3" t="n">
        <f aca="false">M748+L747</f>
        <v>198</v>
      </c>
      <c r="N747" s="3" t="n">
        <f aca="false">J747+M747</f>
        <v>7221</v>
      </c>
      <c r="O747" s="13" t="n">
        <f aca="false">LN(J747/K746)</f>
        <v>0.00142490762211007</v>
      </c>
      <c r="P747" s="13" t="n">
        <f aca="false">LN(N747/N746)</f>
        <v>0.0013858095344222</v>
      </c>
      <c r="Q747" s="3" t="n">
        <f aca="false">SUMIFS('Futures Data'!$D$5:$D$3471,'Futures Data'!$A$5:$A$3471,A747,'Futures Data'!$B$5:$B$3471,B747)</f>
        <v>5910</v>
      </c>
      <c r="R747" s="7" t="n">
        <v>46254</v>
      </c>
      <c r="S747" s="9" t="b">
        <f aca="false">C747=R747</f>
        <v>1</v>
      </c>
      <c r="T747" s="9" t="b">
        <f aca="false">ABS(O747-LN(J747/SUMIFS('Futures Data'!$C$5:$C$3471,'Futures Data'!$A$5:$A$3471,A746,'Futures Data'!$B$5:$B$3471,B747)))&lt;0.000000001</f>
        <v>1</v>
      </c>
    </row>
    <row r="748" customFormat="false" ht="15" hidden="false" customHeight="false" outlineLevel="0" collapsed="false">
      <c r="A748" s="7" t="n">
        <v>46232</v>
      </c>
      <c r="B748" s="11" t="n">
        <f aca="false">C747</f>
        <v>46254</v>
      </c>
      <c r="C748" s="11" t="n">
        <f aca="false">IF(OR(H747,D748&lt;=$G$4),_xlfn.MINIFS('Futures Data'!$B$5:$B$3471,'Futures Data'!$A$5:$A$3471,A748,'Futures Data'!$B$5:$B$3471,"&gt;"&amp;B748),B748)</f>
        <v>46254</v>
      </c>
      <c r="D748" s="3" t="n">
        <f aca="false">COUNTIFS($A$47:$A$790,"&gt;"&amp;A748,$A$47:$A$790,"&lt;="&amp;B748)+IF(B748&gt;$G$5,NETWORKDAYS($G$5+1,B748),0)</f>
        <v>16</v>
      </c>
      <c r="E748" s="3" t="n">
        <f aca="false">SUMIFS('Futures Data'!$E$5:$E$3471,'Futures Data'!$A$5:$A$3471,A748,'Futures Data'!$B$5:$B$3471,C748)</f>
        <v>29670</v>
      </c>
      <c r="F748" s="11" t="n">
        <f aca="false">_xlfn.MINIFS('Futures Data'!$B$5:$B$3471,'Futures Data'!$A$5:$A$3471,A748,'Futures Data'!$B$5:$B$3471,"&gt;"&amp;C748)</f>
        <v>46283</v>
      </c>
      <c r="G748" s="3" t="n">
        <f aca="false">SUMIFS('Futures Data'!$E$5:$E$3471,'Futures Data'!$A$5:$A$3471,A748,'Futures Data'!$B$5:$B$3471,F748)</f>
        <v>7395</v>
      </c>
      <c r="H748" s="9" t="b">
        <f aca="false">G748&gt;E748</f>
        <v>0</v>
      </c>
      <c r="I748" s="9" t="b">
        <f aca="false">C748&lt;&gt;B748</f>
        <v>0</v>
      </c>
      <c r="J748" s="3" t="n">
        <f aca="false">SUMIFS('Futures Data'!$C$5:$C$3471,'Futures Data'!$A$5:$A$3471,A748,'Futures Data'!$B$5:$B$3471,B748)</f>
        <v>7040</v>
      </c>
      <c r="K748" s="3" t="n">
        <f aca="false">SUMIFS('Futures Data'!$C$5:$C$3471,'Futures Data'!$A$5:$A$3471,A748,'Futures Data'!$B$5:$B$3471,C748)</f>
        <v>7040</v>
      </c>
      <c r="L748" s="3" t="n">
        <f aca="false">K748-J748</f>
        <v>0</v>
      </c>
      <c r="M748" s="3" t="n">
        <f aca="false">M749+L748</f>
        <v>198</v>
      </c>
      <c r="N748" s="3" t="n">
        <f aca="false">J748+M748</f>
        <v>7238</v>
      </c>
      <c r="O748" s="13" t="n">
        <f aca="false">LN(J748/K747)</f>
        <v>0.00241769299306769</v>
      </c>
      <c r="P748" s="13" t="n">
        <f aca="false">LN(N748/N747)</f>
        <v>0.002351477672506</v>
      </c>
      <c r="Q748" s="3" t="n">
        <f aca="false">SUMIFS('Futures Data'!$D$5:$D$3471,'Futures Data'!$A$5:$A$3471,A748,'Futures Data'!$B$5:$B$3471,B748)</f>
        <v>2700</v>
      </c>
      <c r="R748" s="7" t="n">
        <v>46254</v>
      </c>
      <c r="S748" s="9" t="b">
        <f aca="false">C748=R748</f>
        <v>1</v>
      </c>
      <c r="T748" s="9" t="b">
        <f aca="false">ABS(O748-LN(J748/SUMIFS('Futures Data'!$C$5:$C$3471,'Futures Data'!$A$5:$A$3471,A747,'Futures Data'!$B$5:$B$3471,B748)))&lt;0.000000001</f>
        <v>1</v>
      </c>
    </row>
    <row r="749" customFormat="false" ht="15" hidden="false" customHeight="false" outlineLevel="0" collapsed="false">
      <c r="A749" s="7" t="n">
        <v>46233</v>
      </c>
      <c r="B749" s="11" t="n">
        <f aca="false">C748</f>
        <v>46254</v>
      </c>
      <c r="C749" s="11" t="n">
        <f aca="false">IF(OR(H748,D749&lt;=$G$4),_xlfn.MINIFS('Futures Data'!$B$5:$B$3471,'Futures Data'!$A$5:$A$3471,A749,'Futures Data'!$B$5:$B$3471,"&gt;"&amp;B749),B749)</f>
        <v>46254</v>
      </c>
      <c r="D749" s="3" t="n">
        <f aca="false">COUNTIFS($A$47:$A$790,"&gt;"&amp;A749,$A$47:$A$790,"&lt;="&amp;B749)+IF(B749&gt;$G$5,NETWORKDAYS($G$5+1,B749),0)</f>
        <v>15</v>
      </c>
      <c r="E749" s="3" t="n">
        <f aca="false">SUMIFS('Futures Data'!$E$5:$E$3471,'Futures Data'!$A$5:$A$3471,A749,'Futures Data'!$B$5:$B$3471,C749)</f>
        <v>27475</v>
      </c>
      <c r="F749" s="11" t="n">
        <f aca="false">_xlfn.MINIFS('Futures Data'!$B$5:$B$3471,'Futures Data'!$A$5:$A$3471,A749,'Futures Data'!$B$5:$B$3471,"&gt;"&amp;C749)</f>
        <v>46283</v>
      </c>
      <c r="G749" s="3" t="n">
        <f aca="false">SUMIFS('Futures Data'!$E$5:$E$3471,'Futures Data'!$A$5:$A$3471,A749,'Futures Data'!$B$5:$B$3471,F749)</f>
        <v>9435</v>
      </c>
      <c r="H749" s="9" t="b">
        <f aca="false">G749&gt;E749</f>
        <v>0</v>
      </c>
      <c r="I749" s="9" t="b">
        <f aca="false">C749&lt;&gt;B749</f>
        <v>0</v>
      </c>
      <c r="J749" s="3" t="n">
        <f aca="false">SUMIFS('Futures Data'!$C$5:$C$3471,'Futures Data'!$A$5:$A$3471,A749,'Futures Data'!$B$5:$B$3471,B749)</f>
        <v>7038</v>
      </c>
      <c r="K749" s="3" t="n">
        <f aca="false">SUMIFS('Futures Data'!$C$5:$C$3471,'Futures Data'!$A$5:$A$3471,A749,'Futures Data'!$B$5:$B$3471,C749)</f>
        <v>7038</v>
      </c>
      <c r="L749" s="3" t="n">
        <f aca="false">K749-J749</f>
        <v>0</v>
      </c>
      <c r="M749" s="3" t="n">
        <f aca="false">M750+L749</f>
        <v>198</v>
      </c>
      <c r="N749" s="3" t="n">
        <f aca="false">J749+M749</f>
        <v>7236</v>
      </c>
      <c r="O749" s="13" t="n">
        <f aca="false">LN(J749/K748)</f>
        <v>-0.000284131270557585</v>
      </c>
      <c r="P749" s="13" t="n">
        <f aca="false">LN(N749/N748)</f>
        <v>-0.000276357608502031</v>
      </c>
      <c r="Q749" s="3" t="n">
        <f aca="false">SUMIFS('Futures Data'!$D$5:$D$3471,'Futures Data'!$A$5:$A$3471,A749,'Futures Data'!$B$5:$B$3471,B749)</f>
        <v>5795</v>
      </c>
      <c r="R749" s="7" t="n">
        <v>46254</v>
      </c>
      <c r="S749" s="9" t="b">
        <f aca="false">C749=R749</f>
        <v>1</v>
      </c>
      <c r="T749" s="9" t="b">
        <f aca="false">ABS(O749-LN(J749/SUMIFS('Futures Data'!$C$5:$C$3471,'Futures Data'!$A$5:$A$3471,A748,'Futures Data'!$B$5:$B$3471,B749)))&lt;0.000000001</f>
        <v>1</v>
      </c>
    </row>
    <row r="750" customFormat="false" ht="15" hidden="false" customHeight="false" outlineLevel="0" collapsed="false">
      <c r="A750" s="7" t="n">
        <v>46234</v>
      </c>
      <c r="B750" s="11" t="n">
        <f aca="false">C749</f>
        <v>46254</v>
      </c>
      <c r="C750" s="11" t="n">
        <f aca="false">IF(OR(H749,D750&lt;=$G$4),_xlfn.MINIFS('Futures Data'!$B$5:$B$3471,'Futures Data'!$A$5:$A$3471,A750,'Futures Data'!$B$5:$B$3471,"&gt;"&amp;B750),B750)</f>
        <v>46254</v>
      </c>
      <c r="D750" s="3" t="n">
        <f aca="false">COUNTIFS($A$47:$A$790,"&gt;"&amp;A750,$A$47:$A$790,"&lt;="&amp;B750)+IF(B750&gt;$G$5,NETWORKDAYS($G$5+1,B750),0)</f>
        <v>14</v>
      </c>
      <c r="E750" s="3" t="n">
        <f aca="false">SUMIFS('Futures Data'!$E$5:$E$3471,'Futures Data'!$A$5:$A$3471,A750,'Futures Data'!$B$5:$B$3471,C750)</f>
        <v>26510</v>
      </c>
      <c r="F750" s="11" t="n">
        <f aca="false">_xlfn.MINIFS('Futures Data'!$B$5:$B$3471,'Futures Data'!$A$5:$A$3471,A750,'Futures Data'!$B$5:$B$3471,"&gt;"&amp;C750)</f>
        <v>46283</v>
      </c>
      <c r="G750" s="3" t="n">
        <f aca="false">SUMIFS('Futures Data'!$E$5:$E$3471,'Futures Data'!$A$5:$A$3471,A750,'Futures Data'!$B$5:$B$3471,F750)</f>
        <v>10895</v>
      </c>
      <c r="H750" s="9" t="b">
        <f aca="false">G750&gt;E750</f>
        <v>0</v>
      </c>
      <c r="I750" s="9" t="b">
        <f aca="false">C750&lt;&gt;B750</f>
        <v>0</v>
      </c>
      <c r="J750" s="3" t="n">
        <f aca="false">SUMIFS('Futures Data'!$C$5:$C$3471,'Futures Data'!$A$5:$A$3471,A750,'Futures Data'!$B$5:$B$3471,B750)</f>
        <v>7035</v>
      </c>
      <c r="K750" s="3" t="n">
        <f aca="false">SUMIFS('Futures Data'!$C$5:$C$3471,'Futures Data'!$A$5:$A$3471,A750,'Futures Data'!$B$5:$B$3471,C750)</f>
        <v>7035</v>
      </c>
      <c r="L750" s="3" t="n">
        <f aca="false">K750-J750</f>
        <v>0</v>
      </c>
      <c r="M750" s="3" t="n">
        <f aca="false">M751+L750</f>
        <v>198</v>
      </c>
      <c r="N750" s="3" t="n">
        <f aca="false">J750+M750</f>
        <v>7233</v>
      </c>
      <c r="O750" s="13" t="n">
        <f aca="false">LN(J750/K749)</f>
        <v>-0.000426348333041021</v>
      </c>
      <c r="P750" s="13" t="n">
        <f aca="false">LN(N750/N749)</f>
        <v>-0.000414679665904982</v>
      </c>
      <c r="Q750" s="3" t="n">
        <f aca="false">SUMIFS('Futures Data'!$D$5:$D$3471,'Futures Data'!$A$5:$A$3471,A750,'Futures Data'!$B$5:$B$3471,B750)</f>
        <v>5355</v>
      </c>
      <c r="R750" s="7" t="n">
        <v>46254</v>
      </c>
      <c r="S750" s="9" t="b">
        <f aca="false">C750=R750</f>
        <v>1</v>
      </c>
      <c r="T750" s="9" t="b">
        <f aca="false">ABS(O750-LN(J750/SUMIFS('Futures Data'!$C$5:$C$3471,'Futures Data'!$A$5:$A$3471,A749,'Futures Data'!$B$5:$B$3471,B750)))&lt;0.000000001</f>
        <v>1</v>
      </c>
    </row>
    <row r="751" customFormat="false" ht="15" hidden="false" customHeight="false" outlineLevel="0" collapsed="false">
      <c r="A751" s="7" t="n">
        <v>46237</v>
      </c>
      <c r="B751" s="11" t="n">
        <f aca="false">C750</f>
        <v>46254</v>
      </c>
      <c r="C751" s="11" t="n">
        <f aca="false">IF(OR(H750,D751&lt;=$G$4),_xlfn.MINIFS('Futures Data'!$B$5:$B$3471,'Futures Data'!$A$5:$A$3471,A751,'Futures Data'!$B$5:$B$3471,"&gt;"&amp;B751),B751)</f>
        <v>46254</v>
      </c>
      <c r="D751" s="3" t="n">
        <f aca="false">COUNTIFS($A$47:$A$790,"&gt;"&amp;A751,$A$47:$A$790,"&lt;="&amp;B751)+IF(B751&gt;$G$5,NETWORKDAYS($G$5+1,B751),0)</f>
        <v>13</v>
      </c>
      <c r="E751" s="3" t="n">
        <f aca="false">SUMIFS('Futures Data'!$E$5:$E$3471,'Futures Data'!$A$5:$A$3471,A751,'Futures Data'!$B$5:$B$3471,C751)</f>
        <v>24245</v>
      </c>
      <c r="F751" s="11" t="n">
        <f aca="false">_xlfn.MINIFS('Futures Data'!$B$5:$B$3471,'Futures Data'!$A$5:$A$3471,A751,'Futures Data'!$B$5:$B$3471,"&gt;"&amp;C751)</f>
        <v>46283</v>
      </c>
      <c r="G751" s="3" t="n">
        <f aca="false">SUMIFS('Futures Data'!$E$5:$E$3471,'Futures Data'!$A$5:$A$3471,A751,'Futures Data'!$B$5:$B$3471,F751)</f>
        <v>15675</v>
      </c>
      <c r="H751" s="9" t="b">
        <f aca="false">G751&gt;E751</f>
        <v>0</v>
      </c>
      <c r="I751" s="9" t="b">
        <f aca="false">C751&lt;&gt;B751</f>
        <v>0</v>
      </c>
      <c r="J751" s="3" t="n">
        <f aca="false">SUMIFS('Futures Data'!$C$5:$C$3471,'Futures Data'!$A$5:$A$3471,A751,'Futures Data'!$B$5:$B$3471,B751)</f>
        <v>7065</v>
      </c>
      <c r="K751" s="3" t="n">
        <f aca="false">SUMIFS('Futures Data'!$C$5:$C$3471,'Futures Data'!$A$5:$A$3471,A751,'Futures Data'!$B$5:$B$3471,C751)</f>
        <v>7065</v>
      </c>
      <c r="L751" s="3" t="n">
        <f aca="false">K751-J751</f>
        <v>0</v>
      </c>
      <c r="M751" s="3" t="n">
        <f aca="false">M752+L751</f>
        <v>198</v>
      </c>
      <c r="N751" s="3" t="n">
        <f aca="false">J751+M751</f>
        <v>7263</v>
      </c>
      <c r="O751" s="13" t="n">
        <f aca="false">LN(J751/K750)</f>
        <v>0.00425532557013849</v>
      </c>
      <c r="P751" s="13" t="n">
        <f aca="false">LN(N751/N750)</f>
        <v>0.00413907875688748</v>
      </c>
      <c r="Q751" s="3" t="n">
        <f aca="false">SUMIFS('Futures Data'!$D$5:$D$3471,'Futures Data'!$A$5:$A$3471,A751,'Futures Data'!$B$5:$B$3471,B751)</f>
        <v>6415</v>
      </c>
      <c r="R751" s="7" t="n">
        <v>46254</v>
      </c>
      <c r="S751" s="9" t="b">
        <f aca="false">C751=R751</f>
        <v>1</v>
      </c>
      <c r="T751" s="9" t="b">
        <f aca="false">ABS(O751-LN(J751/SUMIFS('Futures Data'!$C$5:$C$3471,'Futures Data'!$A$5:$A$3471,A750,'Futures Data'!$B$5:$B$3471,B751)))&lt;0.000000001</f>
        <v>1</v>
      </c>
    </row>
    <row r="752" customFormat="false" ht="15" hidden="false" customHeight="false" outlineLevel="0" collapsed="false">
      <c r="A752" s="7" t="n">
        <v>46238</v>
      </c>
      <c r="B752" s="11" t="n">
        <f aca="false">C751</f>
        <v>46254</v>
      </c>
      <c r="C752" s="11" t="n">
        <f aca="false">IF(OR(H751,D752&lt;=$G$4),_xlfn.MINIFS('Futures Data'!$B$5:$B$3471,'Futures Data'!$A$5:$A$3471,A752,'Futures Data'!$B$5:$B$3471,"&gt;"&amp;B752),B752)</f>
        <v>46254</v>
      </c>
      <c r="D752" s="3" t="n">
        <f aca="false">COUNTIFS($A$47:$A$790,"&gt;"&amp;A752,$A$47:$A$790,"&lt;="&amp;B752)+IF(B752&gt;$G$5,NETWORKDAYS($G$5+1,B752),0)</f>
        <v>12</v>
      </c>
      <c r="E752" s="3" t="n">
        <f aca="false">SUMIFS('Futures Data'!$E$5:$E$3471,'Futures Data'!$A$5:$A$3471,A752,'Futures Data'!$B$5:$B$3471,C752)</f>
        <v>20970</v>
      </c>
      <c r="F752" s="11" t="n">
        <f aca="false">_xlfn.MINIFS('Futures Data'!$B$5:$B$3471,'Futures Data'!$A$5:$A$3471,A752,'Futures Data'!$B$5:$B$3471,"&gt;"&amp;C752)</f>
        <v>46283</v>
      </c>
      <c r="G752" s="3" t="n">
        <f aca="false">SUMIFS('Futures Data'!$E$5:$E$3471,'Futures Data'!$A$5:$A$3471,A752,'Futures Data'!$B$5:$B$3471,F752)</f>
        <v>19520</v>
      </c>
      <c r="H752" s="9" t="b">
        <f aca="false">G752&gt;E752</f>
        <v>0</v>
      </c>
      <c r="I752" s="9" t="b">
        <f aca="false">C752&lt;&gt;B752</f>
        <v>0</v>
      </c>
      <c r="J752" s="3" t="n">
        <f aca="false">SUMIFS('Futures Data'!$C$5:$C$3471,'Futures Data'!$A$5:$A$3471,A752,'Futures Data'!$B$5:$B$3471,B752)</f>
        <v>7094</v>
      </c>
      <c r="K752" s="3" t="n">
        <f aca="false">SUMIFS('Futures Data'!$C$5:$C$3471,'Futures Data'!$A$5:$A$3471,A752,'Futures Data'!$B$5:$B$3471,C752)</f>
        <v>7094</v>
      </c>
      <c r="L752" s="3" t="n">
        <f aca="false">K752-J752</f>
        <v>0</v>
      </c>
      <c r="M752" s="3" t="n">
        <f aca="false">M753+L752</f>
        <v>198</v>
      </c>
      <c r="N752" s="3" t="n">
        <f aca="false">J752+M752</f>
        <v>7292</v>
      </c>
      <c r="O752" s="13" t="n">
        <f aca="false">LN(J752/K751)</f>
        <v>0.0040963402149394</v>
      </c>
      <c r="P752" s="13" t="n">
        <f aca="false">LN(N752/N751)</f>
        <v>0.00398489019238551</v>
      </c>
      <c r="Q752" s="3" t="n">
        <f aca="false">SUMIFS('Futures Data'!$D$5:$D$3471,'Futures Data'!$A$5:$A$3471,A752,'Futures Data'!$B$5:$B$3471,B752)</f>
        <v>6660</v>
      </c>
      <c r="R752" s="7" t="n">
        <v>46254</v>
      </c>
      <c r="S752" s="9" t="b">
        <f aca="false">C752=R752</f>
        <v>1</v>
      </c>
      <c r="T752" s="9" t="b">
        <f aca="false">ABS(O752-LN(J752/SUMIFS('Futures Data'!$C$5:$C$3471,'Futures Data'!$A$5:$A$3471,A751,'Futures Data'!$B$5:$B$3471,B752)))&lt;0.000000001</f>
        <v>1</v>
      </c>
    </row>
    <row r="753" customFormat="false" ht="15" hidden="false" customHeight="false" outlineLevel="0" collapsed="false">
      <c r="A753" s="7" t="n">
        <v>46239</v>
      </c>
      <c r="B753" s="11" t="n">
        <f aca="false">C752</f>
        <v>46254</v>
      </c>
      <c r="C753" s="11" t="n">
        <f aca="false">IF(OR(H752,D753&lt;=$G$4),_xlfn.MINIFS('Futures Data'!$B$5:$B$3471,'Futures Data'!$A$5:$A$3471,A753,'Futures Data'!$B$5:$B$3471,"&gt;"&amp;B753),B753)</f>
        <v>46254</v>
      </c>
      <c r="D753" s="3" t="n">
        <f aca="false">COUNTIFS($A$47:$A$790,"&gt;"&amp;A753,$A$47:$A$790,"&lt;="&amp;B753)+IF(B753&gt;$G$5,NETWORKDAYS($G$5+1,B753),0)</f>
        <v>11</v>
      </c>
      <c r="E753" s="3" t="n">
        <f aca="false">SUMIFS('Futures Data'!$E$5:$E$3471,'Futures Data'!$A$5:$A$3471,A753,'Futures Data'!$B$5:$B$3471,C753)</f>
        <v>17430</v>
      </c>
      <c r="F753" s="11" t="n">
        <f aca="false">_xlfn.MINIFS('Futures Data'!$B$5:$B$3471,'Futures Data'!$A$5:$A$3471,A753,'Futures Data'!$B$5:$B$3471,"&gt;"&amp;C753)</f>
        <v>46283</v>
      </c>
      <c r="G753" s="3" t="n">
        <f aca="false">SUMIFS('Futures Data'!$E$5:$E$3471,'Futures Data'!$A$5:$A$3471,A753,'Futures Data'!$B$5:$B$3471,F753)</f>
        <v>24265</v>
      </c>
      <c r="H753" s="9" t="b">
        <f aca="false">G753&gt;E753</f>
        <v>1</v>
      </c>
      <c r="I753" s="9" t="b">
        <f aca="false">C753&lt;&gt;B753</f>
        <v>0</v>
      </c>
      <c r="J753" s="3" t="n">
        <f aca="false">SUMIFS('Futures Data'!$C$5:$C$3471,'Futures Data'!$A$5:$A$3471,A753,'Futures Data'!$B$5:$B$3471,B753)</f>
        <v>7135</v>
      </c>
      <c r="K753" s="3" t="n">
        <f aca="false">SUMIFS('Futures Data'!$C$5:$C$3471,'Futures Data'!$A$5:$A$3471,A753,'Futures Data'!$B$5:$B$3471,C753)</f>
        <v>7135</v>
      </c>
      <c r="L753" s="3" t="n">
        <f aca="false">K753-J753</f>
        <v>0</v>
      </c>
      <c r="M753" s="3" t="n">
        <f aca="false">M754+L753</f>
        <v>198</v>
      </c>
      <c r="N753" s="3" t="n">
        <f aca="false">J753+M753</f>
        <v>7333</v>
      </c>
      <c r="O753" s="13" t="n">
        <f aca="false">LN(J753/K752)</f>
        <v>0.00576289457736963</v>
      </c>
      <c r="P753" s="13" t="n">
        <f aca="false">LN(N753/N752)</f>
        <v>0.00560685229524586</v>
      </c>
      <c r="Q753" s="3" t="n">
        <f aca="false">SUMIFS('Futures Data'!$D$5:$D$3471,'Futures Data'!$A$5:$A$3471,A753,'Futures Data'!$B$5:$B$3471,B753)</f>
        <v>7075</v>
      </c>
      <c r="R753" s="7" t="n">
        <v>46254</v>
      </c>
      <c r="S753" s="9" t="b">
        <f aca="false">C753=R753</f>
        <v>1</v>
      </c>
      <c r="T753" s="9" t="b">
        <f aca="false">ABS(O753-LN(J753/SUMIFS('Futures Data'!$C$5:$C$3471,'Futures Data'!$A$5:$A$3471,A752,'Futures Data'!$B$5:$B$3471,B753)))&lt;0.000000001</f>
        <v>1</v>
      </c>
    </row>
    <row r="754" customFormat="false" ht="15" hidden="false" customHeight="false" outlineLevel="0" collapsed="false">
      <c r="A754" s="7" t="n">
        <v>46240</v>
      </c>
      <c r="B754" s="11" t="n">
        <f aca="false">C753</f>
        <v>46254</v>
      </c>
      <c r="C754" s="11" t="n">
        <f aca="false">IF(OR(H753,D754&lt;=$G$4),_xlfn.MINIFS('Futures Data'!$B$5:$B$3471,'Futures Data'!$A$5:$A$3471,A754,'Futures Data'!$B$5:$B$3471,"&gt;"&amp;B754),B754)</f>
        <v>46283</v>
      </c>
      <c r="D754" s="3" t="n">
        <f aca="false">COUNTIFS($A$47:$A$790,"&gt;"&amp;A754,$A$47:$A$790,"&lt;="&amp;B754)+IF(B754&gt;$G$5,NETWORKDAYS($G$5+1,B754),0)</f>
        <v>10</v>
      </c>
      <c r="E754" s="3" t="n">
        <f aca="false">SUMIFS('Futures Data'!$E$5:$E$3471,'Futures Data'!$A$5:$A$3471,A754,'Futures Data'!$B$5:$B$3471,C754)</f>
        <v>25860</v>
      </c>
      <c r="F754" s="11" t="n">
        <f aca="false">_xlfn.MINIFS('Futures Data'!$B$5:$B$3471,'Futures Data'!$A$5:$A$3471,A754,'Futures Data'!$B$5:$B$3471,"&gt;"&amp;C754)</f>
        <v>46311</v>
      </c>
      <c r="G754" s="3" t="n">
        <f aca="false">SUMIFS('Futures Data'!$E$5:$E$3471,'Futures Data'!$A$5:$A$3471,A754,'Futures Data'!$B$5:$B$3471,F754)</f>
        <v>0</v>
      </c>
      <c r="H754" s="9" t="b">
        <f aca="false">G754&gt;E754</f>
        <v>0</v>
      </c>
      <c r="I754" s="9" t="b">
        <f aca="false">C754&lt;&gt;B754</f>
        <v>1</v>
      </c>
      <c r="J754" s="3" t="n">
        <f aca="false">SUMIFS('Futures Data'!$C$5:$C$3471,'Futures Data'!$A$5:$A$3471,A754,'Futures Data'!$B$5:$B$3471,B754)</f>
        <v>7131</v>
      </c>
      <c r="K754" s="3" t="n">
        <f aca="false">SUMIFS('Futures Data'!$C$5:$C$3471,'Futures Data'!$A$5:$A$3471,A754,'Futures Data'!$B$5:$B$3471,C754)</f>
        <v>7212</v>
      </c>
      <c r="L754" s="3" t="n">
        <f aca="false">K754-J754</f>
        <v>81</v>
      </c>
      <c r="M754" s="3" t="n">
        <f aca="false">M755+L754</f>
        <v>198</v>
      </c>
      <c r="N754" s="3" t="n">
        <f aca="false">J754+M754</f>
        <v>7329</v>
      </c>
      <c r="O754" s="13" t="n">
        <f aca="false">LN(J754/K753)</f>
        <v>-0.000560773882633167</v>
      </c>
      <c r="P754" s="13" t="n">
        <f aca="false">LN(N754/N753)</f>
        <v>-0.00054562816794931</v>
      </c>
      <c r="Q754" s="3" t="n">
        <f aca="false">SUMIFS('Futures Data'!$D$5:$D$3471,'Futures Data'!$A$5:$A$3471,A754,'Futures Data'!$B$5:$B$3471,B754)</f>
        <v>3870</v>
      </c>
      <c r="R754" s="7" t="n">
        <v>46283</v>
      </c>
      <c r="S754" s="9" t="b">
        <f aca="false">C754=R754</f>
        <v>1</v>
      </c>
      <c r="T754" s="9" t="b">
        <f aca="false">ABS(O754-LN(J754/SUMIFS('Futures Data'!$C$5:$C$3471,'Futures Data'!$A$5:$A$3471,A753,'Futures Data'!$B$5:$B$3471,B754)))&lt;0.000000001</f>
        <v>1</v>
      </c>
    </row>
    <row r="755" customFormat="false" ht="15" hidden="false" customHeight="false" outlineLevel="0" collapsed="false">
      <c r="A755" s="7" t="n">
        <v>46241</v>
      </c>
      <c r="B755" s="11" t="n">
        <f aca="false">C754</f>
        <v>46283</v>
      </c>
      <c r="C755" s="11" t="n">
        <f aca="false">IF(OR(H754,D755&lt;=$G$4),_xlfn.MINIFS('Futures Data'!$B$5:$B$3471,'Futures Data'!$A$5:$A$3471,A755,'Futures Data'!$B$5:$B$3471,"&gt;"&amp;B755),B755)</f>
        <v>46283</v>
      </c>
      <c r="D755" s="3" t="n">
        <f aca="false">COUNTIFS($A$47:$A$790,"&gt;"&amp;A755,$A$47:$A$790,"&lt;="&amp;B755)+IF(B755&gt;$G$5,NETWORKDAYS($G$5+1,B755),0)</f>
        <v>29</v>
      </c>
      <c r="E755" s="3" t="n">
        <f aca="false">SUMIFS('Futures Data'!$E$5:$E$3471,'Futures Data'!$A$5:$A$3471,A755,'Futures Data'!$B$5:$B$3471,C755)</f>
        <v>26535</v>
      </c>
      <c r="F755" s="11" t="n">
        <f aca="false">_xlfn.MINIFS('Futures Data'!$B$5:$B$3471,'Futures Data'!$A$5:$A$3471,A755,'Futures Data'!$B$5:$B$3471,"&gt;"&amp;C755)</f>
        <v>46311</v>
      </c>
      <c r="G755" s="3" t="n">
        <f aca="false">SUMIFS('Futures Data'!$E$5:$E$3471,'Futures Data'!$A$5:$A$3471,A755,'Futures Data'!$B$5:$B$3471,F755)</f>
        <v>5</v>
      </c>
      <c r="H755" s="9" t="b">
        <f aca="false">G755&gt;E755</f>
        <v>0</v>
      </c>
      <c r="I755" s="9" t="b">
        <f aca="false">C755&lt;&gt;B755</f>
        <v>0</v>
      </c>
      <c r="J755" s="3" t="n">
        <f aca="false">SUMIFS('Futures Data'!$C$5:$C$3471,'Futures Data'!$A$5:$A$3471,A755,'Futures Data'!$B$5:$B$3471,B755)</f>
        <v>7193</v>
      </c>
      <c r="K755" s="3" t="n">
        <f aca="false">SUMIFS('Futures Data'!$C$5:$C$3471,'Futures Data'!$A$5:$A$3471,A755,'Futures Data'!$B$5:$B$3471,C755)</f>
        <v>7193</v>
      </c>
      <c r="L755" s="3" t="n">
        <f aca="false">K755-J755</f>
        <v>0</v>
      </c>
      <c r="M755" s="3" t="n">
        <f aca="false">M756+L755</f>
        <v>117</v>
      </c>
      <c r="N755" s="3" t="n">
        <f aca="false">J755+M755</f>
        <v>7310</v>
      </c>
      <c r="O755" s="13" t="n">
        <f aca="false">LN(J755/K754)</f>
        <v>-0.00263797445585167</v>
      </c>
      <c r="P755" s="13" t="n">
        <f aca="false">LN(N755/N754)</f>
        <v>-0.002595807182026</v>
      </c>
      <c r="Q755" s="3" t="n">
        <f aca="false">SUMIFS('Futures Data'!$D$5:$D$3471,'Futures Data'!$A$5:$A$3471,A755,'Futures Data'!$B$5:$B$3471,B755)</f>
        <v>4505</v>
      </c>
      <c r="R755" s="7" t="n">
        <v>46283</v>
      </c>
      <c r="S755" s="9" t="b">
        <f aca="false">C755=R755</f>
        <v>1</v>
      </c>
      <c r="T755" s="9" t="b">
        <f aca="false">ABS(O755-LN(J755/SUMIFS('Futures Data'!$C$5:$C$3471,'Futures Data'!$A$5:$A$3471,A754,'Futures Data'!$B$5:$B$3471,B755)))&lt;0.000000001</f>
        <v>1</v>
      </c>
    </row>
    <row r="756" customFormat="false" ht="15" hidden="false" customHeight="false" outlineLevel="0" collapsed="false">
      <c r="A756" s="7" t="n">
        <v>46244</v>
      </c>
      <c r="B756" s="11" t="n">
        <f aca="false">C755</f>
        <v>46283</v>
      </c>
      <c r="C756" s="11" t="n">
        <f aca="false">IF(OR(H755,D756&lt;=$G$4),_xlfn.MINIFS('Futures Data'!$B$5:$B$3471,'Futures Data'!$A$5:$A$3471,A756,'Futures Data'!$B$5:$B$3471,"&gt;"&amp;B756),B756)</f>
        <v>46283</v>
      </c>
      <c r="D756" s="3" t="n">
        <f aca="false">COUNTIFS($A$47:$A$790,"&gt;"&amp;A756,$A$47:$A$790,"&lt;="&amp;B756)+IF(B756&gt;$G$5,NETWORKDAYS($G$5+1,B756),0)</f>
        <v>28</v>
      </c>
      <c r="E756" s="3" t="n">
        <f aca="false">SUMIFS('Futures Data'!$E$5:$E$3471,'Futures Data'!$A$5:$A$3471,A756,'Futures Data'!$B$5:$B$3471,C756)</f>
        <v>29210</v>
      </c>
      <c r="F756" s="11" t="n">
        <f aca="false">_xlfn.MINIFS('Futures Data'!$B$5:$B$3471,'Futures Data'!$A$5:$A$3471,A756,'Futures Data'!$B$5:$B$3471,"&gt;"&amp;C756)</f>
        <v>46311</v>
      </c>
      <c r="G756" s="3" t="n">
        <f aca="false">SUMIFS('Futures Data'!$E$5:$E$3471,'Futures Data'!$A$5:$A$3471,A756,'Futures Data'!$B$5:$B$3471,F756)</f>
        <v>5</v>
      </c>
      <c r="H756" s="9" t="b">
        <f aca="false">G756&gt;E756</f>
        <v>0</v>
      </c>
      <c r="I756" s="9" t="b">
        <f aca="false">C756&lt;&gt;B756</f>
        <v>0</v>
      </c>
      <c r="J756" s="3" t="n">
        <f aca="false">SUMIFS('Futures Data'!$C$5:$C$3471,'Futures Data'!$A$5:$A$3471,A756,'Futures Data'!$B$5:$B$3471,B756)</f>
        <v>7198</v>
      </c>
      <c r="K756" s="3" t="n">
        <f aca="false">SUMIFS('Futures Data'!$C$5:$C$3471,'Futures Data'!$A$5:$A$3471,A756,'Futures Data'!$B$5:$B$3471,C756)</f>
        <v>7198</v>
      </c>
      <c r="L756" s="3" t="n">
        <f aca="false">K756-J756</f>
        <v>0</v>
      </c>
      <c r="M756" s="3" t="n">
        <f aca="false">M757+L756</f>
        <v>117</v>
      </c>
      <c r="N756" s="3" t="n">
        <f aca="false">J756+M756</f>
        <v>7315</v>
      </c>
      <c r="O756" s="13" t="n">
        <f aca="false">LN(J756/K755)</f>
        <v>0.000694878771619853</v>
      </c>
      <c r="P756" s="13" t="n">
        <f aca="false">LN(N756/N755)</f>
        <v>0.000683760710400406</v>
      </c>
      <c r="Q756" s="3" t="n">
        <f aca="false">SUMIFS('Futures Data'!$D$5:$D$3471,'Futures Data'!$A$5:$A$3471,A756,'Futures Data'!$B$5:$B$3471,B756)</f>
        <v>5785</v>
      </c>
      <c r="R756" s="7" t="n">
        <v>46283</v>
      </c>
      <c r="S756" s="9" t="b">
        <f aca="false">C756=R756</f>
        <v>1</v>
      </c>
      <c r="T756" s="9" t="b">
        <f aca="false">ABS(O756-LN(J756/SUMIFS('Futures Data'!$C$5:$C$3471,'Futures Data'!$A$5:$A$3471,A755,'Futures Data'!$B$5:$B$3471,B756)))&lt;0.000000001</f>
        <v>1</v>
      </c>
    </row>
    <row r="757" customFormat="false" ht="15" hidden="false" customHeight="false" outlineLevel="0" collapsed="false">
      <c r="A757" s="7" t="n">
        <v>46245</v>
      </c>
      <c r="B757" s="11" t="n">
        <f aca="false">C756</f>
        <v>46283</v>
      </c>
      <c r="C757" s="11" t="n">
        <f aca="false">IF(OR(H756,D757&lt;=$G$4),_xlfn.MINIFS('Futures Data'!$B$5:$B$3471,'Futures Data'!$A$5:$A$3471,A757,'Futures Data'!$B$5:$B$3471,"&gt;"&amp;B757),B757)</f>
        <v>46283</v>
      </c>
      <c r="D757" s="3" t="n">
        <f aca="false">COUNTIFS($A$47:$A$790,"&gt;"&amp;A757,$A$47:$A$790,"&lt;="&amp;B757)+IF(B757&gt;$G$5,NETWORKDAYS($G$5+1,B757),0)</f>
        <v>27</v>
      </c>
      <c r="E757" s="3" t="n">
        <f aca="false">SUMIFS('Futures Data'!$E$5:$E$3471,'Futures Data'!$A$5:$A$3471,A757,'Futures Data'!$B$5:$B$3471,C757)</f>
        <v>32820</v>
      </c>
      <c r="F757" s="11" t="n">
        <f aca="false">_xlfn.MINIFS('Futures Data'!$B$5:$B$3471,'Futures Data'!$A$5:$A$3471,A757,'Futures Data'!$B$5:$B$3471,"&gt;"&amp;C757)</f>
        <v>46311</v>
      </c>
      <c r="G757" s="3" t="n">
        <f aca="false">SUMIFS('Futures Data'!$E$5:$E$3471,'Futures Data'!$A$5:$A$3471,A757,'Futures Data'!$B$5:$B$3471,F757)</f>
        <v>15</v>
      </c>
      <c r="H757" s="9" t="b">
        <f aca="false">G757&gt;E757</f>
        <v>0</v>
      </c>
      <c r="I757" s="9" t="b">
        <f aca="false">C757&lt;&gt;B757</f>
        <v>0</v>
      </c>
      <c r="J757" s="3" t="n">
        <f aca="false">SUMIFS('Futures Data'!$C$5:$C$3471,'Futures Data'!$A$5:$A$3471,A757,'Futures Data'!$B$5:$B$3471,B757)</f>
        <v>7223</v>
      </c>
      <c r="K757" s="3" t="n">
        <f aca="false">SUMIFS('Futures Data'!$C$5:$C$3471,'Futures Data'!$A$5:$A$3471,A757,'Futures Data'!$B$5:$B$3471,C757)</f>
        <v>7223</v>
      </c>
      <c r="L757" s="3" t="n">
        <f aca="false">K757-J757</f>
        <v>0</v>
      </c>
      <c r="M757" s="3" t="n">
        <f aca="false">M758+L757</f>
        <v>117</v>
      </c>
      <c r="N757" s="3" t="n">
        <f aca="false">J757+M757</f>
        <v>7340</v>
      </c>
      <c r="O757" s="13" t="n">
        <f aca="false">LN(J757/K756)</f>
        <v>0.00346716941187091</v>
      </c>
      <c r="P757" s="13" t="n">
        <f aca="false">LN(N757/N756)</f>
        <v>0.00341180815433665</v>
      </c>
      <c r="Q757" s="3" t="n">
        <f aca="false">SUMIFS('Futures Data'!$D$5:$D$3471,'Futures Data'!$A$5:$A$3471,A757,'Futures Data'!$B$5:$B$3471,B757)</f>
        <v>6500</v>
      </c>
      <c r="R757" s="7" t="n">
        <v>46283</v>
      </c>
      <c r="S757" s="9" t="b">
        <f aca="false">C757=R757</f>
        <v>1</v>
      </c>
      <c r="T757" s="9" t="b">
        <f aca="false">ABS(O757-LN(J757/SUMIFS('Futures Data'!$C$5:$C$3471,'Futures Data'!$A$5:$A$3471,A756,'Futures Data'!$B$5:$B$3471,B757)))&lt;0.000000001</f>
        <v>1</v>
      </c>
    </row>
    <row r="758" customFormat="false" ht="15" hidden="false" customHeight="false" outlineLevel="0" collapsed="false">
      <c r="A758" s="7" t="n">
        <v>46246</v>
      </c>
      <c r="B758" s="11" t="n">
        <f aca="false">C757</f>
        <v>46283</v>
      </c>
      <c r="C758" s="11" t="n">
        <f aca="false">IF(OR(H757,D758&lt;=$G$4),_xlfn.MINIFS('Futures Data'!$B$5:$B$3471,'Futures Data'!$A$5:$A$3471,A758,'Futures Data'!$B$5:$B$3471,"&gt;"&amp;B758),B758)</f>
        <v>46283</v>
      </c>
      <c r="D758" s="3" t="n">
        <f aca="false">COUNTIFS($A$47:$A$790,"&gt;"&amp;A758,$A$47:$A$790,"&lt;="&amp;B758)+IF(B758&gt;$G$5,NETWORKDAYS($G$5+1,B758),0)</f>
        <v>26</v>
      </c>
      <c r="E758" s="3" t="n">
        <f aca="false">SUMIFS('Futures Data'!$E$5:$E$3471,'Futures Data'!$A$5:$A$3471,A758,'Futures Data'!$B$5:$B$3471,C758)</f>
        <v>34295</v>
      </c>
      <c r="F758" s="11" t="n">
        <f aca="false">_xlfn.MINIFS('Futures Data'!$B$5:$B$3471,'Futures Data'!$A$5:$A$3471,A758,'Futures Data'!$B$5:$B$3471,"&gt;"&amp;C758)</f>
        <v>46311</v>
      </c>
      <c r="G758" s="3" t="n">
        <f aca="false">SUMIFS('Futures Data'!$E$5:$E$3471,'Futures Data'!$A$5:$A$3471,A758,'Futures Data'!$B$5:$B$3471,F758)</f>
        <v>55</v>
      </c>
      <c r="H758" s="9" t="b">
        <f aca="false">G758&gt;E758</f>
        <v>0</v>
      </c>
      <c r="I758" s="9" t="b">
        <f aca="false">C758&lt;&gt;B758</f>
        <v>0</v>
      </c>
      <c r="J758" s="3" t="n">
        <f aca="false">SUMIFS('Futures Data'!$C$5:$C$3471,'Futures Data'!$A$5:$A$3471,A758,'Futures Data'!$B$5:$B$3471,B758)</f>
        <v>7181</v>
      </c>
      <c r="K758" s="3" t="n">
        <f aca="false">SUMIFS('Futures Data'!$C$5:$C$3471,'Futures Data'!$A$5:$A$3471,A758,'Futures Data'!$B$5:$B$3471,C758)</f>
        <v>7181</v>
      </c>
      <c r="L758" s="3" t="n">
        <f aca="false">K758-J758</f>
        <v>0</v>
      </c>
      <c r="M758" s="3" t="n">
        <f aca="false">M759+L758</f>
        <v>117</v>
      </c>
      <c r="N758" s="3" t="n">
        <f aca="false">J758+M758</f>
        <v>7298</v>
      </c>
      <c r="O758" s="13" t="n">
        <f aca="false">LN(J758/K757)</f>
        <v>-0.00583172994052931</v>
      </c>
      <c r="P758" s="13" t="n">
        <f aca="false">LN(N758/N757)</f>
        <v>-0.00573850461216834</v>
      </c>
      <c r="Q758" s="3" t="n">
        <f aca="false">SUMIFS('Futures Data'!$D$5:$D$3471,'Futures Data'!$A$5:$A$3471,A758,'Futures Data'!$B$5:$B$3471,B758)</f>
        <v>5740</v>
      </c>
      <c r="R758" s="7" t="n">
        <v>46283</v>
      </c>
      <c r="S758" s="9" t="b">
        <f aca="false">C758=R758</f>
        <v>1</v>
      </c>
      <c r="T758" s="9" t="b">
        <f aca="false">ABS(O758-LN(J758/SUMIFS('Futures Data'!$C$5:$C$3471,'Futures Data'!$A$5:$A$3471,A757,'Futures Data'!$B$5:$B$3471,B758)))&lt;0.000000001</f>
        <v>1</v>
      </c>
    </row>
    <row r="759" customFormat="false" ht="15" hidden="false" customHeight="false" outlineLevel="0" collapsed="false">
      <c r="A759" s="7" t="n">
        <v>46247</v>
      </c>
      <c r="B759" s="11" t="n">
        <f aca="false">C758</f>
        <v>46283</v>
      </c>
      <c r="C759" s="11" t="n">
        <f aca="false">IF(OR(H758,D759&lt;=$G$4),_xlfn.MINIFS('Futures Data'!$B$5:$B$3471,'Futures Data'!$A$5:$A$3471,A759,'Futures Data'!$B$5:$B$3471,"&gt;"&amp;B759),B759)</f>
        <v>46283</v>
      </c>
      <c r="D759" s="3" t="n">
        <f aca="false">COUNTIFS($A$47:$A$790,"&gt;"&amp;A759,$A$47:$A$790,"&lt;="&amp;B759)+IF(B759&gt;$G$5,NETWORKDAYS($G$5+1,B759),0)</f>
        <v>25</v>
      </c>
      <c r="E759" s="3" t="n">
        <f aca="false">SUMIFS('Futures Data'!$E$5:$E$3471,'Futures Data'!$A$5:$A$3471,A759,'Futures Data'!$B$5:$B$3471,C759)</f>
        <v>34940</v>
      </c>
      <c r="F759" s="11" t="n">
        <f aca="false">_xlfn.MINIFS('Futures Data'!$B$5:$B$3471,'Futures Data'!$A$5:$A$3471,A759,'Futures Data'!$B$5:$B$3471,"&gt;"&amp;C759)</f>
        <v>46311</v>
      </c>
      <c r="G759" s="3" t="n">
        <f aca="false">SUMIFS('Futures Data'!$E$5:$E$3471,'Futures Data'!$A$5:$A$3471,A759,'Futures Data'!$B$5:$B$3471,F759)</f>
        <v>115</v>
      </c>
      <c r="H759" s="9" t="b">
        <f aca="false">G759&gt;E759</f>
        <v>0</v>
      </c>
      <c r="I759" s="9" t="b">
        <f aca="false">C759&lt;&gt;B759</f>
        <v>0</v>
      </c>
      <c r="J759" s="3" t="n">
        <f aca="false">SUMIFS('Futures Data'!$C$5:$C$3471,'Futures Data'!$A$5:$A$3471,A759,'Futures Data'!$B$5:$B$3471,B759)</f>
        <v>7164</v>
      </c>
      <c r="K759" s="3" t="n">
        <f aca="false">SUMIFS('Futures Data'!$C$5:$C$3471,'Futures Data'!$A$5:$A$3471,A759,'Futures Data'!$B$5:$B$3471,C759)</f>
        <v>7164</v>
      </c>
      <c r="L759" s="3" t="n">
        <f aca="false">K759-J759</f>
        <v>0</v>
      </c>
      <c r="M759" s="3" t="n">
        <f aca="false">M760+L759</f>
        <v>117</v>
      </c>
      <c r="N759" s="3" t="n">
        <f aca="false">J759+M759</f>
        <v>7281</v>
      </c>
      <c r="O759" s="13" t="n">
        <f aca="false">LN(J759/K758)</f>
        <v>-0.00237016492971508</v>
      </c>
      <c r="P759" s="13" t="n">
        <f aca="false">LN(N759/N758)</f>
        <v>-0.00233212260168184</v>
      </c>
      <c r="Q759" s="3" t="n">
        <f aca="false">SUMIFS('Futures Data'!$D$5:$D$3471,'Futures Data'!$A$5:$A$3471,A759,'Futures Data'!$B$5:$B$3471,B759)</f>
        <v>6505</v>
      </c>
      <c r="R759" s="7" t="n">
        <v>46283</v>
      </c>
      <c r="S759" s="9" t="b">
        <f aca="false">C759=R759</f>
        <v>1</v>
      </c>
      <c r="T759" s="9" t="b">
        <f aca="false">ABS(O759-LN(J759/SUMIFS('Futures Data'!$C$5:$C$3471,'Futures Data'!$A$5:$A$3471,A758,'Futures Data'!$B$5:$B$3471,B759)))&lt;0.000000001</f>
        <v>1</v>
      </c>
    </row>
    <row r="760" customFormat="false" ht="15" hidden="false" customHeight="false" outlineLevel="0" collapsed="false">
      <c r="A760" s="7" t="n">
        <v>46248</v>
      </c>
      <c r="B760" s="11" t="n">
        <f aca="false">C759</f>
        <v>46283</v>
      </c>
      <c r="C760" s="11" t="n">
        <f aca="false">IF(OR(H759,D760&lt;=$G$4),_xlfn.MINIFS('Futures Data'!$B$5:$B$3471,'Futures Data'!$A$5:$A$3471,A760,'Futures Data'!$B$5:$B$3471,"&gt;"&amp;B760),B760)</f>
        <v>46283</v>
      </c>
      <c r="D760" s="3" t="n">
        <f aca="false">COUNTIFS($A$47:$A$790,"&gt;"&amp;A760,$A$47:$A$790,"&lt;="&amp;B760)+IF(B760&gt;$G$5,NETWORKDAYS($G$5+1,B760),0)</f>
        <v>24</v>
      </c>
      <c r="E760" s="3" t="n">
        <f aca="false">SUMIFS('Futures Data'!$E$5:$E$3471,'Futures Data'!$A$5:$A$3471,A760,'Futures Data'!$B$5:$B$3471,C760)</f>
        <v>36150</v>
      </c>
      <c r="F760" s="11" t="n">
        <f aca="false">_xlfn.MINIFS('Futures Data'!$B$5:$B$3471,'Futures Data'!$A$5:$A$3471,A760,'Futures Data'!$B$5:$B$3471,"&gt;"&amp;C760)</f>
        <v>46311</v>
      </c>
      <c r="G760" s="3" t="n">
        <f aca="false">SUMIFS('Futures Data'!$E$5:$E$3471,'Futures Data'!$A$5:$A$3471,A760,'Futures Data'!$B$5:$B$3471,F760)</f>
        <v>125</v>
      </c>
      <c r="H760" s="9" t="b">
        <f aca="false">G760&gt;E760</f>
        <v>0</v>
      </c>
      <c r="I760" s="9" t="b">
        <f aca="false">C760&lt;&gt;B760</f>
        <v>0</v>
      </c>
      <c r="J760" s="3" t="n">
        <f aca="false">SUMIFS('Futures Data'!$C$5:$C$3471,'Futures Data'!$A$5:$A$3471,A760,'Futures Data'!$B$5:$B$3471,B760)</f>
        <v>7170</v>
      </c>
      <c r="K760" s="3" t="n">
        <f aca="false">SUMIFS('Futures Data'!$C$5:$C$3471,'Futures Data'!$A$5:$A$3471,A760,'Futures Data'!$B$5:$B$3471,C760)</f>
        <v>7170</v>
      </c>
      <c r="L760" s="3" t="n">
        <f aca="false">K760-J760</f>
        <v>0</v>
      </c>
      <c r="M760" s="3" t="n">
        <f aca="false">M761+L760</f>
        <v>117</v>
      </c>
      <c r="N760" s="3" t="n">
        <f aca="false">J760+M760</f>
        <v>7287</v>
      </c>
      <c r="O760" s="13" t="n">
        <f aca="false">LN(J760/K759)</f>
        <v>0.000837170413063557</v>
      </c>
      <c r="P760" s="13" t="n">
        <f aca="false">LN(N760/N759)</f>
        <v>0.000823723275571223</v>
      </c>
      <c r="Q760" s="3" t="n">
        <f aca="false">SUMIFS('Futures Data'!$D$5:$D$3471,'Futures Data'!$A$5:$A$3471,A760,'Futures Data'!$B$5:$B$3471,B760)</f>
        <v>2495</v>
      </c>
      <c r="R760" s="7" t="n">
        <v>46283</v>
      </c>
      <c r="S760" s="9" t="b">
        <f aca="false">C760=R760</f>
        <v>1</v>
      </c>
      <c r="T760" s="9" t="b">
        <f aca="false">ABS(O760-LN(J760/SUMIFS('Futures Data'!$C$5:$C$3471,'Futures Data'!$A$5:$A$3471,A759,'Futures Data'!$B$5:$B$3471,B760)))&lt;0.000000001</f>
        <v>1</v>
      </c>
    </row>
    <row r="761" customFormat="false" ht="15" hidden="false" customHeight="false" outlineLevel="0" collapsed="false">
      <c r="A761" s="7" t="n">
        <v>46251</v>
      </c>
      <c r="B761" s="11" t="n">
        <f aca="false">C760</f>
        <v>46283</v>
      </c>
      <c r="C761" s="11" t="n">
        <f aca="false">IF(OR(H760,D761&lt;=$G$4),_xlfn.MINIFS('Futures Data'!$B$5:$B$3471,'Futures Data'!$A$5:$A$3471,A761,'Futures Data'!$B$5:$B$3471,"&gt;"&amp;B761),B761)</f>
        <v>46283</v>
      </c>
      <c r="D761" s="3" t="n">
        <f aca="false">COUNTIFS($A$47:$A$790,"&gt;"&amp;A761,$A$47:$A$790,"&lt;="&amp;B761)+IF(B761&gt;$G$5,NETWORKDAYS($G$5+1,B761),0)</f>
        <v>23</v>
      </c>
      <c r="E761" s="3" t="n">
        <f aca="false">SUMIFS('Futures Data'!$E$5:$E$3471,'Futures Data'!$A$5:$A$3471,A761,'Futures Data'!$B$5:$B$3471,C761)</f>
        <v>37450</v>
      </c>
      <c r="F761" s="11" t="n">
        <f aca="false">_xlfn.MINIFS('Futures Data'!$B$5:$B$3471,'Futures Data'!$A$5:$A$3471,A761,'Futures Data'!$B$5:$B$3471,"&gt;"&amp;C761)</f>
        <v>46311</v>
      </c>
      <c r="G761" s="3" t="n">
        <f aca="false">SUMIFS('Futures Data'!$E$5:$E$3471,'Futures Data'!$A$5:$A$3471,A761,'Futures Data'!$B$5:$B$3471,F761)</f>
        <v>190</v>
      </c>
      <c r="H761" s="9" t="b">
        <f aca="false">G761&gt;E761</f>
        <v>0</v>
      </c>
      <c r="I761" s="9" t="b">
        <f aca="false">C761&lt;&gt;B761</f>
        <v>0</v>
      </c>
      <c r="J761" s="3" t="n">
        <f aca="false">SUMIFS('Futures Data'!$C$5:$C$3471,'Futures Data'!$A$5:$A$3471,A761,'Futures Data'!$B$5:$B$3471,B761)</f>
        <v>7159</v>
      </c>
      <c r="K761" s="3" t="n">
        <f aca="false">SUMIFS('Futures Data'!$C$5:$C$3471,'Futures Data'!$A$5:$A$3471,A761,'Futures Data'!$B$5:$B$3471,C761)</f>
        <v>7159</v>
      </c>
      <c r="L761" s="3" t="n">
        <f aca="false">K761-J761</f>
        <v>0</v>
      </c>
      <c r="M761" s="3" t="n">
        <f aca="false">M762+L761</f>
        <v>117</v>
      </c>
      <c r="N761" s="3" t="n">
        <f aca="false">J761+M761</f>
        <v>7276</v>
      </c>
      <c r="O761" s="13" t="n">
        <f aca="false">LN(J761/K760)</f>
        <v>-0.00153534819748107</v>
      </c>
      <c r="P761" s="13" t="n">
        <f aca="false">LN(N761/N760)</f>
        <v>-0.00151067803226934</v>
      </c>
      <c r="Q761" s="3" t="n">
        <f aca="false">SUMIFS('Futures Data'!$D$5:$D$3471,'Futures Data'!$A$5:$A$3471,A761,'Futures Data'!$B$5:$B$3471,B761)</f>
        <v>3670</v>
      </c>
      <c r="R761" s="7" t="n">
        <v>46283</v>
      </c>
      <c r="S761" s="9" t="b">
        <f aca="false">C761=R761</f>
        <v>1</v>
      </c>
      <c r="T761" s="9" t="b">
        <f aca="false">ABS(O761-LN(J761/SUMIFS('Futures Data'!$C$5:$C$3471,'Futures Data'!$A$5:$A$3471,A760,'Futures Data'!$B$5:$B$3471,B761)))&lt;0.000000001</f>
        <v>1</v>
      </c>
    </row>
    <row r="762" customFormat="false" ht="15" hidden="false" customHeight="false" outlineLevel="0" collapsed="false">
      <c r="A762" s="7" t="n">
        <v>46252</v>
      </c>
      <c r="B762" s="11" t="n">
        <f aca="false">C761</f>
        <v>46283</v>
      </c>
      <c r="C762" s="11" t="n">
        <f aca="false">IF(OR(H761,D762&lt;=$G$4),_xlfn.MINIFS('Futures Data'!$B$5:$B$3471,'Futures Data'!$A$5:$A$3471,A762,'Futures Data'!$B$5:$B$3471,"&gt;"&amp;B762),B762)</f>
        <v>46283</v>
      </c>
      <c r="D762" s="3" t="n">
        <f aca="false">COUNTIFS($A$47:$A$790,"&gt;"&amp;A762,$A$47:$A$790,"&lt;="&amp;B762)+IF(B762&gt;$G$5,NETWORKDAYS($G$5+1,B762),0)</f>
        <v>22</v>
      </c>
      <c r="E762" s="3" t="n">
        <f aca="false">SUMIFS('Futures Data'!$E$5:$E$3471,'Futures Data'!$A$5:$A$3471,A762,'Futures Data'!$B$5:$B$3471,C762)</f>
        <v>38715</v>
      </c>
      <c r="F762" s="11" t="n">
        <f aca="false">_xlfn.MINIFS('Futures Data'!$B$5:$B$3471,'Futures Data'!$A$5:$A$3471,A762,'Futures Data'!$B$5:$B$3471,"&gt;"&amp;C762)</f>
        <v>46311</v>
      </c>
      <c r="G762" s="3" t="n">
        <f aca="false">SUMIFS('Futures Data'!$E$5:$E$3471,'Futures Data'!$A$5:$A$3471,A762,'Futures Data'!$B$5:$B$3471,F762)</f>
        <v>545</v>
      </c>
      <c r="H762" s="9" t="b">
        <f aca="false">G762&gt;E762</f>
        <v>0</v>
      </c>
      <c r="I762" s="9" t="b">
        <f aca="false">C762&lt;&gt;B762</f>
        <v>0</v>
      </c>
      <c r="J762" s="3" t="n">
        <f aca="false">SUMIFS('Futures Data'!$C$5:$C$3471,'Futures Data'!$A$5:$A$3471,A762,'Futures Data'!$B$5:$B$3471,B762)</f>
        <v>7204</v>
      </c>
      <c r="K762" s="3" t="n">
        <f aca="false">SUMIFS('Futures Data'!$C$5:$C$3471,'Futures Data'!$A$5:$A$3471,A762,'Futures Data'!$B$5:$B$3471,C762)</f>
        <v>7204</v>
      </c>
      <c r="L762" s="3" t="n">
        <f aca="false">K762-J762</f>
        <v>0</v>
      </c>
      <c r="M762" s="3" t="n">
        <f aca="false">M763+L762</f>
        <v>117</v>
      </c>
      <c r="N762" s="3" t="n">
        <f aca="false">J762+M762</f>
        <v>7321</v>
      </c>
      <c r="O762" s="13" t="n">
        <f aca="false">LN(J762/K761)</f>
        <v>0.00626612089966175</v>
      </c>
      <c r="P762" s="13" t="n">
        <f aca="false">LN(N762/N761)</f>
        <v>0.00616567000862982</v>
      </c>
      <c r="Q762" s="3" t="n">
        <f aca="false">SUMIFS('Futures Data'!$D$5:$D$3471,'Futures Data'!$A$5:$A$3471,A762,'Futures Data'!$B$5:$B$3471,B762)</f>
        <v>5940</v>
      </c>
      <c r="R762" s="7" t="n">
        <v>46283</v>
      </c>
      <c r="S762" s="9" t="b">
        <f aca="false">C762=R762</f>
        <v>1</v>
      </c>
      <c r="T762" s="9" t="b">
        <f aca="false">ABS(O762-LN(J762/SUMIFS('Futures Data'!$C$5:$C$3471,'Futures Data'!$A$5:$A$3471,A761,'Futures Data'!$B$5:$B$3471,B762)))&lt;0.000000001</f>
        <v>1</v>
      </c>
    </row>
    <row r="763" customFormat="false" ht="15" hidden="false" customHeight="false" outlineLevel="0" collapsed="false">
      <c r="A763" s="7" t="n">
        <v>46253</v>
      </c>
      <c r="B763" s="11" t="n">
        <f aca="false">C762</f>
        <v>46283</v>
      </c>
      <c r="C763" s="11" t="n">
        <f aca="false">IF(OR(H762,D763&lt;=$G$4),_xlfn.MINIFS('Futures Data'!$B$5:$B$3471,'Futures Data'!$A$5:$A$3471,A763,'Futures Data'!$B$5:$B$3471,"&gt;"&amp;B763),B763)</f>
        <v>46283</v>
      </c>
      <c r="D763" s="3" t="n">
        <f aca="false">COUNTIFS($A$47:$A$790,"&gt;"&amp;A763,$A$47:$A$790,"&lt;="&amp;B763)+IF(B763&gt;$G$5,NETWORKDAYS($G$5+1,B763),0)</f>
        <v>21</v>
      </c>
      <c r="E763" s="3" t="n">
        <f aca="false">SUMIFS('Futures Data'!$E$5:$E$3471,'Futures Data'!$A$5:$A$3471,A763,'Futures Data'!$B$5:$B$3471,C763)</f>
        <v>38050</v>
      </c>
      <c r="F763" s="11" t="n">
        <f aca="false">_xlfn.MINIFS('Futures Data'!$B$5:$B$3471,'Futures Data'!$A$5:$A$3471,A763,'Futures Data'!$B$5:$B$3471,"&gt;"&amp;C763)</f>
        <v>46311</v>
      </c>
      <c r="G763" s="3" t="n">
        <f aca="false">SUMIFS('Futures Data'!$E$5:$E$3471,'Futures Data'!$A$5:$A$3471,A763,'Futures Data'!$B$5:$B$3471,F763)</f>
        <v>635</v>
      </c>
      <c r="H763" s="9" t="b">
        <f aca="false">G763&gt;E763</f>
        <v>0</v>
      </c>
      <c r="I763" s="9" t="b">
        <f aca="false">C763&lt;&gt;B763</f>
        <v>0</v>
      </c>
      <c r="J763" s="3" t="n">
        <f aca="false">SUMIFS('Futures Data'!$C$5:$C$3471,'Futures Data'!$A$5:$A$3471,A763,'Futures Data'!$B$5:$B$3471,B763)</f>
        <v>7192</v>
      </c>
      <c r="K763" s="3" t="n">
        <f aca="false">SUMIFS('Futures Data'!$C$5:$C$3471,'Futures Data'!$A$5:$A$3471,A763,'Futures Data'!$B$5:$B$3471,C763)</f>
        <v>7192</v>
      </c>
      <c r="L763" s="3" t="n">
        <f aca="false">K763-J763</f>
        <v>0</v>
      </c>
      <c r="M763" s="3" t="n">
        <f aca="false">M764+L763</f>
        <v>117</v>
      </c>
      <c r="N763" s="3" t="n">
        <f aca="false">J763+M763</f>
        <v>7309</v>
      </c>
      <c r="O763" s="13" t="n">
        <f aca="false">LN(J763/K762)</f>
        <v>-0.00166713014439049</v>
      </c>
      <c r="P763" s="13" t="n">
        <f aca="false">LN(N763/N762)</f>
        <v>-0.00164046516625101</v>
      </c>
      <c r="Q763" s="3" t="n">
        <f aca="false">SUMIFS('Futures Data'!$D$5:$D$3471,'Futures Data'!$A$5:$A$3471,A763,'Futures Data'!$B$5:$B$3471,B763)</f>
        <v>2335</v>
      </c>
      <c r="R763" s="7" t="n">
        <v>46283</v>
      </c>
      <c r="S763" s="9" t="b">
        <f aca="false">C763=R763</f>
        <v>1</v>
      </c>
      <c r="T763" s="9" t="b">
        <f aca="false">ABS(O763-LN(J763/SUMIFS('Futures Data'!$C$5:$C$3471,'Futures Data'!$A$5:$A$3471,A762,'Futures Data'!$B$5:$B$3471,B763)))&lt;0.000000001</f>
        <v>1</v>
      </c>
    </row>
    <row r="764" customFormat="false" ht="15" hidden="false" customHeight="false" outlineLevel="0" collapsed="false">
      <c r="A764" s="7" t="n">
        <v>46254</v>
      </c>
      <c r="B764" s="11" t="n">
        <f aca="false">C763</f>
        <v>46283</v>
      </c>
      <c r="C764" s="11" t="n">
        <f aca="false">IF(OR(H763,D764&lt;=$G$4),_xlfn.MINIFS('Futures Data'!$B$5:$B$3471,'Futures Data'!$A$5:$A$3471,A764,'Futures Data'!$B$5:$B$3471,"&gt;"&amp;B764),B764)</f>
        <v>46283</v>
      </c>
      <c r="D764" s="3" t="n">
        <f aca="false">COUNTIFS($A$47:$A$790,"&gt;"&amp;A764,$A$47:$A$790,"&lt;="&amp;B764)+IF(B764&gt;$G$5,NETWORKDAYS($G$5+1,B764),0)</f>
        <v>20</v>
      </c>
      <c r="E764" s="3" t="n">
        <f aca="false">SUMIFS('Futures Data'!$E$5:$E$3471,'Futures Data'!$A$5:$A$3471,A764,'Futures Data'!$B$5:$B$3471,C764)</f>
        <v>37725</v>
      </c>
      <c r="F764" s="11" t="n">
        <f aca="false">_xlfn.MINIFS('Futures Data'!$B$5:$B$3471,'Futures Data'!$A$5:$A$3471,A764,'Futures Data'!$B$5:$B$3471,"&gt;"&amp;C764)</f>
        <v>46311</v>
      </c>
      <c r="G764" s="3" t="n">
        <f aca="false">SUMIFS('Futures Data'!$E$5:$E$3471,'Futures Data'!$A$5:$A$3471,A764,'Futures Data'!$B$5:$B$3471,F764)</f>
        <v>1370</v>
      </c>
      <c r="H764" s="9" t="b">
        <f aca="false">G764&gt;E764</f>
        <v>0</v>
      </c>
      <c r="I764" s="9" t="b">
        <f aca="false">C764&lt;&gt;B764</f>
        <v>0</v>
      </c>
      <c r="J764" s="3" t="n">
        <f aca="false">SUMIFS('Futures Data'!$C$5:$C$3471,'Futures Data'!$A$5:$A$3471,A764,'Futures Data'!$B$5:$B$3471,B764)</f>
        <v>7223</v>
      </c>
      <c r="K764" s="3" t="n">
        <f aca="false">SUMIFS('Futures Data'!$C$5:$C$3471,'Futures Data'!$A$5:$A$3471,A764,'Futures Data'!$B$5:$B$3471,C764)</f>
        <v>7223</v>
      </c>
      <c r="L764" s="3" t="n">
        <f aca="false">K764-J764</f>
        <v>0</v>
      </c>
      <c r="M764" s="3" t="n">
        <f aca="false">M765+L764</f>
        <v>117</v>
      </c>
      <c r="N764" s="3" t="n">
        <f aca="false">J764+M764</f>
        <v>7340</v>
      </c>
      <c r="O764" s="13" t="n">
        <f aca="false">LN(J764/K763)</f>
        <v>0.0043010818993907</v>
      </c>
      <c r="P764" s="13" t="n">
        <f aca="false">LN(N764/N763)</f>
        <v>0.00423237712816962</v>
      </c>
      <c r="Q764" s="3" t="n">
        <f aca="false">SUMIFS('Futures Data'!$D$5:$D$3471,'Futures Data'!$A$5:$A$3471,A764,'Futures Data'!$B$5:$B$3471,B764)</f>
        <v>4665</v>
      </c>
      <c r="R764" s="7" t="n">
        <v>46283</v>
      </c>
      <c r="S764" s="9" t="b">
        <f aca="false">C764=R764</f>
        <v>1</v>
      </c>
      <c r="T764" s="9" t="b">
        <f aca="false">ABS(O764-LN(J764/SUMIFS('Futures Data'!$C$5:$C$3471,'Futures Data'!$A$5:$A$3471,A763,'Futures Data'!$B$5:$B$3471,B764)))&lt;0.000000001</f>
        <v>1</v>
      </c>
    </row>
    <row r="765" customFormat="false" ht="15" hidden="false" customHeight="false" outlineLevel="0" collapsed="false">
      <c r="A765" s="7" t="n">
        <v>46255</v>
      </c>
      <c r="B765" s="11" t="n">
        <f aca="false">C764</f>
        <v>46283</v>
      </c>
      <c r="C765" s="11" t="n">
        <f aca="false">IF(OR(H764,D765&lt;=$G$4),_xlfn.MINIFS('Futures Data'!$B$5:$B$3471,'Futures Data'!$A$5:$A$3471,A765,'Futures Data'!$B$5:$B$3471,"&gt;"&amp;B765),B765)</f>
        <v>46283</v>
      </c>
      <c r="D765" s="3" t="n">
        <f aca="false">COUNTIFS($A$47:$A$790,"&gt;"&amp;A765,$A$47:$A$790,"&lt;="&amp;B765)+IF(B765&gt;$G$5,NETWORKDAYS($G$5+1,B765),0)</f>
        <v>19</v>
      </c>
      <c r="E765" s="3" t="n">
        <f aca="false">SUMIFS('Futures Data'!$E$5:$E$3471,'Futures Data'!$A$5:$A$3471,A765,'Futures Data'!$B$5:$B$3471,C765)</f>
        <v>37185</v>
      </c>
      <c r="F765" s="11" t="n">
        <f aca="false">_xlfn.MINIFS('Futures Data'!$B$5:$B$3471,'Futures Data'!$A$5:$A$3471,A765,'Futures Data'!$B$5:$B$3471,"&gt;"&amp;C765)</f>
        <v>46311</v>
      </c>
      <c r="G765" s="3" t="n">
        <f aca="false">SUMIFS('Futures Data'!$E$5:$E$3471,'Futures Data'!$A$5:$A$3471,A765,'Futures Data'!$B$5:$B$3471,F765)</f>
        <v>2520</v>
      </c>
      <c r="H765" s="9" t="b">
        <f aca="false">G765&gt;E765</f>
        <v>0</v>
      </c>
      <c r="I765" s="9" t="b">
        <f aca="false">C765&lt;&gt;B765</f>
        <v>0</v>
      </c>
      <c r="J765" s="3" t="n">
        <f aca="false">SUMIFS('Futures Data'!$C$5:$C$3471,'Futures Data'!$A$5:$A$3471,A765,'Futures Data'!$B$5:$B$3471,B765)</f>
        <v>7295</v>
      </c>
      <c r="K765" s="3" t="n">
        <f aca="false">SUMIFS('Futures Data'!$C$5:$C$3471,'Futures Data'!$A$5:$A$3471,A765,'Futures Data'!$B$5:$B$3471,C765)</f>
        <v>7295</v>
      </c>
      <c r="L765" s="3" t="n">
        <f aca="false">K765-J765</f>
        <v>0</v>
      </c>
      <c r="M765" s="3" t="n">
        <f aca="false">M766+L765</f>
        <v>117</v>
      </c>
      <c r="N765" s="3" t="n">
        <f aca="false">J765+M765</f>
        <v>7412</v>
      </c>
      <c r="O765" s="13" t="n">
        <f aca="false">LN(J765/K764)</f>
        <v>0.00991880290603913</v>
      </c>
      <c r="P765" s="13" t="n">
        <f aca="false">LN(N765/N764)</f>
        <v>0.00976146579668906</v>
      </c>
      <c r="Q765" s="3" t="n">
        <f aca="false">SUMIFS('Futures Data'!$D$5:$D$3471,'Futures Data'!$A$5:$A$3471,A765,'Futures Data'!$B$5:$B$3471,B765)</f>
        <v>7910</v>
      </c>
      <c r="R765" s="7" t="n">
        <v>46283</v>
      </c>
      <c r="S765" s="9" t="b">
        <f aca="false">C765=R765</f>
        <v>1</v>
      </c>
      <c r="T765" s="9" t="b">
        <f aca="false">ABS(O765-LN(J765/SUMIFS('Futures Data'!$C$5:$C$3471,'Futures Data'!$A$5:$A$3471,A764,'Futures Data'!$B$5:$B$3471,B765)))&lt;0.000000001</f>
        <v>1</v>
      </c>
    </row>
    <row r="766" customFormat="false" ht="15" hidden="false" customHeight="false" outlineLevel="0" collapsed="false">
      <c r="A766" s="7" t="n">
        <v>46258</v>
      </c>
      <c r="B766" s="11" t="n">
        <f aca="false">C765</f>
        <v>46283</v>
      </c>
      <c r="C766" s="11" t="n">
        <f aca="false">IF(OR(H765,D766&lt;=$G$4),_xlfn.MINIFS('Futures Data'!$B$5:$B$3471,'Futures Data'!$A$5:$A$3471,A766,'Futures Data'!$B$5:$B$3471,"&gt;"&amp;B766),B766)</f>
        <v>46283</v>
      </c>
      <c r="D766" s="3" t="n">
        <f aca="false">COUNTIFS($A$47:$A$790,"&gt;"&amp;A766,$A$47:$A$790,"&lt;="&amp;B766)+IF(B766&gt;$G$5,NETWORKDAYS($G$5+1,B766),0)</f>
        <v>18</v>
      </c>
      <c r="E766" s="3" t="n">
        <f aca="false">SUMIFS('Futures Data'!$E$5:$E$3471,'Futures Data'!$A$5:$A$3471,A766,'Futures Data'!$B$5:$B$3471,C766)</f>
        <v>36935</v>
      </c>
      <c r="F766" s="11" t="n">
        <f aca="false">_xlfn.MINIFS('Futures Data'!$B$5:$B$3471,'Futures Data'!$A$5:$A$3471,A766,'Futures Data'!$B$5:$B$3471,"&gt;"&amp;C766)</f>
        <v>46311</v>
      </c>
      <c r="G766" s="3" t="n">
        <f aca="false">SUMIFS('Futures Data'!$E$5:$E$3471,'Futures Data'!$A$5:$A$3471,A766,'Futures Data'!$B$5:$B$3471,F766)</f>
        <v>5310</v>
      </c>
      <c r="H766" s="9" t="b">
        <f aca="false">G766&gt;E766</f>
        <v>0</v>
      </c>
      <c r="I766" s="9" t="b">
        <f aca="false">C766&lt;&gt;B766</f>
        <v>0</v>
      </c>
      <c r="J766" s="3" t="n">
        <f aca="false">SUMIFS('Futures Data'!$C$5:$C$3471,'Futures Data'!$A$5:$A$3471,A766,'Futures Data'!$B$5:$B$3471,B766)</f>
        <v>7362</v>
      </c>
      <c r="K766" s="3" t="n">
        <f aca="false">SUMIFS('Futures Data'!$C$5:$C$3471,'Futures Data'!$A$5:$A$3471,A766,'Futures Data'!$B$5:$B$3471,C766)</f>
        <v>7362</v>
      </c>
      <c r="L766" s="3" t="n">
        <f aca="false">K766-J766</f>
        <v>0</v>
      </c>
      <c r="M766" s="3" t="n">
        <f aca="false">M767+L766</f>
        <v>117</v>
      </c>
      <c r="N766" s="3" t="n">
        <f aca="false">J766+M766</f>
        <v>7479</v>
      </c>
      <c r="O766" s="13" t="n">
        <f aca="false">LN(J766/K765)</f>
        <v>0.00914245298208043</v>
      </c>
      <c r="P766" s="13" t="n">
        <f aca="false">LN(N766/N765)</f>
        <v>0.00899878478641716</v>
      </c>
      <c r="Q766" s="3" t="n">
        <f aca="false">SUMIFS('Futures Data'!$D$5:$D$3471,'Futures Data'!$A$5:$A$3471,A766,'Futures Data'!$B$5:$B$3471,B766)</f>
        <v>9165</v>
      </c>
      <c r="R766" s="7" t="n">
        <v>46283</v>
      </c>
      <c r="S766" s="9" t="b">
        <f aca="false">C766=R766</f>
        <v>1</v>
      </c>
      <c r="T766" s="9" t="b">
        <f aca="false">ABS(O766-LN(J766/SUMIFS('Futures Data'!$C$5:$C$3471,'Futures Data'!$A$5:$A$3471,A765,'Futures Data'!$B$5:$B$3471,B766)))&lt;0.000000001</f>
        <v>1</v>
      </c>
    </row>
    <row r="767" customFormat="false" ht="15" hidden="false" customHeight="false" outlineLevel="0" collapsed="false">
      <c r="A767" s="7" t="n">
        <v>46259</v>
      </c>
      <c r="B767" s="11" t="n">
        <f aca="false">C766</f>
        <v>46283</v>
      </c>
      <c r="C767" s="11" t="n">
        <f aca="false">IF(OR(H766,D767&lt;=$G$4),_xlfn.MINIFS('Futures Data'!$B$5:$B$3471,'Futures Data'!$A$5:$A$3471,A767,'Futures Data'!$B$5:$B$3471,"&gt;"&amp;B767),B767)</f>
        <v>46283</v>
      </c>
      <c r="D767" s="3" t="n">
        <f aca="false">COUNTIFS($A$47:$A$790,"&gt;"&amp;A767,$A$47:$A$790,"&lt;="&amp;B767)+IF(B767&gt;$G$5,NETWORKDAYS($G$5+1,B767),0)</f>
        <v>17</v>
      </c>
      <c r="E767" s="3" t="n">
        <f aca="false">SUMIFS('Futures Data'!$E$5:$E$3471,'Futures Data'!$A$5:$A$3471,A767,'Futures Data'!$B$5:$B$3471,C767)</f>
        <v>36145</v>
      </c>
      <c r="F767" s="11" t="n">
        <f aca="false">_xlfn.MINIFS('Futures Data'!$B$5:$B$3471,'Futures Data'!$A$5:$A$3471,A767,'Futures Data'!$B$5:$B$3471,"&gt;"&amp;C767)</f>
        <v>46311</v>
      </c>
      <c r="G767" s="3" t="n">
        <f aca="false">SUMIFS('Futures Data'!$E$5:$E$3471,'Futures Data'!$A$5:$A$3471,A767,'Futures Data'!$B$5:$B$3471,F767)</f>
        <v>6340</v>
      </c>
      <c r="H767" s="9" t="b">
        <f aca="false">G767&gt;E767</f>
        <v>0</v>
      </c>
      <c r="I767" s="9" t="b">
        <f aca="false">C767&lt;&gt;B767</f>
        <v>0</v>
      </c>
      <c r="J767" s="3" t="n">
        <f aca="false">SUMIFS('Futures Data'!$C$5:$C$3471,'Futures Data'!$A$5:$A$3471,A767,'Futures Data'!$B$5:$B$3471,B767)</f>
        <v>7346</v>
      </c>
      <c r="K767" s="3" t="n">
        <f aca="false">SUMIFS('Futures Data'!$C$5:$C$3471,'Futures Data'!$A$5:$A$3471,A767,'Futures Data'!$B$5:$B$3471,C767)</f>
        <v>7346</v>
      </c>
      <c r="L767" s="3" t="n">
        <f aca="false">K767-J767</f>
        <v>0</v>
      </c>
      <c r="M767" s="3" t="n">
        <f aca="false">M768+L767</f>
        <v>117</v>
      </c>
      <c r="N767" s="3" t="n">
        <f aca="false">J767+M767</f>
        <v>7463</v>
      </c>
      <c r="O767" s="13" t="n">
        <f aca="false">LN(J767/K766)</f>
        <v>-0.00217568755935379</v>
      </c>
      <c r="P767" s="13" t="n">
        <f aca="false">LN(N767/N766)</f>
        <v>-0.00214161506028011</v>
      </c>
      <c r="Q767" s="3" t="n">
        <f aca="false">SUMIFS('Futures Data'!$D$5:$D$3471,'Futures Data'!$A$5:$A$3471,A767,'Futures Data'!$B$5:$B$3471,B767)</f>
        <v>3810</v>
      </c>
      <c r="R767" s="7" t="n">
        <v>46283</v>
      </c>
      <c r="S767" s="9" t="b">
        <f aca="false">C767=R767</f>
        <v>1</v>
      </c>
      <c r="T767" s="9" t="b">
        <f aca="false">ABS(O767-LN(J767/SUMIFS('Futures Data'!$C$5:$C$3471,'Futures Data'!$A$5:$A$3471,A766,'Futures Data'!$B$5:$B$3471,B767)))&lt;0.000000001</f>
        <v>1</v>
      </c>
    </row>
    <row r="768" customFormat="false" ht="15" hidden="false" customHeight="false" outlineLevel="0" collapsed="false">
      <c r="A768" s="7" t="n">
        <v>46260</v>
      </c>
      <c r="B768" s="11" t="n">
        <f aca="false">C767</f>
        <v>46283</v>
      </c>
      <c r="C768" s="11" t="n">
        <f aca="false">IF(OR(H767,D768&lt;=$G$4),_xlfn.MINIFS('Futures Data'!$B$5:$B$3471,'Futures Data'!$A$5:$A$3471,A768,'Futures Data'!$B$5:$B$3471,"&gt;"&amp;B768),B768)</f>
        <v>46283</v>
      </c>
      <c r="D768" s="3" t="n">
        <f aca="false">COUNTIFS($A$47:$A$790,"&gt;"&amp;A768,$A$47:$A$790,"&lt;="&amp;B768)+IF(B768&gt;$G$5,NETWORKDAYS($G$5+1,B768),0)</f>
        <v>16</v>
      </c>
      <c r="E768" s="3" t="n">
        <f aca="false">SUMIFS('Futures Data'!$E$5:$E$3471,'Futures Data'!$A$5:$A$3471,A768,'Futures Data'!$B$5:$B$3471,C768)</f>
        <v>34945</v>
      </c>
      <c r="F768" s="11" t="n">
        <f aca="false">_xlfn.MINIFS('Futures Data'!$B$5:$B$3471,'Futures Data'!$A$5:$A$3471,A768,'Futures Data'!$B$5:$B$3471,"&gt;"&amp;C768)</f>
        <v>46311</v>
      </c>
      <c r="G768" s="3" t="n">
        <f aca="false">SUMIFS('Futures Data'!$E$5:$E$3471,'Futures Data'!$A$5:$A$3471,A768,'Futures Data'!$B$5:$B$3471,F768)</f>
        <v>7490</v>
      </c>
      <c r="H768" s="9" t="b">
        <f aca="false">G768&gt;E768</f>
        <v>0</v>
      </c>
      <c r="I768" s="9" t="b">
        <f aca="false">C768&lt;&gt;B768</f>
        <v>0</v>
      </c>
      <c r="J768" s="3" t="n">
        <f aca="false">SUMIFS('Futures Data'!$C$5:$C$3471,'Futures Data'!$A$5:$A$3471,A768,'Futures Data'!$B$5:$B$3471,B768)</f>
        <v>7340</v>
      </c>
      <c r="K768" s="3" t="n">
        <f aca="false">SUMIFS('Futures Data'!$C$5:$C$3471,'Futures Data'!$A$5:$A$3471,A768,'Futures Data'!$B$5:$B$3471,C768)</f>
        <v>7340</v>
      </c>
      <c r="L768" s="3" t="n">
        <f aca="false">K768-J768</f>
        <v>0</v>
      </c>
      <c r="M768" s="3" t="n">
        <f aca="false">M769+L768</f>
        <v>117</v>
      </c>
      <c r="N768" s="3" t="n">
        <f aca="false">J768+M768</f>
        <v>7457</v>
      </c>
      <c r="O768" s="13" t="n">
        <f aca="false">LN(J768/K767)</f>
        <v>-0.000817104771051354</v>
      </c>
      <c r="P768" s="13" t="n">
        <f aca="false">LN(N768/N767)</f>
        <v>-0.000804289587592576</v>
      </c>
      <c r="Q768" s="3" t="n">
        <f aca="false">SUMIFS('Futures Data'!$D$5:$D$3471,'Futures Data'!$A$5:$A$3471,A768,'Futures Data'!$B$5:$B$3471,B768)</f>
        <v>4140</v>
      </c>
      <c r="R768" s="7" t="n">
        <v>46283</v>
      </c>
      <c r="S768" s="9" t="b">
        <f aca="false">C768=R768</f>
        <v>1</v>
      </c>
      <c r="T768" s="9" t="b">
        <f aca="false">ABS(O768-LN(J768/SUMIFS('Futures Data'!$C$5:$C$3471,'Futures Data'!$A$5:$A$3471,A767,'Futures Data'!$B$5:$B$3471,B768)))&lt;0.000000001</f>
        <v>1</v>
      </c>
    </row>
    <row r="769" customFormat="false" ht="15" hidden="false" customHeight="false" outlineLevel="0" collapsed="false">
      <c r="A769" s="7" t="n">
        <v>46261</v>
      </c>
      <c r="B769" s="11" t="n">
        <f aca="false">C768</f>
        <v>46283</v>
      </c>
      <c r="C769" s="11" t="n">
        <f aca="false">IF(OR(H768,D769&lt;=$G$4),_xlfn.MINIFS('Futures Data'!$B$5:$B$3471,'Futures Data'!$A$5:$A$3471,A769,'Futures Data'!$B$5:$B$3471,"&gt;"&amp;B769),B769)</f>
        <v>46283</v>
      </c>
      <c r="D769" s="3" t="n">
        <f aca="false">COUNTIFS($A$47:$A$790,"&gt;"&amp;A769,$A$47:$A$790,"&lt;="&amp;B769)+IF(B769&gt;$G$5,NETWORKDAYS($G$5+1,B769),0)</f>
        <v>15</v>
      </c>
      <c r="E769" s="3" t="n">
        <f aca="false">SUMIFS('Futures Data'!$E$5:$E$3471,'Futures Data'!$A$5:$A$3471,A769,'Futures Data'!$B$5:$B$3471,C769)</f>
        <v>33220</v>
      </c>
      <c r="F769" s="11" t="n">
        <f aca="false">_xlfn.MINIFS('Futures Data'!$B$5:$B$3471,'Futures Data'!$A$5:$A$3471,A769,'Futures Data'!$B$5:$B$3471,"&gt;"&amp;C769)</f>
        <v>46311</v>
      </c>
      <c r="G769" s="3" t="n">
        <f aca="false">SUMIFS('Futures Data'!$E$5:$E$3471,'Futures Data'!$A$5:$A$3471,A769,'Futures Data'!$B$5:$B$3471,F769)</f>
        <v>9900</v>
      </c>
      <c r="H769" s="9" t="b">
        <f aca="false">G769&gt;E769</f>
        <v>0</v>
      </c>
      <c r="I769" s="9" t="b">
        <f aca="false">C769&lt;&gt;B769</f>
        <v>0</v>
      </c>
      <c r="J769" s="3" t="n">
        <f aca="false">SUMIFS('Futures Data'!$C$5:$C$3471,'Futures Data'!$A$5:$A$3471,A769,'Futures Data'!$B$5:$B$3471,B769)</f>
        <v>7384</v>
      </c>
      <c r="K769" s="3" t="n">
        <f aca="false">SUMIFS('Futures Data'!$C$5:$C$3471,'Futures Data'!$A$5:$A$3471,A769,'Futures Data'!$B$5:$B$3471,C769)</f>
        <v>7384</v>
      </c>
      <c r="L769" s="3" t="n">
        <f aca="false">K769-J769</f>
        <v>0</v>
      </c>
      <c r="M769" s="3" t="n">
        <f aca="false">M770+L769</f>
        <v>117</v>
      </c>
      <c r="N769" s="3" t="n">
        <f aca="false">J769+M769</f>
        <v>7501</v>
      </c>
      <c r="O769" s="13" t="n">
        <f aca="false">LN(J769/K768)</f>
        <v>0.0059766545741268</v>
      </c>
      <c r="P769" s="13" t="n">
        <f aca="false">LN(N769/N768)</f>
        <v>0.00588315642584152</v>
      </c>
      <c r="Q769" s="3" t="n">
        <f aca="false">SUMIFS('Futures Data'!$D$5:$D$3471,'Futures Data'!$A$5:$A$3471,A769,'Futures Data'!$B$5:$B$3471,B769)</f>
        <v>7095</v>
      </c>
      <c r="R769" s="7" t="n">
        <v>46283</v>
      </c>
      <c r="S769" s="9" t="b">
        <f aca="false">C769=R769</f>
        <v>1</v>
      </c>
      <c r="T769" s="9" t="b">
        <f aca="false">ABS(O769-LN(J769/SUMIFS('Futures Data'!$C$5:$C$3471,'Futures Data'!$A$5:$A$3471,A768,'Futures Data'!$B$5:$B$3471,B769)))&lt;0.000000001</f>
        <v>1</v>
      </c>
    </row>
    <row r="770" customFormat="false" ht="15" hidden="false" customHeight="false" outlineLevel="0" collapsed="false">
      <c r="A770" s="7" t="n">
        <v>46262</v>
      </c>
      <c r="B770" s="11" t="n">
        <f aca="false">C769</f>
        <v>46283</v>
      </c>
      <c r="C770" s="11" t="n">
        <f aca="false">IF(OR(H769,D770&lt;=$G$4),_xlfn.MINIFS('Futures Data'!$B$5:$B$3471,'Futures Data'!$A$5:$A$3471,A770,'Futures Data'!$B$5:$B$3471,"&gt;"&amp;B770),B770)</f>
        <v>46283</v>
      </c>
      <c r="D770" s="3" t="n">
        <f aca="false">COUNTIFS($A$47:$A$790,"&gt;"&amp;A770,$A$47:$A$790,"&lt;="&amp;B770)+IF(B770&gt;$G$5,NETWORKDAYS($G$5+1,B770),0)</f>
        <v>14</v>
      </c>
      <c r="E770" s="3" t="n">
        <f aca="false">SUMIFS('Futures Data'!$E$5:$E$3471,'Futures Data'!$A$5:$A$3471,A770,'Futures Data'!$B$5:$B$3471,C770)</f>
        <v>29835</v>
      </c>
      <c r="F770" s="11" t="n">
        <f aca="false">_xlfn.MINIFS('Futures Data'!$B$5:$B$3471,'Futures Data'!$A$5:$A$3471,A770,'Futures Data'!$B$5:$B$3471,"&gt;"&amp;C770)</f>
        <v>46311</v>
      </c>
      <c r="G770" s="3" t="n">
        <f aca="false">SUMIFS('Futures Data'!$E$5:$E$3471,'Futures Data'!$A$5:$A$3471,A770,'Futures Data'!$B$5:$B$3471,F770)</f>
        <v>13175</v>
      </c>
      <c r="H770" s="9" t="b">
        <f aca="false">G770&gt;E770</f>
        <v>0</v>
      </c>
      <c r="I770" s="9" t="b">
        <f aca="false">C770&lt;&gt;B770</f>
        <v>0</v>
      </c>
      <c r="J770" s="3" t="n">
        <f aca="false">SUMIFS('Futures Data'!$C$5:$C$3471,'Futures Data'!$A$5:$A$3471,A770,'Futures Data'!$B$5:$B$3471,B770)</f>
        <v>7445</v>
      </c>
      <c r="K770" s="3" t="n">
        <f aca="false">SUMIFS('Futures Data'!$C$5:$C$3471,'Futures Data'!$A$5:$A$3471,A770,'Futures Data'!$B$5:$B$3471,C770)</f>
        <v>7445</v>
      </c>
      <c r="L770" s="3" t="n">
        <f aca="false">K770-J770</f>
        <v>0</v>
      </c>
      <c r="M770" s="3" t="n">
        <f aca="false">M771+L770</f>
        <v>117</v>
      </c>
      <c r="N770" s="3" t="n">
        <f aca="false">J770+M770</f>
        <v>7562</v>
      </c>
      <c r="O770" s="13" t="n">
        <f aca="false">LN(J770/K769)</f>
        <v>0.00822716893542137</v>
      </c>
      <c r="P770" s="13" t="n">
        <f aca="false">LN(N770/N769)</f>
        <v>0.00809936048124177</v>
      </c>
      <c r="Q770" s="3" t="n">
        <f aca="false">SUMIFS('Futures Data'!$D$5:$D$3471,'Futures Data'!$A$5:$A$3471,A770,'Futures Data'!$B$5:$B$3471,B770)</f>
        <v>8885</v>
      </c>
      <c r="R770" s="7" t="n">
        <v>46283</v>
      </c>
      <c r="S770" s="9" t="b">
        <f aca="false">C770=R770</f>
        <v>1</v>
      </c>
      <c r="T770" s="9" t="b">
        <f aca="false">ABS(O770-LN(J770/SUMIFS('Futures Data'!$C$5:$C$3471,'Futures Data'!$A$5:$A$3471,A769,'Futures Data'!$B$5:$B$3471,B770)))&lt;0.000000001</f>
        <v>1</v>
      </c>
    </row>
    <row r="771" customFormat="false" ht="15" hidden="false" customHeight="false" outlineLevel="0" collapsed="false">
      <c r="A771" s="7" t="n">
        <v>46265</v>
      </c>
      <c r="B771" s="11" t="n">
        <f aca="false">C770</f>
        <v>46283</v>
      </c>
      <c r="C771" s="11" t="n">
        <f aca="false">IF(OR(H770,D771&lt;=$G$4),_xlfn.MINIFS('Futures Data'!$B$5:$B$3471,'Futures Data'!$A$5:$A$3471,A771,'Futures Data'!$B$5:$B$3471,"&gt;"&amp;B771),B771)</f>
        <v>46283</v>
      </c>
      <c r="D771" s="3" t="n">
        <f aca="false">COUNTIFS($A$47:$A$790,"&gt;"&amp;A771,$A$47:$A$790,"&lt;="&amp;B771)+IF(B771&gt;$G$5,NETWORKDAYS($G$5+1,B771),0)</f>
        <v>13</v>
      </c>
      <c r="E771" s="3" t="n">
        <f aca="false">SUMIFS('Futures Data'!$E$5:$E$3471,'Futures Data'!$A$5:$A$3471,A771,'Futures Data'!$B$5:$B$3471,C771)</f>
        <v>27780</v>
      </c>
      <c r="F771" s="11" t="n">
        <f aca="false">_xlfn.MINIFS('Futures Data'!$B$5:$B$3471,'Futures Data'!$A$5:$A$3471,A771,'Futures Data'!$B$5:$B$3471,"&gt;"&amp;C771)</f>
        <v>46311</v>
      </c>
      <c r="G771" s="3" t="n">
        <f aca="false">SUMIFS('Futures Data'!$E$5:$E$3471,'Futures Data'!$A$5:$A$3471,A771,'Futures Data'!$B$5:$B$3471,F771)</f>
        <v>16755</v>
      </c>
      <c r="H771" s="9" t="b">
        <f aca="false">G771&gt;E771</f>
        <v>0</v>
      </c>
      <c r="I771" s="9" t="b">
        <f aca="false">C771&lt;&gt;B771</f>
        <v>0</v>
      </c>
      <c r="J771" s="3" t="n">
        <f aca="false">SUMIFS('Futures Data'!$C$5:$C$3471,'Futures Data'!$A$5:$A$3471,A771,'Futures Data'!$B$5:$B$3471,B771)</f>
        <v>7475</v>
      </c>
      <c r="K771" s="3" t="n">
        <f aca="false">SUMIFS('Futures Data'!$C$5:$C$3471,'Futures Data'!$A$5:$A$3471,A771,'Futures Data'!$B$5:$B$3471,C771)</f>
        <v>7475</v>
      </c>
      <c r="L771" s="3" t="n">
        <f aca="false">K771-J771</f>
        <v>0</v>
      </c>
      <c r="M771" s="3" t="n">
        <f aca="false">M772+L771</f>
        <v>117</v>
      </c>
      <c r="N771" s="3" t="n">
        <f aca="false">J771+M771</f>
        <v>7592</v>
      </c>
      <c r="O771" s="13" t="n">
        <f aca="false">LN(J771/K770)</f>
        <v>0.00402145314077786</v>
      </c>
      <c r="P771" s="13" t="n">
        <f aca="false">LN(N771/N770)</f>
        <v>0.00395935583888569</v>
      </c>
      <c r="Q771" s="3" t="n">
        <f aca="false">SUMIFS('Futures Data'!$D$5:$D$3471,'Futures Data'!$A$5:$A$3471,A771,'Futures Data'!$B$5:$B$3471,B771)</f>
        <v>6205</v>
      </c>
      <c r="R771" s="7" t="n">
        <v>46283</v>
      </c>
      <c r="S771" s="9" t="b">
        <f aca="false">C771=R771</f>
        <v>1</v>
      </c>
      <c r="T771" s="9" t="b">
        <f aca="false">ABS(O771-LN(J771/SUMIFS('Futures Data'!$C$5:$C$3471,'Futures Data'!$A$5:$A$3471,A770,'Futures Data'!$B$5:$B$3471,B771)))&lt;0.000000001</f>
        <v>1</v>
      </c>
    </row>
    <row r="772" customFormat="false" ht="15" hidden="false" customHeight="false" outlineLevel="0" collapsed="false">
      <c r="A772" s="7" t="n">
        <v>46266</v>
      </c>
      <c r="B772" s="11" t="n">
        <f aca="false">C771</f>
        <v>46283</v>
      </c>
      <c r="C772" s="11" t="n">
        <f aca="false">IF(OR(H771,D772&lt;=$G$4),_xlfn.MINIFS('Futures Data'!$B$5:$B$3471,'Futures Data'!$A$5:$A$3471,A772,'Futures Data'!$B$5:$B$3471,"&gt;"&amp;B772),B772)</f>
        <v>46283</v>
      </c>
      <c r="D772" s="3" t="n">
        <f aca="false">COUNTIFS($A$47:$A$790,"&gt;"&amp;A772,$A$47:$A$790,"&lt;="&amp;B772)+IF(B772&gt;$G$5,NETWORKDAYS($G$5+1,B772),0)</f>
        <v>12</v>
      </c>
      <c r="E772" s="3" t="n">
        <f aca="false">SUMIFS('Futures Data'!$E$5:$E$3471,'Futures Data'!$A$5:$A$3471,A772,'Futures Data'!$B$5:$B$3471,C772)</f>
        <v>26150</v>
      </c>
      <c r="F772" s="11" t="n">
        <f aca="false">_xlfn.MINIFS('Futures Data'!$B$5:$B$3471,'Futures Data'!$A$5:$A$3471,A772,'Futures Data'!$B$5:$B$3471,"&gt;"&amp;C772)</f>
        <v>46311</v>
      </c>
      <c r="G772" s="3" t="n">
        <f aca="false">SUMIFS('Futures Data'!$E$5:$E$3471,'Futures Data'!$A$5:$A$3471,A772,'Futures Data'!$B$5:$B$3471,F772)</f>
        <v>18820</v>
      </c>
      <c r="H772" s="9" t="b">
        <f aca="false">G772&gt;E772</f>
        <v>0</v>
      </c>
      <c r="I772" s="9" t="b">
        <f aca="false">C772&lt;&gt;B772</f>
        <v>0</v>
      </c>
      <c r="J772" s="3" t="n">
        <f aca="false">SUMIFS('Futures Data'!$C$5:$C$3471,'Futures Data'!$A$5:$A$3471,A772,'Futures Data'!$B$5:$B$3471,B772)</f>
        <v>7428</v>
      </c>
      <c r="K772" s="3" t="n">
        <f aca="false">SUMIFS('Futures Data'!$C$5:$C$3471,'Futures Data'!$A$5:$A$3471,A772,'Futures Data'!$B$5:$B$3471,C772)</f>
        <v>7428</v>
      </c>
      <c r="L772" s="3" t="n">
        <f aca="false">K772-J772</f>
        <v>0</v>
      </c>
      <c r="M772" s="3" t="n">
        <f aca="false">M773+L772</f>
        <v>117</v>
      </c>
      <c r="N772" s="3" t="n">
        <f aca="false">J772+M772</f>
        <v>7545</v>
      </c>
      <c r="O772" s="13" t="n">
        <f aca="false">LN(J772/K771)</f>
        <v>-0.00630747578629072</v>
      </c>
      <c r="P772" s="13" t="n">
        <f aca="false">LN(N772/N771)</f>
        <v>-0.00620996908781447</v>
      </c>
      <c r="Q772" s="3" t="n">
        <f aca="false">SUMIFS('Futures Data'!$D$5:$D$3471,'Futures Data'!$A$5:$A$3471,A772,'Futures Data'!$B$5:$B$3471,B772)</f>
        <v>5460</v>
      </c>
      <c r="R772" s="7" t="n">
        <v>46283</v>
      </c>
      <c r="S772" s="9" t="b">
        <f aca="false">C772=R772</f>
        <v>1</v>
      </c>
      <c r="T772" s="9" t="b">
        <f aca="false">ABS(O772-LN(J772/SUMIFS('Futures Data'!$C$5:$C$3471,'Futures Data'!$A$5:$A$3471,A771,'Futures Data'!$B$5:$B$3471,B772)))&lt;0.000000001</f>
        <v>1</v>
      </c>
    </row>
    <row r="773" customFormat="false" ht="15" hidden="false" customHeight="false" outlineLevel="0" collapsed="false">
      <c r="A773" s="7" t="n">
        <v>46267</v>
      </c>
      <c r="B773" s="11" t="n">
        <f aca="false">C772</f>
        <v>46283</v>
      </c>
      <c r="C773" s="11" t="n">
        <f aca="false">IF(OR(H772,D773&lt;=$G$4),_xlfn.MINIFS('Futures Data'!$B$5:$B$3471,'Futures Data'!$A$5:$A$3471,A773,'Futures Data'!$B$5:$B$3471,"&gt;"&amp;B773),B773)</f>
        <v>46283</v>
      </c>
      <c r="D773" s="3" t="n">
        <f aca="false">COUNTIFS($A$47:$A$790,"&gt;"&amp;A773,$A$47:$A$790,"&lt;="&amp;B773)+IF(B773&gt;$G$5,NETWORKDAYS($G$5+1,B773),0)</f>
        <v>11</v>
      </c>
      <c r="E773" s="3" t="n">
        <f aca="false">SUMIFS('Futures Data'!$E$5:$E$3471,'Futures Data'!$A$5:$A$3471,A773,'Futures Data'!$B$5:$B$3471,C773)</f>
        <v>22360</v>
      </c>
      <c r="F773" s="11" t="n">
        <f aca="false">_xlfn.MINIFS('Futures Data'!$B$5:$B$3471,'Futures Data'!$A$5:$A$3471,A773,'Futures Data'!$B$5:$B$3471,"&gt;"&amp;C773)</f>
        <v>46311</v>
      </c>
      <c r="G773" s="3" t="n">
        <f aca="false">SUMIFS('Futures Data'!$E$5:$E$3471,'Futures Data'!$A$5:$A$3471,A773,'Futures Data'!$B$5:$B$3471,F773)</f>
        <v>22665</v>
      </c>
      <c r="H773" s="9" t="b">
        <f aca="false">G773&gt;E773</f>
        <v>1</v>
      </c>
      <c r="I773" s="9" t="b">
        <f aca="false">C773&lt;&gt;B773</f>
        <v>0</v>
      </c>
      <c r="J773" s="3" t="n">
        <f aca="false">SUMIFS('Futures Data'!$C$5:$C$3471,'Futures Data'!$A$5:$A$3471,A773,'Futures Data'!$B$5:$B$3471,B773)</f>
        <v>7497</v>
      </c>
      <c r="K773" s="3" t="n">
        <f aca="false">SUMIFS('Futures Data'!$C$5:$C$3471,'Futures Data'!$A$5:$A$3471,A773,'Futures Data'!$B$5:$B$3471,C773)</f>
        <v>7497</v>
      </c>
      <c r="L773" s="3" t="n">
        <f aca="false">K773-J773</f>
        <v>0</v>
      </c>
      <c r="M773" s="3" t="n">
        <f aca="false">M774+L773</f>
        <v>117</v>
      </c>
      <c r="N773" s="3" t="n">
        <f aca="false">J773+M773</f>
        <v>7614</v>
      </c>
      <c r="O773" s="13" t="n">
        <f aca="false">LN(J773/K772)</f>
        <v>0.0092462970304657</v>
      </c>
      <c r="P773" s="13" t="n">
        <f aca="false">LN(N773/N772)</f>
        <v>0.00910356574049335</v>
      </c>
      <c r="Q773" s="3" t="n">
        <f aca="false">SUMIFS('Futures Data'!$D$5:$D$3471,'Futures Data'!$A$5:$A$3471,A773,'Futures Data'!$B$5:$B$3471,B773)</f>
        <v>8465</v>
      </c>
      <c r="R773" s="7" t="n">
        <v>46283</v>
      </c>
      <c r="S773" s="9" t="b">
        <f aca="false">C773=R773</f>
        <v>1</v>
      </c>
      <c r="T773" s="9" t="b">
        <f aca="false">ABS(O773-LN(J773/SUMIFS('Futures Data'!$C$5:$C$3471,'Futures Data'!$A$5:$A$3471,A772,'Futures Data'!$B$5:$B$3471,B773)))&lt;0.000000001</f>
        <v>1</v>
      </c>
    </row>
    <row r="774" customFormat="false" ht="15" hidden="false" customHeight="false" outlineLevel="0" collapsed="false">
      <c r="A774" s="7" t="n">
        <v>46268</v>
      </c>
      <c r="B774" s="11" t="n">
        <f aca="false">C773</f>
        <v>46283</v>
      </c>
      <c r="C774" s="11" t="n">
        <f aca="false">IF(OR(H773,D774&lt;=$G$4),_xlfn.MINIFS('Futures Data'!$B$5:$B$3471,'Futures Data'!$A$5:$A$3471,A774,'Futures Data'!$B$5:$B$3471,"&gt;"&amp;B774),B774)</f>
        <v>46311</v>
      </c>
      <c r="D774" s="3" t="n">
        <f aca="false">COUNTIFS($A$47:$A$790,"&gt;"&amp;A774,$A$47:$A$790,"&lt;="&amp;B774)+IF(B774&gt;$G$5,NETWORKDAYS($G$5+1,B774),0)</f>
        <v>10</v>
      </c>
      <c r="E774" s="3" t="n">
        <f aca="false">SUMIFS('Futures Data'!$E$5:$E$3471,'Futures Data'!$A$5:$A$3471,A774,'Futures Data'!$B$5:$B$3471,C774)</f>
        <v>24485</v>
      </c>
      <c r="F774" s="11" t="n">
        <f aca="false">_xlfn.MINIFS('Futures Data'!$B$5:$B$3471,'Futures Data'!$A$5:$A$3471,A774,'Futures Data'!$B$5:$B$3471,"&gt;"&amp;C774)</f>
        <v>46346</v>
      </c>
      <c r="G774" s="3" t="n">
        <f aca="false">SUMIFS('Futures Data'!$E$5:$E$3471,'Futures Data'!$A$5:$A$3471,A774,'Futures Data'!$B$5:$B$3471,F774)</f>
        <v>955</v>
      </c>
      <c r="H774" s="9" t="b">
        <f aca="false">G774&gt;E774</f>
        <v>0</v>
      </c>
      <c r="I774" s="9" t="b">
        <f aca="false">C774&lt;&gt;B774</f>
        <v>1</v>
      </c>
      <c r="J774" s="3" t="n">
        <f aca="false">SUMIFS('Futures Data'!$C$5:$C$3471,'Futures Data'!$A$5:$A$3471,A774,'Futures Data'!$B$5:$B$3471,B774)</f>
        <v>7542</v>
      </c>
      <c r="K774" s="3" t="n">
        <f aca="false">SUMIFS('Futures Data'!$C$5:$C$3471,'Futures Data'!$A$5:$A$3471,A774,'Futures Data'!$B$5:$B$3471,C774)</f>
        <v>7659</v>
      </c>
      <c r="L774" s="3" t="n">
        <f aca="false">K774-J774</f>
        <v>117</v>
      </c>
      <c r="M774" s="3" t="n">
        <f aca="false">M775+L774</f>
        <v>117</v>
      </c>
      <c r="N774" s="3" t="n">
        <f aca="false">J774+M774</f>
        <v>7659</v>
      </c>
      <c r="O774" s="13" t="n">
        <f aca="false">LN(J774/K773)</f>
        <v>0.00598445831524027</v>
      </c>
      <c r="P774" s="13" t="n">
        <f aca="false">LN(N774/N773)</f>
        <v>0.00589276896715092</v>
      </c>
      <c r="Q774" s="3" t="n">
        <f aca="false">SUMIFS('Futures Data'!$D$5:$D$3471,'Futures Data'!$A$5:$A$3471,A774,'Futures Data'!$B$5:$B$3471,B774)</f>
        <v>8010</v>
      </c>
      <c r="R774" s="7" t="n">
        <v>46311</v>
      </c>
      <c r="S774" s="9" t="b">
        <f aca="false">C774=R774</f>
        <v>1</v>
      </c>
      <c r="T774" s="9" t="b">
        <f aca="false">ABS(O774-LN(J774/SUMIFS('Futures Data'!$C$5:$C$3471,'Futures Data'!$A$5:$A$3471,A773,'Futures Data'!$B$5:$B$3471,B774)))&lt;0.000000001</f>
        <v>1</v>
      </c>
    </row>
    <row r="775" customFormat="false" ht="15" hidden="false" customHeight="false" outlineLevel="0" collapsed="false">
      <c r="A775" s="7" t="n">
        <v>46269</v>
      </c>
      <c r="B775" s="11" t="n">
        <f aca="false">C774</f>
        <v>46311</v>
      </c>
      <c r="C775" s="11" t="n">
        <f aca="false">IF(OR(H774,D775&lt;=$G$4),_xlfn.MINIFS('Futures Data'!$B$5:$B$3471,'Futures Data'!$A$5:$A$3471,A775,'Futures Data'!$B$5:$B$3471,"&gt;"&amp;B775),B775)</f>
        <v>46311</v>
      </c>
      <c r="D775" s="3" t="n">
        <f aca="false">COUNTIFS($A$47:$A$790,"&gt;"&amp;A775,$A$47:$A$790,"&lt;="&amp;B775)+IF(B775&gt;$G$5,NETWORKDAYS($G$5+1,B775),0)</f>
        <v>29</v>
      </c>
      <c r="E775" s="3" t="n">
        <f aca="false">SUMIFS('Futures Data'!$E$5:$E$3471,'Futures Data'!$A$5:$A$3471,A775,'Futures Data'!$B$5:$B$3471,C775)</f>
        <v>25895</v>
      </c>
      <c r="F775" s="11" t="n">
        <f aca="false">_xlfn.MINIFS('Futures Data'!$B$5:$B$3471,'Futures Data'!$A$5:$A$3471,A775,'Futures Data'!$B$5:$B$3471,"&gt;"&amp;C775)</f>
        <v>46346</v>
      </c>
      <c r="G775" s="3" t="n">
        <f aca="false">SUMIFS('Futures Data'!$E$5:$E$3471,'Futures Data'!$A$5:$A$3471,A775,'Futures Data'!$B$5:$B$3471,F775)</f>
        <v>1420</v>
      </c>
      <c r="H775" s="9" t="b">
        <f aca="false">G775&gt;E775</f>
        <v>0</v>
      </c>
      <c r="I775" s="9" t="b">
        <f aca="false">C775&lt;&gt;B775</f>
        <v>0</v>
      </c>
      <c r="J775" s="3" t="n">
        <f aca="false">SUMIFS('Futures Data'!$C$5:$C$3471,'Futures Data'!$A$5:$A$3471,A775,'Futures Data'!$B$5:$B$3471,B775)</f>
        <v>7675</v>
      </c>
      <c r="K775" s="3" t="n">
        <f aca="false">SUMIFS('Futures Data'!$C$5:$C$3471,'Futures Data'!$A$5:$A$3471,A775,'Futures Data'!$B$5:$B$3471,C775)</f>
        <v>7675</v>
      </c>
      <c r="L775" s="3" t="n">
        <f aca="false">K775-J775</f>
        <v>0</v>
      </c>
      <c r="M775" s="3" t="n">
        <f aca="false">M776+L775</f>
        <v>0</v>
      </c>
      <c r="N775" s="3" t="n">
        <f aca="false">J775+M775</f>
        <v>7675</v>
      </c>
      <c r="O775" s="13" t="n">
        <f aca="false">LN(J775/K774)</f>
        <v>0.00208686654580433</v>
      </c>
      <c r="P775" s="13" t="n">
        <f aca="false">LN(N775/N774)</f>
        <v>0.00208686654580433</v>
      </c>
      <c r="Q775" s="3" t="n">
        <f aca="false">SUMIFS('Futures Data'!$D$5:$D$3471,'Futures Data'!$A$5:$A$3471,A775,'Futures Data'!$B$5:$B$3471,B775)</f>
        <v>7520</v>
      </c>
      <c r="R775" s="7" t="n">
        <v>46311</v>
      </c>
      <c r="S775" s="9" t="b">
        <f aca="false">C775=R775</f>
        <v>1</v>
      </c>
      <c r="T775" s="9" t="b">
        <f aca="false">ABS(O775-LN(J775/SUMIFS('Futures Data'!$C$5:$C$3471,'Futures Data'!$A$5:$A$3471,A774,'Futures Data'!$B$5:$B$3471,B775)))&lt;0.000000001</f>
        <v>1</v>
      </c>
    </row>
    <row r="776" customFormat="false" ht="15" hidden="false" customHeight="false" outlineLevel="0" collapsed="false">
      <c r="A776" s="7" t="n">
        <v>46272</v>
      </c>
      <c r="B776" s="11" t="n">
        <f aca="false">C775</f>
        <v>46311</v>
      </c>
      <c r="C776" s="11" t="n">
        <f aca="false">IF(OR(H775,D776&lt;=$G$4),_xlfn.MINIFS('Futures Data'!$B$5:$B$3471,'Futures Data'!$A$5:$A$3471,A776,'Futures Data'!$B$5:$B$3471,"&gt;"&amp;B776),B776)</f>
        <v>46311</v>
      </c>
      <c r="D776" s="3" t="n">
        <f aca="false">COUNTIFS($A$47:$A$790,"&gt;"&amp;A776,$A$47:$A$790,"&lt;="&amp;B776)+IF(B776&gt;$G$5,NETWORKDAYS($G$5+1,B776),0)</f>
        <v>28</v>
      </c>
      <c r="E776" s="3" t="n">
        <f aca="false">SUMIFS('Futures Data'!$E$5:$E$3471,'Futures Data'!$A$5:$A$3471,A776,'Futures Data'!$B$5:$B$3471,C776)</f>
        <v>27775</v>
      </c>
      <c r="F776" s="11" t="n">
        <f aca="false">_xlfn.MINIFS('Futures Data'!$B$5:$B$3471,'Futures Data'!$A$5:$A$3471,A776,'Futures Data'!$B$5:$B$3471,"&gt;"&amp;C776)</f>
        <v>46346</v>
      </c>
      <c r="G776" s="3" t="n">
        <f aca="false">SUMIFS('Futures Data'!$E$5:$E$3471,'Futures Data'!$A$5:$A$3471,A776,'Futures Data'!$B$5:$B$3471,F776)</f>
        <v>1720</v>
      </c>
      <c r="H776" s="9" t="b">
        <f aca="false">G776&gt;E776</f>
        <v>0</v>
      </c>
      <c r="I776" s="9" t="b">
        <f aca="false">C776&lt;&gt;B776</f>
        <v>0</v>
      </c>
      <c r="J776" s="3" t="n">
        <f aca="false">SUMIFS('Futures Data'!$C$5:$C$3471,'Futures Data'!$A$5:$A$3471,A776,'Futures Data'!$B$5:$B$3471,B776)</f>
        <v>7620</v>
      </c>
      <c r="K776" s="3" t="n">
        <f aca="false">SUMIFS('Futures Data'!$C$5:$C$3471,'Futures Data'!$A$5:$A$3471,A776,'Futures Data'!$B$5:$B$3471,C776)</f>
        <v>7620</v>
      </c>
      <c r="L776" s="3" t="n">
        <f aca="false">K776-J776</f>
        <v>0</v>
      </c>
      <c r="M776" s="3" t="n">
        <f aca="false">M777+L776</f>
        <v>0</v>
      </c>
      <c r="N776" s="3" t="n">
        <f aca="false">J776+M776</f>
        <v>7620</v>
      </c>
      <c r="O776" s="13" t="n">
        <f aca="false">LN(J776/K775)</f>
        <v>-0.00719192377470599</v>
      </c>
      <c r="P776" s="13" t="n">
        <f aca="false">LN(N776/N775)</f>
        <v>-0.00719192377470599</v>
      </c>
      <c r="Q776" s="3" t="n">
        <f aca="false">SUMIFS('Futures Data'!$D$5:$D$3471,'Futures Data'!$A$5:$A$3471,A776,'Futures Data'!$B$5:$B$3471,B776)</f>
        <v>7270</v>
      </c>
      <c r="R776" s="7" t="n">
        <v>46311</v>
      </c>
      <c r="S776" s="9" t="b">
        <f aca="false">C776=R776</f>
        <v>1</v>
      </c>
      <c r="T776" s="9" t="b">
        <f aca="false">ABS(O776-LN(J776/SUMIFS('Futures Data'!$C$5:$C$3471,'Futures Data'!$A$5:$A$3471,A775,'Futures Data'!$B$5:$B$3471,B776)))&lt;0.000000001</f>
        <v>1</v>
      </c>
    </row>
    <row r="777" customFormat="false" ht="15" hidden="false" customHeight="false" outlineLevel="0" collapsed="false">
      <c r="A777" s="7" t="n">
        <v>46273</v>
      </c>
      <c r="B777" s="11" t="n">
        <f aca="false">C776</f>
        <v>46311</v>
      </c>
      <c r="C777" s="11" t="n">
        <f aca="false">IF(OR(H776,D777&lt;=$G$4),_xlfn.MINIFS('Futures Data'!$B$5:$B$3471,'Futures Data'!$A$5:$A$3471,A777,'Futures Data'!$B$5:$B$3471,"&gt;"&amp;B777),B777)</f>
        <v>46311</v>
      </c>
      <c r="D777" s="3" t="n">
        <f aca="false">COUNTIFS($A$47:$A$790,"&gt;"&amp;A777,$A$47:$A$790,"&lt;="&amp;B777)+IF(B777&gt;$G$5,NETWORKDAYS($G$5+1,B777),0)</f>
        <v>27</v>
      </c>
      <c r="E777" s="3" t="n">
        <f aca="false">SUMIFS('Futures Data'!$E$5:$E$3471,'Futures Data'!$A$5:$A$3471,A777,'Futures Data'!$B$5:$B$3471,C777)</f>
        <v>29640</v>
      </c>
      <c r="F777" s="11" t="n">
        <f aca="false">_xlfn.MINIFS('Futures Data'!$B$5:$B$3471,'Futures Data'!$A$5:$A$3471,A777,'Futures Data'!$B$5:$B$3471,"&gt;"&amp;C777)</f>
        <v>46346</v>
      </c>
      <c r="G777" s="3" t="n">
        <f aca="false">SUMIFS('Futures Data'!$E$5:$E$3471,'Futures Data'!$A$5:$A$3471,A777,'Futures Data'!$B$5:$B$3471,F777)</f>
        <v>1920</v>
      </c>
      <c r="H777" s="9" t="b">
        <f aca="false">G777&gt;E777</f>
        <v>0</v>
      </c>
      <c r="I777" s="9" t="b">
        <f aca="false">C777&lt;&gt;B777</f>
        <v>0</v>
      </c>
      <c r="J777" s="3" t="n">
        <f aca="false">SUMIFS('Futures Data'!$C$5:$C$3471,'Futures Data'!$A$5:$A$3471,A777,'Futures Data'!$B$5:$B$3471,B777)</f>
        <v>7562</v>
      </c>
      <c r="K777" s="3" t="n">
        <f aca="false">SUMIFS('Futures Data'!$C$5:$C$3471,'Futures Data'!$A$5:$A$3471,A777,'Futures Data'!$B$5:$B$3471,C777)</f>
        <v>7562</v>
      </c>
      <c r="L777" s="3" t="n">
        <f aca="false">K777-J777</f>
        <v>0</v>
      </c>
      <c r="M777" s="3" t="n">
        <f aca="false">M778+L777</f>
        <v>0</v>
      </c>
      <c r="N777" s="3" t="n">
        <f aca="false">J777+M777</f>
        <v>7562</v>
      </c>
      <c r="O777" s="13" t="n">
        <f aca="false">LN(J777/K776)</f>
        <v>-0.00764066422981377</v>
      </c>
      <c r="P777" s="13" t="n">
        <f aca="false">LN(N777/N776)</f>
        <v>-0.00764066422981377</v>
      </c>
      <c r="Q777" s="3" t="n">
        <f aca="false">SUMIFS('Futures Data'!$D$5:$D$3471,'Futures Data'!$A$5:$A$3471,A777,'Futures Data'!$B$5:$B$3471,B777)</f>
        <v>12070</v>
      </c>
      <c r="R777" s="7" t="n">
        <v>46311</v>
      </c>
      <c r="S777" s="9" t="b">
        <f aca="false">C777=R777</f>
        <v>1</v>
      </c>
      <c r="T777" s="9" t="b">
        <f aca="false">ABS(O777-LN(J777/SUMIFS('Futures Data'!$C$5:$C$3471,'Futures Data'!$A$5:$A$3471,A776,'Futures Data'!$B$5:$B$3471,B777)))&lt;0.000000001</f>
        <v>1</v>
      </c>
    </row>
    <row r="778" customFormat="false" ht="15" hidden="false" customHeight="false" outlineLevel="0" collapsed="false">
      <c r="A778" s="7" t="n">
        <v>46274</v>
      </c>
      <c r="B778" s="11" t="n">
        <f aca="false">C777</f>
        <v>46311</v>
      </c>
      <c r="C778" s="11" t="n">
        <f aca="false">IF(OR(H777,D778&lt;=$G$4),_xlfn.MINIFS('Futures Data'!$B$5:$B$3471,'Futures Data'!$A$5:$A$3471,A778,'Futures Data'!$B$5:$B$3471,"&gt;"&amp;B778),B778)</f>
        <v>46311</v>
      </c>
      <c r="D778" s="3" t="n">
        <f aca="false">COUNTIFS($A$47:$A$790,"&gt;"&amp;A778,$A$47:$A$790,"&lt;="&amp;B778)+IF(B778&gt;$G$5,NETWORKDAYS($G$5+1,B778),0)</f>
        <v>26</v>
      </c>
      <c r="E778" s="3" t="n">
        <f aca="false">SUMIFS('Futures Data'!$E$5:$E$3471,'Futures Data'!$A$5:$A$3471,A778,'Futures Data'!$B$5:$B$3471,C778)</f>
        <v>32250</v>
      </c>
      <c r="F778" s="11" t="n">
        <f aca="false">_xlfn.MINIFS('Futures Data'!$B$5:$B$3471,'Futures Data'!$A$5:$A$3471,A778,'Futures Data'!$B$5:$B$3471,"&gt;"&amp;C778)</f>
        <v>46346</v>
      </c>
      <c r="G778" s="3" t="n">
        <f aca="false">SUMIFS('Futures Data'!$E$5:$E$3471,'Futures Data'!$A$5:$A$3471,A778,'Futures Data'!$B$5:$B$3471,F778)</f>
        <v>2370</v>
      </c>
      <c r="H778" s="9" t="b">
        <f aca="false">G778&gt;E778</f>
        <v>0</v>
      </c>
      <c r="I778" s="9" t="b">
        <f aca="false">C778&lt;&gt;B778</f>
        <v>0</v>
      </c>
      <c r="J778" s="3" t="n">
        <f aca="false">SUMIFS('Futures Data'!$C$5:$C$3471,'Futures Data'!$A$5:$A$3471,A778,'Futures Data'!$B$5:$B$3471,B778)</f>
        <v>7564</v>
      </c>
      <c r="K778" s="3" t="n">
        <f aca="false">SUMIFS('Futures Data'!$C$5:$C$3471,'Futures Data'!$A$5:$A$3471,A778,'Futures Data'!$B$5:$B$3471,C778)</f>
        <v>7564</v>
      </c>
      <c r="L778" s="3" t="n">
        <f aca="false">K778-J778</f>
        <v>0</v>
      </c>
      <c r="M778" s="3" t="n">
        <f aca="false">M779+L778</f>
        <v>0</v>
      </c>
      <c r="N778" s="3" t="n">
        <f aca="false">J778+M778</f>
        <v>7564</v>
      </c>
      <c r="O778" s="13" t="n">
        <f aca="false">LN(J778/K777)</f>
        <v>0.000264445327469967</v>
      </c>
      <c r="P778" s="13" t="n">
        <f aca="false">LN(N778/N777)</f>
        <v>0.000264445327469967</v>
      </c>
      <c r="Q778" s="3" t="n">
        <f aca="false">SUMIFS('Futures Data'!$D$5:$D$3471,'Futures Data'!$A$5:$A$3471,A778,'Futures Data'!$B$5:$B$3471,B778)</f>
        <v>10340</v>
      </c>
      <c r="R778" s="7" t="n">
        <v>46311</v>
      </c>
      <c r="S778" s="9" t="b">
        <f aca="false">C778=R778</f>
        <v>1</v>
      </c>
      <c r="T778" s="9" t="b">
        <f aca="false">ABS(O778-LN(J778/SUMIFS('Futures Data'!$C$5:$C$3471,'Futures Data'!$A$5:$A$3471,A777,'Futures Data'!$B$5:$B$3471,B778)))&lt;0.000000001</f>
        <v>1</v>
      </c>
    </row>
    <row r="779" customFormat="false" ht="15" hidden="false" customHeight="false" outlineLevel="0" collapsed="false">
      <c r="A779" s="7" t="n">
        <v>46275</v>
      </c>
      <c r="B779" s="11" t="n">
        <f aca="false">C778</f>
        <v>46311</v>
      </c>
      <c r="C779" s="11" t="n">
        <f aca="false">IF(OR(H778,D779&lt;=$G$4),_xlfn.MINIFS('Futures Data'!$B$5:$B$3471,'Futures Data'!$A$5:$A$3471,A779,'Futures Data'!$B$5:$B$3471,"&gt;"&amp;B779),B779)</f>
        <v>46311</v>
      </c>
      <c r="D779" s="3" t="n">
        <f aca="false">COUNTIFS($A$47:$A$790,"&gt;"&amp;A779,$A$47:$A$790,"&lt;="&amp;B779)+IF(B779&gt;$G$5,NETWORKDAYS($G$5+1,B779),0)</f>
        <v>25</v>
      </c>
      <c r="E779" s="3" t="n">
        <f aca="false">SUMIFS('Futures Data'!$E$5:$E$3471,'Futures Data'!$A$5:$A$3471,A779,'Futures Data'!$B$5:$B$3471,C779)</f>
        <v>32385</v>
      </c>
      <c r="F779" s="11" t="n">
        <f aca="false">_xlfn.MINIFS('Futures Data'!$B$5:$B$3471,'Futures Data'!$A$5:$A$3471,A779,'Futures Data'!$B$5:$B$3471,"&gt;"&amp;C779)</f>
        <v>46346</v>
      </c>
      <c r="G779" s="3" t="n">
        <f aca="false">SUMIFS('Futures Data'!$E$5:$E$3471,'Futures Data'!$A$5:$A$3471,A779,'Futures Data'!$B$5:$B$3471,F779)</f>
        <v>2555</v>
      </c>
      <c r="H779" s="9" t="b">
        <f aca="false">G779&gt;E779</f>
        <v>0</v>
      </c>
      <c r="I779" s="9" t="b">
        <f aca="false">C779&lt;&gt;B779</f>
        <v>0</v>
      </c>
      <c r="J779" s="3" t="n">
        <f aca="false">SUMIFS('Futures Data'!$C$5:$C$3471,'Futures Data'!$A$5:$A$3471,A779,'Futures Data'!$B$5:$B$3471,B779)</f>
        <v>7593</v>
      </c>
      <c r="K779" s="3" t="n">
        <f aca="false">SUMIFS('Futures Data'!$C$5:$C$3471,'Futures Data'!$A$5:$A$3471,A779,'Futures Data'!$B$5:$B$3471,C779)</f>
        <v>7593</v>
      </c>
      <c r="L779" s="3" t="n">
        <f aca="false">K779-J779</f>
        <v>0</v>
      </c>
      <c r="M779" s="3" t="n">
        <f aca="false">M780+L779</f>
        <v>0</v>
      </c>
      <c r="N779" s="3" t="n">
        <f aca="false">J779+M779</f>
        <v>7593</v>
      </c>
      <c r="O779" s="13" t="n">
        <f aca="false">LN(J779/K778)</f>
        <v>0.00382661943488555</v>
      </c>
      <c r="P779" s="13" t="n">
        <f aca="false">LN(N779/N778)</f>
        <v>0.00382661943488555</v>
      </c>
      <c r="Q779" s="3" t="n">
        <f aca="false">SUMIFS('Futures Data'!$D$5:$D$3471,'Futures Data'!$A$5:$A$3471,A779,'Futures Data'!$B$5:$B$3471,B779)</f>
        <v>6390</v>
      </c>
      <c r="R779" s="7" t="n">
        <v>46311</v>
      </c>
      <c r="S779" s="9" t="b">
        <f aca="false">C779=R779</f>
        <v>1</v>
      </c>
      <c r="T779" s="9" t="b">
        <f aca="false">ABS(O779-LN(J779/SUMIFS('Futures Data'!$C$5:$C$3471,'Futures Data'!$A$5:$A$3471,A778,'Futures Data'!$B$5:$B$3471,B779)))&lt;0.000000001</f>
        <v>1</v>
      </c>
    </row>
    <row r="780" customFormat="false" ht="15" hidden="false" customHeight="false" outlineLevel="0" collapsed="false">
      <c r="A780" s="7" t="n">
        <v>46276</v>
      </c>
      <c r="B780" s="11" t="n">
        <f aca="false">C779</f>
        <v>46311</v>
      </c>
      <c r="C780" s="11" t="n">
        <f aca="false">IF(OR(H779,D780&lt;=$G$4),_xlfn.MINIFS('Futures Data'!$B$5:$B$3471,'Futures Data'!$A$5:$A$3471,A780,'Futures Data'!$B$5:$B$3471,"&gt;"&amp;B780),B780)</f>
        <v>46311</v>
      </c>
      <c r="D780" s="3" t="n">
        <f aca="false">COUNTIFS($A$47:$A$790,"&gt;"&amp;A780,$A$47:$A$790,"&lt;="&amp;B780)+IF(B780&gt;$G$5,NETWORKDAYS($G$5+1,B780),0)</f>
        <v>24</v>
      </c>
      <c r="E780" s="3" t="n">
        <f aca="false">SUMIFS('Futures Data'!$E$5:$E$3471,'Futures Data'!$A$5:$A$3471,A780,'Futures Data'!$B$5:$B$3471,C780)</f>
        <v>35005</v>
      </c>
      <c r="F780" s="11" t="n">
        <f aca="false">_xlfn.MINIFS('Futures Data'!$B$5:$B$3471,'Futures Data'!$A$5:$A$3471,A780,'Futures Data'!$B$5:$B$3471,"&gt;"&amp;C780)</f>
        <v>46346</v>
      </c>
      <c r="G780" s="3" t="n">
        <f aca="false">SUMIFS('Futures Data'!$E$5:$E$3471,'Futures Data'!$A$5:$A$3471,A780,'Futures Data'!$B$5:$B$3471,F780)</f>
        <v>2860</v>
      </c>
      <c r="H780" s="9" t="b">
        <f aca="false">G780&gt;E780</f>
        <v>0</v>
      </c>
      <c r="I780" s="9" t="b">
        <f aca="false">C780&lt;&gt;B780</f>
        <v>0</v>
      </c>
      <c r="J780" s="3" t="n">
        <f aca="false">SUMIFS('Futures Data'!$C$5:$C$3471,'Futures Data'!$A$5:$A$3471,A780,'Futures Data'!$B$5:$B$3471,B780)</f>
        <v>7711</v>
      </c>
      <c r="K780" s="3" t="n">
        <f aca="false">SUMIFS('Futures Data'!$C$5:$C$3471,'Futures Data'!$A$5:$A$3471,A780,'Futures Data'!$B$5:$B$3471,C780)</f>
        <v>7711</v>
      </c>
      <c r="L780" s="3" t="n">
        <f aca="false">K780-J780</f>
        <v>0</v>
      </c>
      <c r="M780" s="3" t="n">
        <f aca="false">M781+L780</f>
        <v>0</v>
      </c>
      <c r="N780" s="3" t="n">
        <f aca="false">J780+M780</f>
        <v>7711</v>
      </c>
      <c r="O780" s="13" t="n">
        <f aca="false">LN(J780/K779)</f>
        <v>0.0154211106197268</v>
      </c>
      <c r="P780" s="13" t="n">
        <f aca="false">LN(N780/N779)</f>
        <v>0.0154211106197268</v>
      </c>
      <c r="Q780" s="3" t="n">
        <f aca="false">SUMIFS('Futures Data'!$D$5:$D$3471,'Futures Data'!$A$5:$A$3471,A780,'Futures Data'!$B$5:$B$3471,B780)</f>
        <v>13275</v>
      </c>
      <c r="R780" s="7" t="n">
        <v>46311</v>
      </c>
      <c r="S780" s="9" t="b">
        <f aca="false">C780=R780</f>
        <v>1</v>
      </c>
      <c r="T780" s="9" t="b">
        <f aca="false">ABS(O780-LN(J780/SUMIFS('Futures Data'!$C$5:$C$3471,'Futures Data'!$A$5:$A$3471,A779,'Futures Data'!$B$5:$B$3471,B780)))&lt;0.000000001</f>
        <v>1</v>
      </c>
    </row>
    <row r="781" customFormat="false" ht="15" hidden="false" customHeight="false" outlineLevel="0" collapsed="false">
      <c r="A781" s="7" t="n">
        <v>46280</v>
      </c>
      <c r="B781" s="11" t="n">
        <f aca="false">C780</f>
        <v>46311</v>
      </c>
      <c r="C781" s="11" t="n">
        <f aca="false">IF(OR(H780,D781&lt;=$G$4),_xlfn.MINIFS('Futures Data'!$B$5:$B$3471,'Futures Data'!$A$5:$A$3471,A781,'Futures Data'!$B$5:$B$3471,"&gt;"&amp;B781),B781)</f>
        <v>46311</v>
      </c>
      <c r="D781" s="3" t="n">
        <f aca="false">COUNTIFS($A$47:$A$790,"&gt;"&amp;A781,$A$47:$A$790,"&lt;="&amp;B781)+IF(B781&gt;$G$5,NETWORKDAYS($G$5+1,B781),0)</f>
        <v>23</v>
      </c>
      <c r="E781" s="3" t="n">
        <f aca="false">SUMIFS('Futures Data'!$E$5:$E$3471,'Futures Data'!$A$5:$A$3471,A781,'Futures Data'!$B$5:$B$3471,C781)</f>
        <v>36100</v>
      </c>
      <c r="F781" s="11" t="n">
        <f aca="false">_xlfn.MINIFS('Futures Data'!$B$5:$B$3471,'Futures Data'!$A$5:$A$3471,A781,'Futures Data'!$B$5:$B$3471,"&gt;"&amp;C781)</f>
        <v>46346</v>
      </c>
      <c r="G781" s="3" t="n">
        <f aca="false">SUMIFS('Futures Data'!$E$5:$E$3471,'Futures Data'!$A$5:$A$3471,A781,'Futures Data'!$B$5:$B$3471,F781)</f>
        <v>3170</v>
      </c>
      <c r="H781" s="9" t="b">
        <f aca="false">G781&gt;E781</f>
        <v>0</v>
      </c>
      <c r="I781" s="9" t="b">
        <f aca="false">C781&lt;&gt;B781</f>
        <v>0</v>
      </c>
      <c r="J781" s="3" t="n">
        <f aca="false">SUMIFS('Futures Data'!$C$5:$C$3471,'Futures Data'!$A$5:$A$3471,A781,'Futures Data'!$B$5:$B$3471,B781)</f>
        <v>7561</v>
      </c>
      <c r="K781" s="3" t="n">
        <f aca="false">SUMIFS('Futures Data'!$C$5:$C$3471,'Futures Data'!$A$5:$A$3471,A781,'Futures Data'!$B$5:$B$3471,C781)</f>
        <v>7561</v>
      </c>
      <c r="L781" s="3" t="n">
        <f aca="false">K781-J781</f>
        <v>0</v>
      </c>
      <c r="M781" s="3" t="n">
        <f aca="false">M782+L781</f>
        <v>0</v>
      </c>
      <c r="N781" s="3" t="n">
        <f aca="false">J781+M781</f>
        <v>7561</v>
      </c>
      <c r="O781" s="13" t="n">
        <f aca="false">LN(J781/K780)</f>
        <v>-0.0196444242746907</v>
      </c>
      <c r="P781" s="13" t="n">
        <f aca="false">LN(N781/N780)</f>
        <v>-0.0196444242746907</v>
      </c>
      <c r="Q781" s="3" t="n">
        <f aca="false">SUMIFS('Futures Data'!$D$5:$D$3471,'Futures Data'!$A$5:$A$3471,A781,'Futures Data'!$B$5:$B$3471,B781)</f>
        <v>13455</v>
      </c>
      <c r="R781" s="7" t="n">
        <v>46311</v>
      </c>
      <c r="S781" s="9" t="b">
        <f aca="false">C781=R781</f>
        <v>1</v>
      </c>
      <c r="T781" s="9" t="b">
        <f aca="false">ABS(O781-LN(J781/SUMIFS('Futures Data'!$C$5:$C$3471,'Futures Data'!$A$5:$A$3471,A780,'Futures Data'!$B$5:$B$3471,B781)))&lt;0.000000001</f>
        <v>1</v>
      </c>
    </row>
    <row r="782" customFormat="false" ht="15" hidden="false" customHeight="false" outlineLevel="0" collapsed="false">
      <c r="A782" s="7" t="n">
        <v>46281</v>
      </c>
      <c r="B782" s="11" t="n">
        <f aca="false">C781</f>
        <v>46311</v>
      </c>
      <c r="C782" s="11" t="n">
        <f aca="false">IF(OR(H781,D782&lt;=$G$4),_xlfn.MINIFS('Futures Data'!$B$5:$B$3471,'Futures Data'!$A$5:$A$3471,A782,'Futures Data'!$B$5:$B$3471,"&gt;"&amp;B782),B782)</f>
        <v>46311</v>
      </c>
      <c r="D782" s="3" t="n">
        <f aca="false">COUNTIFS($A$47:$A$790,"&gt;"&amp;A782,$A$47:$A$790,"&lt;="&amp;B782)+IF(B782&gt;$G$5,NETWORKDAYS($G$5+1,B782),0)</f>
        <v>22</v>
      </c>
      <c r="E782" s="3" t="n">
        <f aca="false">SUMIFS('Futures Data'!$E$5:$E$3471,'Futures Data'!$A$5:$A$3471,A782,'Futures Data'!$B$5:$B$3471,C782)</f>
        <v>36230</v>
      </c>
      <c r="F782" s="11" t="n">
        <f aca="false">_xlfn.MINIFS('Futures Data'!$B$5:$B$3471,'Futures Data'!$A$5:$A$3471,A782,'Futures Data'!$B$5:$B$3471,"&gt;"&amp;C782)</f>
        <v>46346</v>
      </c>
      <c r="G782" s="3" t="n">
        <f aca="false">SUMIFS('Futures Data'!$E$5:$E$3471,'Futures Data'!$A$5:$A$3471,A782,'Futures Data'!$B$5:$B$3471,F782)</f>
        <v>3495</v>
      </c>
      <c r="H782" s="9" t="b">
        <f aca="false">G782&gt;E782</f>
        <v>0</v>
      </c>
      <c r="I782" s="9" t="b">
        <f aca="false">C782&lt;&gt;B782</f>
        <v>0</v>
      </c>
      <c r="J782" s="3" t="n">
        <f aca="false">SUMIFS('Futures Data'!$C$5:$C$3471,'Futures Data'!$A$5:$A$3471,A782,'Futures Data'!$B$5:$B$3471,B782)</f>
        <v>7628</v>
      </c>
      <c r="K782" s="3" t="n">
        <f aca="false">SUMIFS('Futures Data'!$C$5:$C$3471,'Futures Data'!$A$5:$A$3471,A782,'Futures Data'!$B$5:$B$3471,C782)</f>
        <v>7628</v>
      </c>
      <c r="L782" s="3" t="n">
        <f aca="false">K782-J782</f>
        <v>0</v>
      </c>
      <c r="M782" s="3" t="n">
        <f aca="false">M783+L782</f>
        <v>0</v>
      </c>
      <c r="N782" s="3" t="n">
        <f aca="false">J782+M782</f>
        <v>7628</v>
      </c>
      <c r="O782" s="13" t="n">
        <f aca="false">LN(J782/K781)</f>
        <v>0.00882223116203982</v>
      </c>
      <c r="P782" s="13" t="n">
        <f aca="false">LN(N782/N781)</f>
        <v>0.00882223116203982</v>
      </c>
      <c r="Q782" s="3" t="n">
        <f aca="false">SUMIFS('Futures Data'!$D$5:$D$3471,'Futures Data'!$A$5:$A$3471,A782,'Futures Data'!$B$5:$B$3471,B782)</f>
        <v>7625</v>
      </c>
      <c r="R782" s="7" t="n">
        <v>46311</v>
      </c>
      <c r="S782" s="9" t="b">
        <f aca="false">C782=R782</f>
        <v>1</v>
      </c>
      <c r="T782" s="9" t="b">
        <f aca="false">ABS(O782-LN(J782/SUMIFS('Futures Data'!$C$5:$C$3471,'Futures Data'!$A$5:$A$3471,A781,'Futures Data'!$B$5:$B$3471,B782)))&lt;0.000000001</f>
        <v>1</v>
      </c>
    </row>
    <row r="783" customFormat="false" ht="15" hidden="false" customHeight="false" outlineLevel="0" collapsed="false">
      <c r="A783" s="7" t="n">
        <v>46282</v>
      </c>
      <c r="B783" s="11" t="n">
        <f aca="false">C782</f>
        <v>46311</v>
      </c>
      <c r="C783" s="11" t="n">
        <f aca="false">IF(OR(H782,D783&lt;=$G$4),_xlfn.MINIFS('Futures Data'!$B$5:$B$3471,'Futures Data'!$A$5:$A$3471,A783,'Futures Data'!$B$5:$B$3471,"&gt;"&amp;B783),B783)</f>
        <v>46311</v>
      </c>
      <c r="D783" s="3" t="n">
        <f aca="false">COUNTIFS($A$47:$A$790,"&gt;"&amp;A783,$A$47:$A$790,"&lt;="&amp;B783)+IF(B783&gt;$G$5,NETWORKDAYS($G$5+1,B783),0)</f>
        <v>21</v>
      </c>
      <c r="E783" s="3" t="n">
        <f aca="false">SUMIFS('Futures Data'!$E$5:$E$3471,'Futures Data'!$A$5:$A$3471,A783,'Futures Data'!$B$5:$B$3471,C783)</f>
        <v>36305</v>
      </c>
      <c r="F783" s="11" t="n">
        <f aca="false">_xlfn.MINIFS('Futures Data'!$B$5:$B$3471,'Futures Data'!$A$5:$A$3471,A783,'Futures Data'!$B$5:$B$3471,"&gt;"&amp;C783)</f>
        <v>46346</v>
      </c>
      <c r="G783" s="3" t="n">
        <f aca="false">SUMIFS('Futures Data'!$E$5:$E$3471,'Futures Data'!$A$5:$A$3471,A783,'Futures Data'!$B$5:$B$3471,F783)</f>
        <v>3795</v>
      </c>
      <c r="H783" s="9" t="b">
        <f aca="false">G783&gt;E783</f>
        <v>0</v>
      </c>
      <c r="I783" s="9" t="b">
        <f aca="false">C783&lt;&gt;B783</f>
        <v>0</v>
      </c>
      <c r="J783" s="3" t="n">
        <f aca="false">SUMIFS('Futures Data'!$C$5:$C$3471,'Futures Data'!$A$5:$A$3471,A783,'Futures Data'!$B$5:$B$3471,B783)</f>
        <v>7668</v>
      </c>
      <c r="K783" s="3" t="n">
        <f aca="false">SUMIFS('Futures Data'!$C$5:$C$3471,'Futures Data'!$A$5:$A$3471,A783,'Futures Data'!$B$5:$B$3471,C783)</f>
        <v>7668</v>
      </c>
      <c r="L783" s="3" t="n">
        <f aca="false">K783-J783</f>
        <v>0</v>
      </c>
      <c r="M783" s="3" t="n">
        <f aca="false">M784+L783</f>
        <v>0</v>
      </c>
      <c r="N783" s="3" t="n">
        <f aca="false">J783+M783</f>
        <v>7668</v>
      </c>
      <c r="O783" s="13" t="n">
        <f aca="false">LN(J783/K782)</f>
        <v>0.00523013744522552</v>
      </c>
      <c r="P783" s="13" t="n">
        <f aca="false">LN(N783/N782)</f>
        <v>0.00523013744522552</v>
      </c>
      <c r="Q783" s="3" t="n">
        <f aca="false">SUMIFS('Futures Data'!$D$5:$D$3471,'Futures Data'!$A$5:$A$3471,A783,'Futures Data'!$B$5:$B$3471,B783)</f>
        <v>3935</v>
      </c>
      <c r="R783" s="7" t="n">
        <v>46311</v>
      </c>
      <c r="S783" s="9" t="b">
        <f aca="false">C783=R783</f>
        <v>1</v>
      </c>
      <c r="T783" s="9" t="b">
        <f aca="false">ABS(O783-LN(J783/SUMIFS('Futures Data'!$C$5:$C$3471,'Futures Data'!$A$5:$A$3471,A782,'Futures Data'!$B$5:$B$3471,B783)))&lt;0.000000001</f>
        <v>1</v>
      </c>
    </row>
    <row r="784" customFormat="false" ht="15" hidden="false" customHeight="false" outlineLevel="0" collapsed="false">
      <c r="A784" s="7" t="n">
        <v>46283</v>
      </c>
      <c r="B784" s="11" t="n">
        <f aca="false">C783</f>
        <v>46311</v>
      </c>
      <c r="C784" s="11" t="n">
        <f aca="false">IF(OR(H783,D784&lt;=$G$4),_xlfn.MINIFS('Futures Data'!$B$5:$B$3471,'Futures Data'!$A$5:$A$3471,A784,'Futures Data'!$B$5:$B$3471,"&gt;"&amp;B784),B784)</f>
        <v>46311</v>
      </c>
      <c r="D784" s="3" t="n">
        <f aca="false">COUNTIFS($A$47:$A$790,"&gt;"&amp;A784,$A$47:$A$790,"&lt;="&amp;B784)+IF(B784&gt;$G$5,NETWORKDAYS($G$5+1,B784),0)</f>
        <v>20</v>
      </c>
      <c r="E784" s="3" t="n">
        <f aca="false">SUMIFS('Futures Data'!$E$5:$E$3471,'Futures Data'!$A$5:$A$3471,A784,'Futures Data'!$B$5:$B$3471,C784)</f>
        <v>36265</v>
      </c>
      <c r="F784" s="11" t="n">
        <f aca="false">_xlfn.MINIFS('Futures Data'!$B$5:$B$3471,'Futures Data'!$A$5:$A$3471,A784,'Futures Data'!$B$5:$B$3471,"&gt;"&amp;C784)</f>
        <v>46346</v>
      </c>
      <c r="G784" s="3" t="n">
        <f aca="false">SUMIFS('Futures Data'!$E$5:$E$3471,'Futures Data'!$A$5:$A$3471,A784,'Futures Data'!$B$5:$B$3471,F784)</f>
        <v>4130</v>
      </c>
      <c r="H784" s="9" t="b">
        <f aca="false">G784&gt;E784</f>
        <v>0</v>
      </c>
      <c r="I784" s="9" t="b">
        <f aca="false">C784&lt;&gt;B784</f>
        <v>0</v>
      </c>
      <c r="J784" s="3" t="n">
        <f aca="false">SUMIFS('Futures Data'!$C$5:$C$3471,'Futures Data'!$A$5:$A$3471,A784,'Futures Data'!$B$5:$B$3471,B784)</f>
        <v>7675</v>
      </c>
      <c r="K784" s="3" t="n">
        <f aca="false">SUMIFS('Futures Data'!$C$5:$C$3471,'Futures Data'!$A$5:$A$3471,A784,'Futures Data'!$B$5:$B$3471,C784)</f>
        <v>7675</v>
      </c>
      <c r="L784" s="3" t="n">
        <f aca="false">K784-J784</f>
        <v>0</v>
      </c>
      <c r="M784" s="3" t="n">
        <f aca="false">M785+L784</f>
        <v>0</v>
      </c>
      <c r="N784" s="3" t="n">
        <f aca="false">J784+M784</f>
        <v>7675</v>
      </c>
      <c r="O784" s="13" t="n">
        <f aca="false">LN(J784/K783)</f>
        <v>0.000912468289862783</v>
      </c>
      <c r="P784" s="13" t="n">
        <f aca="false">LN(N784/N783)</f>
        <v>0.000912468289862783</v>
      </c>
      <c r="Q784" s="3" t="n">
        <f aca="false">SUMIFS('Futures Data'!$D$5:$D$3471,'Futures Data'!$A$5:$A$3471,A784,'Futures Data'!$B$5:$B$3471,B784)</f>
        <v>6820</v>
      </c>
      <c r="R784" s="7" t="n">
        <v>46311</v>
      </c>
      <c r="S784" s="9" t="b">
        <f aca="false">C784=R784</f>
        <v>1</v>
      </c>
      <c r="T784" s="9" t="b">
        <f aca="false">ABS(O784-LN(J784/SUMIFS('Futures Data'!$C$5:$C$3471,'Futures Data'!$A$5:$A$3471,A783,'Futures Data'!$B$5:$B$3471,B784)))&lt;0.000000001</f>
        <v>1</v>
      </c>
    </row>
    <row r="785" customFormat="false" ht="15" hidden="false" customHeight="false" outlineLevel="0" collapsed="false">
      <c r="A785" s="7" t="n">
        <v>46286</v>
      </c>
      <c r="B785" s="11" t="n">
        <f aca="false">C784</f>
        <v>46311</v>
      </c>
      <c r="C785" s="11" t="n">
        <f aca="false">IF(OR(H784,D785&lt;=$G$4),_xlfn.MINIFS('Futures Data'!$B$5:$B$3471,'Futures Data'!$A$5:$A$3471,A785,'Futures Data'!$B$5:$B$3471,"&gt;"&amp;B785),B785)</f>
        <v>46311</v>
      </c>
      <c r="D785" s="3" t="n">
        <f aca="false">COUNTIFS($A$47:$A$790,"&gt;"&amp;A785,$A$47:$A$790,"&lt;="&amp;B785)+IF(B785&gt;$G$5,NETWORKDAYS($G$5+1,B785),0)</f>
        <v>19</v>
      </c>
      <c r="E785" s="3" t="n">
        <f aca="false">SUMIFS('Futures Data'!$E$5:$E$3471,'Futures Data'!$A$5:$A$3471,A785,'Futures Data'!$B$5:$B$3471,C785)</f>
        <v>34545</v>
      </c>
      <c r="F785" s="11" t="n">
        <f aca="false">_xlfn.MINIFS('Futures Data'!$B$5:$B$3471,'Futures Data'!$A$5:$A$3471,A785,'Futures Data'!$B$5:$B$3471,"&gt;"&amp;C785)</f>
        <v>46346</v>
      </c>
      <c r="G785" s="3" t="n">
        <f aca="false">SUMIFS('Futures Data'!$E$5:$E$3471,'Futures Data'!$A$5:$A$3471,A785,'Futures Data'!$B$5:$B$3471,F785)</f>
        <v>6110</v>
      </c>
      <c r="H785" s="9" t="b">
        <f aca="false">G785&gt;E785</f>
        <v>0</v>
      </c>
      <c r="I785" s="9" t="b">
        <f aca="false">C785&lt;&gt;B785</f>
        <v>0</v>
      </c>
      <c r="J785" s="3" t="n">
        <f aca="false">SUMIFS('Futures Data'!$C$5:$C$3471,'Futures Data'!$A$5:$A$3471,A785,'Futures Data'!$B$5:$B$3471,B785)</f>
        <v>7714</v>
      </c>
      <c r="K785" s="3" t="n">
        <f aca="false">SUMIFS('Futures Data'!$C$5:$C$3471,'Futures Data'!$A$5:$A$3471,A785,'Futures Data'!$B$5:$B$3471,C785)</f>
        <v>7714</v>
      </c>
      <c r="L785" s="3" t="n">
        <f aca="false">K785-J785</f>
        <v>0</v>
      </c>
      <c r="M785" s="3" t="n">
        <f aca="false">M786+L785</f>
        <v>0</v>
      </c>
      <c r="N785" s="3" t="n">
        <f aca="false">J785+M785</f>
        <v>7714</v>
      </c>
      <c r="O785" s="13" t="n">
        <f aca="false">LN(J785/K784)</f>
        <v>0.00506856631277524</v>
      </c>
      <c r="P785" s="13" t="n">
        <f aca="false">LN(N785/N784)</f>
        <v>0.00506856631277524</v>
      </c>
      <c r="Q785" s="3" t="n">
        <f aca="false">SUMIFS('Futures Data'!$D$5:$D$3471,'Futures Data'!$A$5:$A$3471,A785,'Futures Data'!$B$5:$B$3471,B785)</f>
        <v>7985</v>
      </c>
      <c r="R785" s="7" t="n">
        <v>46311</v>
      </c>
      <c r="S785" s="9" t="b">
        <f aca="false">C785=R785</f>
        <v>1</v>
      </c>
      <c r="T785" s="9" t="b">
        <f aca="false">ABS(O785-LN(J785/SUMIFS('Futures Data'!$C$5:$C$3471,'Futures Data'!$A$5:$A$3471,A784,'Futures Data'!$B$5:$B$3471,B785)))&lt;0.000000001</f>
        <v>1</v>
      </c>
    </row>
    <row r="786" customFormat="false" ht="15" hidden="false" customHeight="false" outlineLevel="0" collapsed="false">
      <c r="A786" s="7" t="n">
        <v>46287</v>
      </c>
      <c r="B786" s="11" t="n">
        <f aca="false">C785</f>
        <v>46311</v>
      </c>
      <c r="C786" s="11" t="n">
        <f aca="false">IF(OR(H785,D786&lt;=$G$4),_xlfn.MINIFS('Futures Data'!$B$5:$B$3471,'Futures Data'!$A$5:$A$3471,A786,'Futures Data'!$B$5:$B$3471,"&gt;"&amp;B786),B786)</f>
        <v>46311</v>
      </c>
      <c r="D786" s="3" t="n">
        <f aca="false">COUNTIFS($A$47:$A$790,"&gt;"&amp;A786,$A$47:$A$790,"&lt;="&amp;B786)+IF(B786&gt;$G$5,NETWORKDAYS($G$5+1,B786),0)</f>
        <v>18</v>
      </c>
      <c r="E786" s="3" t="n">
        <f aca="false">SUMIFS('Futures Data'!$E$5:$E$3471,'Futures Data'!$A$5:$A$3471,A786,'Futures Data'!$B$5:$B$3471,C786)</f>
        <v>33815</v>
      </c>
      <c r="F786" s="11" t="n">
        <f aca="false">_xlfn.MINIFS('Futures Data'!$B$5:$B$3471,'Futures Data'!$A$5:$A$3471,A786,'Futures Data'!$B$5:$B$3471,"&gt;"&amp;C786)</f>
        <v>46346</v>
      </c>
      <c r="G786" s="3" t="n">
        <f aca="false">SUMIFS('Futures Data'!$E$5:$E$3471,'Futures Data'!$A$5:$A$3471,A786,'Futures Data'!$B$5:$B$3471,F786)</f>
        <v>8080</v>
      </c>
      <c r="H786" s="9" t="b">
        <f aca="false">G786&gt;E786</f>
        <v>0</v>
      </c>
      <c r="I786" s="9" t="b">
        <f aca="false">C786&lt;&gt;B786</f>
        <v>0</v>
      </c>
      <c r="J786" s="3" t="n">
        <f aca="false">SUMIFS('Futures Data'!$C$5:$C$3471,'Futures Data'!$A$5:$A$3471,A786,'Futures Data'!$B$5:$B$3471,B786)</f>
        <v>7726</v>
      </c>
      <c r="K786" s="3" t="n">
        <f aca="false">SUMIFS('Futures Data'!$C$5:$C$3471,'Futures Data'!$A$5:$A$3471,A786,'Futures Data'!$B$5:$B$3471,C786)</f>
        <v>7726</v>
      </c>
      <c r="L786" s="3" t="n">
        <f aca="false">K786-J786</f>
        <v>0</v>
      </c>
      <c r="M786" s="3" t="n">
        <f aca="false">M787+L786</f>
        <v>0</v>
      </c>
      <c r="N786" s="3" t="n">
        <f aca="false">J786+M786</f>
        <v>7726</v>
      </c>
      <c r="O786" s="13" t="n">
        <f aca="false">LN(J786/K785)</f>
        <v>0.00155440445805362</v>
      </c>
      <c r="P786" s="13" t="n">
        <f aca="false">LN(N786/N785)</f>
        <v>0.00155440445805362</v>
      </c>
      <c r="Q786" s="3" t="n">
        <f aca="false">SUMIFS('Futures Data'!$D$5:$D$3471,'Futures Data'!$A$5:$A$3471,A786,'Futures Data'!$B$5:$B$3471,B786)</f>
        <v>5825</v>
      </c>
      <c r="R786" s="7" t="n">
        <v>46311</v>
      </c>
      <c r="S786" s="9" t="b">
        <f aca="false">C786=R786</f>
        <v>1</v>
      </c>
      <c r="T786" s="9" t="b">
        <f aca="false">ABS(O786-LN(J786/SUMIFS('Futures Data'!$C$5:$C$3471,'Futures Data'!$A$5:$A$3471,A785,'Futures Data'!$B$5:$B$3471,B786)))&lt;0.000000001</f>
        <v>1</v>
      </c>
    </row>
    <row r="787" customFormat="false" ht="15" hidden="false" customHeight="false" outlineLevel="0" collapsed="false">
      <c r="A787" s="7" t="n">
        <v>46288</v>
      </c>
      <c r="B787" s="11" t="n">
        <f aca="false">C786</f>
        <v>46311</v>
      </c>
      <c r="C787" s="11" t="n">
        <f aca="false">IF(OR(H786,D787&lt;=$G$4),_xlfn.MINIFS('Futures Data'!$B$5:$B$3471,'Futures Data'!$A$5:$A$3471,A787,'Futures Data'!$B$5:$B$3471,"&gt;"&amp;B787),B787)</f>
        <v>46311</v>
      </c>
      <c r="D787" s="3" t="n">
        <f aca="false">COUNTIFS($A$47:$A$790,"&gt;"&amp;A787,$A$47:$A$790,"&lt;="&amp;B787)+IF(B787&gt;$G$5,NETWORKDAYS($G$5+1,B787),0)</f>
        <v>17</v>
      </c>
      <c r="E787" s="3" t="n">
        <f aca="false">SUMIFS('Futures Data'!$E$5:$E$3471,'Futures Data'!$A$5:$A$3471,A787,'Futures Data'!$B$5:$B$3471,C787)</f>
        <v>33615</v>
      </c>
      <c r="F787" s="11" t="n">
        <f aca="false">_xlfn.MINIFS('Futures Data'!$B$5:$B$3471,'Futures Data'!$A$5:$A$3471,A787,'Futures Data'!$B$5:$B$3471,"&gt;"&amp;C787)</f>
        <v>46346</v>
      </c>
      <c r="G787" s="3" t="n">
        <f aca="false">SUMIFS('Futures Data'!$E$5:$E$3471,'Futures Data'!$A$5:$A$3471,A787,'Futures Data'!$B$5:$B$3471,F787)</f>
        <v>9420</v>
      </c>
      <c r="H787" s="9" t="b">
        <f aca="false">G787&gt;E787</f>
        <v>0</v>
      </c>
      <c r="I787" s="9" t="b">
        <f aca="false">C787&lt;&gt;B787</f>
        <v>0</v>
      </c>
      <c r="J787" s="3" t="n">
        <f aca="false">SUMIFS('Futures Data'!$C$5:$C$3471,'Futures Data'!$A$5:$A$3471,A787,'Futures Data'!$B$5:$B$3471,B787)</f>
        <v>7728</v>
      </c>
      <c r="K787" s="3" t="n">
        <f aca="false">SUMIFS('Futures Data'!$C$5:$C$3471,'Futures Data'!$A$5:$A$3471,A787,'Futures Data'!$B$5:$B$3471,C787)</f>
        <v>7728</v>
      </c>
      <c r="L787" s="3" t="n">
        <f aca="false">K787-J787</f>
        <v>0</v>
      </c>
      <c r="M787" s="3" t="n">
        <f aca="false">M788+L787</f>
        <v>0</v>
      </c>
      <c r="N787" s="3" t="n">
        <f aca="false">J787+M787</f>
        <v>7728</v>
      </c>
      <c r="O787" s="13" t="n">
        <f aca="false">LN(J787/K786)</f>
        <v>0.000258832666127205</v>
      </c>
      <c r="P787" s="13" t="n">
        <f aca="false">LN(N787/N786)</f>
        <v>0.000258832666127205</v>
      </c>
      <c r="Q787" s="3" t="n">
        <f aca="false">SUMIFS('Futures Data'!$D$5:$D$3471,'Futures Data'!$A$5:$A$3471,A787,'Futures Data'!$B$5:$B$3471,B787)</f>
        <v>4810</v>
      </c>
      <c r="R787" s="7" t="n">
        <v>46311</v>
      </c>
      <c r="S787" s="9" t="b">
        <f aca="false">C787=R787</f>
        <v>1</v>
      </c>
      <c r="T787" s="9" t="b">
        <f aca="false">ABS(O787-LN(J787/SUMIFS('Futures Data'!$C$5:$C$3471,'Futures Data'!$A$5:$A$3471,A786,'Futures Data'!$B$5:$B$3471,B787)))&lt;0.000000001</f>
        <v>1</v>
      </c>
    </row>
    <row r="788" customFormat="false" ht="15" hidden="false" customHeight="false" outlineLevel="0" collapsed="false">
      <c r="A788" s="7" t="n">
        <v>46289</v>
      </c>
      <c r="B788" s="11" t="n">
        <f aca="false">C787</f>
        <v>46311</v>
      </c>
      <c r="C788" s="11" t="n">
        <f aca="false">IF(OR(H787,D788&lt;=$G$4),_xlfn.MINIFS('Futures Data'!$B$5:$B$3471,'Futures Data'!$A$5:$A$3471,A788,'Futures Data'!$B$5:$B$3471,"&gt;"&amp;B788),B788)</f>
        <v>46311</v>
      </c>
      <c r="D788" s="3" t="n">
        <f aca="false">COUNTIFS($A$47:$A$790,"&gt;"&amp;A788,$A$47:$A$790,"&lt;="&amp;B788)+IF(B788&gt;$G$5,NETWORKDAYS($G$5+1,B788),0)</f>
        <v>16</v>
      </c>
      <c r="E788" s="3" t="n">
        <f aca="false">SUMIFS('Futures Data'!$E$5:$E$3471,'Futures Data'!$A$5:$A$3471,A788,'Futures Data'!$B$5:$B$3471,C788)</f>
        <v>31840</v>
      </c>
      <c r="F788" s="11" t="n">
        <f aca="false">_xlfn.MINIFS('Futures Data'!$B$5:$B$3471,'Futures Data'!$A$5:$A$3471,A788,'Futures Data'!$B$5:$B$3471,"&gt;"&amp;C788)</f>
        <v>46346</v>
      </c>
      <c r="G788" s="3" t="n">
        <f aca="false">SUMIFS('Futures Data'!$E$5:$E$3471,'Futures Data'!$A$5:$A$3471,A788,'Futures Data'!$B$5:$B$3471,F788)</f>
        <v>11535</v>
      </c>
      <c r="H788" s="9" t="b">
        <f aca="false">G788&gt;E788</f>
        <v>0</v>
      </c>
      <c r="I788" s="9" t="b">
        <f aca="false">C788&lt;&gt;B788</f>
        <v>0</v>
      </c>
      <c r="J788" s="3" t="n">
        <f aca="false">SUMIFS('Futures Data'!$C$5:$C$3471,'Futures Data'!$A$5:$A$3471,A788,'Futures Data'!$B$5:$B$3471,B788)</f>
        <v>7695</v>
      </c>
      <c r="K788" s="3" t="n">
        <f aca="false">SUMIFS('Futures Data'!$C$5:$C$3471,'Futures Data'!$A$5:$A$3471,A788,'Futures Data'!$B$5:$B$3471,C788)</f>
        <v>7695</v>
      </c>
      <c r="L788" s="3" t="n">
        <f aca="false">K788-J788</f>
        <v>0</v>
      </c>
      <c r="M788" s="3" t="n">
        <f aca="false">M789+L788</f>
        <v>0</v>
      </c>
      <c r="N788" s="3" t="n">
        <f aca="false">J788+M788</f>
        <v>7695</v>
      </c>
      <c r="O788" s="13" t="n">
        <f aca="false">LN(J788/K787)</f>
        <v>-0.00427932961937437</v>
      </c>
      <c r="P788" s="13" t="n">
        <f aca="false">LN(N788/N787)</f>
        <v>-0.00427932961937437</v>
      </c>
      <c r="Q788" s="3" t="n">
        <f aca="false">SUMIFS('Futures Data'!$D$5:$D$3471,'Futures Data'!$A$5:$A$3471,A788,'Futures Data'!$B$5:$B$3471,B788)</f>
        <v>6385</v>
      </c>
      <c r="R788" s="7" t="n">
        <v>46311</v>
      </c>
      <c r="S788" s="9" t="b">
        <f aca="false">C788=R788</f>
        <v>1</v>
      </c>
      <c r="T788" s="9" t="b">
        <f aca="false">ABS(O788-LN(J788/SUMIFS('Futures Data'!$C$5:$C$3471,'Futures Data'!$A$5:$A$3471,A787,'Futures Data'!$B$5:$B$3471,B788)))&lt;0.000000001</f>
        <v>1</v>
      </c>
    </row>
    <row r="789" customFormat="false" ht="15" hidden="false" customHeight="false" outlineLevel="0" collapsed="false">
      <c r="A789" s="7" t="n">
        <v>46290</v>
      </c>
      <c r="B789" s="11" t="n">
        <f aca="false">C788</f>
        <v>46311</v>
      </c>
      <c r="C789" s="11" t="n">
        <f aca="false">IF(OR(H788,D789&lt;=$G$4),_xlfn.MINIFS('Futures Data'!$B$5:$B$3471,'Futures Data'!$A$5:$A$3471,A789,'Futures Data'!$B$5:$B$3471,"&gt;"&amp;B789),B789)</f>
        <v>46311</v>
      </c>
      <c r="D789" s="3" t="n">
        <f aca="false">COUNTIFS($A$47:$A$790,"&gt;"&amp;A789,$A$47:$A$790,"&lt;="&amp;B789)+IF(B789&gt;$G$5,NETWORKDAYS($G$5+1,B789),0)</f>
        <v>15</v>
      </c>
      <c r="E789" s="3" t="n">
        <f aca="false">SUMIFS('Futures Data'!$E$5:$E$3471,'Futures Data'!$A$5:$A$3471,A789,'Futures Data'!$B$5:$B$3471,C789)</f>
        <v>30740</v>
      </c>
      <c r="F789" s="11" t="n">
        <f aca="false">_xlfn.MINIFS('Futures Data'!$B$5:$B$3471,'Futures Data'!$A$5:$A$3471,A789,'Futures Data'!$B$5:$B$3471,"&gt;"&amp;C789)</f>
        <v>46346</v>
      </c>
      <c r="G789" s="3" t="n">
        <f aca="false">SUMIFS('Futures Data'!$E$5:$E$3471,'Futures Data'!$A$5:$A$3471,A789,'Futures Data'!$B$5:$B$3471,F789)</f>
        <v>14250</v>
      </c>
      <c r="H789" s="9" t="b">
        <f aca="false">G789&gt;E789</f>
        <v>0</v>
      </c>
      <c r="I789" s="9" t="b">
        <f aca="false">C789&lt;&gt;B789</f>
        <v>0</v>
      </c>
      <c r="J789" s="3" t="n">
        <f aca="false">SUMIFS('Futures Data'!$C$5:$C$3471,'Futures Data'!$A$5:$A$3471,A789,'Futures Data'!$B$5:$B$3471,B789)</f>
        <v>7665</v>
      </c>
      <c r="K789" s="3" t="n">
        <f aca="false">SUMIFS('Futures Data'!$C$5:$C$3471,'Futures Data'!$A$5:$A$3471,A789,'Futures Data'!$B$5:$B$3471,C789)</f>
        <v>7665</v>
      </c>
      <c r="L789" s="3" t="n">
        <f aca="false">K789-J789</f>
        <v>0</v>
      </c>
      <c r="M789" s="3" t="n">
        <f aca="false">M790+L789</f>
        <v>0</v>
      </c>
      <c r="N789" s="3" t="n">
        <f aca="false">J789+M789</f>
        <v>7665</v>
      </c>
      <c r="O789" s="13" t="n">
        <f aca="false">LN(J789/K788)</f>
        <v>-0.0039062549670651</v>
      </c>
      <c r="P789" s="13" t="n">
        <f aca="false">LN(N789/N788)</f>
        <v>-0.0039062549670651</v>
      </c>
      <c r="Q789" s="3" t="n">
        <f aca="false">SUMIFS('Futures Data'!$D$5:$D$3471,'Futures Data'!$A$5:$A$3471,A789,'Futures Data'!$B$5:$B$3471,B789)</f>
        <v>6575</v>
      </c>
      <c r="R789" s="7" t="n">
        <v>46311</v>
      </c>
      <c r="S789" s="9" t="b">
        <f aca="false">C789=R789</f>
        <v>1</v>
      </c>
      <c r="T789" s="9" t="b">
        <f aca="false">ABS(O789-LN(J789/SUMIFS('Futures Data'!$C$5:$C$3471,'Futures Data'!$A$5:$A$3471,A788,'Futures Data'!$B$5:$B$3471,B789)))&lt;0.000000001</f>
        <v>1</v>
      </c>
    </row>
    <row r="790" customFormat="false" ht="15" hidden="false" customHeight="false" outlineLevel="0" collapsed="false">
      <c r="A790" s="7" t="n">
        <v>46293</v>
      </c>
      <c r="B790" s="11" t="n">
        <f aca="false">C789</f>
        <v>46311</v>
      </c>
      <c r="C790" s="11" t="n">
        <f aca="false">IF(OR(H789,D790&lt;=$G$4),_xlfn.MINIFS('Futures Data'!$B$5:$B$3471,'Futures Data'!$A$5:$A$3471,A790,'Futures Data'!$B$5:$B$3471,"&gt;"&amp;B790),B790)</f>
        <v>46311</v>
      </c>
      <c r="D790" s="3" t="n">
        <f aca="false">COUNTIFS($A$47:$A$790,"&gt;"&amp;A790,$A$47:$A$790,"&lt;="&amp;B790)+IF(B790&gt;$G$5,NETWORKDAYS($G$5+1,B790),0)</f>
        <v>14</v>
      </c>
      <c r="E790" s="3" t="n">
        <f aca="false">SUMIFS('Futures Data'!$E$5:$E$3471,'Futures Data'!$A$5:$A$3471,A790,'Futures Data'!$B$5:$B$3471,C790)</f>
        <v>29560</v>
      </c>
      <c r="F790" s="11" t="n">
        <f aca="false">_xlfn.MINIFS('Futures Data'!$B$5:$B$3471,'Futures Data'!$A$5:$A$3471,A790,'Futures Data'!$B$5:$B$3471,"&gt;"&amp;C790)</f>
        <v>46346</v>
      </c>
      <c r="G790" s="3" t="n">
        <f aca="false">SUMIFS('Futures Data'!$E$5:$E$3471,'Futures Data'!$A$5:$A$3471,A790,'Futures Data'!$B$5:$B$3471,F790)</f>
        <v>15750</v>
      </c>
      <c r="H790" s="9" t="b">
        <f aca="false">G790&gt;E790</f>
        <v>0</v>
      </c>
      <c r="I790" s="9" t="b">
        <f aca="false">C790&lt;&gt;B790</f>
        <v>0</v>
      </c>
      <c r="J790" s="3" t="n">
        <f aca="false">SUMIFS('Futures Data'!$C$5:$C$3471,'Futures Data'!$A$5:$A$3471,A790,'Futures Data'!$B$5:$B$3471,B790)</f>
        <v>7661</v>
      </c>
      <c r="K790" s="3" t="n">
        <f aca="false">SUMIFS('Futures Data'!$C$5:$C$3471,'Futures Data'!$A$5:$A$3471,A790,'Futures Data'!$B$5:$B$3471,C790)</f>
        <v>7661</v>
      </c>
      <c r="L790" s="3" t="n">
        <f aca="false">K790-J790</f>
        <v>0</v>
      </c>
      <c r="M790" s="3" t="n">
        <f aca="false">L790</f>
        <v>0</v>
      </c>
      <c r="N790" s="3" t="n">
        <f aca="false">J790+M790</f>
        <v>7661</v>
      </c>
      <c r="O790" s="13" t="n">
        <f aca="false">LN(J790/K789)</f>
        <v>-0.000521988789093535</v>
      </c>
      <c r="P790" s="13" t="n">
        <f aca="false">LN(N790/N789)</f>
        <v>-0.000521988789093535</v>
      </c>
      <c r="Q790" s="3" t="n">
        <f aca="false">SUMIFS('Futures Data'!$D$5:$D$3471,'Futures Data'!$A$5:$A$3471,A790,'Futures Data'!$B$5:$B$3471,B790)</f>
        <v>4505</v>
      </c>
      <c r="R790" s="7" t="n">
        <v>46311</v>
      </c>
      <c r="S790" s="9" t="b">
        <f aca="false">C790=R790</f>
        <v>1</v>
      </c>
      <c r="T790" s="9" t="b">
        <f aca="false">ABS(O790-LN(J790/SUMIFS('Futures Data'!$C$5:$C$3471,'Futures Data'!$A$5:$A$3471,A789,'Futures Data'!$B$5:$B$3471,B790)))&lt;0.000000001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1"/>
    <col collapsed="false" customWidth="true" hidden="false" outlineLevel="0" max="5" min="5" style="0" width="12"/>
    <col collapsed="false" customWidth="true" hidden="false" outlineLevel="0" max="9" min="6" style="0" width="11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0"/>
  </cols>
  <sheetData>
    <row r="1" customFormat="false" ht="16.15" hidden="false" customHeight="false" outlineLevel="0" collapsed="false">
      <c r="A1" s="1" t="s">
        <v>2987</v>
      </c>
    </row>
    <row r="2" customFormat="false" ht="15" hidden="false" customHeight="false" outlineLevel="0" collapsed="false">
      <c r="A2" s="3" t="s">
        <v>2988</v>
      </c>
    </row>
    <row r="4" customFormat="false" ht="52.2" hidden="false" customHeight="false" outlineLevel="0" collapsed="false">
      <c r="A4" s="4" t="s">
        <v>2967</v>
      </c>
      <c r="B4" s="4" t="s">
        <v>2989</v>
      </c>
      <c r="C4" s="4" t="s">
        <v>2990</v>
      </c>
      <c r="D4" s="4" t="s">
        <v>2991</v>
      </c>
      <c r="E4" s="4" t="s">
        <v>2992</v>
      </c>
      <c r="F4" s="4" t="s">
        <v>2993</v>
      </c>
      <c r="G4" s="4" t="s">
        <v>2994</v>
      </c>
      <c r="H4" s="4" t="s">
        <v>2995</v>
      </c>
      <c r="I4" s="4" t="s">
        <v>2996</v>
      </c>
      <c r="J4" s="4" t="s">
        <v>2997</v>
      </c>
      <c r="K4" s="4" t="s">
        <v>2998</v>
      </c>
      <c r="L4" s="4" t="s">
        <v>2999</v>
      </c>
      <c r="M4" s="4" t="s">
        <v>3000</v>
      </c>
      <c r="N4" s="4" t="s">
        <v>3001</v>
      </c>
      <c r="O4" s="4" t="s">
        <v>3002</v>
      </c>
    </row>
    <row r="5" customFormat="false" ht="15" hidden="false" customHeight="false" outlineLevel="0" collapsed="false">
      <c r="A5" s="14" t="n">
        <f aca="false">'Roll Schedule'!A48</f>
        <v>45195</v>
      </c>
      <c r="B5" s="14" t="n">
        <f aca="false">'Roll Schedule'!A47</f>
        <v>45194</v>
      </c>
      <c r="C5" s="3" t="n">
        <f aca="false">SUMIFS('Spot Data'!$E$5:$E$651,'Spot Data'!$A$5:$A$651,B5,'Spot Data'!$H$5:$H$651,"YES")</f>
        <v>9575</v>
      </c>
      <c r="D5" s="3" t="n">
        <f aca="false">SUMIFS('Spot Data'!$E$5:$E$651,'Spot Data'!$A$5:$A$651,A5,'Spot Data'!$H$5:$H$651,"YES")</f>
        <v>9500</v>
      </c>
      <c r="E5" s="14" t="n">
        <f aca="false">'Roll Schedule'!B48</f>
        <v>45219</v>
      </c>
      <c r="F5" s="3" t="n">
        <f aca="false">SUMIFS('Futures Data'!$C$5:$C$3471,'Futures Data'!$A$5:$A$3471,B5,'Futures Data'!$B$5:$B$3471,E5)</f>
        <v>6176</v>
      </c>
      <c r="G5" s="3" t="n">
        <f aca="false">SUMIFS('Futures Data'!$C$5:$C$3471,'Futures Data'!$A$5:$A$3471,A5,'Futures Data'!$B$5:$B$3471,E5)</f>
        <v>6155</v>
      </c>
      <c r="H5" s="13" t="n">
        <f aca="false">LN(D5/C5)</f>
        <v>-0.00786373646021458</v>
      </c>
      <c r="I5" s="13" t="n">
        <f aca="false">LN(G5/F5)</f>
        <v>-0.00340605308605823</v>
      </c>
      <c r="J5" s="3" t="str">
        <f aca="false">IF(A5&lt;='Results &amp; Charts'!$C$5,"In-sample","Out-of-sample")</f>
        <v>In-sample</v>
      </c>
      <c r="K5" s="13" t="n">
        <f aca="false">H5-'Results &amp; Charts'!$C$9*I5</f>
        <v>-0.00577389338378269</v>
      </c>
      <c r="L5" s="13" t="n">
        <f aca="false">H5-I5</f>
        <v>-0.00445768337415635</v>
      </c>
      <c r="M5" s="15" t="n">
        <v>0.613567382430445</v>
      </c>
      <c r="N5" s="13" t="n">
        <f aca="false">H5-M5*I5</f>
        <v>-0.00577389338378269</v>
      </c>
      <c r="O5" s="16" t="n">
        <f aca="false">'Results &amp; Charts'!$C$9</f>
        <v>0.613567382430444</v>
      </c>
    </row>
    <row r="6" customFormat="false" ht="15" hidden="false" customHeight="false" outlineLevel="0" collapsed="false">
      <c r="A6" s="14" t="n">
        <f aca="false">'Roll Schedule'!A52</f>
        <v>45202</v>
      </c>
      <c r="B6" s="14" t="n">
        <f aca="false">'Roll Schedule'!A51</f>
        <v>45198</v>
      </c>
      <c r="C6" s="3" t="n">
        <f aca="false">SUMIFS('Spot Data'!$E$5:$E$651,'Spot Data'!$A$5:$A$651,B6,'Spot Data'!$H$5:$H$651,"YES")</f>
        <v>9450</v>
      </c>
      <c r="D6" s="3" t="n">
        <f aca="false">SUMIFS('Spot Data'!$E$5:$E$651,'Spot Data'!$A$5:$A$651,A6,'Spot Data'!$H$5:$H$651,"YES")</f>
        <v>9350</v>
      </c>
      <c r="E6" s="14" t="n">
        <f aca="false">'Roll Schedule'!B52</f>
        <v>45219</v>
      </c>
      <c r="F6" s="3" t="n">
        <f aca="false">SUMIFS('Futures Data'!$C$5:$C$3471,'Futures Data'!$A$5:$A$3471,B6,'Futures Data'!$B$5:$B$3471,E6)</f>
        <v>6137</v>
      </c>
      <c r="G6" s="3" t="n">
        <f aca="false">SUMIFS('Futures Data'!$C$5:$C$3471,'Futures Data'!$A$5:$A$3471,A6,'Futures Data'!$B$5:$B$3471,E6)</f>
        <v>6101</v>
      </c>
      <c r="H6" s="13" t="n">
        <f aca="false">LN(D6/C6)</f>
        <v>-0.0106383982050558</v>
      </c>
      <c r="I6" s="13" t="n">
        <f aca="false">LN(G6/F6)</f>
        <v>-0.00588333123724457</v>
      </c>
      <c r="J6" s="3" t="str">
        <f aca="false">IF(A6&lt;='Results &amp; Charts'!$C$5,"In-sample","Out-of-sample")</f>
        <v>In-sample</v>
      </c>
      <c r="K6" s="13" t="n">
        <f aca="false">H6-'Results &amp; Charts'!$C$9*I6</f>
        <v>-0.00702857805784834</v>
      </c>
      <c r="L6" s="13" t="n">
        <f aca="false">H6-I6</f>
        <v>-0.00475506696781119</v>
      </c>
      <c r="M6" s="15" t="n">
        <v>0.651755012805015</v>
      </c>
      <c r="N6" s="13" t="n">
        <f aca="false">H6-M6*I6</f>
        <v>-0.00680390757918928</v>
      </c>
      <c r="O6" s="16" t="n">
        <f aca="false">'Results &amp; Charts'!$C$9</f>
        <v>0.613567382430444</v>
      </c>
    </row>
    <row r="7" customFormat="false" ht="15" hidden="false" customHeight="false" outlineLevel="0" collapsed="false">
      <c r="A7" s="14" t="n">
        <f aca="false">'Roll Schedule'!A53</f>
        <v>45203</v>
      </c>
      <c r="B7" s="14" t="n">
        <f aca="false">'Roll Schedule'!A52</f>
        <v>45202</v>
      </c>
      <c r="C7" s="3" t="n">
        <f aca="false">SUMIFS('Spot Data'!$E$5:$E$651,'Spot Data'!$A$5:$A$651,B7,'Spot Data'!$H$5:$H$651,"YES")</f>
        <v>9350</v>
      </c>
      <c r="D7" s="3" t="n">
        <f aca="false">SUMIFS('Spot Data'!$E$5:$E$651,'Spot Data'!$A$5:$A$651,A7,'Spot Data'!$H$5:$H$651,"YES")</f>
        <v>9150</v>
      </c>
      <c r="E7" s="14" t="n">
        <f aca="false">'Roll Schedule'!B53</f>
        <v>45219</v>
      </c>
      <c r="F7" s="3" t="n">
        <f aca="false">SUMIFS('Futures Data'!$C$5:$C$3471,'Futures Data'!$A$5:$A$3471,B7,'Futures Data'!$B$5:$B$3471,E7)</f>
        <v>6101</v>
      </c>
      <c r="G7" s="3" t="n">
        <f aca="false">SUMIFS('Futures Data'!$C$5:$C$3471,'Futures Data'!$A$5:$A$3471,A7,'Futures Data'!$B$5:$B$3471,E7)</f>
        <v>6135</v>
      </c>
      <c r="H7" s="13" t="n">
        <f aca="false">LN(D7/C7)</f>
        <v>-0.0216224640131657</v>
      </c>
      <c r="I7" s="13" t="n">
        <f aca="false">LN(G7/F7)</f>
        <v>0.00555738599315934</v>
      </c>
      <c r="J7" s="3" t="str">
        <f aca="false">IF(A7&lt;='Results &amp; Charts'!$C$5,"In-sample","Out-of-sample")</f>
        <v>In-sample</v>
      </c>
      <c r="K7" s="13" t="n">
        <f aca="false">H7-'Results &amp; Charts'!$C$9*I7</f>
        <v>-0.025032294790144</v>
      </c>
      <c r="L7" s="13" t="n">
        <f aca="false">H7-I7</f>
        <v>-0.027179850006325</v>
      </c>
      <c r="M7" s="15" t="n">
        <v>0.670654018269387</v>
      </c>
      <c r="N7" s="13" t="n">
        <f aca="false">H7-M7*I7</f>
        <v>-0.025349547260552</v>
      </c>
      <c r="O7" s="16" t="n">
        <f aca="false">'Results &amp; Charts'!$C$9</f>
        <v>0.613567382430444</v>
      </c>
    </row>
    <row r="8" customFormat="false" ht="15" hidden="false" customHeight="false" outlineLevel="0" collapsed="false">
      <c r="A8" s="14" t="n">
        <f aca="false">'Roll Schedule'!A54</f>
        <v>45204</v>
      </c>
      <c r="B8" s="14" t="n">
        <f aca="false">'Roll Schedule'!A53</f>
        <v>45203</v>
      </c>
      <c r="C8" s="3" t="n">
        <f aca="false">SUMIFS('Spot Data'!$E$5:$E$651,'Spot Data'!$A$5:$A$651,B8,'Spot Data'!$H$5:$H$651,"YES")</f>
        <v>9150</v>
      </c>
      <c r="D8" s="3" t="n">
        <f aca="false">SUMIFS('Spot Data'!$E$5:$E$651,'Spot Data'!$A$5:$A$651,A8,'Spot Data'!$H$5:$H$651,"YES")</f>
        <v>9000</v>
      </c>
      <c r="E8" s="14" t="n">
        <f aca="false">'Roll Schedule'!B54</f>
        <v>45250</v>
      </c>
      <c r="F8" s="3" t="n">
        <f aca="false">SUMIFS('Futures Data'!$C$5:$C$3471,'Futures Data'!$A$5:$A$3471,B8,'Futures Data'!$B$5:$B$3471,E8)</f>
        <v>6193</v>
      </c>
      <c r="G8" s="3" t="n">
        <f aca="false">SUMIFS('Futures Data'!$C$5:$C$3471,'Futures Data'!$A$5:$A$3471,A8,'Futures Data'!$B$5:$B$3471,E8)</f>
        <v>6175</v>
      </c>
      <c r="H8" s="13" t="n">
        <f aca="false">LN(D8/C8)</f>
        <v>-0.0165293019512106</v>
      </c>
      <c r="I8" s="13" t="n">
        <f aca="false">LN(G8/F8)</f>
        <v>-0.002910739441883</v>
      </c>
      <c r="J8" s="3" t="str">
        <f aca="false">IF(A8&lt;='Results &amp; Charts'!$C$5,"In-sample","Out-of-sample")</f>
        <v>In-sample</v>
      </c>
      <c r="K8" s="13" t="n">
        <f aca="false">H8-'Results &amp; Charts'!$C$9*I8</f>
        <v>-0.0147433671709174</v>
      </c>
      <c r="L8" s="13" t="n">
        <f aca="false">H8-I8</f>
        <v>-0.0136185625093276</v>
      </c>
      <c r="M8" s="15" t="n">
        <v>0.616358363326023</v>
      </c>
      <c r="N8" s="13" t="n">
        <f aca="false">H8-M8*I8</f>
        <v>-0.0147352433527431</v>
      </c>
      <c r="O8" s="16" t="n">
        <f aca="false">'Results &amp; Charts'!$C$9</f>
        <v>0.613567382430444</v>
      </c>
    </row>
    <row r="9" customFormat="false" ht="15" hidden="false" customHeight="false" outlineLevel="0" collapsed="false">
      <c r="A9" s="14" t="n">
        <f aca="false">'Roll Schedule'!A55</f>
        <v>45205</v>
      </c>
      <c r="B9" s="14" t="n">
        <f aca="false">'Roll Schedule'!A54</f>
        <v>45204</v>
      </c>
      <c r="C9" s="3" t="n">
        <f aca="false">SUMIFS('Spot Data'!$E$5:$E$651,'Spot Data'!$A$5:$A$651,B9,'Spot Data'!$H$5:$H$651,"YES")</f>
        <v>9000</v>
      </c>
      <c r="D9" s="3" t="n">
        <f aca="false">SUMIFS('Spot Data'!$E$5:$E$651,'Spot Data'!$A$5:$A$651,A9,'Spot Data'!$H$5:$H$651,"YES")</f>
        <v>8950</v>
      </c>
      <c r="E9" s="14" t="n">
        <f aca="false">'Roll Schedule'!B55</f>
        <v>45250</v>
      </c>
      <c r="F9" s="3" t="n">
        <f aca="false">SUMIFS('Futures Data'!$C$5:$C$3471,'Futures Data'!$A$5:$A$3471,B9,'Futures Data'!$B$5:$B$3471,E9)</f>
        <v>6175</v>
      </c>
      <c r="G9" s="3" t="n">
        <f aca="false">SUMIFS('Futures Data'!$C$5:$C$3471,'Futures Data'!$A$5:$A$3471,A9,'Futures Data'!$B$5:$B$3471,E9)</f>
        <v>6162</v>
      </c>
      <c r="H9" s="13" t="n">
        <f aca="false">LN(D9/C9)</f>
        <v>-0.00557104504945536</v>
      </c>
      <c r="I9" s="13" t="n">
        <f aca="false">LN(G9/F9)</f>
        <v>-0.0021074823395647</v>
      </c>
      <c r="J9" s="3" t="str">
        <f aca="false">IF(A9&lt;='Results &amp; Charts'!$C$5,"In-sample","Out-of-sample")</f>
        <v>In-sample</v>
      </c>
      <c r="K9" s="13" t="n">
        <f aca="false">H9-'Results &amp; Charts'!$C$9*I9</f>
        <v>-0.00427796262685026</v>
      </c>
      <c r="L9" s="13" t="n">
        <f aca="false">H9-I9</f>
        <v>-0.00346356270989066</v>
      </c>
      <c r="M9" s="15" t="n">
        <v>0.659947586184752</v>
      </c>
      <c r="N9" s="13" t="n">
        <f aca="false">H9-M9*I9</f>
        <v>-0.00418021716653264</v>
      </c>
      <c r="O9" s="16" t="n">
        <f aca="false">'Results &amp; Charts'!$C$9</f>
        <v>0.613567382430444</v>
      </c>
    </row>
    <row r="10" customFormat="false" ht="15" hidden="false" customHeight="false" outlineLevel="0" collapsed="false">
      <c r="A10" s="14" t="n">
        <f aca="false">'Roll Schedule'!A56</f>
        <v>45208</v>
      </c>
      <c r="B10" s="14" t="n">
        <f aca="false">'Roll Schedule'!A55</f>
        <v>45205</v>
      </c>
      <c r="C10" s="3" t="n">
        <f aca="false">SUMIFS('Spot Data'!$E$5:$E$651,'Spot Data'!$A$5:$A$651,B10,'Spot Data'!$H$5:$H$651,"YES")</f>
        <v>8950</v>
      </c>
      <c r="D10" s="3" t="n">
        <f aca="false">SUMIFS('Spot Data'!$E$5:$E$651,'Spot Data'!$A$5:$A$651,A10,'Spot Data'!$H$5:$H$651,"YES")</f>
        <v>8875</v>
      </c>
      <c r="E10" s="14" t="n">
        <f aca="false">'Roll Schedule'!B56</f>
        <v>45250</v>
      </c>
      <c r="F10" s="3" t="n">
        <f aca="false">SUMIFS('Futures Data'!$C$5:$C$3471,'Futures Data'!$A$5:$A$3471,B10,'Futures Data'!$B$5:$B$3471,E10)</f>
        <v>6162</v>
      </c>
      <c r="G10" s="3" t="n">
        <f aca="false">SUMIFS('Futures Data'!$C$5:$C$3471,'Futures Data'!$A$5:$A$3471,A10,'Futures Data'!$B$5:$B$3471,E10)</f>
        <v>6115</v>
      </c>
      <c r="H10" s="13" t="n">
        <f aca="false">LN(D10/C10)</f>
        <v>-0.00841519692528447</v>
      </c>
      <c r="I10" s="13" t="n">
        <f aca="false">LN(G10/F10)</f>
        <v>-0.00765663103534052</v>
      </c>
      <c r="J10" s="3" t="str">
        <f aca="false">IF(A10&lt;='Results &amp; Charts'!$C$5,"In-sample","Out-of-sample")</f>
        <v>In-sample</v>
      </c>
      <c r="K10" s="13" t="n">
        <f aca="false">H10-'Results &amp; Charts'!$C$9*I10</f>
        <v>-0.00371733786269489</v>
      </c>
      <c r="L10" s="13" t="n">
        <f aca="false">H10-I10</f>
        <v>-0.000758565889943953</v>
      </c>
      <c r="M10" s="15" t="n">
        <v>0.693904757962445</v>
      </c>
      <c r="N10" s="13" t="n">
        <f aca="false">H10-M10*I10</f>
        <v>-0.00310222421989876</v>
      </c>
      <c r="O10" s="16" t="n">
        <f aca="false">'Results &amp; Charts'!$C$9</f>
        <v>0.613567382430444</v>
      </c>
    </row>
    <row r="11" customFormat="false" ht="15" hidden="false" customHeight="false" outlineLevel="0" collapsed="false">
      <c r="A11" s="14" t="n">
        <f aca="false">'Roll Schedule'!A57</f>
        <v>45209</v>
      </c>
      <c r="B11" s="14" t="n">
        <f aca="false">'Roll Schedule'!A56</f>
        <v>45208</v>
      </c>
      <c r="C11" s="3" t="n">
        <f aca="false">SUMIFS('Spot Data'!$E$5:$E$651,'Spot Data'!$A$5:$A$651,B11,'Spot Data'!$H$5:$H$651,"YES")</f>
        <v>8875</v>
      </c>
      <c r="D11" s="3" t="n">
        <f aca="false">SUMIFS('Spot Data'!$E$5:$E$651,'Spot Data'!$A$5:$A$651,A11,'Spot Data'!$H$5:$H$651,"YES")</f>
        <v>8950</v>
      </c>
      <c r="E11" s="14" t="n">
        <f aca="false">'Roll Schedule'!B57</f>
        <v>45250</v>
      </c>
      <c r="F11" s="3" t="n">
        <f aca="false">SUMIFS('Futures Data'!$C$5:$C$3471,'Futures Data'!$A$5:$A$3471,B11,'Futures Data'!$B$5:$B$3471,E11)</f>
        <v>6115</v>
      </c>
      <c r="G11" s="3" t="n">
        <f aca="false">SUMIFS('Futures Data'!$C$5:$C$3471,'Futures Data'!$A$5:$A$3471,A11,'Futures Data'!$B$5:$B$3471,E11)</f>
        <v>6124</v>
      </c>
      <c r="H11" s="13" t="n">
        <f aca="false">LN(D11/C11)</f>
        <v>0.0084151969252845</v>
      </c>
      <c r="I11" s="13" t="n">
        <f aca="false">LN(G11/F11)</f>
        <v>0.0014707086563016</v>
      </c>
      <c r="J11" s="3" t="str">
        <f aca="false">IF(A11&lt;='Results &amp; Charts'!$C$5,"In-sample","Out-of-sample")</f>
        <v>In-sample</v>
      </c>
      <c r="K11" s="13" t="n">
        <f aca="false">H11-'Results &amp; Charts'!$C$9*I11</f>
        <v>0.00751281806471973</v>
      </c>
      <c r="L11" s="13" t="n">
        <f aca="false">H11-I11</f>
        <v>0.0069444882689829</v>
      </c>
      <c r="M11" s="15" t="n">
        <v>0.665828790620392</v>
      </c>
      <c r="N11" s="13" t="n">
        <f aca="false">H11-M11*I11</f>
        <v>0.00743595675930426</v>
      </c>
      <c r="O11" s="16" t="n">
        <f aca="false">'Results &amp; Charts'!$C$9</f>
        <v>0.613567382430444</v>
      </c>
    </row>
    <row r="12" customFormat="false" ht="15" hidden="false" customHeight="false" outlineLevel="0" collapsed="false">
      <c r="A12" s="14" t="n">
        <f aca="false">'Roll Schedule'!A58</f>
        <v>45210</v>
      </c>
      <c r="B12" s="14" t="n">
        <f aca="false">'Roll Schedule'!A57</f>
        <v>45209</v>
      </c>
      <c r="C12" s="3" t="n">
        <f aca="false">SUMIFS('Spot Data'!$E$5:$E$651,'Spot Data'!$A$5:$A$651,B12,'Spot Data'!$H$5:$H$651,"YES")</f>
        <v>8950</v>
      </c>
      <c r="D12" s="3" t="n">
        <f aca="false">SUMIFS('Spot Data'!$E$5:$E$651,'Spot Data'!$A$5:$A$651,A12,'Spot Data'!$H$5:$H$651,"YES")</f>
        <v>8800</v>
      </c>
      <c r="E12" s="14" t="n">
        <f aca="false">'Roll Schedule'!B58</f>
        <v>45250</v>
      </c>
      <c r="F12" s="3" t="n">
        <f aca="false">SUMIFS('Futures Data'!$C$5:$C$3471,'Futures Data'!$A$5:$A$3471,B12,'Futures Data'!$B$5:$B$3471,E12)</f>
        <v>6124</v>
      </c>
      <c r="G12" s="3" t="n">
        <f aca="false">SUMIFS('Futures Data'!$C$5:$C$3471,'Futures Data'!$A$5:$A$3471,A12,'Futures Data'!$B$5:$B$3471,E12)</f>
        <v>6072</v>
      </c>
      <c r="H12" s="13" t="n">
        <f aca="false">LN(D12/C12)</f>
        <v>-0.0169018108026033</v>
      </c>
      <c r="I12" s="13" t="n">
        <f aca="false">LN(G12/F12)</f>
        <v>-0.00852743770210847</v>
      </c>
      <c r="J12" s="3" t="str">
        <f aca="false">IF(A12&lt;='Results &amp; Charts'!$C$5,"In-sample","Out-of-sample")</f>
        <v>In-sample</v>
      </c>
      <c r="K12" s="13" t="n">
        <f aca="false">H12-'Results &amp; Charts'!$C$9*I12</f>
        <v>-0.0116696531728819</v>
      </c>
      <c r="L12" s="13" t="n">
        <f aca="false">H12-I12</f>
        <v>-0.00837437310049478</v>
      </c>
      <c r="M12" s="15" t="n">
        <v>0.701679225715612</v>
      </c>
      <c r="N12" s="13" t="n">
        <f aca="false">H12-M12*I12</f>
        <v>-0.0109182849184497</v>
      </c>
      <c r="O12" s="16" t="n">
        <f aca="false">'Results &amp; Charts'!$C$9</f>
        <v>0.613567382430444</v>
      </c>
    </row>
    <row r="13" customFormat="false" ht="15" hidden="false" customHeight="false" outlineLevel="0" collapsed="false">
      <c r="A13" s="14" t="n">
        <f aca="false">'Roll Schedule'!A59</f>
        <v>45211</v>
      </c>
      <c r="B13" s="14" t="n">
        <f aca="false">'Roll Schedule'!A58</f>
        <v>45210</v>
      </c>
      <c r="C13" s="3" t="n">
        <f aca="false">SUMIFS('Spot Data'!$E$5:$E$651,'Spot Data'!$A$5:$A$651,B13,'Spot Data'!$H$5:$H$651,"YES")</f>
        <v>8800</v>
      </c>
      <c r="D13" s="3" t="n">
        <f aca="false">SUMIFS('Spot Data'!$E$5:$E$651,'Spot Data'!$A$5:$A$651,A13,'Spot Data'!$H$5:$H$651,"YES")</f>
        <v>8700</v>
      </c>
      <c r="E13" s="14" t="n">
        <f aca="false">'Roll Schedule'!B59</f>
        <v>45250</v>
      </c>
      <c r="F13" s="3" t="n">
        <f aca="false">SUMIFS('Futures Data'!$C$5:$C$3471,'Futures Data'!$A$5:$A$3471,B13,'Futures Data'!$B$5:$B$3471,E13)</f>
        <v>6072</v>
      </c>
      <c r="G13" s="3" t="n">
        <f aca="false">SUMIFS('Futures Data'!$C$5:$C$3471,'Futures Data'!$A$5:$A$3471,A13,'Futures Data'!$B$5:$B$3471,E13)</f>
        <v>6034</v>
      </c>
      <c r="H13" s="13" t="n">
        <f aca="false">LN(D13/C13)</f>
        <v>-0.0114286958236227</v>
      </c>
      <c r="I13" s="13" t="n">
        <f aca="false">LN(G13/F13)</f>
        <v>-0.00627789935645949</v>
      </c>
      <c r="J13" s="3" t="str">
        <f aca="false">IF(A13&lt;='Results &amp; Charts'!$C$5,"In-sample","Out-of-sample")</f>
        <v>In-sample</v>
      </c>
      <c r="K13" s="13" t="n">
        <f aca="false">H13-'Results &amp; Charts'!$C$9*I13</f>
        <v>-0.00757678154831812</v>
      </c>
      <c r="L13" s="13" t="n">
        <f aca="false">H13-I13</f>
        <v>-0.00515079646716325</v>
      </c>
      <c r="M13" s="15" t="n">
        <v>0.681428637089655</v>
      </c>
      <c r="N13" s="13" t="n">
        <f aca="false">H13-M13*I13</f>
        <v>-0.00715075542136453</v>
      </c>
      <c r="O13" s="16" t="n">
        <f aca="false">'Results &amp; Charts'!$C$9</f>
        <v>0.613567382430444</v>
      </c>
    </row>
    <row r="14" customFormat="false" ht="15" hidden="false" customHeight="false" outlineLevel="0" collapsed="false">
      <c r="A14" s="14" t="n">
        <f aca="false">'Roll Schedule'!A60</f>
        <v>45212</v>
      </c>
      <c r="B14" s="14" t="n">
        <f aca="false">'Roll Schedule'!A59</f>
        <v>45211</v>
      </c>
      <c r="C14" s="3" t="n">
        <f aca="false">SUMIFS('Spot Data'!$E$5:$E$651,'Spot Data'!$A$5:$A$651,B14,'Spot Data'!$H$5:$H$651,"YES")</f>
        <v>8700</v>
      </c>
      <c r="D14" s="3" t="n">
        <f aca="false">SUMIFS('Spot Data'!$E$5:$E$651,'Spot Data'!$A$5:$A$651,A14,'Spot Data'!$H$5:$H$651,"YES")</f>
        <v>8700</v>
      </c>
      <c r="E14" s="14" t="n">
        <f aca="false">'Roll Schedule'!B60</f>
        <v>45250</v>
      </c>
      <c r="F14" s="3" t="n">
        <f aca="false">SUMIFS('Futures Data'!$C$5:$C$3471,'Futures Data'!$A$5:$A$3471,B14,'Futures Data'!$B$5:$B$3471,E14)</f>
        <v>6034</v>
      </c>
      <c r="G14" s="3" t="n">
        <f aca="false">SUMIFS('Futures Data'!$C$5:$C$3471,'Futures Data'!$A$5:$A$3471,A14,'Futures Data'!$B$5:$B$3471,E14)</f>
        <v>6035</v>
      </c>
      <c r="H14" s="13" t="n">
        <f aca="false">LN(D14/C14)</f>
        <v>0</v>
      </c>
      <c r="I14" s="13" t="n">
        <f aca="false">LN(G14/F14)</f>
        <v>0.000165713812625423</v>
      </c>
      <c r="J14" s="3" t="str">
        <f aca="false">IF(A14&lt;='Results &amp; Charts'!$C$5,"In-sample","Out-of-sample")</f>
        <v>In-sample</v>
      </c>
      <c r="K14" s="13" t="n">
        <f aca="false">H14-'Results &amp; Charts'!$C$9*I14</f>
        <v>-0.00010167659024515</v>
      </c>
      <c r="L14" s="13" t="n">
        <f aca="false">H14-I14</f>
        <v>-0.000165713812625423</v>
      </c>
      <c r="M14" s="15" t="n">
        <v>0.689451426395615</v>
      </c>
      <c r="N14" s="13" t="n">
        <f aca="false">H14-M14*I14</f>
        <v>-0.000114251624488054</v>
      </c>
      <c r="O14" s="16" t="n">
        <f aca="false">'Results &amp; Charts'!$C$9</f>
        <v>0.613567382430444</v>
      </c>
    </row>
    <row r="15" customFormat="false" ht="15" hidden="false" customHeight="false" outlineLevel="0" collapsed="false">
      <c r="A15" s="14" t="n">
        <f aca="false">'Roll Schedule'!A61</f>
        <v>45215</v>
      </c>
      <c r="B15" s="14" t="n">
        <f aca="false">'Roll Schedule'!A60</f>
        <v>45212</v>
      </c>
      <c r="C15" s="3" t="n">
        <f aca="false">SUMIFS('Spot Data'!$E$5:$E$651,'Spot Data'!$A$5:$A$651,B15,'Spot Data'!$H$5:$H$651,"YES")</f>
        <v>8700</v>
      </c>
      <c r="D15" s="3" t="n">
        <f aca="false">SUMIFS('Spot Data'!$E$5:$E$651,'Spot Data'!$A$5:$A$651,A15,'Spot Data'!$H$5:$H$651,"YES")</f>
        <v>8650</v>
      </c>
      <c r="E15" s="14" t="n">
        <f aca="false">'Roll Schedule'!B61</f>
        <v>45250</v>
      </c>
      <c r="F15" s="3" t="n">
        <f aca="false">SUMIFS('Futures Data'!$C$5:$C$3471,'Futures Data'!$A$5:$A$3471,B15,'Futures Data'!$B$5:$B$3471,E15)</f>
        <v>6035</v>
      </c>
      <c r="G15" s="3" t="n">
        <f aca="false">SUMIFS('Futures Data'!$C$5:$C$3471,'Futures Data'!$A$5:$A$3471,A15,'Futures Data'!$B$5:$B$3471,E15)</f>
        <v>6079</v>
      </c>
      <c r="H15" s="13" t="n">
        <f aca="false">LN(D15/C15)</f>
        <v>-0.00576370471675013</v>
      </c>
      <c r="I15" s="13" t="n">
        <f aca="false">LN(G15/F15)</f>
        <v>0.00726435421709059</v>
      </c>
      <c r="J15" s="3" t="str">
        <f aca="false">IF(A15&lt;='Results &amp; Charts'!$C$5,"In-sample","Out-of-sample")</f>
        <v>In-sample</v>
      </c>
      <c r="K15" s="13" t="n">
        <f aca="false">H15-'Results &amp; Charts'!$C$9*I15</f>
        <v>-0.010220875518778</v>
      </c>
      <c r="L15" s="13" t="n">
        <f aca="false">H15-I15</f>
        <v>-0.0130280589338407</v>
      </c>
      <c r="M15" s="15" t="n">
        <v>0.725491037297129</v>
      </c>
      <c r="N15" s="13" t="n">
        <f aca="false">H15-M15*I15</f>
        <v>-0.011033928593001</v>
      </c>
      <c r="O15" s="16" t="n">
        <f aca="false">'Results &amp; Charts'!$C$9</f>
        <v>0.613567382430444</v>
      </c>
    </row>
    <row r="16" customFormat="false" ht="15" hidden="false" customHeight="false" outlineLevel="0" collapsed="false">
      <c r="A16" s="14" t="n">
        <f aca="false">'Roll Schedule'!A64</f>
        <v>45218</v>
      </c>
      <c r="B16" s="14" t="n">
        <f aca="false">'Roll Schedule'!A63</f>
        <v>45217</v>
      </c>
      <c r="C16" s="3" t="n">
        <f aca="false">SUMIFS('Spot Data'!$E$5:$E$651,'Spot Data'!$A$5:$A$651,B16,'Spot Data'!$H$5:$H$651,"YES")</f>
        <v>8600</v>
      </c>
      <c r="D16" s="3" t="n">
        <f aca="false">SUMIFS('Spot Data'!$E$5:$E$651,'Spot Data'!$A$5:$A$651,A16,'Spot Data'!$H$5:$H$651,"YES")</f>
        <v>8550</v>
      </c>
      <c r="E16" s="14" t="n">
        <f aca="false">'Roll Schedule'!B64</f>
        <v>45250</v>
      </c>
      <c r="F16" s="3" t="n">
        <f aca="false">SUMIFS('Futures Data'!$C$5:$C$3471,'Futures Data'!$A$5:$A$3471,B16,'Futures Data'!$B$5:$B$3471,E16)</f>
        <v>6009</v>
      </c>
      <c r="G16" s="3" t="n">
        <f aca="false">SUMIFS('Futures Data'!$C$5:$C$3471,'Futures Data'!$A$5:$A$3471,A16,'Futures Data'!$B$5:$B$3471,E16)</f>
        <v>6006</v>
      </c>
      <c r="H16" s="13" t="n">
        <f aca="false">LN(D16/C16)</f>
        <v>-0.00583092031079321</v>
      </c>
      <c r="I16" s="13" t="n">
        <f aca="false">LN(G16/F16)</f>
        <v>-0.00049937579065239</v>
      </c>
      <c r="J16" s="3" t="str">
        <f aca="false">IF(A16&lt;='Results &amp; Charts'!$C$5,"In-sample","Out-of-sample")</f>
        <v>In-sample</v>
      </c>
      <c r="K16" s="13" t="n">
        <f aca="false">H16-'Results &amp; Charts'!$C$9*I16</f>
        <v>-0.00552451961407349</v>
      </c>
      <c r="L16" s="13" t="n">
        <f aca="false">H16-I16</f>
        <v>-0.00533154452014082</v>
      </c>
      <c r="M16" s="15" t="n">
        <v>0.649115835562344</v>
      </c>
      <c r="N16" s="13" t="n">
        <f aca="false">H16-M16*I16</f>
        <v>-0.00550676757718428</v>
      </c>
      <c r="O16" s="16" t="n">
        <f aca="false">'Results &amp; Charts'!$C$9</f>
        <v>0.613567382430444</v>
      </c>
    </row>
    <row r="17" customFormat="false" ht="15" hidden="false" customHeight="false" outlineLevel="0" collapsed="false">
      <c r="A17" s="14" t="n">
        <f aca="false">'Roll Schedule'!A65</f>
        <v>45219</v>
      </c>
      <c r="B17" s="14" t="n">
        <f aca="false">'Roll Schedule'!A64</f>
        <v>45218</v>
      </c>
      <c r="C17" s="3" t="n">
        <f aca="false">SUMIFS('Spot Data'!$E$5:$E$651,'Spot Data'!$A$5:$A$651,B17,'Spot Data'!$H$5:$H$651,"YES")</f>
        <v>8550</v>
      </c>
      <c r="D17" s="3" t="n">
        <f aca="false">SUMIFS('Spot Data'!$E$5:$E$651,'Spot Data'!$A$5:$A$651,A17,'Spot Data'!$H$5:$H$651,"YES")</f>
        <v>8450</v>
      </c>
      <c r="E17" s="14" t="n">
        <f aca="false">'Roll Schedule'!B65</f>
        <v>45250</v>
      </c>
      <c r="F17" s="3" t="n">
        <f aca="false">SUMIFS('Futures Data'!$C$5:$C$3471,'Futures Data'!$A$5:$A$3471,B17,'Futures Data'!$B$5:$B$3471,E17)</f>
        <v>6006</v>
      </c>
      <c r="G17" s="3" t="n">
        <f aca="false">SUMIFS('Futures Data'!$C$5:$C$3471,'Futures Data'!$A$5:$A$3471,A17,'Futures Data'!$B$5:$B$3471,E17)</f>
        <v>6036</v>
      </c>
      <c r="H17" s="13" t="n">
        <f aca="false">LN(D17/C17)</f>
        <v>-0.0117648415795864</v>
      </c>
      <c r="I17" s="13" t="n">
        <f aca="false">LN(G17/F17)</f>
        <v>0.00498257134446387</v>
      </c>
      <c r="J17" s="3" t="str">
        <f aca="false">IF(A17&lt;='Results &amp; Charts'!$C$5,"In-sample","Out-of-sample")</f>
        <v>In-sample</v>
      </c>
      <c r="K17" s="13" t="n">
        <f aca="false">H17-'Results &amp; Charts'!$C$9*I17</f>
        <v>-0.014821984837182</v>
      </c>
      <c r="L17" s="13" t="n">
        <f aca="false">H17-I17</f>
        <v>-0.0167474129240502</v>
      </c>
      <c r="M17" s="15" t="n">
        <v>0.683885848409024</v>
      </c>
      <c r="N17" s="13" t="n">
        <f aca="false">H17-M17*I17</f>
        <v>-0.0151723516107535</v>
      </c>
      <c r="O17" s="16" t="n">
        <f aca="false">'Results &amp; Charts'!$C$9</f>
        <v>0.613567382430444</v>
      </c>
    </row>
    <row r="18" customFormat="false" ht="15" hidden="false" customHeight="false" outlineLevel="0" collapsed="false">
      <c r="A18" s="14" t="n">
        <f aca="false">'Roll Schedule'!A66</f>
        <v>45222</v>
      </c>
      <c r="B18" s="14" t="n">
        <f aca="false">'Roll Schedule'!A65</f>
        <v>45219</v>
      </c>
      <c r="C18" s="3" t="n">
        <f aca="false">SUMIFS('Spot Data'!$E$5:$E$651,'Spot Data'!$A$5:$A$651,B18,'Spot Data'!$H$5:$H$651,"YES")</f>
        <v>8450</v>
      </c>
      <c r="D18" s="3" t="n">
        <f aca="false">SUMIFS('Spot Data'!$E$5:$E$651,'Spot Data'!$A$5:$A$651,A18,'Spot Data'!$H$5:$H$651,"YES")</f>
        <v>8450</v>
      </c>
      <c r="E18" s="14" t="n">
        <f aca="false">'Roll Schedule'!B66</f>
        <v>45250</v>
      </c>
      <c r="F18" s="3" t="n">
        <f aca="false">SUMIFS('Futures Data'!$C$5:$C$3471,'Futures Data'!$A$5:$A$3471,B18,'Futures Data'!$B$5:$B$3471,E18)</f>
        <v>6036</v>
      </c>
      <c r="G18" s="3" t="n">
        <f aca="false">SUMIFS('Futures Data'!$C$5:$C$3471,'Futures Data'!$A$5:$A$3471,A18,'Futures Data'!$B$5:$B$3471,E18)</f>
        <v>6036</v>
      </c>
      <c r="H18" s="13" t="n">
        <f aca="false">LN(D18/C18)</f>
        <v>0</v>
      </c>
      <c r="I18" s="13" t="n">
        <f aca="false">LN(G18/F18)</f>
        <v>0</v>
      </c>
      <c r="J18" s="3" t="str">
        <f aca="false">IF(A18&lt;='Results &amp; Charts'!$C$5,"In-sample","Out-of-sample")</f>
        <v>In-sample</v>
      </c>
      <c r="K18" s="13" t="n">
        <f aca="false">H18-'Results &amp; Charts'!$C$9*I18</f>
        <v>0</v>
      </c>
      <c r="L18" s="13" t="n">
        <f aca="false">H18-I18</f>
        <v>0</v>
      </c>
      <c r="M18" s="15" t="n">
        <v>0.643470981676718</v>
      </c>
      <c r="N18" s="13" t="n">
        <f aca="false">H18-M18*I18</f>
        <v>0</v>
      </c>
      <c r="O18" s="16" t="n">
        <f aca="false">'Results &amp; Charts'!$C$9</f>
        <v>0.613567382430444</v>
      </c>
    </row>
    <row r="19" customFormat="false" ht="15" hidden="false" customHeight="false" outlineLevel="0" collapsed="false">
      <c r="A19" s="14" t="n">
        <f aca="false">'Roll Schedule'!A67</f>
        <v>45224</v>
      </c>
      <c r="B19" s="14" t="n">
        <f aca="false">'Roll Schedule'!A66</f>
        <v>45222</v>
      </c>
      <c r="C19" s="3" t="n">
        <f aca="false">SUMIFS('Spot Data'!$E$5:$E$651,'Spot Data'!$A$5:$A$651,B19,'Spot Data'!$H$5:$H$651,"YES")</f>
        <v>8450</v>
      </c>
      <c r="D19" s="3" t="n">
        <f aca="false">SUMIFS('Spot Data'!$E$5:$E$651,'Spot Data'!$A$5:$A$651,A19,'Spot Data'!$H$5:$H$651,"YES")</f>
        <v>8400</v>
      </c>
      <c r="E19" s="14" t="n">
        <f aca="false">'Roll Schedule'!B67</f>
        <v>45250</v>
      </c>
      <c r="F19" s="3" t="n">
        <f aca="false">SUMIFS('Futures Data'!$C$5:$C$3471,'Futures Data'!$A$5:$A$3471,B19,'Futures Data'!$B$5:$B$3471,E19)</f>
        <v>6036</v>
      </c>
      <c r="G19" s="3" t="n">
        <f aca="false">SUMIFS('Futures Data'!$C$5:$C$3471,'Futures Data'!$A$5:$A$3471,A19,'Futures Data'!$B$5:$B$3471,E19)</f>
        <v>6055</v>
      </c>
      <c r="H19" s="13" t="n">
        <f aca="false">LN(D19/C19)</f>
        <v>-0.00593473551981458</v>
      </c>
      <c r="I19" s="13" t="n">
        <f aca="false">LN(G19/F19)</f>
        <v>0.00314283609945301</v>
      </c>
      <c r="J19" s="3" t="str">
        <f aca="false">IF(A19&lt;='Results &amp; Charts'!$C$5,"In-sample","Out-of-sample")</f>
        <v>In-sample</v>
      </c>
      <c r="K19" s="13" t="n">
        <f aca="false">H19-'Results &amp; Charts'!$C$9*I19</f>
        <v>-0.00786307723876387</v>
      </c>
      <c r="L19" s="13" t="n">
        <f aca="false">H19-I19</f>
        <v>-0.00907757161926759</v>
      </c>
      <c r="M19" s="15" t="n">
        <v>0.673584181857738</v>
      </c>
      <c r="N19" s="13" t="n">
        <f aca="false">H19-M19*I19</f>
        <v>-0.0080517002025776</v>
      </c>
      <c r="O19" s="16" t="n">
        <f aca="false">'Results &amp; Charts'!$C$9</f>
        <v>0.613567382430444</v>
      </c>
    </row>
    <row r="20" customFormat="false" ht="15" hidden="false" customHeight="false" outlineLevel="0" collapsed="false">
      <c r="A20" s="14" t="n">
        <f aca="false">'Roll Schedule'!A68</f>
        <v>45225</v>
      </c>
      <c r="B20" s="14" t="n">
        <f aca="false">'Roll Schedule'!A67</f>
        <v>45224</v>
      </c>
      <c r="C20" s="3" t="n">
        <f aca="false">SUMIFS('Spot Data'!$E$5:$E$651,'Spot Data'!$A$5:$A$651,B20,'Spot Data'!$H$5:$H$651,"YES")</f>
        <v>8400</v>
      </c>
      <c r="D20" s="3" t="n">
        <f aca="false">SUMIFS('Spot Data'!$E$5:$E$651,'Spot Data'!$A$5:$A$651,A20,'Spot Data'!$H$5:$H$651,"YES")</f>
        <v>8150</v>
      </c>
      <c r="E20" s="14" t="n">
        <f aca="false">'Roll Schedule'!B68</f>
        <v>45250</v>
      </c>
      <c r="F20" s="3" t="n">
        <f aca="false">SUMIFS('Futures Data'!$C$5:$C$3471,'Futures Data'!$A$5:$A$3471,B20,'Futures Data'!$B$5:$B$3471,E20)</f>
        <v>6055</v>
      </c>
      <c r="G20" s="3" t="n">
        <f aca="false">SUMIFS('Futures Data'!$C$5:$C$3471,'Futures Data'!$A$5:$A$3471,A20,'Futures Data'!$B$5:$B$3471,E20)</f>
        <v>6008</v>
      </c>
      <c r="H20" s="13" t="n">
        <f aca="false">LN(D20/C20)</f>
        <v>-0.0302137785964966</v>
      </c>
      <c r="I20" s="13" t="n">
        <f aca="false">LN(G20/F20)</f>
        <v>-0.00779246254322197</v>
      </c>
      <c r="J20" s="3" t="str">
        <f aca="false">IF(A20&lt;='Results &amp; Charts'!$C$5,"In-sample","Out-of-sample")</f>
        <v>In-sample</v>
      </c>
      <c r="K20" s="13" t="n">
        <f aca="false">H20-'Results &amp; Charts'!$C$9*I20</f>
        <v>-0.0254325777511646</v>
      </c>
      <c r="L20" s="13" t="n">
        <f aca="false">H20-I20</f>
        <v>-0.0224213160532746</v>
      </c>
      <c r="M20" s="15" t="n">
        <v>0.670060047081174</v>
      </c>
      <c r="N20" s="13" t="n">
        <f aca="false">H20-M20*I20</f>
        <v>-0.024992360777907</v>
      </c>
      <c r="O20" s="16" t="n">
        <f aca="false">'Results &amp; Charts'!$C$9</f>
        <v>0.613567382430444</v>
      </c>
    </row>
    <row r="21" customFormat="false" ht="15" hidden="false" customHeight="false" outlineLevel="0" collapsed="false">
      <c r="A21" s="14" t="n">
        <f aca="false">'Roll Schedule'!A69</f>
        <v>45226</v>
      </c>
      <c r="B21" s="14" t="n">
        <f aca="false">'Roll Schedule'!A68</f>
        <v>45225</v>
      </c>
      <c r="C21" s="3" t="n">
        <f aca="false">SUMIFS('Spot Data'!$E$5:$E$651,'Spot Data'!$A$5:$A$651,B21,'Spot Data'!$H$5:$H$651,"YES")</f>
        <v>8150</v>
      </c>
      <c r="D21" s="3" t="n">
        <f aca="false">SUMIFS('Spot Data'!$E$5:$E$651,'Spot Data'!$A$5:$A$651,A21,'Spot Data'!$H$5:$H$651,"YES")</f>
        <v>8050</v>
      </c>
      <c r="E21" s="14" t="n">
        <f aca="false">'Roll Schedule'!B69</f>
        <v>45250</v>
      </c>
      <c r="F21" s="3" t="n">
        <f aca="false">SUMIFS('Futures Data'!$C$5:$C$3471,'Futures Data'!$A$5:$A$3471,B21,'Futures Data'!$B$5:$B$3471,E21)</f>
        <v>6008</v>
      </c>
      <c r="G21" s="3" t="n">
        <f aca="false">SUMIFS('Futures Data'!$C$5:$C$3471,'Futures Data'!$A$5:$A$3471,A21,'Futures Data'!$B$5:$B$3471,E21)</f>
        <v>5980</v>
      </c>
      <c r="H21" s="13" t="n">
        <f aca="false">LN(D21/C21)</f>
        <v>-0.0123458358222994</v>
      </c>
      <c r="I21" s="13" t="n">
        <f aca="false">LN(G21/F21)</f>
        <v>-0.00467134649929324</v>
      </c>
      <c r="J21" s="3" t="str">
        <f aca="false">IF(A21&lt;='Results &amp; Charts'!$C$5,"In-sample","Out-of-sample")</f>
        <v>In-sample</v>
      </c>
      <c r="K21" s="13" t="n">
        <f aca="false">H21-'Results &amp; Charts'!$C$9*I21</f>
        <v>-0.0094796499783024</v>
      </c>
      <c r="L21" s="13" t="n">
        <f aca="false">H21-I21</f>
        <v>-0.00767448932300614</v>
      </c>
      <c r="M21" s="15" t="n">
        <v>0.698303186333891</v>
      </c>
      <c r="N21" s="13" t="n">
        <f aca="false">H21-M21*I21</f>
        <v>-0.00908381967737324</v>
      </c>
      <c r="O21" s="16" t="n">
        <f aca="false">'Results &amp; Charts'!$C$9</f>
        <v>0.613567382430444</v>
      </c>
    </row>
    <row r="22" customFormat="false" ht="15" hidden="false" customHeight="false" outlineLevel="0" collapsed="false">
      <c r="A22" s="14" t="n">
        <f aca="false">'Roll Schedule'!A70</f>
        <v>45229</v>
      </c>
      <c r="B22" s="14" t="n">
        <f aca="false">'Roll Schedule'!A69</f>
        <v>45226</v>
      </c>
      <c r="C22" s="3" t="n">
        <f aca="false">SUMIFS('Spot Data'!$E$5:$E$651,'Spot Data'!$A$5:$A$651,B22,'Spot Data'!$H$5:$H$651,"YES")</f>
        <v>8050</v>
      </c>
      <c r="D22" s="3" t="n">
        <f aca="false">SUMIFS('Spot Data'!$E$5:$E$651,'Spot Data'!$A$5:$A$651,A22,'Spot Data'!$H$5:$H$651,"YES")</f>
        <v>7950</v>
      </c>
      <c r="E22" s="14" t="n">
        <f aca="false">'Roll Schedule'!B70</f>
        <v>45250</v>
      </c>
      <c r="F22" s="3" t="n">
        <f aca="false">SUMIFS('Futures Data'!$C$5:$C$3471,'Futures Data'!$A$5:$A$3471,B22,'Futures Data'!$B$5:$B$3471,E22)</f>
        <v>5980</v>
      </c>
      <c r="G22" s="3" t="n">
        <f aca="false">SUMIFS('Futures Data'!$C$5:$C$3471,'Futures Data'!$A$5:$A$3471,A22,'Futures Data'!$B$5:$B$3471,E22)</f>
        <v>5920</v>
      </c>
      <c r="H22" s="13" t="n">
        <f aca="false">LN(D22/C22)</f>
        <v>-0.0125001627642315</v>
      </c>
      <c r="I22" s="13" t="n">
        <f aca="false">LN(G22/F22)</f>
        <v>-0.010084119066626</v>
      </c>
      <c r="J22" s="3" t="str">
        <f aca="false">IF(A22&lt;='Results &amp; Charts'!$C$5,"In-sample","Out-of-sample")</f>
        <v>In-sample</v>
      </c>
      <c r="K22" s="13" t="n">
        <f aca="false">H22-'Results &amp; Charts'!$C$9*I22</f>
        <v>-0.00631287622440481</v>
      </c>
      <c r="L22" s="13" t="n">
        <f aca="false">H22-I22</f>
        <v>-0.00241604369760545</v>
      </c>
      <c r="M22" s="15" t="n">
        <v>0.718926262607887</v>
      </c>
      <c r="N22" s="13" t="n">
        <f aca="false">H22-M22*I22</f>
        <v>-0.0052504247319691</v>
      </c>
      <c r="O22" s="16" t="n">
        <f aca="false">'Results &amp; Charts'!$C$9</f>
        <v>0.613567382430444</v>
      </c>
    </row>
    <row r="23" customFormat="false" ht="15" hidden="false" customHeight="false" outlineLevel="0" collapsed="false">
      <c r="A23" s="14" t="n">
        <f aca="false">'Roll Schedule'!A71</f>
        <v>45230</v>
      </c>
      <c r="B23" s="14" t="n">
        <f aca="false">'Roll Schedule'!A70</f>
        <v>45229</v>
      </c>
      <c r="C23" s="3" t="n">
        <f aca="false">SUMIFS('Spot Data'!$E$5:$E$651,'Spot Data'!$A$5:$A$651,B23,'Spot Data'!$H$5:$H$651,"YES")</f>
        <v>7950</v>
      </c>
      <c r="D23" s="3" t="n">
        <f aca="false">SUMIFS('Spot Data'!$E$5:$E$651,'Spot Data'!$A$5:$A$651,A23,'Spot Data'!$H$5:$H$651,"YES")</f>
        <v>7850</v>
      </c>
      <c r="E23" s="14" t="n">
        <f aca="false">'Roll Schedule'!B71</f>
        <v>45250</v>
      </c>
      <c r="F23" s="3" t="n">
        <f aca="false">SUMIFS('Futures Data'!$C$5:$C$3471,'Futures Data'!$A$5:$A$3471,B23,'Futures Data'!$B$5:$B$3471,E23)</f>
        <v>5920</v>
      </c>
      <c r="G23" s="3" t="n">
        <f aca="false">SUMIFS('Futures Data'!$C$5:$C$3471,'Futures Data'!$A$5:$A$3471,A23,'Futures Data'!$B$5:$B$3471,E23)</f>
        <v>5924</v>
      </c>
      <c r="H23" s="13" t="n">
        <f aca="false">LN(D23/C23)</f>
        <v>-0.0126583968719235</v>
      </c>
      <c r="I23" s="13" t="n">
        <f aca="false">LN(G23/F23)</f>
        <v>0.000675447509637973</v>
      </c>
      <c r="J23" s="3" t="str">
        <f aca="false">IF(A23&lt;='Results &amp; Charts'!$C$5,"In-sample","Out-of-sample")</f>
        <v>In-sample</v>
      </c>
      <c r="K23" s="13" t="n">
        <f aca="false">H23-'Results &amp; Charts'!$C$9*I23</f>
        <v>-0.0130728294323812</v>
      </c>
      <c r="L23" s="13" t="n">
        <f aca="false">H23-I23</f>
        <v>-0.0133338443815614</v>
      </c>
      <c r="M23" s="15" t="n">
        <v>0.648250106653032</v>
      </c>
      <c r="N23" s="13" t="n">
        <f aca="false">H23-M23*I23</f>
        <v>-0.0130962557920848</v>
      </c>
      <c r="O23" s="16" t="n">
        <f aca="false">'Results &amp; Charts'!$C$9</f>
        <v>0.613567382430444</v>
      </c>
    </row>
    <row r="24" customFormat="false" ht="15" hidden="false" customHeight="false" outlineLevel="0" collapsed="false">
      <c r="A24" s="14" t="n">
        <f aca="false">'Roll Schedule'!A72</f>
        <v>45231</v>
      </c>
      <c r="B24" s="14" t="n">
        <f aca="false">'Roll Schedule'!A71</f>
        <v>45230</v>
      </c>
      <c r="C24" s="3" t="n">
        <f aca="false">SUMIFS('Spot Data'!$E$5:$E$651,'Spot Data'!$A$5:$A$651,B24,'Spot Data'!$H$5:$H$651,"YES")</f>
        <v>7850</v>
      </c>
      <c r="D24" s="3" t="n">
        <f aca="false">SUMIFS('Spot Data'!$E$5:$E$651,'Spot Data'!$A$5:$A$651,A24,'Spot Data'!$H$5:$H$651,"YES")</f>
        <v>7750</v>
      </c>
      <c r="E24" s="14" t="n">
        <f aca="false">'Roll Schedule'!B72</f>
        <v>45250</v>
      </c>
      <c r="F24" s="3" t="n">
        <f aca="false">SUMIFS('Futures Data'!$C$5:$C$3471,'Futures Data'!$A$5:$A$3471,B24,'Futures Data'!$B$5:$B$3471,E24)</f>
        <v>5924</v>
      </c>
      <c r="G24" s="3" t="n">
        <f aca="false">SUMIFS('Futures Data'!$C$5:$C$3471,'Futures Data'!$A$5:$A$3471,A24,'Futures Data'!$B$5:$B$3471,E24)</f>
        <v>5892</v>
      </c>
      <c r="H24" s="13" t="n">
        <f aca="false">LN(D24/C24)</f>
        <v>-0.0128206884290614</v>
      </c>
      <c r="I24" s="13" t="n">
        <f aca="false">LN(G24/F24)</f>
        <v>-0.00541639780516852</v>
      </c>
      <c r="J24" s="3" t="str">
        <f aca="false">IF(A24&lt;='Results &amp; Charts'!$C$5,"In-sample","Out-of-sample")</f>
        <v>In-sample</v>
      </c>
      <c r="K24" s="13" t="n">
        <f aca="false">H24-'Results &amp; Charts'!$C$9*I24</f>
        <v>-0.00949736340554218</v>
      </c>
      <c r="L24" s="13" t="n">
        <f aca="false">H24-I24</f>
        <v>-0.00740429062389291</v>
      </c>
      <c r="M24" s="15" t="n">
        <v>0.678305001853565</v>
      </c>
      <c r="N24" s="13" t="n">
        <f aca="false">H24-M24*I24</f>
        <v>-0.00914671870578696</v>
      </c>
      <c r="O24" s="16" t="n">
        <f aca="false">'Results &amp; Charts'!$C$9</f>
        <v>0.613567382430444</v>
      </c>
    </row>
    <row r="25" customFormat="false" ht="15" hidden="false" customHeight="false" outlineLevel="0" collapsed="false">
      <c r="A25" s="14" t="n">
        <f aca="false">'Roll Schedule'!A73</f>
        <v>45232</v>
      </c>
      <c r="B25" s="14" t="n">
        <f aca="false">'Roll Schedule'!A72</f>
        <v>45231</v>
      </c>
      <c r="C25" s="3" t="n">
        <f aca="false">SUMIFS('Spot Data'!$E$5:$E$651,'Spot Data'!$A$5:$A$651,B25,'Spot Data'!$H$5:$H$651,"YES")</f>
        <v>7750</v>
      </c>
      <c r="D25" s="3" t="n">
        <f aca="false">SUMIFS('Spot Data'!$E$5:$E$651,'Spot Data'!$A$5:$A$651,A25,'Spot Data'!$H$5:$H$651,"YES")</f>
        <v>7800</v>
      </c>
      <c r="E25" s="14" t="n">
        <f aca="false">'Roll Schedule'!B73</f>
        <v>45250</v>
      </c>
      <c r="F25" s="3" t="n">
        <f aca="false">SUMIFS('Futures Data'!$C$5:$C$3471,'Futures Data'!$A$5:$A$3471,B25,'Futures Data'!$B$5:$B$3471,E25)</f>
        <v>5892</v>
      </c>
      <c r="G25" s="3" t="n">
        <f aca="false">SUMIFS('Futures Data'!$C$5:$C$3471,'Futures Data'!$A$5:$A$3471,A25,'Futures Data'!$B$5:$B$3471,E25)</f>
        <v>5818</v>
      </c>
      <c r="H25" s="13" t="n">
        <f aca="false">LN(D25/C25)</f>
        <v>0.00643089033029033</v>
      </c>
      <c r="I25" s="13" t="n">
        <f aca="false">LN(G25/F25)</f>
        <v>-0.0126389385273739</v>
      </c>
      <c r="J25" s="3" t="str">
        <f aca="false">IF(A25&lt;='Results &amp; Charts'!$C$5,"In-sample","Out-of-sample")</f>
        <v>In-sample</v>
      </c>
      <c r="K25" s="13" t="n">
        <f aca="false">H25-'Results &amp; Charts'!$C$9*I25</f>
        <v>0.0141857307592305</v>
      </c>
      <c r="L25" s="13" t="n">
        <f aca="false">H25-I25</f>
        <v>0.0190698288576643</v>
      </c>
      <c r="M25" s="15" t="n">
        <v>0.696522293407234</v>
      </c>
      <c r="N25" s="13" t="n">
        <f aca="false">H25-M25*I25</f>
        <v>0.0152341927796099</v>
      </c>
      <c r="O25" s="16" t="n">
        <f aca="false">'Results &amp; Charts'!$C$9</f>
        <v>0.613567382430444</v>
      </c>
    </row>
    <row r="26" customFormat="false" ht="15" hidden="false" customHeight="false" outlineLevel="0" collapsed="false">
      <c r="A26" s="14" t="n">
        <f aca="false">'Roll Schedule'!A86</f>
        <v>45251</v>
      </c>
      <c r="B26" s="14" t="n">
        <f aca="false">'Roll Schedule'!A85</f>
        <v>45250</v>
      </c>
      <c r="C26" s="3" t="n">
        <f aca="false">SUMIFS('Spot Data'!$E$5:$E$651,'Spot Data'!$A$5:$A$651,B26,'Spot Data'!$H$5:$H$651,"YES")</f>
        <v>7950</v>
      </c>
      <c r="D26" s="3" t="n">
        <f aca="false">SUMIFS('Spot Data'!$E$5:$E$651,'Spot Data'!$A$5:$A$651,A26,'Spot Data'!$H$5:$H$651,"YES")</f>
        <v>8400</v>
      </c>
      <c r="E26" s="14" t="n">
        <f aca="false">'Roll Schedule'!B86</f>
        <v>45280</v>
      </c>
      <c r="F26" s="3" t="n">
        <f aca="false">SUMIFS('Futures Data'!$C$5:$C$3471,'Futures Data'!$A$5:$A$3471,B26,'Futures Data'!$B$5:$B$3471,E26)</f>
        <v>5914</v>
      </c>
      <c r="G26" s="3" t="n">
        <f aca="false">SUMIFS('Futures Data'!$C$5:$C$3471,'Futures Data'!$A$5:$A$3471,A26,'Futures Data'!$B$5:$B$3471,E26)</f>
        <v>5942</v>
      </c>
      <c r="H26" s="13" t="n">
        <f aca="false">LN(D26/C26)</f>
        <v>0.0550597771830274</v>
      </c>
      <c r="I26" s="13" t="n">
        <f aca="false">LN(G26/F26)</f>
        <v>0.00472335561013036</v>
      </c>
      <c r="J26" s="3" t="str">
        <f aca="false">IF(A26&lt;='Results &amp; Charts'!$C$5,"In-sample","Out-of-sample")</f>
        <v>In-sample</v>
      </c>
      <c r="K26" s="13" t="n">
        <f aca="false">H26-'Results &amp; Charts'!$C$9*I26</f>
        <v>0.0521616802450315</v>
      </c>
      <c r="L26" s="13" t="n">
        <f aca="false">H26-I26</f>
        <v>0.050336421572897</v>
      </c>
      <c r="M26" s="15" t="n">
        <v>0.51089218579201</v>
      </c>
      <c r="N26" s="13" t="n">
        <f aca="false">H26-M26*I26</f>
        <v>0.0526466517110949</v>
      </c>
      <c r="O26" s="16" t="n">
        <f aca="false">'Results &amp; Charts'!$C$9</f>
        <v>0.613567382430444</v>
      </c>
    </row>
    <row r="27" customFormat="false" ht="15" hidden="false" customHeight="false" outlineLevel="0" collapsed="false">
      <c r="A27" s="14" t="n">
        <f aca="false">'Roll Schedule'!A87</f>
        <v>45252</v>
      </c>
      <c r="B27" s="14" t="n">
        <f aca="false">'Roll Schedule'!A86</f>
        <v>45251</v>
      </c>
      <c r="C27" s="3" t="n">
        <f aca="false">SUMIFS('Spot Data'!$E$5:$E$651,'Spot Data'!$A$5:$A$651,B27,'Spot Data'!$H$5:$H$651,"YES")</f>
        <v>8400</v>
      </c>
      <c r="D27" s="3" t="n">
        <f aca="false">SUMIFS('Spot Data'!$E$5:$E$651,'Spot Data'!$A$5:$A$651,A27,'Spot Data'!$H$5:$H$651,"YES")</f>
        <v>8700</v>
      </c>
      <c r="E27" s="14" t="n">
        <f aca="false">'Roll Schedule'!B87</f>
        <v>45280</v>
      </c>
      <c r="F27" s="3" t="n">
        <f aca="false">SUMIFS('Futures Data'!$C$5:$C$3471,'Futures Data'!$A$5:$A$3471,B27,'Futures Data'!$B$5:$B$3471,E27)</f>
        <v>5942</v>
      </c>
      <c r="G27" s="3" t="n">
        <f aca="false">SUMIFS('Futures Data'!$C$5:$C$3471,'Futures Data'!$A$5:$A$3471,A27,'Futures Data'!$B$5:$B$3471,E27)</f>
        <v>6021</v>
      </c>
      <c r="H27" s="13" t="n">
        <f aca="false">LN(D27/C27)</f>
        <v>0.0350913198112702</v>
      </c>
      <c r="I27" s="13" t="n">
        <f aca="false">LN(G27/F27)</f>
        <v>0.0132075814418949</v>
      </c>
      <c r="J27" s="3" t="str">
        <f aca="false">IF(A27&lt;='Results &amp; Charts'!$C$5,"In-sample","Out-of-sample")</f>
        <v>In-sample</v>
      </c>
      <c r="K27" s="13" t="n">
        <f aca="false">H27-'Results &amp; Charts'!$C$9*I27</f>
        <v>0.0269875786377298</v>
      </c>
      <c r="L27" s="13" t="n">
        <f aca="false">H27-I27</f>
        <v>0.0218837383693753</v>
      </c>
      <c r="M27" s="15" t="n">
        <v>0.616069975634307</v>
      </c>
      <c r="N27" s="13" t="n">
        <f aca="false">H27-M27*I27</f>
        <v>0.0269545254341739</v>
      </c>
      <c r="O27" s="16" t="n">
        <f aca="false">'Results &amp; Charts'!$C$9</f>
        <v>0.613567382430444</v>
      </c>
    </row>
    <row r="28" customFormat="false" ht="15" hidden="false" customHeight="false" outlineLevel="0" collapsed="false">
      <c r="A28" s="14" t="n">
        <f aca="false">'Roll Schedule'!A88</f>
        <v>45253</v>
      </c>
      <c r="B28" s="14" t="n">
        <f aca="false">'Roll Schedule'!A87</f>
        <v>45252</v>
      </c>
      <c r="C28" s="3" t="n">
        <f aca="false">SUMIFS('Spot Data'!$E$5:$E$651,'Spot Data'!$A$5:$A$651,B28,'Spot Data'!$H$5:$H$651,"YES")</f>
        <v>8700</v>
      </c>
      <c r="D28" s="3" t="n">
        <f aca="false">SUMIFS('Spot Data'!$E$5:$E$651,'Spot Data'!$A$5:$A$651,A28,'Spot Data'!$H$5:$H$651,"YES")</f>
        <v>8950</v>
      </c>
      <c r="E28" s="14" t="n">
        <f aca="false">'Roll Schedule'!B88</f>
        <v>45280</v>
      </c>
      <c r="F28" s="3" t="n">
        <f aca="false">SUMIFS('Futures Data'!$C$5:$C$3471,'Futures Data'!$A$5:$A$3471,B28,'Futures Data'!$B$5:$B$3471,E28)</f>
        <v>6021</v>
      </c>
      <c r="G28" s="3" t="n">
        <f aca="false">SUMIFS('Futures Data'!$C$5:$C$3471,'Futures Data'!$A$5:$A$3471,A28,'Futures Data'!$B$5:$B$3471,E28)</f>
        <v>6204</v>
      </c>
      <c r="H28" s="13" t="n">
        <f aca="false">LN(D28/C28)</f>
        <v>0.028330506626226</v>
      </c>
      <c r="I28" s="13" t="n">
        <f aca="false">LN(G28/F28)</f>
        <v>0.0299408868319816</v>
      </c>
      <c r="J28" s="3" t="str">
        <f aca="false">IF(A28&lt;='Results &amp; Charts'!$C$5,"In-sample","Out-of-sample")</f>
        <v>In-sample</v>
      </c>
      <c r="K28" s="13" t="n">
        <f aca="false">H28-'Results &amp; Charts'!$C$9*I28</f>
        <v>0.00995975506508085</v>
      </c>
      <c r="L28" s="13" t="n">
        <f aca="false">H28-I28</f>
        <v>-0.00161038020575566</v>
      </c>
      <c r="M28" s="15" t="n">
        <v>0.60763278160835</v>
      </c>
      <c r="N28" s="13" t="n">
        <f aca="false">H28-M28*I28</f>
        <v>0.0101374422766882</v>
      </c>
      <c r="O28" s="16" t="n">
        <f aca="false">'Results &amp; Charts'!$C$9</f>
        <v>0.613567382430444</v>
      </c>
    </row>
    <row r="29" customFormat="false" ht="15" hidden="false" customHeight="false" outlineLevel="0" collapsed="false">
      <c r="A29" s="14" t="n">
        <f aca="false">'Roll Schedule'!A89</f>
        <v>45254</v>
      </c>
      <c r="B29" s="14" t="n">
        <f aca="false">'Roll Schedule'!A88</f>
        <v>45253</v>
      </c>
      <c r="C29" s="3" t="n">
        <f aca="false">SUMIFS('Spot Data'!$E$5:$E$651,'Spot Data'!$A$5:$A$651,B29,'Spot Data'!$H$5:$H$651,"YES")</f>
        <v>8950</v>
      </c>
      <c r="D29" s="3" t="n">
        <f aca="false">SUMIFS('Spot Data'!$E$5:$E$651,'Spot Data'!$A$5:$A$651,A29,'Spot Data'!$H$5:$H$651,"YES")</f>
        <v>8900</v>
      </c>
      <c r="E29" s="14" t="n">
        <f aca="false">'Roll Schedule'!B89</f>
        <v>45280</v>
      </c>
      <c r="F29" s="3" t="n">
        <f aca="false">SUMIFS('Futures Data'!$C$5:$C$3471,'Futures Data'!$A$5:$A$3471,B29,'Futures Data'!$B$5:$B$3471,E29)</f>
        <v>6204</v>
      </c>
      <c r="G29" s="3" t="n">
        <f aca="false">SUMIFS('Futures Data'!$C$5:$C$3471,'Futures Data'!$A$5:$A$3471,A29,'Futures Data'!$B$5:$B$3471,E29)</f>
        <v>6120</v>
      </c>
      <c r="H29" s="13" t="n">
        <f aca="false">LN(D29/C29)</f>
        <v>-0.0056022555486699</v>
      </c>
      <c r="I29" s="13" t="n">
        <f aca="false">LN(G29/F29)</f>
        <v>-0.0136321487900576</v>
      </c>
      <c r="J29" s="3" t="str">
        <f aca="false">IF(A29&lt;='Results &amp; Charts'!$C$5,"In-sample","Out-of-sample")</f>
        <v>In-sample</v>
      </c>
      <c r="K29" s="13" t="n">
        <f aca="false">H29-'Results &amp; Charts'!$C$9*I29</f>
        <v>0.00276198630134812</v>
      </c>
      <c r="L29" s="13" t="n">
        <f aca="false">H29-I29</f>
        <v>0.00802989324138775</v>
      </c>
      <c r="M29" s="15" t="n">
        <v>0.367281242987235</v>
      </c>
      <c r="N29" s="13" t="n">
        <f aca="false">H29-M29*I29</f>
        <v>-0.000595422996470591</v>
      </c>
      <c r="O29" s="16" t="n">
        <f aca="false">'Results &amp; Charts'!$C$9</f>
        <v>0.613567382430444</v>
      </c>
    </row>
    <row r="30" customFormat="false" ht="15" hidden="false" customHeight="false" outlineLevel="0" collapsed="false">
      <c r="A30" s="14" t="n">
        <f aca="false">'Roll Schedule'!A90</f>
        <v>45258</v>
      </c>
      <c r="B30" s="14" t="n">
        <f aca="false">'Roll Schedule'!A89</f>
        <v>45254</v>
      </c>
      <c r="C30" s="3" t="n">
        <f aca="false">SUMIFS('Spot Data'!$E$5:$E$651,'Spot Data'!$A$5:$A$651,B30,'Spot Data'!$H$5:$H$651,"YES")</f>
        <v>8900</v>
      </c>
      <c r="D30" s="3" t="n">
        <f aca="false">SUMIFS('Spot Data'!$E$5:$E$651,'Spot Data'!$A$5:$A$651,A30,'Spot Data'!$H$5:$H$651,"YES")</f>
        <v>9050</v>
      </c>
      <c r="E30" s="14" t="n">
        <f aca="false">'Roll Schedule'!B90</f>
        <v>45280</v>
      </c>
      <c r="F30" s="3" t="n">
        <f aca="false">SUMIFS('Futures Data'!$C$5:$C$3471,'Futures Data'!$A$5:$A$3471,B30,'Futures Data'!$B$5:$B$3471,E30)</f>
        <v>6120</v>
      </c>
      <c r="G30" s="3" t="n">
        <f aca="false">SUMIFS('Futures Data'!$C$5:$C$3471,'Futures Data'!$A$5:$A$3471,A30,'Futures Data'!$B$5:$B$3471,E30)</f>
        <v>6177</v>
      </c>
      <c r="H30" s="13" t="n">
        <f aca="false">LN(D30/C30)</f>
        <v>0.0167134809737405</v>
      </c>
      <c r="I30" s="13" t="n">
        <f aca="false">LN(G30/F30)</f>
        <v>0.00927062018952734</v>
      </c>
      <c r="J30" s="3" t="str">
        <f aca="false">IF(A30&lt;='Results &amp; Charts'!$C$5,"In-sample","Out-of-sample")</f>
        <v>In-sample</v>
      </c>
      <c r="K30" s="13" t="n">
        <f aca="false">H30-'Results &amp; Charts'!$C$9*I30</f>
        <v>0.0110253308105454</v>
      </c>
      <c r="L30" s="13" t="n">
        <f aca="false">H30-I30</f>
        <v>0.00744286078421319</v>
      </c>
      <c r="M30" s="15" t="n">
        <v>0.3723503959411</v>
      </c>
      <c r="N30" s="13" t="n">
        <f aca="false">H30-M30*I30</f>
        <v>0.0132615618755505</v>
      </c>
      <c r="O30" s="16" t="n">
        <f aca="false">'Results &amp; Charts'!$C$9</f>
        <v>0.613567382430444</v>
      </c>
    </row>
    <row r="31" customFormat="false" ht="15" hidden="false" customHeight="false" outlineLevel="0" collapsed="false">
      <c r="A31" s="14" t="n">
        <f aca="false">'Roll Schedule'!A91</f>
        <v>45259</v>
      </c>
      <c r="B31" s="14" t="n">
        <f aca="false">'Roll Schedule'!A90</f>
        <v>45258</v>
      </c>
      <c r="C31" s="3" t="n">
        <f aca="false">SUMIFS('Spot Data'!$E$5:$E$651,'Spot Data'!$A$5:$A$651,B31,'Spot Data'!$H$5:$H$651,"YES")</f>
        <v>9050</v>
      </c>
      <c r="D31" s="3" t="n">
        <f aca="false">SUMIFS('Spot Data'!$E$5:$E$651,'Spot Data'!$A$5:$A$651,A31,'Spot Data'!$H$5:$H$651,"YES")</f>
        <v>9000</v>
      </c>
      <c r="E31" s="14" t="n">
        <f aca="false">'Roll Schedule'!B91</f>
        <v>45280</v>
      </c>
      <c r="F31" s="3" t="n">
        <f aca="false">SUMIFS('Futures Data'!$C$5:$C$3471,'Futures Data'!$A$5:$A$3471,B31,'Futures Data'!$B$5:$B$3471,E31)</f>
        <v>6177</v>
      </c>
      <c r="G31" s="3" t="n">
        <f aca="false">SUMIFS('Futures Data'!$C$5:$C$3471,'Futures Data'!$A$5:$A$3471,A31,'Futures Data'!$B$5:$B$3471,E31)</f>
        <v>6121</v>
      </c>
      <c r="H31" s="13" t="n">
        <f aca="false">LN(D31/C31)</f>
        <v>-0.00554018037561536</v>
      </c>
      <c r="I31" s="13" t="n">
        <f aca="false">LN(G31/F31)</f>
        <v>-0.00910723484482934</v>
      </c>
      <c r="J31" s="3" t="str">
        <f aca="false">IF(A31&lt;='Results &amp; Charts'!$C$5,"In-sample","Out-of-sample")</f>
        <v>In-sample</v>
      </c>
      <c r="K31" s="13" t="n">
        <f aca="false">H31-'Results &amp; Charts'!$C$9*I31</f>
        <v>4.7721869305916E-005</v>
      </c>
      <c r="L31" s="13" t="n">
        <f aca="false">H31-I31</f>
        <v>0.00356705446921398</v>
      </c>
      <c r="M31" s="15" t="n">
        <v>0.41168884123285</v>
      </c>
      <c r="N31" s="13" t="n">
        <f aca="false">H31-M31*I31</f>
        <v>-0.00179083341551213</v>
      </c>
      <c r="O31" s="16" t="n">
        <f aca="false">'Results &amp; Charts'!$C$9</f>
        <v>0.613567382430444</v>
      </c>
    </row>
    <row r="32" customFormat="false" ht="15" hidden="false" customHeight="false" outlineLevel="0" collapsed="false">
      <c r="A32" s="14" t="n">
        <f aca="false">'Roll Schedule'!A92</f>
        <v>45260</v>
      </c>
      <c r="B32" s="14" t="n">
        <f aca="false">'Roll Schedule'!A91</f>
        <v>45259</v>
      </c>
      <c r="C32" s="3" t="n">
        <f aca="false">SUMIFS('Spot Data'!$E$5:$E$651,'Spot Data'!$A$5:$A$651,B32,'Spot Data'!$H$5:$H$651,"YES")</f>
        <v>9000</v>
      </c>
      <c r="D32" s="3" t="n">
        <f aca="false">SUMIFS('Spot Data'!$E$5:$E$651,'Spot Data'!$A$5:$A$651,A32,'Spot Data'!$H$5:$H$651,"YES")</f>
        <v>8900</v>
      </c>
      <c r="E32" s="14" t="n">
        <f aca="false">'Roll Schedule'!B92</f>
        <v>45280</v>
      </c>
      <c r="F32" s="3" t="n">
        <f aca="false">SUMIFS('Futures Data'!$C$5:$C$3471,'Futures Data'!$A$5:$A$3471,B32,'Futures Data'!$B$5:$B$3471,E32)</f>
        <v>6121</v>
      </c>
      <c r="G32" s="3" t="n">
        <f aca="false">SUMIFS('Futures Data'!$C$5:$C$3471,'Futures Data'!$A$5:$A$3471,A32,'Futures Data'!$B$5:$B$3471,E32)</f>
        <v>6066</v>
      </c>
      <c r="H32" s="13" t="n">
        <f aca="false">LN(D32/C32)</f>
        <v>-0.0111733005981252</v>
      </c>
      <c r="I32" s="13" t="n">
        <f aca="false">LN(G32/F32)</f>
        <v>-0.00902607260254342</v>
      </c>
      <c r="J32" s="3" t="str">
        <f aca="false">IF(A32&lt;='Results &amp; Charts'!$C$5,"In-sample","Out-of-sample")</f>
        <v>In-sample</v>
      </c>
      <c r="K32" s="13" t="n">
        <f aca="false">H32-'Results &amp; Charts'!$C$9*I32</f>
        <v>-0.00563519685775548</v>
      </c>
      <c r="L32" s="13" t="n">
        <f aca="false">H32-I32</f>
        <v>-0.00214722799558177</v>
      </c>
      <c r="M32" s="15" t="n">
        <v>0.439492241122642</v>
      </c>
      <c r="N32" s="13" t="n">
        <f aca="false">H32-M32*I32</f>
        <v>-0.0072064117214977</v>
      </c>
      <c r="O32" s="16" t="n">
        <f aca="false">'Results &amp; Charts'!$C$9</f>
        <v>0.613567382430444</v>
      </c>
    </row>
    <row r="33" customFormat="false" ht="15" hidden="false" customHeight="false" outlineLevel="0" collapsed="false">
      <c r="A33" s="14" t="n">
        <f aca="false">'Roll Schedule'!A93</f>
        <v>45261</v>
      </c>
      <c r="B33" s="14" t="n">
        <f aca="false">'Roll Schedule'!A92</f>
        <v>45260</v>
      </c>
      <c r="C33" s="3" t="n">
        <f aca="false">SUMIFS('Spot Data'!$E$5:$E$651,'Spot Data'!$A$5:$A$651,B33,'Spot Data'!$H$5:$H$651,"YES")</f>
        <v>8900</v>
      </c>
      <c r="D33" s="3" t="n">
        <f aca="false">SUMIFS('Spot Data'!$E$5:$E$651,'Spot Data'!$A$5:$A$651,A33,'Spot Data'!$H$5:$H$651,"YES")</f>
        <v>8850</v>
      </c>
      <c r="E33" s="14" t="n">
        <f aca="false">'Roll Schedule'!B93</f>
        <v>45280</v>
      </c>
      <c r="F33" s="3" t="n">
        <f aca="false">SUMIFS('Futures Data'!$C$5:$C$3471,'Futures Data'!$A$5:$A$3471,B33,'Futures Data'!$B$5:$B$3471,E33)</f>
        <v>6066</v>
      </c>
      <c r="G33" s="3" t="n">
        <f aca="false">SUMIFS('Futures Data'!$C$5:$C$3471,'Futures Data'!$A$5:$A$3471,A33,'Futures Data'!$B$5:$B$3471,E33)</f>
        <v>5995</v>
      </c>
      <c r="H33" s="13" t="n">
        <f aca="false">LN(D33/C33)</f>
        <v>-0.00563381771825602</v>
      </c>
      <c r="I33" s="13" t="n">
        <f aca="false">LN(G33/F33)</f>
        <v>-0.0117736207869118</v>
      </c>
      <c r="J33" s="3" t="str">
        <f aca="false">IF(A33&lt;='Results &amp; Charts'!$C$5,"In-sample","Out-of-sample")</f>
        <v>In-sample</v>
      </c>
      <c r="K33" s="13" t="n">
        <f aca="false">H33-'Results &amp; Charts'!$C$9*I33</f>
        <v>0.00159009196969812</v>
      </c>
      <c r="L33" s="13" t="n">
        <f aca="false">H33-I33</f>
        <v>0.00613980306865578</v>
      </c>
      <c r="M33" s="15" t="n">
        <v>0.473473694256871</v>
      </c>
      <c r="N33" s="13" t="n">
        <f aca="false">H33-M33*I33</f>
        <v>-5.93179894974039E-005</v>
      </c>
      <c r="O33" s="16" t="n">
        <f aca="false">'Results &amp; Charts'!$C$9</f>
        <v>0.613567382430444</v>
      </c>
    </row>
    <row r="34" customFormat="false" ht="15" hidden="false" customHeight="false" outlineLevel="0" collapsed="false">
      <c r="A34" s="14" t="n">
        <f aca="false">'Roll Schedule'!A94</f>
        <v>45264</v>
      </c>
      <c r="B34" s="14" t="n">
        <f aca="false">'Roll Schedule'!A93</f>
        <v>45261</v>
      </c>
      <c r="C34" s="3" t="n">
        <f aca="false">SUMIFS('Spot Data'!$E$5:$E$651,'Spot Data'!$A$5:$A$651,B34,'Spot Data'!$H$5:$H$651,"YES")</f>
        <v>8850</v>
      </c>
      <c r="D34" s="3" t="n">
        <f aca="false">SUMIFS('Spot Data'!$E$5:$E$651,'Spot Data'!$A$5:$A$651,A34,'Spot Data'!$H$5:$H$651,"YES")</f>
        <v>8750</v>
      </c>
      <c r="E34" s="14" t="n">
        <f aca="false">'Roll Schedule'!B94</f>
        <v>45280</v>
      </c>
      <c r="F34" s="3" t="n">
        <f aca="false">SUMIFS('Futures Data'!$C$5:$C$3471,'Futures Data'!$A$5:$A$3471,B34,'Futures Data'!$B$5:$B$3471,E34)</f>
        <v>5995</v>
      </c>
      <c r="G34" s="3" t="n">
        <f aca="false">SUMIFS('Futures Data'!$C$5:$C$3471,'Futures Data'!$A$5:$A$3471,A34,'Futures Data'!$B$5:$B$3471,E34)</f>
        <v>5843</v>
      </c>
      <c r="H34" s="13" t="n">
        <f aca="false">LN(D34/C34)</f>
        <v>-0.0113637586503151</v>
      </c>
      <c r="I34" s="13" t="n">
        <f aca="false">LN(G34/F34)</f>
        <v>-0.0256814249071776</v>
      </c>
      <c r="J34" s="3" t="str">
        <f aca="false">IF(A34&lt;='Results &amp; Charts'!$C$5,"In-sample","Out-of-sample")</f>
        <v>In-sample</v>
      </c>
      <c r="K34" s="13" t="n">
        <f aca="false">H34-'Results &amp; Charts'!$C$9*I34</f>
        <v>0.00439352600706588</v>
      </c>
      <c r="L34" s="13" t="n">
        <f aca="false">H34-I34</f>
        <v>0.0143176662568625</v>
      </c>
      <c r="M34" s="15" t="n">
        <v>0.47700688779752</v>
      </c>
      <c r="N34" s="13" t="n">
        <f aca="false">H34-M34*I34</f>
        <v>0.000886457918863416</v>
      </c>
      <c r="O34" s="16" t="n">
        <f aca="false">'Results &amp; Charts'!$C$9</f>
        <v>0.613567382430444</v>
      </c>
    </row>
    <row r="35" customFormat="false" ht="15" hidden="false" customHeight="false" outlineLevel="0" collapsed="false">
      <c r="A35" s="14" t="n">
        <f aca="false">'Roll Schedule'!A97</f>
        <v>45267</v>
      </c>
      <c r="B35" s="14" t="n">
        <f aca="false">'Roll Schedule'!A96</f>
        <v>45266</v>
      </c>
      <c r="C35" s="3" t="n">
        <f aca="false">SUMIFS('Spot Data'!$E$5:$E$651,'Spot Data'!$A$5:$A$651,B35,'Spot Data'!$H$5:$H$651,"YES")</f>
        <v>8850</v>
      </c>
      <c r="D35" s="3" t="n">
        <f aca="false">SUMIFS('Spot Data'!$E$5:$E$651,'Spot Data'!$A$5:$A$651,A35,'Spot Data'!$H$5:$H$651,"YES")</f>
        <v>8650</v>
      </c>
      <c r="E35" s="14" t="n">
        <f aca="false">'Roll Schedule'!B97</f>
        <v>45310</v>
      </c>
      <c r="F35" s="3" t="n">
        <f aca="false">SUMIFS('Futures Data'!$C$5:$C$3471,'Futures Data'!$A$5:$A$3471,B35,'Futures Data'!$B$5:$B$3471,E35)</f>
        <v>5988</v>
      </c>
      <c r="G35" s="3" t="n">
        <f aca="false">SUMIFS('Futures Data'!$C$5:$C$3471,'Futures Data'!$A$5:$A$3471,A35,'Futures Data'!$B$5:$B$3471,E35)</f>
        <v>5935</v>
      </c>
      <c r="H35" s="13" t="n">
        <f aca="false">LN(D35/C35)</f>
        <v>-0.0228581380760502</v>
      </c>
      <c r="I35" s="13" t="n">
        <f aca="false">LN(G35/F35)</f>
        <v>-0.00889043849575062</v>
      </c>
      <c r="J35" s="3" t="str">
        <f aca="false">IF(A35&lt;='Results &amp; Charts'!$C$5,"In-sample","Out-of-sample")</f>
        <v>In-sample</v>
      </c>
      <c r="K35" s="13" t="n">
        <f aca="false">H35-'Results &amp; Charts'!$C$9*I35</f>
        <v>-0.0174032549995536</v>
      </c>
      <c r="L35" s="13" t="n">
        <f aca="false">H35-I35</f>
        <v>-0.0139676995802996</v>
      </c>
      <c r="M35" s="15" t="n">
        <v>0.355166107992329</v>
      </c>
      <c r="N35" s="13" t="n">
        <f aca="false">H35-M35*I35</f>
        <v>-0.0197005556371693</v>
      </c>
      <c r="O35" s="16" t="n">
        <f aca="false">'Results &amp; Charts'!$C$9</f>
        <v>0.613567382430444</v>
      </c>
    </row>
    <row r="36" customFormat="false" ht="15" hidden="false" customHeight="false" outlineLevel="0" collapsed="false">
      <c r="A36" s="14" t="n">
        <f aca="false">'Roll Schedule'!A100</f>
        <v>45272</v>
      </c>
      <c r="B36" s="14" t="n">
        <f aca="false">'Roll Schedule'!A99</f>
        <v>45271</v>
      </c>
      <c r="C36" s="3" t="n">
        <f aca="false">SUMIFS('Spot Data'!$E$5:$E$651,'Spot Data'!$A$5:$A$651,B36,'Spot Data'!$H$5:$H$651,"YES")</f>
        <v>8650</v>
      </c>
      <c r="D36" s="3" t="n">
        <f aca="false">SUMIFS('Spot Data'!$E$5:$E$651,'Spot Data'!$A$5:$A$651,A36,'Spot Data'!$H$5:$H$651,"YES")</f>
        <v>8650</v>
      </c>
      <c r="E36" s="14" t="n">
        <f aca="false">'Roll Schedule'!B100</f>
        <v>45310</v>
      </c>
      <c r="F36" s="3" t="n">
        <f aca="false">SUMIFS('Futures Data'!$C$5:$C$3471,'Futures Data'!$A$5:$A$3471,B36,'Futures Data'!$B$5:$B$3471,E36)</f>
        <v>5913</v>
      </c>
      <c r="G36" s="3" t="n">
        <f aca="false">SUMIFS('Futures Data'!$C$5:$C$3471,'Futures Data'!$A$5:$A$3471,A36,'Futures Data'!$B$5:$B$3471,E36)</f>
        <v>5870</v>
      </c>
      <c r="H36" s="13" t="n">
        <f aca="false">LN(D36/C36)</f>
        <v>0</v>
      </c>
      <c r="I36" s="13" t="n">
        <f aca="false">LN(G36/F36)</f>
        <v>-0.00729868299868782</v>
      </c>
      <c r="J36" s="3" t="str">
        <f aca="false">IF(A36&lt;='Results &amp; Charts'!$C$5,"In-sample","Out-of-sample")</f>
        <v>In-sample</v>
      </c>
      <c r="K36" s="13" t="n">
        <f aca="false">H36-'Results &amp; Charts'!$C$9*I36</f>
        <v>0.00447823382269447</v>
      </c>
      <c r="L36" s="13" t="n">
        <f aca="false">H36-I36</f>
        <v>0.00729868299868782</v>
      </c>
      <c r="M36" s="15" t="n">
        <v>0.403207872550957</v>
      </c>
      <c r="N36" s="13" t="n">
        <f aca="false">H36-M36*I36</f>
        <v>0.00294288644432476</v>
      </c>
      <c r="O36" s="16" t="n">
        <f aca="false">'Results &amp; Charts'!$C$9</f>
        <v>0.613567382430444</v>
      </c>
    </row>
    <row r="37" customFormat="false" ht="15" hidden="false" customHeight="false" outlineLevel="0" collapsed="false">
      <c r="A37" s="14" t="n">
        <f aca="false">'Roll Schedule'!A103</f>
        <v>45275</v>
      </c>
      <c r="B37" s="14" t="n">
        <f aca="false">'Roll Schedule'!A102</f>
        <v>45274</v>
      </c>
      <c r="C37" s="3" t="n">
        <f aca="false">SUMIFS('Spot Data'!$E$5:$E$651,'Spot Data'!$A$5:$A$651,B37,'Spot Data'!$H$5:$H$651,"YES")</f>
        <v>8650</v>
      </c>
      <c r="D37" s="3" t="n">
        <f aca="false">SUMIFS('Spot Data'!$E$5:$E$651,'Spot Data'!$A$5:$A$651,A37,'Spot Data'!$H$5:$H$651,"YES")</f>
        <v>8450</v>
      </c>
      <c r="E37" s="14" t="n">
        <f aca="false">'Roll Schedule'!B103</f>
        <v>45310</v>
      </c>
      <c r="F37" s="3" t="n">
        <f aca="false">SUMIFS('Futures Data'!$C$5:$C$3471,'Futures Data'!$A$5:$A$3471,B37,'Futures Data'!$B$5:$B$3471,E37)</f>
        <v>5880</v>
      </c>
      <c r="G37" s="3" t="n">
        <f aca="false">SUMIFS('Futures Data'!$C$5:$C$3471,'Futures Data'!$A$5:$A$3471,A37,'Futures Data'!$B$5:$B$3471,E37)</f>
        <v>5785</v>
      </c>
      <c r="H37" s="13" t="n">
        <f aca="false">LN(D37/C37)</f>
        <v>-0.0233928795747055</v>
      </c>
      <c r="I37" s="13" t="n">
        <f aca="false">LN(G37/F37)</f>
        <v>-0.0162884012648956</v>
      </c>
      <c r="J37" s="3" t="str">
        <f aca="false">IF(A37&lt;='Results &amp; Charts'!$C$5,"In-sample","Out-of-sample")</f>
        <v>In-sample</v>
      </c>
      <c r="K37" s="13" t="n">
        <f aca="false">H37-'Results &amp; Charts'!$C$9*I37</f>
        <v>-0.0133988478466267</v>
      </c>
      <c r="L37" s="13" t="n">
        <f aca="false">H37-I37</f>
        <v>-0.00710447830980982</v>
      </c>
      <c r="M37" s="15" t="n">
        <v>0.435585722189589</v>
      </c>
      <c r="N37" s="13" t="n">
        <f aca="false">H37-M37*I37</f>
        <v>-0.0162978845464221</v>
      </c>
      <c r="O37" s="16" t="n">
        <f aca="false">'Results &amp; Charts'!$C$9</f>
        <v>0.613567382430444</v>
      </c>
    </row>
    <row r="38" customFormat="false" ht="15" hidden="false" customHeight="false" outlineLevel="0" collapsed="false">
      <c r="A38" s="14" t="n">
        <f aca="false">'Roll Schedule'!A110</f>
        <v>45287</v>
      </c>
      <c r="B38" s="14" t="n">
        <f aca="false">'Roll Schedule'!A109</f>
        <v>45286</v>
      </c>
      <c r="C38" s="3" t="n">
        <f aca="false">SUMIFS('Spot Data'!$E$5:$E$651,'Spot Data'!$A$5:$A$651,B38,'Spot Data'!$H$5:$H$651,"YES")</f>
        <v>7950</v>
      </c>
      <c r="D38" s="3" t="n">
        <f aca="false">SUMIFS('Spot Data'!$E$5:$E$651,'Spot Data'!$A$5:$A$651,A38,'Spot Data'!$H$5:$H$651,"YES")</f>
        <v>7900</v>
      </c>
      <c r="E38" s="14" t="n">
        <f aca="false">'Roll Schedule'!B110</f>
        <v>45310</v>
      </c>
      <c r="F38" s="3" t="n">
        <f aca="false">SUMIFS('Futures Data'!$C$5:$C$3471,'Futures Data'!$A$5:$A$3471,B38,'Futures Data'!$B$5:$B$3471,E38)</f>
        <v>5736</v>
      </c>
      <c r="G38" s="3" t="n">
        <f aca="false">SUMIFS('Futures Data'!$C$5:$C$3471,'Futures Data'!$A$5:$A$3471,A38,'Futures Data'!$B$5:$B$3471,E38)</f>
        <v>5739</v>
      </c>
      <c r="H38" s="13" t="n">
        <f aca="false">LN(D38/C38)</f>
        <v>-0.00630916919326472</v>
      </c>
      <c r="I38" s="13" t="n">
        <f aca="false">LN(G38/F38)</f>
        <v>0.000522875828906275</v>
      </c>
      <c r="J38" s="3" t="str">
        <f aca="false">IF(A38&lt;='Results &amp; Charts'!$C$5,"In-sample","Out-of-sample")</f>
        <v>In-sample</v>
      </c>
      <c r="K38" s="13" t="n">
        <f aca="false">H38-'Results &amp; Charts'!$C$9*I38</f>
        <v>-0.00662998874694289</v>
      </c>
      <c r="L38" s="13" t="n">
        <f aca="false">H38-I38</f>
        <v>-0.006832045022171</v>
      </c>
      <c r="M38" s="15" t="n">
        <v>0.446047407057951</v>
      </c>
      <c r="N38" s="13" t="n">
        <f aca="false">H38-M38*I38</f>
        <v>-0.00654239660096164</v>
      </c>
      <c r="O38" s="16" t="n">
        <f aca="false">'Results &amp; Charts'!$C$9</f>
        <v>0.613567382430444</v>
      </c>
    </row>
    <row r="39" customFormat="false" ht="15" hidden="false" customHeight="false" outlineLevel="0" collapsed="false">
      <c r="A39" s="14" t="n">
        <f aca="false">'Roll Schedule'!A117</f>
        <v>45296</v>
      </c>
      <c r="B39" s="14" t="n">
        <f aca="false">'Roll Schedule'!A116</f>
        <v>45295</v>
      </c>
      <c r="C39" s="3" t="n">
        <f aca="false">SUMIFS('Spot Data'!$E$5:$E$651,'Spot Data'!$A$5:$A$651,B39,'Spot Data'!$H$5:$H$651,"YES")</f>
        <v>7650</v>
      </c>
      <c r="D39" s="3" t="n">
        <f aca="false">SUMIFS('Spot Data'!$E$5:$E$651,'Spot Data'!$A$5:$A$651,A39,'Spot Data'!$H$5:$H$651,"YES")</f>
        <v>7600</v>
      </c>
      <c r="E39" s="14" t="n">
        <f aca="false">'Roll Schedule'!B117</f>
        <v>45342</v>
      </c>
      <c r="F39" s="3" t="n">
        <f aca="false">SUMIFS('Futures Data'!$C$5:$C$3471,'Futures Data'!$A$5:$A$3471,B39,'Futures Data'!$B$5:$B$3471,E39)</f>
        <v>5762</v>
      </c>
      <c r="G39" s="3" t="n">
        <f aca="false">SUMIFS('Futures Data'!$C$5:$C$3471,'Futures Data'!$A$5:$A$3471,A39,'Futures Data'!$B$5:$B$3471,E39)</f>
        <v>5739</v>
      </c>
      <c r="H39" s="13" t="n">
        <f aca="false">LN(D39/C39)</f>
        <v>-0.00655740054615905</v>
      </c>
      <c r="I39" s="13" t="n">
        <f aca="false">LN(G39/F39)</f>
        <v>-0.00399965753611123</v>
      </c>
      <c r="J39" s="3" t="str">
        <f aca="false">IF(A39&lt;='Results &amp; Charts'!$C$5,"In-sample","Out-of-sample")</f>
        <v>In-sample</v>
      </c>
      <c r="K39" s="13" t="n">
        <f aca="false">H39-'Results &amp; Charts'!$C$9*I39</f>
        <v>-0.00410334114110908</v>
      </c>
      <c r="L39" s="13" t="n">
        <f aca="false">H39-I39</f>
        <v>-0.00255774301004782</v>
      </c>
      <c r="M39" s="15" t="n">
        <v>0.497961221453566</v>
      </c>
      <c r="N39" s="13" t="n">
        <f aca="false">H39-M39*I39</f>
        <v>-0.00456572619408114</v>
      </c>
      <c r="O39" s="16" t="n">
        <f aca="false">'Results &amp; Charts'!$C$9</f>
        <v>0.613567382430444</v>
      </c>
    </row>
    <row r="40" customFormat="false" ht="15" hidden="false" customHeight="false" outlineLevel="0" collapsed="false">
      <c r="A40" s="14" t="n">
        <f aca="false">'Roll Schedule'!A118</f>
        <v>45299</v>
      </c>
      <c r="B40" s="14" t="n">
        <f aca="false">'Roll Schedule'!A117</f>
        <v>45296</v>
      </c>
      <c r="C40" s="3" t="n">
        <f aca="false">SUMIFS('Spot Data'!$E$5:$E$651,'Spot Data'!$A$5:$A$651,B40,'Spot Data'!$H$5:$H$651,"YES")</f>
        <v>7600</v>
      </c>
      <c r="D40" s="3" t="n">
        <f aca="false">SUMIFS('Spot Data'!$E$5:$E$651,'Spot Data'!$A$5:$A$651,A40,'Spot Data'!$H$5:$H$651,"YES")</f>
        <v>7150</v>
      </c>
      <c r="E40" s="14" t="n">
        <f aca="false">'Roll Schedule'!B118</f>
        <v>45342</v>
      </c>
      <c r="F40" s="3" t="n">
        <f aca="false">SUMIFS('Futures Data'!$C$5:$C$3471,'Futures Data'!$A$5:$A$3471,B40,'Futures Data'!$B$5:$B$3471,E40)</f>
        <v>5739</v>
      </c>
      <c r="G40" s="3" t="n">
        <f aca="false">SUMIFS('Futures Data'!$C$5:$C$3471,'Futures Data'!$A$5:$A$3471,A40,'Futures Data'!$B$5:$B$3471,E40)</f>
        <v>5672</v>
      </c>
      <c r="H40" s="13" t="n">
        <f aca="false">LN(D40/C40)</f>
        <v>-0.0610358905863691</v>
      </c>
      <c r="I40" s="13" t="n">
        <f aca="false">LN(G40/F40)</f>
        <v>-0.0117431898963991</v>
      </c>
      <c r="J40" s="3" t="str">
        <f aca="false">IF(A40&lt;='Results &amp; Charts'!$C$5,"In-sample","Out-of-sample")</f>
        <v>In-sample</v>
      </c>
      <c r="K40" s="13" t="n">
        <f aca="false">H40-'Results &amp; Charts'!$C$9*I40</f>
        <v>-0.0538306523002519</v>
      </c>
      <c r="L40" s="13" t="n">
        <f aca="false">H40-I40</f>
        <v>-0.04929270068997</v>
      </c>
      <c r="M40" s="15" t="n">
        <v>0.551130151704694</v>
      </c>
      <c r="N40" s="13" t="n">
        <f aca="false">H40-M40*I40</f>
        <v>-0.0545638645572697</v>
      </c>
      <c r="O40" s="16" t="n">
        <f aca="false">'Results &amp; Charts'!$C$9</f>
        <v>0.613567382430444</v>
      </c>
    </row>
    <row r="41" customFormat="false" ht="15" hidden="false" customHeight="false" outlineLevel="0" collapsed="false">
      <c r="A41" s="14" t="n">
        <f aca="false">'Roll Schedule'!A119</f>
        <v>45300</v>
      </c>
      <c r="B41" s="14" t="n">
        <f aca="false">'Roll Schedule'!A118</f>
        <v>45299</v>
      </c>
      <c r="C41" s="3" t="n">
        <f aca="false">SUMIFS('Spot Data'!$E$5:$E$651,'Spot Data'!$A$5:$A$651,B41,'Spot Data'!$H$5:$H$651,"YES")</f>
        <v>7150</v>
      </c>
      <c r="D41" s="3" t="n">
        <f aca="false">SUMIFS('Spot Data'!$E$5:$E$651,'Spot Data'!$A$5:$A$651,A41,'Spot Data'!$H$5:$H$651,"YES")</f>
        <v>7400</v>
      </c>
      <c r="E41" s="14" t="n">
        <f aca="false">'Roll Schedule'!B119</f>
        <v>45342</v>
      </c>
      <c r="F41" s="3" t="n">
        <f aca="false">SUMIFS('Futures Data'!$C$5:$C$3471,'Futures Data'!$A$5:$A$3471,B41,'Futures Data'!$B$5:$B$3471,E41)</f>
        <v>5672</v>
      </c>
      <c r="G41" s="3" t="n">
        <f aca="false">SUMIFS('Futures Data'!$C$5:$C$3471,'Futures Data'!$A$5:$A$3471,A41,'Futures Data'!$B$5:$B$3471,E41)</f>
        <v>5671</v>
      </c>
      <c r="H41" s="13" t="n">
        <f aca="false">LN(D41/C41)</f>
        <v>0.0343676435042078</v>
      </c>
      <c r="I41" s="13" t="n">
        <f aca="false">LN(G41/F41)</f>
        <v>-0.000176320197935392</v>
      </c>
      <c r="J41" s="3" t="str">
        <f aca="false">IF(A41&lt;='Results &amp; Charts'!$C$5,"In-sample","Out-of-sample")</f>
        <v>In-sample</v>
      </c>
      <c r="K41" s="13" t="n">
        <f aca="false">H41-'Results &amp; Charts'!$C$9*I41</f>
        <v>0.0344758278265247</v>
      </c>
      <c r="L41" s="13" t="n">
        <f aca="false">H41-I41</f>
        <v>0.0345439637021432</v>
      </c>
      <c r="M41" s="15" t="n">
        <v>0.651959731682353</v>
      </c>
      <c r="N41" s="13" t="n">
        <f aca="false">H41-M41*I41</f>
        <v>0.034482597173144</v>
      </c>
      <c r="O41" s="16" t="n">
        <f aca="false">'Results &amp; Charts'!$C$9</f>
        <v>0.613567382430444</v>
      </c>
    </row>
    <row r="42" customFormat="false" ht="15" hidden="false" customHeight="false" outlineLevel="0" collapsed="false">
      <c r="A42" s="14" t="n">
        <f aca="false">'Roll Schedule'!A120</f>
        <v>45301</v>
      </c>
      <c r="B42" s="14" t="n">
        <f aca="false">'Roll Schedule'!A119</f>
        <v>45300</v>
      </c>
      <c r="C42" s="3" t="n">
        <f aca="false">SUMIFS('Spot Data'!$E$5:$E$651,'Spot Data'!$A$5:$A$651,B42,'Spot Data'!$H$5:$H$651,"YES")</f>
        <v>7400</v>
      </c>
      <c r="D42" s="3" t="n">
        <f aca="false">SUMIFS('Spot Data'!$E$5:$E$651,'Spot Data'!$A$5:$A$651,A42,'Spot Data'!$H$5:$H$651,"YES")</f>
        <v>7200</v>
      </c>
      <c r="E42" s="14" t="n">
        <f aca="false">'Roll Schedule'!B120</f>
        <v>45342</v>
      </c>
      <c r="F42" s="3" t="n">
        <f aca="false">SUMIFS('Futures Data'!$C$5:$C$3471,'Futures Data'!$A$5:$A$3471,B42,'Futures Data'!$B$5:$B$3471,E42)</f>
        <v>5671</v>
      </c>
      <c r="G42" s="3" t="n">
        <f aca="false">SUMIFS('Futures Data'!$C$5:$C$3471,'Futures Data'!$A$5:$A$3471,A42,'Futures Data'!$B$5:$B$3471,E42)</f>
        <v>5614</v>
      </c>
      <c r="H42" s="13" t="n">
        <f aca="false">LN(D42/C42)</f>
        <v>-0.0273989741881144</v>
      </c>
      <c r="I42" s="13" t="n">
        <f aca="false">LN(G42/F42)</f>
        <v>-0.0101019910922002</v>
      </c>
      <c r="J42" s="3" t="str">
        <f aca="false">IF(A42&lt;='Results &amp; Charts'!$C$5,"In-sample","Out-of-sample")</f>
        <v>In-sample</v>
      </c>
      <c r="K42" s="13" t="n">
        <f aca="false">H42-'Results &amp; Charts'!$C$9*I42</f>
        <v>-0.0212007219563375</v>
      </c>
      <c r="L42" s="13" t="n">
        <f aca="false">H42-I42</f>
        <v>-0.0172969830959142</v>
      </c>
      <c r="M42" s="15" t="n">
        <v>0.721970999115427</v>
      </c>
      <c r="N42" s="13" t="n">
        <f aca="false">H42-M42*I42</f>
        <v>-0.0201056295862235</v>
      </c>
      <c r="O42" s="16" t="n">
        <f aca="false">'Results &amp; Charts'!$C$9</f>
        <v>0.613567382430444</v>
      </c>
    </row>
    <row r="43" customFormat="false" ht="15" hidden="false" customHeight="false" outlineLevel="0" collapsed="false">
      <c r="A43" s="14" t="n">
        <f aca="false">'Roll Schedule'!A121</f>
        <v>45302</v>
      </c>
      <c r="B43" s="14" t="n">
        <f aca="false">'Roll Schedule'!A120</f>
        <v>45301</v>
      </c>
      <c r="C43" s="3" t="n">
        <f aca="false">SUMIFS('Spot Data'!$E$5:$E$651,'Spot Data'!$A$5:$A$651,B43,'Spot Data'!$H$5:$H$651,"YES")</f>
        <v>7200</v>
      </c>
      <c r="D43" s="3" t="n">
        <f aca="false">SUMIFS('Spot Data'!$E$5:$E$651,'Spot Data'!$A$5:$A$651,A43,'Spot Data'!$H$5:$H$651,"YES")</f>
        <v>7100</v>
      </c>
      <c r="E43" s="14" t="n">
        <f aca="false">'Roll Schedule'!B121</f>
        <v>45342</v>
      </c>
      <c r="F43" s="3" t="n">
        <f aca="false">SUMIFS('Futures Data'!$C$5:$C$3471,'Futures Data'!$A$5:$A$3471,B43,'Futures Data'!$B$5:$B$3471,E43)</f>
        <v>5614</v>
      </c>
      <c r="G43" s="3" t="n">
        <f aca="false">SUMIFS('Futures Data'!$C$5:$C$3471,'Futures Data'!$A$5:$A$3471,A43,'Futures Data'!$B$5:$B$3471,E43)</f>
        <v>5624</v>
      </c>
      <c r="H43" s="13" t="n">
        <f aca="false">LN(D43/C43)</f>
        <v>-0.0139862419747398</v>
      </c>
      <c r="I43" s="13" t="n">
        <f aca="false">LN(G43/F43)</f>
        <v>0.00177967656867297</v>
      </c>
      <c r="J43" s="3" t="str">
        <f aca="false">IF(A43&lt;='Results &amp; Charts'!$C$5,"In-sample","Out-of-sample")</f>
        <v>In-sample</v>
      </c>
      <c r="K43" s="13" t="n">
        <f aca="false">H43-'Results &amp; Charts'!$C$9*I43</f>
        <v>-0.0150781934685533</v>
      </c>
      <c r="L43" s="13" t="n">
        <f aca="false">H43-I43</f>
        <v>-0.0157659185434128</v>
      </c>
      <c r="M43" s="15" t="n">
        <v>0.762731619007263</v>
      </c>
      <c r="N43" s="13" t="n">
        <f aca="false">H43-M43*I43</f>
        <v>-0.0153436575652731</v>
      </c>
      <c r="O43" s="16" t="n">
        <f aca="false">'Results &amp; Charts'!$C$9</f>
        <v>0.613567382430444</v>
      </c>
    </row>
    <row r="44" customFormat="false" ht="15" hidden="false" customHeight="false" outlineLevel="0" collapsed="false">
      <c r="A44" s="14" t="n">
        <f aca="false">'Roll Schedule'!A125</f>
        <v>45308</v>
      </c>
      <c r="B44" s="14" t="n">
        <f aca="false">'Roll Schedule'!A124</f>
        <v>45307</v>
      </c>
      <c r="C44" s="3" t="n">
        <f aca="false">SUMIFS('Spot Data'!$E$5:$E$651,'Spot Data'!$A$5:$A$651,B44,'Spot Data'!$H$5:$H$651,"YES")</f>
        <v>6950</v>
      </c>
      <c r="D44" s="3" t="n">
        <f aca="false">SUMIFS('Spot Data'!$E$5:$E$651,'Spot Data'!$A$5:$A$651,A44,'Spot Data'!$H$5:$H$651,"YES")</f>
        <v>6950</v>
      </c>
      <c r="E44" s="14" t="n">
        <f aca="false">'Roll Schedule'!B125</f>
        <v>45342</v>
      </c>
      <c r="F44" s="3" t="n">
        <f aca="false">SUMIFS('Futures Data'!$C$5:$C$3471,'Futures Data'!$A$5:$A$3471,B44,'Futures Data'!$B$5:$B$3471,E44)</f>
        <v>5649</v>
      </c>
      <c r="G44" s="3" t="n">
        <f aca="false">SUMIFS('Futures Data'!$C$5:$C$3471,'Futures Data'!$A$5:$A$3471,A44,'Futures Data'!$B$5:$B$3471,E44)</f>
        <v>5647</v>
      </c>
      <c r="H44" s="13" t="n">
        <f aca="false">LN(D44/C44)</f>
        <v>0</v>
      </c>
      <c r="I44" s="13" t="n">
        <f aca="false">LN(G44/F44)</f>
        <v>-0.000354107652425404</v>
      </c>
      <c r="J44" s="3" t="str">
        <f aca="false">IF(A44&lt;='Results &amp; Charts'!$C$5,"In-sample","Out-of-sample")</f>
        <v>In-sample</v>
      </c>
      <c r="K44" s="13" t="n">
        <f aca="false">H44-'Results &amp; Charts'!$C$9*I44</f>
        <v>0.000217268905397245</v>
      </c>
      <c r="L44" s="13" t="n">
        <f aca="false">H44-I44</f>
        <v>0.000354107652425404</v>
      </c>
      <c r="M44" s="15" t="n">
        <v>0.825221775563027</v>
      </c>
      <c r="N44" s="13" t="n">
        <f aca="false">H44-M44*I44</f>
        <v>0.000292217345674947</v>
      </c>
      <c r="O44" s="16" t="n">
        <f aca="false">'Results &amp; Charts'!$C$9</f>
        <v>0.613567382430444</v>
      </c>
    </row>
    <row r="45" customFormat="false" ht="15" hidden="false" customHeight="false" outlineLevel="0" collapsed="false">
      <c r="A45" s="14" t="n">
        <f aca="false">'Roll Schedule'!A126</f>
        <v>45309</v>
      </c>
      <c r="B45" s="14" t="n">
        <f aca="false">'Roll Schedule'!A125</f>
        <v>45308</v>
      </c>
      <c r="C45" s="3" t="n">
        <f aca="false">SUMIFS('Spot Data'!$E$5:$E$651,'Spot Data'!$A$5:$A$651,B45,'Spot Data'!$H$5:$H$651,"YES")</f>
        <v>6950</v>
      </c>
      <c r="D45" s="3" t="n">
        <f aca="false">SUMIFS('Spot Data'!$E$5:$E$651,'Spot Data'!$A$5:$A$651,A45,'Spot Data'!$H$5:$H$651,"YES")</f>
        <v>6850</v>
      </c>
      <c r="E45" s="14" t="n">
        <f aca="false">'Roll Schedule'!B126</f>
        <v>45342</v>
      </c>
      <c r="F45" s="3" t="n">
        <f aca="false">SUMIFS('Futures Data'!$C$5:$C$3471,'Futures Data'!$A$5:$A$3471,B45,'Futures Data'!$B$5:$B$3471,E45)</f>
        <v>5647</v>
      </c>
      <c r="G45" s="3" t="n">
        <f aca="false">SUMIFS('Futures Data'!$C$5:$C$3471,'Futures Data'!$A$5:$A$3471,A45,'Futures Data'!$B$5:$B$3471,E45)</f>
        <v>5683</v>
      </c>
      <c r="H45" s="13" t="n">
        <f aca="false">LN(D45/C45)</f>
        <v>-0.0144930073025669</v>
      </c>
      <c r="I45" s="13" t="n">
        <f aca="false">LN(G45/F45)</f>
        <v>0.0063548316242848</v>
      </c>
      <c r="J45" s="3" t="str">
        <f aca="false">IF(A45&lt;='Results &amp; Charts'!$C$5,"In-sample","Out-of-sample")</f>
        <v>In-sample</v>
      </c>
      <c r="K45" s="13" t="n">
        <f aca="false">H45-'Results &amp; Charts'!$C$9*I45</f>
        <v>-0.0183921247080655</v>
      </c>
      <c r="L45" s="13" t="n">
        <f aca="false">H45-I45</f>
        <v>-0.0208478389268517</v>
      </c>
      <c r="M45" s="15" t="n">
        <v>0.899067469578986</v>
      </c>
      <c r="N45" s="13" t="n">
        <f aca="false">H45-M45*I45</f>
        <v>-0.0202064296906131</v>
      </c>
      <c r="O45" s="16" t="n">
        <f aca="false">'Results &amp; Charts'!$C$9</f>
        <v>0.613567382430444</v>
      </c>
    </row>
    <row r="46" customFormat="false" ht="15" hidden="false" customHeight="false" outlineLevel="0" collapsed="false">
      <c r="A46" s="14" t="n">
        <f aca="false">'Roll Schedule'!A130</f>
        <v>45316</v>
      </c>
      <c r="B46" s="14" t="n">
        <f aca="false">'Roll Schedule'!A129</f>
        <v>45315</v>
      </c>
      <c r="C46" s="3" t="n">
        <f aca="false">SUMIFS('Spot Data'!$E$5:$E$651,'Spot Data'!$A$5:$A$651,B46,'Spot Data'!$H$5:$H$651,"YES")</f>
        <v>6850</v>
      </c>
      <c r="D46" s="3" t="n">
        <f aca="false">SUMIFS('Spot Data'!$E$5:$E$651,'Spot Data'!$A$5:$A$651,A46,'Spot Data'!$H$5:$H$651,"YES")</f>
        <v>6850</v>
      </c>
      <c r="E46" s="14" t="n">
        <f aca="false">'Roll Schedule'!B130</f>
        <v>45342</v>
      </c>
      <c r="F46" s="3" t="n">
        <f aca="false">SUMIFS('Futures Data'!$C$5:$C$3471,'Futures Data'!$A$5:$A$3471,B46,'Futures Data'!$B$5:$B$3471,E46)</f>
        <v>5784</v>
      </c>
      <c r="G46" s="3" t="n">
        <f aca="false">SUMIFS('Futures Data'!$C$5:$C$3471,'Futures Data'!$A$5:$A$3471,A46,'Futures Data'!$B$5:$B$3471,E46)</f>
        <v>5818</v>
      </c>
      <c r="H46" s="13" t="n">
        <f aca="false">LN(D46/C46)</f>
        <v>0</v>
      </c>
      <c r="I46" s="13" t="n">
        <f aca="false">LN(G46/F46)</f>
        <v>0.00586107521654631</v>
      </c>
      <c r="J46" s="3" t="str">
        <f aca="false">IF(A46&lt;='Results &amp; Charts'!$C$5,"In-sample","Out-of-sample")</f>
        <v>In-sample</v>
      </c>
      <c r="K46" s="13" t="n">
        <f aca="false">H46-'Results &amp; Charts'!$C$9*I46</f>
        <v>-0.00359616457884427</v>
      </c>
      <c r="L46" s="13" t="n">
        <f aca="false">H46-I46</f>
        <v>-0.00586107521654631</v>
      </c>
      <c r="M46" s="15" t="n">
        <v>0.884904211513402</v>
      </c>
      <c r="N46" s="13" t="n">
        <f aca="false">H46-M46*I46</f>
        <v>-0.00518649014311865</v>
      </c>
      <c r="O46" s="16" t="n">
        <f aca="false">'Results &amp; Charts'!$C$9</f>
        <v>0.613567382430444</v>
      </c>
    </row>
    <row r="47" customFormat="false" ht="15" hidden="false" customHeight="false" outlineLevel="0" collapsed="false">
      <c r="A47" s="14" t="n">
        <f aca="false">'Roll Schedule'!A131</f>
        <v>45320</v>
      </c>
      <c r="B47" s="14" t="n">
        <f aca="false">'Roll Schedule'!A130</f>
        <v>45316</v>
      </c>
      <c r="C47" s="3" t="n">
        <f aca="false">SUMIFS('Spot Data'!$E$5:$E$651,'Spot Data'!$A$5:$A$651,B47,'Spot Data'!$H$5:$H$651,"YES")</f>
        <v>6850</v>
      </c>
      <c r="D47" s="3" t="n">
        <f aca="false">SUMIFS('Spot Data'!$E$5:$E$651,'Spot Data'!$A$5:$A$651,A47,'Spot Data'!$H$5:$H$651,"YES")</f>
        <v>6750</v>
      </c>
      <c r="E47" s="14" t="n">
        <f aca="false">'Roll Schedule'!B131</f>
        <v>45342</v>
      </c>
      <c r="F47" s="3" t="n">
        <f aca="false">SUMIFS('Futures Data'!$C$5:$C$3471,'Futures Data'!$A$5:$A$3471,B47,'Futures Data'!$B$5:$B$3471,E47)</f>
        <v>5818</v>
      </c>
      <c r="G47" s="3" t="n">
        <f aca="false">SUMIFS('Futures Data'!$C$5:$C$3471,'Futures Data'!$A$5:$A$3471,A47,'Futures Data'!$B$5:$B$3471,E47)</f>
        <v>5713</v>
      </c>
      <c r="H47" s="13" t="n">
        <f aca="false">LN(D47/C47)</f>
        <v>-0.0147061473896954</v>
      </c>
      <c r="I47" s="13" t="n">
        <f aca="false">LN(G47/F47)</f>
        <v>-0.0182122803306844</v>
      </c>
      <c r="J47" s="3" t="str">
        <f aca="false">IF(A47&lt;='Results &amp; Charts'!$C$5,"In-sample","Out-of-sample")</f>
        <v>In-sample</v>
      </c>
      <c r="K47" s="13" t="n">
        <f aca="false">H47-'Results &amp; Charts'!$C$9*I47</f>
        <v>-0.00353168621910796</v>
      </c>
      <c r="L47" s="13" t="n">
        <f aca="false">H47-I47</f>
        <v>0.00350613294098895</v>
      </c>
      <c r="M47" s="15" t="n">
        <v>0.899803498969715</v>
      </c>
      <c r="N47" s="13" t="n">
        <f aca="false">H47-M47*I47</f>
        <v>0.00168132617607168</v>
      </c>
      <c r="O47" s="16" t="n">
        <f aca="false">'Results &amp; Charts'!$C$9</f>
        <v>0.613567382430444</v>
      </c>
    </row>
    <row r="48" customFormat="false" ht="15" hidden="false" customHeight="false" outlineLevel="0" collapsed="false">
      <c r="A48" s="14" t="n">
        <f aca="false">'Roll Schedule'!A132</f>
        <v>45321</v>
      </c>
      <c r="B48" s="14" t="n">
        <f aca="false">'Roll Schedule'!A131</f>
        <v>45320</v>
      </c>
      <c r="C48" s="3" t="n">
        <f aca="false">SUMIFS('Spot Data'!$E$5:$E$651,'Spot Data'!$A$5:$A$651,B48,'Spot Data'!$H$5:$H$651,"YES")</f>
        <v>6750</v>
      </c>
      <c r="D48" s="3" t="n">
        <f aca="false">SUMIFS('Spot Data'!$E$5:$E$651,'Spot Data'!$A$5:$A$651,A48,'Spot Data'!$H$5:$H$651,"YES")</f>
        <v>6700</v>
      </c>
      <c r="E48" s="14" t="n">
        <f aca="false">'Roll Schedule'!B132</f>
        <v>45342</v>
      </c>
      <c r="F48" s="3" t="n">
        <f aca="false">SUMIFS('Futures Data'!$C$5:$C$3471,'Futures Data'!$A$5:$A$3471,B48,'Futures Data'!$B$5:$B$3471,E48)</f>
        <v>5713</v>
      </c>
      <c r="G48" s="3" t="n">
        <f aca="false">SUMIFS('Futures Data'!$C$5:$C$3471,'Futures Data'!$A$5:$A$3471,A48,'Futures Data'!$B$5:$B$3471,E48)</f>
        <v>5763</v>
      </c>
      <c r="H48" s="13" t="n">
        <f aca="false">LN(D48/C48)</f>
        <v>-0.00743497848751809</v>
      </c>
      <c r="I48" s="13" t="n">
        <f aca="false">LN(G48/F48)</f>
        <v>0.00871389271220379</v>
      </c>
      <c r="J48" s="3" t="str">
        <f aca="false">IF(A48&lt;='Results &amp; Charts'!$C$5,"In-sample","Out-of-sample")</f>
        <v>In-sample</v>
      </c>
      <c r="K48" s="13" t="n">
        <f aca="false">H48-'Results &amp; Charts'!$C$9*I48</f>
        <v>-0.0127815388297247</v>
      </c>
      <c r="L48" s="13" t="n">
        <f aca="false">H48-I48</f>
        <v>-0.0161488711997219</v>
      </c>
      <c r="M48" s="15" t="n">
        <v>0.682876365002938</v>
      </c>
      <c r="N48" s="13" t="n">
        <f aca="false">H48-M48*I48</f>
        <v>-0.0133854898678534</v>
      </c>
      <c r="O48" s="16" t="n">
        <f aca="false">'Results &amp; Charts'!$C$9</f>
        <v>0.613567382430444</v>
      </c>
    </row>
    <row r="49" customFormat="false" ht="15" hidden="false" customHeight="false" outlineLevel="0" collapsed="false">
      <c r="A49" s="14" t="n">
        <f aca="false">'Roll Schedule'!A133</f>
        <v>45322</v>
      </c>
      <c r="B49" s="14" t="n">
        <f aca="false">'Roll Schedule'!A132</f>
        <v>45321</v>
      </c>
      <c r="C49" s="3" t="n">
        <f aca="false">SUMIFS('Spot Data'!$E$5:$E$651,'Spot Data'!$A$5:$A$651,B49,'Spot Data'!$H$5:$H$651,"YES")</f>
        <v>6700</v>
      </c>
      <c r="D49" s="3" t="n">
        <f aca="false">SUMIFS('Spot Data'!$E$5:$E$651,'Spot Data'!$A$5:$A$651,A49,'Spot Data'!$H$5:$H$651,"YES")</f>
        <v>6650</v>
      </c>
      <c r="E49" s="14" t="n">
        <f aca="false">'Roll Schedule'!B133</f>
        <v>45342</v>
      </c>
      <c r="F49" s="3" t="n">
        <f aca="false">SUMIFS('Futures Data'!$C$5:$C$3471,'Futures Data'!$A$5:$A$3471,B49,'Futures Data'!$B$5:$B$3471,E49)</f>
        <v>5763</v>
      </c>
      <c r="G49" s="3" t="n">
        <f aca="false">SUMIFS('Futures Data'!$C$5:$C$3471,'Futures Data'!$A$5:$A$3471,A49,'Futures Data'!$B$5:$B$3471,E49)</f>
        <v>5739</v>
      </c>
      <c r="H49" s="13" t="n">
        <f aca="false">LN(D49/C49)</f>
        <v>-0.00749067172915763</v>
      </c>
      <c r="I49" s="13" t="n">
        <f aca="false">LN(G49/F49)</f>
        <v>-0.00417319332830377</v>
      </c>
      <c r="J49" s="3" t="str">
        <f aca="false">IF(A49&lt;='Results &amp; Charts'!$C$5,"In-sample","Out-of-sample")</f>
        <v>In-sample</v>
      </c>
      <c r="K49" s="13" t="n">
        <f aca="false">H49-'Results &amp; Charts'!$C$9*I49</f>
        <v>-0.00493013642233409</v>
      </c>
      <c r="L49" s="13" t="n">
        <f aca="false">H49-I49</f>
        <v>-0.00331747840085385</v>
      </c>
      <c r="M49" s="15" t="n">
        <v>0.66733858204771</v>
      </c>
      <c r="N49" s="13" t="n">
        <f aca="false">H49-M49*I49</f>
        <v>-0.00470573881083642</v>
      </c>
      <c r="O49" s="16" t="n">
        <f aca="false">'Results &amp; Charts'!$C$9</f>
        <v>0.613567382430444</v>
      </c>
    </row>
    <row r="50" customFormat="false" ht="15" hidden="false" customHeight="false" outlineLevel="0" collapsed="false">
      <c r="A50" s="14" t="n">
        <f aca="false">'Roll Schedule'!A134</f>
        <v>45323</v>
      </c>
      <c r="B50" s="14" t="n">
        <f aca="false">'Roll Schedule'!A133</f>
        <v>45322</v>
      </c>
      <c r="C50" s="3" t="n">
        <f aca="false">SUMIFS('Spot Data'!$E$5:$E$651,'Spot Data'!$A$5:$A$651,B50,'Spot Data'!$H$5:$H$651,"YES")</f>
        <v>6650</v>
      </c>
      <c r="D50" s="3" t="n">
        <f aca="false">SUMIFS('Spot Data'!$E$5:$E$651,'Spot Data'!$A$5:$A$651,A50,'Spot Data'!$H$5:$H$651,"YES")</f>
        <v>6550</v>
      </c>
      <c r="E50" s="14" t="n">
        <f aca="false">'Roll Schedule'!B134</f>
        <v>45342</v>
      </c>
      <c r="F50" s="3" t="n">
        <f aca="false">SUMIFS('Futures Data'!$C$5:$C$3471,'Futures Data'!$A$5:$A$3471,B50,'Futures Data'!$B$5:$B$3471,E50)</f>
        <v>5739</v>
      </c>
      <c r="G50" s="3" t="n">
        <f aca="false">SUMIFS('Futures Data'!$C$5:$C$3471,'Futures Data'!$A$5:$A$3471,A50,'Futures Data'!$B$5:$B$3471,E50)</f>
        <v>5740</v>
      </c>
      <c r="H50" s="13" t="n">
        <f aca="false">LN(D50/C50)</f>
        <v>-0.0151518050206022</v>
      </c>
      <c r="I50" s="13" t="n">
        <f aca="false">LN(G50/F50)</f>
        <v>0.000174231205249467</v>
      </c>
      <c r="J50" s="3" t="str">
        <f aca="false">IF(A50&lt;='Results &amp; Charts'!$C$5,"In-sample","Out-of-sample")</f>
        <v>In-sample</v>
      </c>
      <c r="K50" s="13" t="n">
        <f aca="false">H50-'Results &amp; Charts'!$C$9*I50</f>
        <v>-0.0152587076051448</v>
      </c>
      <c r="L50" s="13" t="n">
        <f aca="false">H50-I50</f>
        <v>-0.0153260362258517</v>
      </c>
      <c r="M50" s="15" t="n">
        <v>0.724370831686172</v>
      </c>
      <c r="N50" s="13" t="n">
        <f aca="false">H50-M50*I50</f>
        <v>-0.0152780130236545</v>
      </c>
      <c r="O50" s="16" t="n">
        <f aca="false">'Results &amp; Charts'!$C$9</f>
        <v>0.613567382430444</v>
      </c>
    </row>
    <row r="51" customFormat="false" ht="15" hidden="false" customHeight="false" outlineLevel="0" collapsed="false">
      <c r="A51" s="14" t="n">
        <f aca="false">'Roll Schedule'!A135</f>
        <v>45324</v>
      </c>
      <c r="B51" s="14" t="n">
        <f aca="false">'Roll Schedule'!A134</f>
        <v>45323</v>
      </c>
      <c r="C51" s="3" t="n">
        <f aca="false">SUMIFS('Spot Data'!$E$5:$E$651,'Spot Data'!$A$5:$A$651,B51,'Spot Data'!$H$5:$H$651,"YES")</f>
        <v>6550</v>
      </c>
      <c r="D51" s="3" t="n">
        <f aca="false">SUMIFS('Spot Data'!$E$5:$E$651,'Spot Data'!$A$5:$A$651,A51,'Spot Data'!$H$5:$H$651,"YES")</f>
        <v>6350</v>
      </c>
      <c r="E51" s="14" t="n">
        <f aca="false">'Roll Schedule'!B135</f>
        <v>45342</v>
      </c>
      <c r="F51" s="3" t="n">
        <f aca="false">SUMIFS('Futures Data'!$C$5:$C$3471,'Futures Data'!$A$5:$A$3471,B51,'Futures Data'!$B$5:$B$3471,E51)</f>
        <v>5740</v>
      </c>
      <c r="G51" s="3" t="n">
        <f aca="false">SUMIFS('Futures Data'!$C$5:$C$3471,'Futures Data'!$A$5:$A$3471,A51,'Futures Data'!$B$5:$B$3471,E51)</f>
        <v>5739</v>
      </c>
      <c r="H51" s="13" t="n">
        <f aca="false">LN(D51/C51)</f>
        <v>-0.0310102367425603</v>
      </c>
      <c r="I51" s="13" t="n">
        <f aca="false">LN(G51/F51)</f>
        <v>-0.000174231205249567</v>
      </c>
      <c r="J51" s="3" t="str">
        <f aca="false">IF(A51&lt;='Results &amp; Charts'!$C$5,"In-sample","Out-of-sample")</f>
        <v>In-sample</v>
      </c>
      <c r="K51" s="13" t="n">
        <f aca="false">H51-'Results &amp; Charts'!$C$9*I51</f>
        <v>-0.0309033341580176</v>
      </c>
      <c r="L51" s="13" t="n">
        <f aca="false">H51-I51</f>
        <v>-0.0308360055373108</v>
      </c>
      <c r="M51" s="15" t="n">
        <v>0.786840104246215</v>
      </c>
      <c r="N51" s="13" t="n">
        <f aca="false">H51-M51*I51</f>
        <v>-0.0308731446428588</v>
      </c>
      <c r="O51" s="16" t="n">
        <f aca="false">'Results &amp; Charts'!$C$9</f>
        <v>0.613567382430444</v>
      </c>
    </row>
    <row r="52" customFormat="false" ht="15" hidden="false" customHeight="false" outlineLevel="0" collapsed="false">
      <c r="A52" s="14" t="n">
        <f aca="false">'Roll Schedule'!A136</f>
        <v>45327</v>
      </c>
      <c r="B52" s="14" t="n">
        <f aca="false">'Roll Schedule'!A135</f>
        <v>45324</v>
      </c>
      <c r="C52" s="3" t="n">
        <f aca="false">SUMIFS('Spot Data'!$E$5:$E$651,'Spot Data'!$A$5:$A$651,B52,'Spot Data'!$H$5:$H$651,"YES")</f>
        <v>6350</v>
      </c>
      <c r="D52" s="3" t="n">
        <f aca="false">SUMIFS('Spot Data'!$E$5:$E$651,'Spot Data'!$A$5:$A$651,A52,'Spot Data'!$H$5:$H$651,"YES")</f>
        <v>6050</v>
      </c>
      <c r="E52" s="14" t="n">
        <f aca="false">'Roll Schedule'!B136</f>
        <v>45342</v>
      </c>
      <c r="F52" s="3" t="n">
        <f aca="false">SUMIFS('Futures Data'!$C$5:$C$3471,'Futures Data'!$A$5:$A$3471,B52,'Futures Data'!$B$5:$B$3471,E52)</f>
        <v>5739</v>
      </c>
      <c r="G52" s="3" t="n">
        <f aca="false">SUMIFS('Futures Data'!$C$5:$C$3471,'Futures Data'!$A$5:$A$3471,A52,'Futures Data'!$B$5:$B$3471,E52)</f>
        <v>5675</v>
      </c>
      <c r="H52" s="13" t="n">
        <f aca="false">LN(D52/C52)</f>
        <v>-0.0483965408618502</v>
      </c>
      <c r="I52" s="13" t="n">
        <f aca="false">LN(G52/F52)</f>
        <v>-0.0112144157587592</v>
      </c>
      <c r="J52" s="3" t="str">
        <f aca="false">IF(A52&lt;='Results &amp; Charts'!$C$5,"In-sample","Out-of-sample")</f>
        <v>In-sample</v>
      </c>
      <c r="K52" s="13" t="n">
        <f aca="false">H52-'Results &amp; Charts'!$C$9*I52</f>
        <v>-0.0415157411392616</v>
      </c>
      <c r="L52" s="13" t="n">
        <f aca="false">H52-I52</f>
        <v>-0.037182125103091</v>
      </c>
      <c r="M52" s="15" t="n">
        <v>0.849133274944399</v>
      </c>
      <c r="N52" s="13" t="n">
        <f aca="false">H52-M52*I52</f>
        <v>-0.0388740072820269</v>
      </c>
      <c r="O52" s="16" t="n">
        <f aca="false">'Results &amp; Charts'!$C$9</f>
        <v>0.613567382430444</v>
      </c>
    </row>
    <row r="53" customFormat="false" ht="15" hidden="false" customHeight="false" outlineLevel="0" collapsed="false">
      <c r="A53" s="14" t="n">
        <f aca="false">'Roll Schedule'!A137</f>
        <v>45328</v>
      </c>
      <c r="B53" s="14" t="n">
        <f aca="false">'Roll Schedule'!A136</f>
        <v>45327</v>
      </c>
      <c r="C53" s="3" t="n">
        <f aca="false">SUMIFS('Spot Data'!$E$5:$E$651,'Spot Data'!$A$5:$A$651,B53,'Spot Data'!$H$5:$H$651,"YES")</f>
        <v>6050</v>
      </c>
      <c r="D53" s="3" t="n">
        <f aca="false">SUMIFS('Spot Data'!$E$5:$E$651,'Spot Data'!$A$5:$A$651,A53,'Spot Data'!$H$5:$H$651,"YES")</f>
        <v>6050</v>
      </c>
      <c r="E53" s="14" t="n">
        <f aca="false">'Roll Schedule'!B137</f>
        <v>45342</v>
      </c>
      <c r="F53" s="3" t="n">
        <f aca="false">SUMIFS('Futures Data'!$C$5:$C$3471,'Futures Data'!$A$5:$A$3471,B53,'Futures Data'!$B$5:$B$3471,E53)</f>
        <v>5675</v>
      </c>
      <c r="G53" s="3" t="n">
        <f aca="false">SUMIFS('Futures Data'!$C$5:$C$3471,'Futures Data'!$A$5:$A$3471,A53,'Futures Data'!$B$5:$B$3471,E53)</f>
        <v>5697</v>
      </c>
      <c r="H53" s="13" t="n">
        <f aca="false">LN(D53/C53)</f>
        <v>0</v>
      </c>
      <c r="I53" s="13" t="n">
        <f aca="false">LN(G53/F53)</f>
        <v>0.00386915713079226</v>
      </c>
      <c r="J53" s="3" t="str">
        <f aca="false">IF(A53&lt;='Results &amp; Charts'!$C$5,"In-sample","Out-of-sample")</f>
        <v>In-sample</v>
      </c>
      <c r="K53" s="13" t="n">
        <f aca="false">H53-'Results &amp; Charts'!$C$9*I53</f>
        <v>-0.00237398861295229</v>
      </c>
      <c r="L53" s="13" t="n">
        <f aca="false">H53-I53</f>
        <v>-0.00386915713079226</v>
      </c>
      <c r="M53" s="15" t="n">
        <v>0.892270082362003</v>
      </c>
      <c r="N53" s="13" t="n">
        <f aca="false">H53-M53*I53</f>
        <v>-0.00345233315176354</v>
      </c>
      <c r="O53" s="16" t="n">
        <f aca="false">'Results &amp; Charts'!$C$9</f>
        <v>0.613567382430444</v>
      </c>
    </row>
    <row r="54" customFormat="false" ht="15" hidden="false" customHeight="false" outlineLevel="0" collapsed="false">
      <c r="A54" s="14" t="n">
        <f aca="false">'Roll Schedule'!A138</f>
        <v>45329</v>
      </c>
      <c r="B54" s="14" t="n">
        <f aca="false">'Roll Schedule'!A137</f>
        <v>45328</v>
      </c>
      <c r="C54" s="3" t="n">
        <f aca="false">SUMIFS('Spot Data'!$E$5:$E$651,'Spot Data'!$A$5:$A$651,B54,'Spot Data'!$H$5:$H$651,"YES")</f>
        <v>6050</v>
      </c>
      <c r="D54" s="3" t="n">
        <f aca="false">SUMIFS('Spot Data'!$E$5:$E$651,'Spot Data'!$A$5:$A$651,A54,'Spot Data'!$H$5:$H$651,"YES")</f>
        <v>6250</v>
      </c>
      <c r="E54" s="14" t="n">
        <f aca="false">'Roll Schedule'!B138</f>
        <v>45342</v>
      </c>
      <c r="F54" s="3" t="n">
        <f aca="false">SUMIFS('Futures Data'!$C$5:$C$3471,'Futures Data'!$A$5:$A$3471,B54,'Futures Data'!$B$5:$B$3471,E54)</f>
        <v>5697</v>
      </c>
      <c r="G54" s="3" t="n">
        <f aca="false">SUMIFS('Futures Data'!$C$5:$C$3471,'Futures Data'!$A$5:$A$3471,A54,'Futures Data'!$B$5:$B$3471,E54)</f>
        <v>5758</v>
      </c>
      <c r="H54" s="13" t="n">
        <f aca="false">LN(D54/C54)</f>
        <v>0.0325231917055599</v>
      </c>
      <c r="I54" s="13" t="n">
        <f aca="false">LN(G54/F54)</f>
        <v>0.0106504716917256</v>
      </c>
      <c r="J54" s="3" t="str">
        <f aca="false">IF(A54&lt;='Results &amp; Charts'!$C$5,"In-sample","Out-of-sample")</f>
        <v>In-sample</v>
      </c>
      <c r="K54" s="13" t="n">
        <f aca="false">H54-'Results &amp; Charts'!$C$9*I54</f>
        <v>0.0259884096680183</v>
      </c>
      <c r="L54" s="13" t="n">
        <f aca="false">H54-I54</f>
        <v>0.0218727200138343</v>
      </c>
      <c r="M54" s="15" t="n">
        <v>0.936047658363447</v>
      </c>
      <c r="N54" s="13" t="n">
        <f aca="false">H54-M54*I54</f>
        <v>0.022553842618054</v>
      </c>
      <c r="O54" s="16" t="n">
        <f aca="false">'Results &amp; Charts'!$C$9</f>
        <v>0.613567382430444</v>
      </c>
    </row>
    <row r="55" customFormat="false" ht="15" hidden="false" customHeight="false" outlineLevel="0" collapsed="false">
      <c r="A55" s="14" t="n">
        <f aca="false">'Roll Schedule'!A139</f>
        <v>45330</v>
      </c>
      <c r="B55" s="14" t="n">
        <f aca="false">'Roll Schedule'!A138</f>
        <v>45329</v>
      </c>
      <c r="C55" s="3" t="n">
        <f aca="false">SUMIFS('Spot Data'!$E$5:$E$651,'Spot Data'!$A$5:$A$651,B55,'Spot Data'!$H$5:$H$651,"YES")</f>
        <v>6250</v>
      </c>
      <c r="D55" s="3" t="n">
        <f aca="false">SUMIFS('Spot Data'!$E$5:$E$651,'Spot Data'!$A$5:$A$651,A55,'Spot Data'!$H$5:$H$651,"YES")</f>
        <v>6150</v>
      </c>
      <c r="E55" s="14" t="n">
        <f aca="false">'Roll Schedule'!B139</f>
        <v>45342</v>
      </c>
      <c r="F55" s="3" t="n">
        <f aca="false">SUMIFS('Futures Data'!$C$5:$C$3471,'Futures Data'!$A$5:$A$3471,B55,'Futures Data'!$B$5:$B$3471,E55)</f>
        <v>5758</v>
      </c>
      <c r="G55" s="3" t="n">
        <f aca="false">SUMIFS('Futures Data'!$C$5:$C$3471,'Futures Data'!$A$5:$A$3471,A55,'Futures Data'!$B$5:$B$3471,E55)</f>
        <v>5756</v>
      </c>
      <c r="H55" s="13" t="n">
        <f aca="false">LN(D55/C55)</f>
        <v>-0.0161293819298836</v>
      </c>
      <c r="I55" s="13" t="n">
        <f aca="false">LN(G55/F55)</f>
        <v>-0.00034740316486272</v>
      </c>
      <c r="J55" s="3" t="str">
        <f aca="false">IF(A55&lt;='Results &amp; Charts'!$C$5,"In-sample","Out-of-sample")</f>
        <v>In-sample</v>
      </c>
      <c r="K55" s="13" t="n">
        <f aca="false">H55-'Results &amp; Charts'!$C$9*I55</f>
        <v>-0.0159162266793708</v>
      </c>
      <c r="L55" s="13" t="n">
        <f aca="false">H55-I55</f>
        <v>-0.0157819787650209</v>
      </c>
      <c r="M55" s="15" t="n">
        <v>0.924120031224967</v>
      </c>
      <c r="N55" s="13" t="n">
        <f aca="false">H55-M55*I55</f>
        <v>-0.0158083397063231</v>
      </c>
      <c r="O55" s="16" t="n">
        <f aca="false">'Results &amp; Charts'!$C$9</f>
        <v>0.613567382430444</v>
      </c>
    </row>
    <row r="56" customFormat="false" ht="15" hidden="false" customHeight="false" outlineLevel="0" collapsed="false">
      <c r="A56" s="14" t="n">
        <f aca="false">'Roll Schedule'!A140</f>
        <v>45331</v>
      </c>
      <c r="B56" s="14" t="n">
        <f aca="false">'Roll Schedule'!A139</f>
        <v>45330</v>
      </c>
      <c r="C56" s="3" t="n">
        <f aca="false">SUMIFS('Spot Data'!$E$5:$E$651,'Spot Data'!$A$5:$A$651,B56,'Spot Data'!$H$5:$H$651,"YES")</f>
        <v>6150</v>
      </c>
      <c r="D56" s="3" t="n">
        <f aca="false">SUMIFS('Spot Data'!$E$5:$E$651,'Spot Data'!$A$5:$A$651,A56,'Spot Data'!$H$5:$H$651,"YES")</f>
        <v>6150</v>
      </c>
      <c r="E56" s="14" t="n">
        <f aca="false">'Roll Schedule'!B140</f>
        <v>45342</v>
      </c>
      <c r="F56" s="3" t="n">
        <f aca="false">SUMIFS('Futures Data'!$C$5:$C$3471,'Futures Data'!$A$5:$A$3471,B56,'Futures Data'!$B$5:$B$3471,E56)</f>
        <v>5756</v>
      </c>
      <c r="G56" s="3" t="n">
        <f aca="false">SUMIFS('Futures Data'!$C$5:$C$3471,'Futures Data'!$A$5:$A$3471,A56,'Futures Data'!$B$5:$B$3471,E56)</f>
        <v>5773</v>
      </c>
      <c r="H56" s="13" t="n">
        <f aca="false">LN(D56/C56)</f>
        <v>0</v>
      </c>
      <c r="I56" s="13" t="n">
        <f aca="false">LN(G56/F56)</f>
        <v>0.00294908705367505</v>
      </c>
      <c r="J56" s="3" t="str">
        <f aca="false">IF(A56&lt;='Results &amp; Charts'!$C$5,"In-sample","Out-of-sample")</f>
        <v>In-sample</v>
      </c>
      <c r="K56" s="13" t="n">
        <f aca="false">H56-'Results &amp; Charts'!$C$9*I56</f>
        <v>-0.00180946362408291</v>
      </c>
      <c r="L56" s="13" t="n">
        <f aca="false">H56-I56</f>
        <v>-0.00294908705367505</v>
      </c>
      <c r="M56" s="15" t="n">
        <v>0.996848720411066</v>
      </c>
      <c r="N56" s="13" t="n">
        <f aca="false">H56-M56*I56</f>
        <v>-0.00293979365583681</v>
      </c>
      <c r="O56" s="16" t="n">
        <f aca="false">'Results &amp; Charts'!$C$9</f>
        <v>0.613567382430444</v>
      </c>
    </row>
    <row r="57" customFormat="false" ht="15" hidden="false" customHeight="false" outlineLevel="0" collapsed="false">
      <c r="A57" s="14" t="n">
        <f aca="false">'Roll Schedule'!A141</f>
        <v>45334</v>
      </c>
      <c r="B57" s="14" t="n">
        <f aca="false">'Roll Schedule'!A140</f>
        <v>45331</v>
      </c>
      <c r="C57" s="3" t="n">
        <f aca="false">SUMIFS('Spot Data'!$E$5:$E$651,'Spot Data'!$A$5:$A$651,B57,'Spot Data'!$H$5:$H$651,"YES")</f>
        <v>6150</v>
      </c>
      <c r="D57" s="3" t="n">
        <f aca="false">SUMIFS('Spot Data'!$E$5:$E$651,'Spot Data'!$A$5:$A$651,A57,'Spot Data'!$H$5:$H$651,"YES")</f>
        <v>6150</v>
      </c>
      <c r="E57" s="14" t="n">
        <f aca="false">'Roll Schedule'!B141</f>
        <v>45371</v>
      </c>
      <c r="F57" s="3" t="n">
        <f aca="false">SUMIFS('Futures Data'!$C$5:$C$3471,'Futures Data'!$A$5:$A$3471,B57,'Futures Data'!$B$5:$B$3471,E57)</f>
        <v>5610</v>
      </c>
      <c r="G57" s="3" t="n">
        <f aca="false">SUMIFS('Futures Data'!$C$5:$C$3471,'Futures Data'!$A$5:$A$3471,A57,'Futures Data'!$B$5:$B$3471,E57)</f>
        <v>5605</v>
      </c>
      <c r="H57" s="13" t="n">
        <f aca="false">LN(D57/C57)</f>
        <v>0</v>
      </c>
      <c r="I57" s="13" t="n">
        <f aca="false">LN(G57/F57)</f>
        <v>-0.000891663010481681</v>
      </c>
      <c r="J57" s="3" t="str">
        <f aca="false">IF(A57&lt;='Results &amp; Charts'!$C$5,"In-sample","Out-of-sample")</f>
        <v>In-sample</v>
      </c>
      <c r="K57" s="13" t="n">
        <f aca="false">H57-'Results &amp; Charts'!$C$9*I57</f>
        <v>0.000547095339351295</v>
      </c>
      <c r="L57" s="13" t="n">
        <f aca="false">H57-I57</f>
        <v>0.000891663010481681</v>
      </c>
      <c r="M57" s="15" t="n">
        <v>1.04750835650663</v>
      </c>
      <c r="N57" s="13" t="n">
        <f aca="false">H57-M57*I57</f>
        <v>0.00093402445466742</v>
      </c>
      <c r="O57" s="16" t="n">
        <f aca="false">'Results &amp; Charts'!$C$9</f>
        <v>0.613567382430444</v>
      </c>
    </row>
    <row r="58" customFormat="false" ht="15" hidden="false" customHeight="false" outlineLevel="0" collapsed="false">
      <c r="A58" s="14" t="n">
        <f aca="false">'Roll Schedule'!A144</f>
        <v>45337</v>
      </c>
      <c r="B58" s="14" t="n">
        <f aca="false">'Roll Schedule'!A143</f>
        <v>45336</v>
      </c>
      <c r="C58" s="3" t="n">
        <f aca="false">SUMIFS('Spot Data'!$E$5:$E$651,'Spot Data'!$A$5:$A$651,B58,'Spot Data'!$H$5:$H$651,"YES")</f>
        <v>6050</v>
      </c>
      <c r="D58" s="3" t="n">
        <f aca="false">SUMIFS('Spot Data'!$E$5:$E$651,'Spot Data'!$A$5:$A$651,A58,'Spot Data'!$H$5:$H$651,"YES")</f>
        <v>6150</v>
      </c>
      <c r="E58" s="14" t="n">
        <f aca="false">'Roll Schedule'!B144</f>
        <v>45371</v>
      </c>
      <c r="F58" s="3" t="n">
        <f aca="false">SUMIFS('Futures Data'!$C$5:$C$3471,'Futures Data'!$A$5:$A$3471,B58,'Futures Data'!$B$5:$B$3471,E58)</f>
        <v>5638</v>
      </c>
      <c r="G58" s="3" t="n">
        <f aca="false">SUMIFS('Futures Data'!$C$5:$C$3471,'Futures Data'!$A$5:$A$3471,A58,'Futures Data'!$B$5:$B$3471,E58)</f>
        <v>5639</v>
      </c>
      <c r="H58" s="13" t="n">
        <f aca="false">LN(D58/C58)</f>
        <v>0.0163938097756764</v>
      </c>
      <c r="I58" s="13" t="n">
        <f aca="false">LN(G58/F58)</f>
        <v>0.000177352133124242</v>
      </c>
      <c r="J58" s="3" t="str">
        <f aca="false">IF(A58&lt;='Results &amp; Charts'!$C$5,"In-sample","Out-of-sample")</f>
        <v>In-sample</v>
      </c>
      <c r="K58" s="13" t="n">
        <f aca="false">H58-'Results &amp; Charts'!$C$9*I58</f>
        <v>0.0162849922915869</v>
      </c>
      <c r="L58" s="13" t="n">
        <f aca="false">H58-I58</f>
        <v>0.0162164576425521</v>
      </c>
      <c r="M58" s="15" t="n">
        <v>1.11398293258031</v>
      </c>
      <c r="N58" s="13" t="n">
        <f aca="false">H58-M58*I58</f>
        <v>0.0161962425263192</v>
      </c>
      <c r="O58" s="16" t="n">
        <f aca="false">'Results &amp; Charts'!$C$9</f>
        <v>0.613567382430444</v>
      </c>
    </row>
    <row r="59" customFormat="false" ht="15" hidden="false" customHeight="false" outlineLevel="0" collapsed="false">
      <c r="A59" s="14" t="n">
        <f aca="false">'Roll Schedule'!A145</f>
        <v>45338</v>
      </c>
      <c r="B59" s="14" t="n">
        <f aca="false">'Roll Schedule'!A144</f>
        <v>45337</v>
      </c>
      <c r="C59" s="3" t="n">
        <f aca="false">SUMIFS('Spot Data'!$E$5:$E$651,'Spot Data'!$A$5:$A$651,B59,'Spot Data'!$H$5:$H$651,"YES")</f>
        <v>6150</v>
      </c>
      <c r="D59" s="3" t="n">
        <f aca="false">SUMIFS('Spot Data'!$E$5:$E$651,'Spot Data'!$A$5:$A$651,A59,'Spot Data'!$H$5:$H$651,"YES")</f>
        <v>6450</v>
      </c>
      <c r="E59" s="14" t="n">
        <f aca="false">'Roll Schedule'!B145</f>
        <v>45371</v>
      </c>
      <c r="F59" s="3" t="n">
        <f aca="false">SUMIFS('Futures Data'!$C$5:$C$3471,'Futures Data'!$A$5:$A$3471,B59,'Futures Data'!$B$5:$B$3471,E59)</f>
        <v>5639</v>
      </c>
      <c r="G59" s="3" t="n">
        <f aca="false">SUMIFS('Futures Data'!$C$5:$C$3471,'Futures Data'!$A$5:$A$3471,A59,'Futures Data'!$B$5:$B$3471,E59)</f>
        <v>5638</v>
      </c>
      <c r="H59" s="13" t="n">
        <f aca="false">LN(D59/C59)</f>
        <v>0.0476280489892547</v>
      </c>
      <c r="I59" s="13" t="n">
        <f aca="false">LN(G59/F59)</f>
        <v>-0.000177352133124312</v>
      </c>
      <c r="J59" s="3" t="str">
        <f aca="false">IF(A59&lt;='Results &amp; Charts'!$C$5,"In-sample","Out-of-sample")</f>
        <v>In-sample</v>
      </c>
      <c r="K59" s="13" t="n">
        <f aca="false">H59-'Results &amp; Charts'!$C$9*I59</f>
        <v>0.0477368664733442</v>
      </c>
      <c r="L59" s="13" t="n">
        <f aca="false">H59-I59</f>
        <v>0.047805401122379</v>
      </c>
      <c r="M59" s="15" t="n">
        <v>1.17892453512974</v>
      </c>
      <c r="N59" s="13" t="n">
        <f aca="false">H59-M59*I59</f>
        <v>0.0478371337703525</v>
      </c>
      <c r="O59" s="16" t="n">
        <f aca="false">'Results &amp; Charts'!$C$9</f>
        <v>0.613567382430444</v>
      </c>
    </row>
    <row r="60" customFormat="false" ht="15" hidden="false" customHeight="false" outlineLevel="0" collapsed="false">
      <c r="A60" s="14" t="n">
        <f aca="false">'Roll Schedule'!A146</f>
        <v>45341</v>
      </c>
      <c r="B60" s="14" t="n">
        <f aca="false">'Roll Schedule'!A145</f>
        <v>45338</v>
      </c>
      <c r="C60" s="3" t="n">
        <f aca="false">SUMIFS('Spot Data'!$E$5:$E$651,'Spot Data'!$A$5:$A$651,B60,'Spot Data'!$H$5:$H$651,"YES")</f>
        <v>6450</v>
      </c>
      <c r="D60" s="3" t="n">
        <f aca="false">SUMIFS('Spot Data'!$E$5:$E$651,'Spot Data'!$A$5:$A$651,A60,'Spot Data'!$H$5:$H$651,"YES")</f>
        <v>6450</v>
      </c>
      <c r="E60" s="14" t="n">
        <f aca="false">'Roll Schedule'!B146</f>
        <v>45371</v>
      </c>
      <c r="F60" s="3" t="n">
        <f aca="false">SUMIFS('Futures Data'!$C$5:$C$3471,'Futures Data'!$A$5:$A$3471,B60,'Futures Data'!$B$5:$B$3471,E60)</f>
        <v>5638</v>
      </c>
      <c r="G60" s="3" t="n">
        <f aca="false">SUMIFS('Futures Data'!$C$5:$C$3471,'Futures Data'!$A$5:$A$3471,A60,'Futures Data'!$B$5:$B$3471,E60)</f>
        <v>5698</v>
      </c>
      <c r="H60" s="13" t="n">
        <f aca="false">LN(D60/C60)</f>
        <v>0</v>
      </c>
      <c r="I60" s="13" t="n">
        <f aca="false">LN(G60/F60)</f>
        <v>0.0105858433837957</v>
      </c>
      <c r="J60" s="3" t="str">
        <f aca="false">IF(A60&lt;='Results &amp; Charts'!$C$5,"In-sample","Out-of-sample")</f>
        <v>In-sample</v>
      </c>
      <c r="K60" s="13" t="n">
        <f aca="false">H60-'Results &amp; Charts'!$C$9*I60</f>
        <v>-0.00649512821581418</v>
      </c>
      <c r="L60" s="13" t="n">
        <f aca="false">H60-I60</f>
        <v>-0.0105858433837957</v>
      </c>
      <c r="M60" s="15" t="n">
        <v>1.23921504991213</v>
      </c>
      <c r="N60" s="13" t="n">
        <f aca="false">H60-M60*I60</f>
        <v>-0.0131181364372124</v>
      </c>
      <c r="O60" s="16" t="n">
        <f aca="false">'Results &amp; Charts'!$C$9</f>
        <v>0.613567382430444</v>
      </c>
    </row>
    <row r="61" customFormat="false" ht="15" hidden="false" customHeight="false" outlineLevel="0" collapsed="false">
      <c r="A61" s="14" t="n">
        <f aca="false">'Roll Schedule'!A147</f>
        <v>45342</v>
      </c>
      <c r="B61" s="14" t="n">
        <f aca="false">'Roll Schedule'!A146</f>
        <v>45341</v>
      </c>
      <c r="C61" s="3" t="n">
        <f aca="false">SUMIFS('Spot Data'!$E$5:$E$651,'Spot Data'!$A$5:$A$651,B61,'Spot Data'!$H$5:$H$651,"YES")</f>
        <v>6450</v>
      </c>
      <c r="D61" s="3" t="n">
        <f aca="false">SUMIFS('Spot Data'!$E$5:$E$651,'Spot Data'!$A$5:$A$651,A61,'Spot Data'!$H$5:$H$651,"YES")</f>
        <v>6500</v>
      </c>
      <c r="E61" s="14" t="n">
        <f aca="false">'Roll Schedule'!B147</f>
        <v>45371</v>
      </c>
      <c r="F61" s="3" t="n">
        <f aca="false">SUMIFS('Futures Data'!$C$5:$C$3471,'Futures Data'!$A$5:$A$3471,B61,'Futures Data'!$B$5:$B$3471,E61)</f>
        <v>5698</v>
      </c>
      <c r="G61" s="3" t="n">
        <f aca="false">SUMIFS('Futures Data'!$C$5:$C$3471,'Futures Data'!$A$5:$A$3471,A61,'Futures Data'!$B$5:$B$3471,E61)</f>
        <v>5708</v>
      </c>
      <c r="H61" s="13" t="n">
        <f aca="false">LN(D61/C61)</f>
        <v>0.00772204609391032</v>
      </c>
      <c r="I61" s="13" t="n">
        <f aca="false">LN(G61/F61)</f>
        <v>0.00175346353887333</v>
      </c>
      <c r="J61" s="3" t="str">
        <f aca="false">IF(A61&lt;='Results &amp; Charts'!$C$5,"In-sample","Out-of-sample")</f>
        <v>In-sample</v>
      </c>
      <c r="K61" s="13" t="n">
        <f aca="false">H61-'Results &amp; Charts'!$C$9*I61</f>
        <v>0.00664617806017659</v>
      </c>
      <c r="L61" s="13" t="n">
        <f aca="false">H61-I61</f>
        <v>0.00596858255503699</v>
      </c>
      <c r="M61" s="15" t="n">
        <v>1.00465861183917</v>
      </c>
      <c r="N61" s="13" t="n">
        <f aca="false">H61-M61*I61</f>
        <v>0.00596041384903525</v>
      </c>
      <c r="O61" s="16" t="n">
        <f aca="false">'Results &amp; Charts'!$C$9</f>
        <v>0.613567382430444</v>
      </c>
    </row>
    <row r="62" customFormat="false" ht="15" hidden="false" customHeight="false" outlineLevel="0" collapsed="false">
      <c r="A62" s="14" t="n">
        <f aca="false">'Roll Schedule'!A148</f>
        <v>45343</v>
      </c>
      <c r="B62" s="14" t="n">
        <f aca="false">'Roll Schedule'!A147</f>
        <v>45342</v>
      </c>
      <c r="C62" s="3" t="n">
        <f aca="false">SUMIFS('Spot Data'!$E$5:$E$651,'Spot Data'!$A$5:$A$651,B62,'Spot Data'!$H$5:$H$651,"YES")</f>
        <v>6500</v>
      </c>
      <c r="D62" s="3" t="n">
        <f aca="false">SUMIFS('Spot Data'!$E$5:$E$651,'Spot Data'!$A$5:$A$651,A62,'Spot Data'!$H$5:$H$651,"YES")</f>
        <v>6450</v>
      </c>
      <c r="E62" s="14" t="n">
        <f aca="false">'Roll Schedule'!B148</f>
        <v>45371</v>
      </c>
      <c r="F62" s="3" t="n">
        <f aca="false">SUMIFS('Futures Data'!$C$5:$C$3471,'Futures Data'!$A$5:$A$3471,B62,'Futures Data'!$B$5:$B$3471,E62)</f>
        <v>5708</v>
      </c>
      <c r="G62" s="3" t="n">
        <f aca="false">SUMIFS('Futures Data'!$C$5:$C$3471,'Futures Data'!$A$5:$A$3471,A62,'Futures Data'!$B$5:$B$3471,E62)</f>
        <v>5759</v>
      </c>
      <c r="H62" s="13" t="n">
        <f aca="false">LN(D62/C62)</f>
        <v>-0.00772204609391028</v>
      </c>
      <c r="I62" s="13" t="n">
        <f aca="false">LN(G62/F62)</f>
        <v>0.00889514890994542</v>
      </c>
      <c r="J62" s="3" t="str">
        <f aca="false">IF(A62&lt;='Results &amp; Charts'!$C$5,"In-sample","Out-of-sample")</f>
        <v>In-sample</v>
      </c>
      <c r="K62" s="13" t="n">
        <f aca="false">H62-'Results &amp; Charts'!$C$9*I62</f>
        <v>-0.0131798193269145</v>
      </c>
      <c r="L62" s="13" t="n">
        <f aca="false">H62-I62</f>
        <v>-0.0166171950038557</v>
      </c>
      <c r="M62" s="15" t="n">
        <v>1.06018565589962</v>
      </c>
      <c r="N62" s="13" t="n">
        <f aca="false">H62-M62*I62</f>
        <v>-0.0171525553753255</v>
      </c>
      <c r="O62" s="16" t="n">
        <f aca="false">'Results &amp; Charts'!$C$9</f>
        <v>0.613567382430444</v>
      </c>
    </row>
    <row r="63" customFormat="false" ht="15" hidden="false" customHeight="false" outlineLevel="0" collapsed="false">
      <c r="A63" s="14" t="n">
        <f aca="false">'Roll Schedule'!A149</f>
        <v>45344</v>
      </c>
      <c r="B63" s="14" t="n">
        <f aca="false">'Roll Schedule'!A148</f>
        <v>45343</v>
      </c>
      <c r="C63" s="3" t="n">
        <f aca="false">SUMIFS('Spot Data'!$E$5:$E$651,'Spot Data'!$A$5:$A$651,B63,'Spot Data'!$H$5:$H$651,"YES")</f>
        <v>6450</v>
      </c>
      <c r="D63" s="3" t="n">
        <f aca="false">SUMIFS('Spot Data'!$E$5:$E$651,'Spot Data'!$A$5:$A$651,A63,'Spot Data'!$H$5:$H$651,"YES")</f>
        <v>6450</v>
      </c>
      <c r="E63" s="14" t="n">
        <f aca="false">'Roll Schedule'!B149</f>
        <v>45401</v>
      </c>
      <c r="F63" s="3" t="n">
        <f aca="false">SUMIFS('Futures Data'!$C$5:$C$3471,'Futures Data'!$A$5:$A$3471,B63,'Futures Data'!$B$5:$B$3471,E63)</f>
        <v>5840</v>
      </c>
      <c r="G63" s="3" t="n">
        <f aca="false">SUMIFS('Futures Data'!$C$5:$C$3471,'Futures Data'!$A$5:$A$3471,A63,'Futures Data'!$B$5:$B$3471,E63)</f>
        <v>5875</v>
      </c>
      <c r="H63" s="13" t="n">
        <f aca="false">LN(D63/C63)</f>
        <v>0</v>
      </c>
      <c r="I63" s="13" t="n">
        <f aca="false">LN(G63/F63)</f>
        <v>0.00597526319008702</v>
      </c>
      <c r="J63" s="3" t="str">
        <f aca="false">IF(A63&lt;='Results &amp; Charts'!$C$5,"In-sample","Out-of-sample")</f>
        <v>In-sample</v>
      </c>
      <c r="K63" s="13" t="n">
        <f aca="false">H63-'Results &amp; Charts'!$C$9*I63</f>
        <v>-0.00366622659487468</v>
      </c>
      <c r="L63" s="13" t="n">
        <f aca="false">H63-I63</f>
        <v>-0.00597526319008702</v>
      </c>
      <c r="M63" s="15" t="n">
        <v>0.918096978683242</v>
      </c>
      <c r="N63" s="13" t="n">
        <f aca="false">H63-M63*I63</f>
        <v>-0.00548587108165609</v>
      </c>
      <c r="O63" s="16" t="n">
        <f aca="false">'Results &amp; Charts'!$C$9</f>
        <v>0.613567382430444</v>
      </c>
    </row>
    <row r="64" customFormat="false" ht="15" hidden="false" customHeight="false" outlineLevel="0" collapsed="false">
      <c r="A64" s="14" t="n">
        <f aca="false">'Roll Schedule'!A150</f>
        <v>45345</v>
      </c>
      <c r="B64" s="14" t="n">
        <f aca="false">'Roll Schedule'!A149</f>
        <v>45344</v>
      </c>
      <c r="C64" s="3" t="n">
        <f aca="false">SUMIFS('Spot Data'!$E$5:$E$651,'Spot Data'!$A$5:$A$651,B64,'Spot Data'!$H$5:$H$651,"YES")</f>
        <v>6450</v>
      </c>
      <c r="D64" s="3" t="n">
        <f aca="false">SUMIFS('Spot Data'!$E$5:$E$651,'Spot Data'!$A$5:$A$651,A64,'Spot Data'!$H$5:$H$651,"YES")</f>
        <v>6450</v>
      </c>
      <c r="E64" s="14" t="n">
        <f aca="false">'Roll Schedule'!B150</f>
        <v>45401</v>
      </c>
      <c r="F64" s="3" t="n">
        <f aca="false">SUMIFS('Futures Data'!$C$5:$C$3471,'Futures Data'!$A$5:$A$3471,B64,'Futures Data'!$B$5:$B$3471,E64)</f>
        <v>5875</v>
      </c>
      <c r="G64" s="3" t="n">
        <f aca="false">SUMIFS('Futures Data'!$C$5:$C$3471,'Futures Data'!$A$5:$A$3471,A64,'Futures Data'!$B$5:$B$3471,E64)</f>
        <v>5921</v>
      </c>
      <c r="H64" s="13" t="n">
        <f aca="false">LN(D64/C64)</f>
        <v>0</v>
      </c>
      <c r="I64" s="13" t="n">
        <f aca="false">LN(G64/F64)</f>
        <v>0.00779929351941634</v>
      </c>
      <c r="J64" s="3" t="str">
        <f aca="false">IF(A64&lt;='Results &amp; Charts'!$C$5,"In-sample","Out-of-sample")</f>
        <v>In-sample</v>
      </c>
      <c r="K64" s="13" t="n">
        <f aca="false">H64-'Results &amp; Charts'!$C$9*I64</f>
        <v>-0.00478539210951501</v>
      </c>
      <c r="L64" s="13" t="n">
        <f aca="false">H64-I64</f>
        <v>-0.00779929351941634</v>
      </c>
      <c r="M64" s="15" t="n">
        <v>0.902584936637796</v>
      </c>
      <c r="N64" s="13" t="n">
        <f aca="false">H64-M64*I64</f>
        <v>-0.00703952484704197</v>
      </c>
      <c r="O64" s="16" t="n">
        <f aca="false">'Results &amp; Charts'!$C$9</f>
        <v>0.613567382430444</v>
      </c>
    </row>
    <row r="65" customFormat="false" ht="15" hidden="false" customHeight="false" outlineLevel="0" collapsed="false">
      <c r="A65" s="14" t="n">
        <f aca="false">'Roll Schedule'!A151</f>
        <v>45348</v>
      </c>
      <c r="B65" s="14" t="n">
        <f aca="false">'Roll Schedule'!A150</f>
        <v>45345</v>
      </c>
      <c r="C65" s="3" t="n">
        <f aca="false">SUMIFS('Spot Data'!$E$5:$E$651,'Spot Data'!$A$5:$A$651,B65,'Spot Data'!$H$5:$H$651,"YES")</f>
        <v>6450</v>
      </c>
      <c r="D65" s="3" t="n">
        <f aca="false">SUMIFS('Spot Data'!$E$5:$E$651,'Spot Data'!$A$5:$A$651,A65,'Spot Data'!$H$5:$H$651,"YES")</f>
        <v>6450</v>
      </c>
      <c r="E65" s="14" t="n">
        <f aca="false">'Roll Schedule'!B151</f>
        <v>45401</v>
      </c>
      <c r="F65" s="3" t="n">
        <f aca="false">SUMIFS('Futures Data'!$C$5:$C$3471,'Futures Data'!$A$5:$A$3471,B65,'Futures Data'!$B$5:$B$3471,E65)</f>
        <v>5921</v>
      </c>
      <c r="G65" s="3" t="n">
        <f aca="false">SUMIFS('Futures Data'!$C$5:$C$3471,'Futures Data'!$A$5:$A$3471,A65,'Futures Data'!$B$5:$B$3471,E65)</f>
        <v>5932</v>
      </c>
      <c r="H65" s="13" t="n">
        <f aca="false">LN(D65/C65)</f>
        <v>0</v>
      </c>
      <c r="I65" s="13" t="n">
        <f aca="false">LN(G65/F65)</f>
        <v>0.00185607072604657</v>
      </c>
      <c r="J65" s="3" t="str">
        <f aca="false">IF(A65&lt;='Results &amp; Charts'!$C$5,"In-sample","Out-of-sample")</f>
        <v>In-sample</v>
      </c>
      <c r="K65" s="13" t="n">
        <f aca="false">H65-'Results &amp; Charts'!$C$9*I65</f>
        <v>-0.00113882445698617</v>
      </c>
      <c r="L65" s="13" t="n">
        <f aca="false">H65-I65</f>
        <v>-0.00185607072604657</v>
      </c>
      <c r="M65" s="15" t="n">
        <v>0.844968630707626</v>
      </c>
      <c r="N65" s="13" t="n">
        <f aca="false">H65-M65*I65</f>
        <v>-0.00156832153988408</v>
      </c>
      <c r="O65" s="16" t="n">
        <f aca="false">'Results &amp; Charts'!$C$9</f>
        <v>0.613567382430444</v>
      </c>
    </row>
    <row r="66" customFormat="false" ht="15" hidden="false" customHeight="false" outlineLevel="0" collapsed="false">
      <c r="A66" s="14" t="n">
        <f aca="false">'Roll Schedule'!A152</f>
        <v>45349</v>
      </c>
      <c r="B66" s="14" t="n">
        <f aca="false">'Roll Schedule'!A151</f>
        <v>45348</v>
      </c>
      <c r="C66" s="3" t="n">
        <f aca="false">SUMIFS('Spot Data'!$E$5:$E$651,'Spot Data'!$A$5:$A$651,B66,'Spot Data'!$H$5:$H$651,"YES")</f>
        <v>6450</v>
      </c>
      <c r="D66" s="3" t="n">
        <f aca="false">SUMIFS('Spot Data'!$E$5:$E$651,'Spot Data'!$A$5:$A$651,A66,'Spot Data'!$H$5:$H$651,"YES")</f>
        <v>6450</v>
      </c>
      <c r="E66" s="14" t="n">
        <f aca="false">'Roll Schedule'!B152</f>
        <v>45401</v>
      </c>
      <c r="F66" s="3" t="n">
        <f aca="false">SUMIFS('Futures Data'!$C$5:$C$3471,'Futures Data'!$A$5:$A$3471,B66,'Futures Data'!$B$5:$B$3471,E66)</f>
        <v>5932</v>
      </c>
      <c r="G66" s="3" t="n">
        <f aca="false">SUMIFS('Futures Data'!$C$5:$C$3471,'Futures Data'!$A$5:$A$3471,A66,'Futures Data'!$B$5:$B$3471,E66)</f>
        <v>5894</v>
      </c>
      <c r="H66" s="13" t="n">
        <f aca="false">LN(D66/C66)</f>
        <v>0</v>
      </c>
      <c r="I66" s="13" t="n">
        <f aca="false">LN(G66/F66)</f>
        <v>-0.00642653996018272</v>
      </c>
      <c r="J66" s="3" t="str">
        <f aca="false">IF(A66&lt;='Results &amp; Charts'!$C$5,"In-sample","Out-of-sample")</f>
        <v>In-sample</v>
      </c>
      <c r="K66" s="13" t="n">
        <f aca="false">H66-'Results &amp; Charts'!$C$9*I66</f>
        <v>0.00394311530145397</v>
      </c>
      <c r="L66" s="13" t="n">
        <f aca="false">H66-I66</f>
        <v>0.00642653996018272</v>
      </c>
      <c r="M66" s="15" t="n">
        <v>0.890843256915035</v>
      </c>
      <c r="N66" s="13" t="n">
        <f aca="false">H66-M66*I66</f>
        <v>0.0057250397888238</v>
      </c>
      <c r="O66" s="16" t="n">
        <f aca="false">'Results &amp; Charts'!$C$9</f>
        <v>0.613567382430444</v>
      </c>
    </row>
    <row r="67" customFormat="false" ht="15" hidden="false" customHeight="false" outlineLevel="0" collapsed="false">
      <c r="A67" s="14" t="n">
        <f aca="false">'Roll Schedule'!A153</f>
        <v>45350</v>
      </c>
      <c r="B67" s="14" t="n">
        <f aca="false">'Roll Schedule'!A152</f>
        <v>45349</v>
      </c>
      <c r="C67" s="3" t="n">
        <f aca="false">SUMIFS('Spot Data'!$E$5:$E$651,'Spot Data'!$A$5:$A$651,B67,'Spot Data'!$H$5:$H$651,"YES")</f>
        <v>6450</v>
      </c>
      <c r="D67" s="3" t="n">
        <f aca="false">SUMIFS('Spot Data'!$E$5:$E$651,'Spot Data'!$A$5:$A$651,A67,'Spot Data'!$H$5:$H$651,"YES")</f>
        <v>6450</v>
      </c>
      <c r="E67" s="14" t="n">
        <f aca="false">'Roll Schedule'!B153</f>
        <v>45401</v>
      </c>
      <c r="F67" s="3" t="n">
        <f aca="false">SUMIFS('Futures Data'!$C$5:$C$3471,'Futures Data'!$A$5:$A$3471,B67,'Futures Data'!$B$5:$B$3471,E67)</f>
        <v>5894</v>
      </c>
      <c r="G67" s="3" t="n">
        <f aca="false">SUMIFS('Futures Data'!$C$5:$C$3471,'Futures Data'!$A$5:$A$3471,A67,'Futures Data'!$B$5:$B$3471,E67)</f>
        <v>5878</v>
      </c>
      <c r="H67" s="13" t="n">
        <f aca="false">LN(D67/C67)</f>
        <v>0</v>
      </c>
      <c r="I67" s="13" t="n">
        <f aca="false">LN(G67/F67)</f>
        <v>-0.0027183163187774</v>
      </c>
      <c r="J67" s="3" t="str">
        <f aca="false">IF(A67&lt;='Results &amp; Charts'!$C$5,"In-sample","Out-of-sample")</f>
        <v>In-sample</v>
      </c>
      <c r="K67" s="13" t="n">
        <f aca="false">H67-'Results &amp; Charts'!$C$9*I67</f>
        <v>0.00166787022833021</v>
      </c>
      <c r="L67" s="13" t="n">
        <f aca="false">H67-I67</f>
        <v>0.0027183163187774</v>
      </c>
      <c r="M67" s="15" t="n">
        <v>0.873837098414789</v>
      </c>
      <c r="N67" s="13" t="n">
        <f aca="false">H67-M67*I67</f>
        <v>0.00237536564457401</v>
      </c>
      <c r="O67" s="16" t="n">
        <f aca="false">'Results &amp; Charts'!$C$9</f>
        <v>0.613567382430444</v>
      </c>
    </row>
    <row r="68" customFormat="false" ht="15" hidden="false" customHeight="false" outlineLevel="0" collapsed="false">
      <c r="A68" s="14" t="n">
        <f aca="false">'Roll Schedule'!A157</f>
        <v>45356</v>
      </c>
      <c r="B68" s="14" t="n">
        <f aca="false">'Roll Schedule'!A156</f>
        <v>45355</v>
      </c>
      <c r="C68" s="3" t="n">
        <f aca="false">SUMIFS('Spot Data'!$E$5:$E$651,'Spot Data'!$A$5:$A$651,B68,'Spot Data'!$H$5:$H$651,"YES")</f>
        <v>6550</v>
      </c>
      <c r="D68" s="3" t="n">
        <f aca="false">SUMIFS('Spot Data'!$E$5:$E$651,'Spot Data'!$A$5:$A$651,A68,'Spot Data'!$H$5:$H$651,"YES")</f>
        <v>6650</v>
      </c>
      <c r="E68" s="14" t="n">
        <f aca="false">'Roll Schedule'!B157</f>
        <v>45401</v>
      </c>
      <c r="F68" s="3" t="n">
        <f aca="false">SUMIFS('Futures Data'!$C$5:$C$3471,'Futures Data'!$A$5:$A$3471,B68,'Futures Data'!$B$5:$B$3471,E68)</f>
        <v>5820</v>
      </c>
      <c r="G68" s="3" t="n">
        <f aca="false">SUMIFS('Futures Data'!$C$5:$C$3471,'Futures Data'!$A$5:$A$3471,A68,'Futures Data'!$B$5:$B$3471,E68)</f>
        <v>5845</v>
      </c>
      <c r="H68" s="13" t="n">
        <f aca="false">LN(D68/C68)</f>
        <v>0.0151518050206022</v>
      </c>
      <c r="I68" s="13" t="n">
        <f aca="false">LN(G68/F68)</f>
        <v>0.00428633318068527</v>
      </c>
      <c r="J68" s="3" t="str">
        <f aca="false">IF(A68&lt;='Results &amp; Charts'!$C$5,"In-sample","Out-of-sample")</f>
        <v>In-sample</v>
      </c>
      <c r="K68" s="13" t="n">
        <f aca="false">H68-'Results &amp; Charts'!$C$9*I68</f>
        <v>0.0125218507907044</v>
      </c>
      <c r="L68" s="13" t="n">
        <f aca="false">H68-I68</f>
        <v>0.010865471839917</v>
      </c>
      <c r="M68" s="15" t="n">
        <v>0.911961592582748</v>
      </c>
      <c r="N68" s="13" t="n">
        <f aca="false">H68-M68*I68</f>
        <v>0.0112428337868042</v>
      </c>
      <c r="O68" s="16" t="n">
        <f aca="false">'Results &amp; Charts'!$C$9</f>
        <v>0.613567382430444</v>
      </c>
    </row>
    <row r="69" customFormat="false" ht="15" hidden="false" customHeight="false" outlineLevel="0" collapsed="false">
      <c r="A69" s="14" t="n">
        <f aca="false">'Roll Schedule'!A160</f>
        <v>45362</v>
      </c>
      <c r="B69" s="14" t="n">
        <f aca="false">'Roll Schedule'!A159</f>
        <v>45358</v>
      </c>
      <c r="C69" s="3" t="n">
        <f aca="false">SUMIFS('Spot Data'!$E$5:$E$651,'Spot Data'!$A$5:$A$651,B69,'Spot Data'!$H$5:$H$651,"YES")</f>
        <v>6600</v>
      </c>
      <c r="D69" s="3" t="n">
        <f aca="false">SUMIFS('Spot Data'!$E$5:$E$651,'Spot Data'!$A$5:$A$651,A69,'Spot Data'!$H$5:$H$651,"YES")</f>
        <v>6650</v>
      </c>
      <c r="E69" s="14" t="n">
        <f aca="false">'Roll Schedule'!B160</f>
        <v>45401</v>
      </c>
      <c r="F69" s="3" t="n">
        <f aca="false">SUMIFS('Futures Data'!$C$5:$C$3471,'Futures Data'!$A$5:$A$3471,B69,'Futures Data'!$B$5:$B$3471,E69)</f>
        <v>5847</v>
      </c>
      <c r="G69" s="3" t="n">
        <f aca="false">SUMIFS('Futures Data'!$C$5:$C$3471,'Futures Data'!$A$5:$A$3471,A69,'Futures Data'!$B$5:$B$3471,E69)</f>
        <v>5857</v>
      </c>
      <c r="H69" s="13" t="n">
        <f aca="false">LN(D69/C69)</f>
        <v>0.0075472056353829</v>
      </c>
      <c r="I69" s="13" t="n">
        <f aca="false">LN(G69/F69)</f>
        <v>0.00170881791411177</v>
      </c>
      <c r="J69" s="3" t="str">
        <f aca="false">IF(A69&lt;='Results &amp; Charts'!$C$5,"In-sample","Out-of-sample")</f>
        <v>In-sample</v>
      </c>
      <c r="K69" s="13" t="n">
        <f aca="false">H69-'Results &amp; Charts'!$C$9*I69</f>
        <v>0.0064987307007711</v>
      </c>
      <c r="L69" s="13" t="n">
        <f aca="false">H69-I69</f>
        <v>0.00583838772127114</v>
      </c>
      <c r="M69" s="15" t="n">
        <v>0.940529805037266</v>
      </c>
      <c r="N69" s="13" t="n">
        <f aca="false">H69-M69*I69</f>
        <v>0.00594001145577918</v>
      </c>
      <c r="O69" s="16" t="n">
        <f aca="false">'Results &amp; Charts'!$C$9</f>
        <v>0.613567382430444</v>
      </c>
    </row>
    <row r="70" customFormat="false" ht="15" hidden="false" customHeight="false" outlineLevel="0" collapsed="false">
      <c r="A70" s="14" t="n">
        <f aca="false">'Roll Schedule'!A161</f>
        <v>45363</v>
      </c>
      <c r="B70" s="14" t="n">
        <f aca="false">'Roll Schedule'!A160</f>
        <v>45362</v>
      </c>
      <c r="C70" s="3" t="n">
        <f aca="false">SUMIFS('Spot Data'!$E$5:$E$651,'Spot Data'!$A$5:$A$651,B70,'Spot Data'!$H$5:$H$651,"YES")</f>
        <v>6650</v>
      </c>
      <c r="D70" s="3" t="n">
        <f aca="false">SUMIFS('Spot Data'!$E$5:$E$651,'Spot Data'!$A$5:$A$651,A70,'Spot Data'!$H$5:$H$651,"YES")</f>
        <v>6600</v>
      </c>
      <c r="E70" s="14" t="n">
        <f aca="false">'Roll Schedule'!B161</f>
        <v>45401</v>
      </c>
      <c r="F70" s="3" t="n">
        <f aca="false">SUMIFS('Futures Data'!$C$5:$C$3471,'Futures Data'!$A$5:$A$3471,B70,'Futures Data'!$B$5:$B$3471,E70)</f>
        <v>5857</v>
      </c>
      <c r="G70" s="3" t="n">
        <f aca="false">SUMIFS('Futures Data'!$C$5:$C$3471,'Futures Data'!$A$5:$A$3471,A70,'Futures Data'!$B$5:$B$3471,E70)</f>
        <v>5860</v>
      </c>
      <c r="H70" s="13" t="n">
        <f aca="false">LN(D70/C70)</f>
        <v>-0.00754720563538297</v>
      </c>
      <c r="I70" s="13" t="n">
        <f aca="false">LN(G70/F70)</f>
        <v>0.000512076481275998</v>
      </c>
      <c r="J70" s="3" t="str">
        <f aca="false">IF(A70&lt;='Results &amp; Charts'!$C$5,"In-sample","Out-of-sample")</f>
        <v>In-sample</v>
      </c>
      <c r="K70" s="13" t="n">
        <f aca="false">H70-'Results &amp; Charts'!$C$9*I70</f>
        <v>-0.00786139906160367</v>
      </c>
      <c r="L70" s="13" t="n">
        <f aca="false">H70-I70</f>
        <v>-0.00805928211665897</v>
      </c>
      <c r="M70" s="15" t="n">
        <v>0.981179913325369</v>
      </c>
      <c r="N70" s="13" t="n">
        <f aca="false">H70-M70*I70</f>
        <v>-0.00804964479289731</v>
      </c>
      <c r="O70" s="16" t="n">
        <f aca="false">'Results &amp; Charts'!$C$9</f>
        <v>0.613567382430444</v>
      </c>
    </row>
    <row r="71" customFormat="false" ht="15" hidden="false" customHeight="false" outlineLevel="0" collapsed="false">
      <c r="A71" s="14" t="n">
        <f aca="false">'Roll Schedule'!A162</f>
        <v>45364</v>
      </c>
      <c r="B71" s="14" t="n">
        <f aca="false">'Roll Schedule'!A161</f>
        <v>45363</v>
      </c>
      <c r="C71" s="3" t="n">
        <f aca="false">SUMIFS('Spot Data'!$E$5:$E$651,'Spot Data'!$A$5:$A$651,B71,'Spot Data'!$H$5:$H$651,"YES")</f>
        <v>6600</v>
      </c>
      <c r="D71" s="3" t="n">
        <f aca="false">SUMIFS('Spot Data'!$E$5:$E$651,'Spot Data'!$A$5:$A$651,A71,'Spot Data'!$H$5:$H$651,"YES")</f>
        <v>6650</v>
      </c>
      <c r="E71" s="14" t="n">
        <f aca="false">'Roll Schedule'!B162</f>
        <v>45401</v>
      </c>
      <c r="F71" s="3" t="n">
        <f aca="false">SUMIFS('Futures Data'!$C$5:$C$3471,'Futures Data'!$A$5:$A$3471,B71,'Futures Data'!$B$5:$B$3471,E71)</f>
        <v>5860</v>
      </c>
      <c r="G71" s="3" t="n">
        <f aca="false">SUMIFS('Futures Data'!$C$5:$C$3471,'Futures Data'!$A$5:$A$3471,A71,'Futures Data'!$B$5:$B$3471,E71)</f>
        <v>5907</v>
      </c>
      <c r="H71" s="13" t="n">
        <f aca="false">LN(D71/C71)</f>
        <v>0.0075472056353829</v>
      </c>
      <c r="I71" s="13" t="n">
        <f aca="false">LN(G71/F71)</f>
        <v>0.00798848473617686</v>
      </c>
      <c r="J71" s="3" t="str">
        <f aca="false">IF(A71&lt;='Results &amp; Charts'!$C$5,"In-sample","Out-of-sample")</f>
        <v>In-sample</v>
      </c>
      <c r="K71" s="13" t="n">
        <f aca="false">H71-'Results &amp; Charts'!$C$9*I71</f>
        <v>0.00264573196622131</v>
      </c>
      <c r="L71" s="13" t="n">
        <f aca="false">H71-I71</f>
        <v>-0.000441279100793959</v>
      </c>
      <c r="M71" s="15" t="n">
        <v>1.01526642226353</v>
      </c>
      <c r="N71" s="13" t="n">
        <f aca="false">H71-M71*I71</f>
        <v>-0.000563234682022198</v>
      </c>
      <c r="O71" s="16" t="n">
        <f aca="false">'Results &amp; Charts'!$C$9</f>
        <v>0.613567382430444</v>
      </c>
    </row>
    <row r="72" customFormat="false" ht="15" hidden="false" customHeight="false" outlineLevel="0" collapsed="false">
      <c r="A72" s="14" t="n">
        <f aca="false">'Roll Schedule'!A163</f>
        <v>45365</v>
      </c>
      <c r="B72" s="14" t="n">
        <f aca="false">'Roll Schedule'!A162</f>
        <v>45364</v>
      </c>
      <c r="C72" s="3" t="n">
        <f aca="false">SUMIFS('Spot Data'!$E$5:$E$651,'Spot Data'!$A$5:$A$651,B72,'Spot Data'!$H$5:$H$651,"YES")</f>
        <v>6650</v>
      </c>
      <c r="D72" s="3" t="n">
        <f aca="false">SUMIFS('Spot Data'!$E$5:$E$651,'Spot Data'!$A$5:$A$651,A72,'Spot Data'!$H$5:$H$651,"YES")</f>
        <v>6600</v>
      </c>
      <c r="E72" s="14" t="n">
        <f aca="false">'Roll Schedule'!B163</f>
        <v>45401</v>
      </c>
      <c r="F72" s="3" t="n">
        <f aca="false">SUMIFS('Futures Data'!$C$5:$C$3471,'Futures Data'!$A$5:$A$3471,B72,'Futures Data'!$B$5:$B$3471,E72)</f>
        <v>5907</v>
      </c>
      <c r="G72" s="3" t="n">
        <f aca="false">SUMIFS('Futures Data'!$C$5:$C$3471,'Futures Data'!$A$5:$A$3471,A72,'Futures Data'!$B$5:$B$3471,E72)</f>
        <v>5926</v>
      </c>
      <c r="H72" s="13" t="n">
        <f aca="false">LN(D72/C72)</f>
        <v>-0.00754720563538297</v>
      </c>
      <c r="I72" s="13" t="n">
        <f aca="false">LN(G72/F72)</f>
        <v>0.00321136082627542</v>
      </c>
      <c r="J72" s="3" t="str">
        <f aca="false">IF(A72&lt;='Results &amp; Charts'!$C$5,"In-sample","Out-of-sample")</f>
        <v>In-sample</v>
      </c>
      <c r="K72" s="13" t="n">
        <f aca="false">H72-'Results &amp; Charts'!$C$9*I72</f>
        <v>-0.00951759189160045</v>
      </c>
      <c r="L72" s="13" t="n">
        <f aca="false">H72-I72</f>
        <v>-0.0107585664616584</v>
      </c>
      <c r="M72" s="15" t="n">
        <v>0.914835657220471</v>
      </c>
      <c r="N72" s="13" t="n">
        <f aca="false">H72-M72*I72</f>
        <v>-0.0104850730274607</v>
      </c>
      <c r="O72" s="16" t="n">
        <f aca="false">'Results &amp; Charts'!$C$9</f>
        <v>0.613567382430444</v>
      </c>
    </row>
    <row r="73" customFormat="false" ht="15" hidden="false" customHeight="false" outlineLevel="0" collapsed="false">
      <c r="A73" s="14" t="n">
        <f aca="false">'Roll Schedule'!A164</f>
        <v>45366</v>
      </c>
      <c r="B73" s="14" t="n">
        <f aca="false">'Roll Schedule'!A163</f>
        <v>45365</v>
      </c>
      <c r="C73" s="3" t="n">
        <f aca="false">SUMIFS('Spot Data'!$E$5:$E$651,'Spot Data'!$A$5:$A$651,B73,'Spot Data'!$H$5:$H$651,"YES")</f>
        <v>6600</v>
      </c>
      <c r="D73" s="3" t="n">
        <f aca="false">SUMIFS('Spot Data'!$E$5:$E$651,'Spot Data'!$A$5:$A$651,A73,'Spot Data'!$H$5:$H$651,"YES")</f>
        <v>6350</v>
      </c>
      <c r="E73" s="14" t="n">
        <f aca="false">'Roll Schedule'!B164</f>
        <v>45401</v>
      </c>
      <c r="F73" s="3" t="n">
        <f aca="false">SUMIFS('Futures Data'!$C$5:$C$3471,'Futures Data'!$A$5:$A$3471,B73,'Futures Data'!$B$5:$B$3471,E73)</f>
        <v>5926</v>
      </c>
      <c r="G73" s="3" t="n">
        <f aca="false">SUMIFS('Futures Data'!$C$5:$C$3471,'Futures Data'!$A$5:$A$3471,A73,'Futures Data'!$B$5:$B$3471,E73)</f>
        <v>5892</v>
      </c>
      <c r="H73" s="13" t="n">
        <f aca="false">LN(D73/C73)</f>
        <v>-0.0386148361277795</v>
      </c>
      <c r="I73" s="13" t="n">
        <f aca="false">LN(G73/F73)</f>
        <v>-0.00575395055098971</v>
      </c>
      <c r="J73" s="3" t="str">
        <f aca="false">IF(A73&lt;='Results &amp; Charts'!$C$5,"In-sample","Out-of-sample")</f>
        <v>In-sample</v>
      </c>
      <c r="K73" s="13" t="n">
        <f aca="false">H73-'Results &amp; Charts'!$C$9*I73</f>
        <v>-0.0350843997495746</v>
      </c>
      <c r="L73" s="13" t="n">
        <f aca="false">H73-I73</f>
        <v>-0.0328608855767898</v>
      </c>
      <c r="M73" s="15" t="n">
        <v>0.917374883584703</v>
      </c>
      <c r="N73" s="13" t="n">
        <f aca="false">H73-M73*I73</f>
        <v>-0.0333363064109132</v>
      </c>
      <c r="O73" s="16" t="n">
        <f aca="false">'Results &amp; Charts'!$C$9</f>
        <v>0.613567382430444</v>
      </c>
    </row>
    <row r="74" customFormat="false" ht="15" hidden="false" customHeight="false" outlineLevel="0" collapsed="false">
      <c r="A74" s="14" t="n">
        <f aca="false">'Roll Schedule'!A165</f>
        <v>45369</v>
      </c>
      <c r="B74" s="14" t="n">
        <f aca="false">'Roll Schedule'!A164</f>
        <v>45366</v>
      </c>
      <c r="C74" s="3" t="n">
        <f aca="false">SUMIFS('Spot Data'!$E$5:$E$651,'Spot Data'!$A$5:$A$651,B74,'Spot Data'!$H$5:$H$651,"YES")</f>
        <v>6350</v>
      </c>
      <c r="D74" s="3" t="n">
        <f aca="false">SUMIFS('Spot Data'!$E$5:$E$651,'Spot Data'!$A$5:$A$651,A74,'Spot Data'!$H$5:$H$651,"YES")</f>
        <v>6250</v>
      </c>
      <c r="E74" s="14" t="n">
        <f aca="false">'Roll Schedule'!B165</f>
        <v>45401</v>
      </c>
      <c r="F74" s="3" t="n">
        <f aca="false">SUMIFS('Futures Data'!$C$5:$C$3471,'Futures Data'!$A$5:$A$3471,B74,'Futures Data'!$B$5:$B$3471,E74)</f>
        <v>5892</v>
      </c>
      <c r="G74" s="3" t="n">
        <f aca="false">SUMIFS('Futures Data'!$C$5:$C$3471,'Futures Data'!$A$5:$A$3471,A74,'Futures Data'!$B$5:$B$3471,E74)</f>
        <v>5897</v>
      </c>
      <c r="H74" s="13" t="n">
        <f aca="false">LN(D74/C74)</f>
        <v>-0.0158733491562901</v>
      </c>
      <c r="I74" s="13" t="n">
        <f aca="false">LN(G74/F74)</f>
        <v>0.000848248417983249</v>
      </c>
      <c r="J74" s="3" t="str">
        <f aca="false">IF(A74&lt;='Results &amp; Charts'!$C$5,"In-sample","Out-of-sample")</f>
        <v>In-sample</v>
      </c>
      <c r="K74" s="13" t="n">
        <f aca="false">H74-'Results &amp; Charts'!$C$9*I74</f>
        <v>-0.0163938067177629</v>
      </c>
      <c r="L74" s="13" t="n">
        <f aca="false">H74-I74</f>
        <v>-0.0167215975742734</v>
      </c>
      <c r="M74" s="15" t="n">
        <v>0.975904729691645</v>
      </c>
      <c r="N74" s="13" t="n">
        <f aca="false">H74-M74*I74</f>
        <v>-0.0167011587993534</v>
      </c>
      <c r="O74" s="16" t="n">
        <f aca="false">'Results &amp; Charts'!$C$9</f>
        <v>0.613567382430444</v>
      </c>
    </row>
    <row r="75" customFormat="false" ht="15" hidden="false" customHeight="false" outlineLevel="0" collapsed="false">
      <c r="A75" s="14" t="n">
        <f aca="false">'Roll Schedule'!A166</f>
        <v>45370</v>
      </c>
      <c r="B75" s="14" t="n">
        <f aca="false">'Roll Schedule'!A165</f>
        <v>45369</v>
      </c>
      <c r="C75" s="3" t="n">
        <f aca="false">SUMIFS('Spot Data'!$E$5:$E$651,'Spot Data'!$A$5:$A$651,B75,'Spot Data'!$H$5:$H$651,"YES")</f>
        <v>6250</v>
      </c>
      <c r="D75" s="3" t="n">
        <f aca="false">SUMIFS('Spot Data'!$E$5:$E$651,'Spot Data'!$A$5:$A$651,A75,'Spot Data'!$H$5:$H$651,"YES")</f>
        <v>6350</v>
      </c>
      <c r="E75" s="14" t="n">
        <f aca="false">'Roll Schedule'!B166</f>
        <v>45401</v>
      </c>
      <c r="F75" s="3" t="n">
        <f aca="false">SUMIFS('Futures Data'!$C$5:$C$3471,'Futures Data'!$A$5:$A$3471,B75,'Futures Data'!$B$5:$B$3471,E75)</f>
        <v>5897</v>
      </c>
      <c r="G75" s="3" t="n">
        <f aca="false">SUMIFS('Futures Data'!$C$5:$C$3471,'Futures Data'!$A$5:$A$3471,A75,'Futures Data'!$B$5:$B$3471,E75)</f>
        <v>5991</v>
      </c>
      <c r="H75" s="13" t="n">
        <f aca="false">LN(D75/C75)</f>
        <v>0.0158733491562902</v>
      </c>
      <c r="I75" s="13" t="n">
        <f aca="false">LN(G75/F75)</f>
        <v>0.0158145960834208</v>
      </c>
      <c r="J75" s="3" t="str">
        <f aca="false">IF(A75&lt;='Results &amp; Charts'!$C$5,"In-sample","Out-of-sample")</f>
        <v>In-sample</v>
      </c>
      <c r="K75" s="13" t="n">
        <f aca="false">H75-'Results &amp; Charts'!$C$9*I75</f>
        <v>0.00617002883319093</v>
      </c>
      <c r="L75" s="13" t="n">
        <f aca="false">H75-I75</f>
        <v>5.87530728694101E-005</v>
      </c>
      <c r="M75" s="15" t="n">
        <v>1.00287295987123</v>
      </c>
      <c r="N75" s="13" t="n">
        <f aca="false">H75-M75*I75</f>
        <v>1.33183729419673E-005</v>
      </c>
      <c r="O75" s="16" t="n">
        <f aca="false">'Results &amp; Charts'!$C$9</f>
        <v>0.613567382430444</v>
      </c>
    </row>
    <row r="76" customFormat="false" ht="15" hidden="false" customHeight="false" outlineLevel="0" collapsed="false">
      <c r="A76" s="14" t="n">
        <f aca="false">'Roll Schedule'!A169</f>
        <v>45373</v>
      </c>
      <c r="B76" s="14" t="n">
        <f aca="false">'Roll Schedule'!A168</f>
        <v>45372</v>
      </c>
      <c r="C76" s="3" t="n">
        <f aca="false">SUMIFS('Spot Data'!$E$5:$E$651,'Spot Data'!$A$5:$A$651,B76,'Spot Data'!$H$5:$H$651,"YES")</f>
        <v>6350</v>
      </c>
      <c r="D76" s="3" t="n">
        <f aca="false">SUMIFS('Spot Data'!$E$5:$E$651,'Spot Data'!$A$5:$A$651,A76,'Spot Data'!$H$5:$H$651,"YES")</f>
        <v>6450</v>
      </c>
      <c r="E76" s="14" t="n">
        <f aca="false">'Roll Schedule'!B169</f>
        <v>45401</v>
      </c>
      <c r="F76" s="3" t="n">
        <f aca="false">SUMIFS('Futures Data'!$C$5:$C$3471,'Futures Data'!$A$5:$A$3471,B76,'Futures Data'!$B$5:$B$3471,E76)</f>
        <v>6100</v>
      </c>
      <c r="G76" s="3" t="n">
        <f aca="false">SUMIFS('Futures Data'!$C$5:$C$3471,'Futures Data'!$A$5:$A$3471,A76,'Futures Data'!$B$5:$B$3471,E76)</f>
        <v>6138</v>
      </c>
      <c r="H76" s="13" t="n">
        <f aca="false">LN(D76/C76)</f>
        <v>0.0156253179030808</v>
      </c>
      <c r="I76" s="13" t="n">
        <f aca="false">LN(G76/F76)</f>
        <v>0.00621018501827897</v>
      </c>
      <c r="J76" s="3" t="str">
        <f aca="false">IF(A76&lt;='Results &amp; Charts'!$C$5,"In-sample","Out-of-sample")</f>
        <v>In-sample</v>
      </c>
      <c r="K76" s="13" t="n">
        <f aca="false">H76-'Results &amp; Charts'!$C$9*I76</f>
        <v>0.0118149509370066</v>
      </c>
      <c r="L76" s="13" t="n">
        <f aca="false">H76-I76</f>
        <v>0.00941513288480185</v>
      </c>
      <c r="M76" s="15" t="n">
        <v>0.69333537033497</v>
      </c>
      <c r="N76" s="13" t="n">
        <f aca="false">H76-M76*I76</f>
        <v>0.0113195769735837</v>
      </c>
      <c r="O76" s="16" t="n">
        <f aca="false">'Results &amp; Charts'!$C$9</f>
        <v>0.613567382430444</v>
      </c>
    </row>
    <row r="77" customFormat="false" ht="15" hidden="false" customHeight="false" outlineLevel="0" collapsed="false">
      <c r="A77" s="14" t="n">
        <f aca="false">'Roll Schedule'!A172</f>
        <v>45379</v>
      </c>
      <c r="B77" s="14" t="n">
        <f aca="false">'Roll Schedule'!A171</f>
        <v>45378</v>
      </c>
      <c r="C77" s="3" t="n">
        <f aca="false">SUMIFS('Spot Data'!$E$5:$E$651,'Spot Data'!$A$5:$A$651,B77,'Spot Data'!$H$5:$H$651,"YES")</f>
        <v>6350</v>
      </c>
      <c r="D77" s="3" t="n">
        <f aca="false">SUMIFS('Spot Data'!$E$5:$E$651,'Spot Data'!$A$5:$A$651,A77,'Spot Data'!$H$5:$H$651,"YES")</f>
        <v>6350</v>
      </c>
      <c r="E77" s="14" t="n">
        <f aca="false">'Roll Schedule'!B172</f>
        <v>45401</v>
      </c>
      <c r="F77" s="3" t="n">
        <f aca="false">SUMIFS('Futures Data'!$C$5:$C$3471,'Futures Data'!$A$5:$A$3471,B77,'Futures Data'!$B$5:$B$3471,E77)</f>
        <v>6072</v>
      </c>
      <c r="G77" s="3" t="n">
        <f aca="false">SUMIFS('Futures Data'!$C$5:$C$3471,'Futures Data'!$A$5:$A$3471,A77,'Futures Data'!$B$5:$B$3471,E77)</f>
        <v>6050</v>
      </c>
      <c r="H77" s="13" t="n">
        <f aca="false">LN(D77/C77)</f>
        <v>0</v>
      </c>
      <c r="I77" s="13" t="n">
        <f aca="false">LN(G77/F77)</f>
        <v>-0.00362976805057872</v>
      </c>
      <c r="J77" s="3" t="str">
        <f aca="false">IF(A77&lt;='Results &amp; Charts'!$C$5,"In-sample","Out-of-sample")</f>
        <v>In-sample</v>
      </c>
      <c r="K77" s="13" t="n">
        <f aca="false">H77-'Results &amp; Charts'!$C$9*I77</f>
        <v>0.00222710728162324</v>
      </c>
      <c r="L77" s="13" t="n">
        <f aca="false">H77-I77</f>
        <v>0.00362976805057872</v>
      </c>
      <c r="M77" s="15" t="n">
        <v>0.725990128602754</v>
      </c>
      <c r="N77" s="13" t="n">
        <f aca="false">H77-M77*I77</f>
        <v>0.00263517577383782</v>
      </c>
      <c r="O77" s="16" t="n">
        <f aca="false">'Results &amp; Charts'!$C$9</f>
        <v>0.613567382430444</v>
      </c>
    </row>
    <row r="78" customFormat="false" ht="15" hidden="false" customHeight="false" outlineLevel="0" collapsed="false">
      <c r="A78" s="14" t="n">
        <f aca="false">'Roll Schedule'!A173</f>
        <v>45383</v>
      </c>
      <c r="B78" s="14" t="n">
        <f aca="false">'Roll Schedule'!A172</f>
        <v>45379</v>
      </c>
      <c r="C78" s="3" t="n">
        <f aca="false">SUMIFS('Spot Data'!$E$5:$E$651,'Spot Data'!$A$5:$A$651,B78,'Spot Data'!$H$5:$H$651,"YES")</f>
        <v>6350</v>
      </c>
      <c r="D78" s="3" t="n">
        <f aca="false">SUMIFS('Spot Data'!$E$5:$E$651,'Spot Data'!$A$5:$A$651,A78,'Spot Data'!$H$5:$H$651,"YES")</f>
        <v>6250</v>
      </c>
      <c r="E78" s="14" t="n">
        <f aca="false">'Roll Schedule'!B173</f>
        <v>45401</v>
      </c>
      <c r="F78" s="3" t="n">
        <f aca="false">SUMIFS('Futures Data'!$C$5:$C$3471,'Futures Data'!$A$5:$A$3471,B78,'Futures Data'!$B$5:$B$3471,E78)</f>
        <v>6050</v>
      </c>
      <c r="G78" s="3" t="n">
        <f aca="false">SUMIFS('Futures Data'!$C$5:$C$3471,'Futures Data'!$A$5:$A$3471,A78,'Futures Data'!$B$5:$B$3471,E78)</f>
        <v>6009</v>
      </c>
      <c r="H78" s="13" t="n">
        <f aca="false">LN(D78/C78)</f>
        <v>-0.0158733491562901</v>
      </c>
      <c r="I78" s="13" t="n">
        <f aca="false">LN(G78/F78)</f>
        <v>-0.00679992669095918</v>
      </c>
      <c r="J78" s="3" t="str">
        <f aca="false">IF(A78&lt;='Results &amp; Charts'!$C$5,"In-sample","Out-of-sample")</f>
        <v>In-sample</v>
      </c>
      <c r="K78" s="13" t="n">
        <f aca="false">H78-'Results &amp; Charts'!$C$9*I78</f>
        <v>-0.0117011359357994</v>
      </c>
      <c r="L78" s="13" t="n">
        <f aca="false">H78-I78</f>
        <v>-0.00907342246533095</v>
      </c>
      <c r="M78" s="15" t="n">
        <v>0.765394365795526</v>
      </c>
      <c r="N78" s="13" t="n">
        <f aca="false">H78-M78*I78</f>
        <v>-0.0106687235792074</v>
      </c>
      <c r="O78" s="16" t="n">
        <f aca="false">'Results &amp; Charts'!$C$9</f>
        <v>0.613567382430444</v>
      </c>
    </row>
    <row r="79" customFormat="false" ht="15" hidden="false" customHeight="false" outlineLevel="0" collapsed="false">
      <c r="A79" s="14" t="n">
        <f aca="false">'Roll Schedule'!A174</f>
        <v>45384</v>
      </c>
      <c r="B79" s="14" t="n">
        <f aca="false">'Roll Schedule'!A173</f>
        <v>45383</v>
      </c>
      <c r="C79" s="3" t="n">
        <f aca="false">SUMIFS('Spot Data'!$E$5:$E$651,'Spot Data'!$A$5:$A$651,B79,'Spot Data'!$H$5:$H$651,"YES")</f>
        <v>6250</v>
      </c>
      <c r="D79" s="3" t="n">
        <f aca="false">SUMIFS('Spot Data'!$E$5:$E$651,'Spot Data'!$A$5:$A$651,A79,'Spot Data'!$H$5:$H$651,"YES")</f>
        <v>6250</v>
      </c>
      <c r="E79" s="14" t="n">
        <f aca="false">'Roll Schedule'!B174</f>
        <v>45401</v>
      </c>
      <c r="F79" s="3" t="n">
        <f aca="false">SUMIFS('Futures Data'!$C$5:$C$3471,'Futures Data'!$A$5:$A$3471,B79,'Futures Data'!$B$5:$B$3471,E79)</f>
        <v>6009</v>
      </c>
      <c r="G79" s="3" t="n">
        <f aca="false">SUMIFS('Futures Data'!$C$5:$C$3471,'Futures Data'!$A$5:$A$3471,A79,'Futures Data'!$B$5:$B$3471,E79)</f>
        <v>5979</v>
      </c>
      <c r="H79" s="13" t="n">
        <f aca="false">LN(D79/C79)</f>
        <v>0</v>
      </c>
      <c r="I79" s="13" t="n">
        <f aca="false">LN(G79/F79)</f>
        <v>-0.00500501545302351</v>
      </c>
      <c r="J79" s="3" t="str">
        <f aca="false">IF(A79&lt;='Results &amp; Charts'!$C$5,"In-sample","Out-of-sample")</f>
        <v>In-sample</v>
      </c>
      <c r="K79" s="13" t="n">
        <f aca="false">H79-'Results &amp; Charts'!$C$9*I79</f>
        <v>0.00307091423053556</v>
      </c>
      <c r="L79" s="13" t="n">
        <f aca="false">H79-I79</f>
        <v>0.00500501545302351</v>
      </c>
      <c r="M79" s="15" t="n">
        <v>0.789430202707852</v>
      </c>
      <c r="N79" s="13" t="n">
        <f aca="false">H79-M79*I79</f>
        <v>0.00395111036363628</v>
      </c>
      <c r="O79" s="16" t="n">
        <f aca="false">'Results &amp; Charts'!$C$9</f>
        <v>0.613567382430444</v>
      </c>
    </row>
    <row r="80" customFormat="false" ht="15" hidden="false" customHeight="false" outlineLevel="0" collapsed="false">
      <c r="A80" s="14" t="n">
        <f aca="false">'Roll Schedule'!A175</f>
        <v>45385</v>
      </c>
      <c r="B80" s="14" t="n">
        <f aca="false">'Roll Schedule'!A174</f>
        <v>45384</v>
      </c>
      <c r="C80" s="3" t="n">
        <f aca="false">SUMIFS('Spot Data'!$E$5:$E$651,'Spot Data'!$A$5:$A$651,B80,'Spot Data'!$H$5:$H$651,"YES")</f>
        <v>6250</v>
      </c>
      <c r="D80" s="3" t="n">
        <f aca="false">SUMIFS('Spot Data'!$E$5:$E$651,'Spot Data'!$A$5:$A$651,A80,'Spot Data'!$H$5:$H$651,"YES")</f>
        <v>6250</v>
      </c>
      <c r="E80" s="14" t="n">
        <f aca="false">'Roll Schedule'!B175</f>
        <v>45401</v>
      </c>
      <c r="F80" s="3" t="n">
        <f aca="false">SUMIFS('Futures Data'!$C$5:$C$3471,'Futures Data'!$A$5:$A$3471,B80,'Futures Data'!$B$5:$B$3471,E80)</f>
        <v>5979</v>
      </c>
      <c r="G80" s="3" t="n">
        <f aca="false">SUMIFS('Futures Data'!$C$5:$C$3471,'Futures Data'!$A$5:$A$3471,A80,'Futures Data'!$B$5:$B$3471,E80)</f>
        <v>6026</v>
      </c>
      <c r="H80" s="13" t="n">
        <f aca="false">LN(D80/C80)</f>
        <v>0</v>
      </c>
      <c r="I80" s="13" t="n">
        <f aca="false">LN(G80/F80)</f>
        <v>0.00783011080934211</v>
      </c>
      <c r="J80" s="3" t="str">
        <f aca="false">IF(A80&lt;='Results &amp; Charts'!$C$5,"In-sample","Out-of-sample")</f>
        <v>In-sample</v>
      </c>
      <c r="K80" s="13" t="n">
        <f aca="false">H80-'Results &amp; Charts'!$C$9*I80</f>
        <v>-0.00480430059342837</v>
      </c>
      <c r="L80" s="13" t="n">
        <f aca="false">H80-I80</f>
        <v>-0.00783011080934211</v>
      </c>
      <c r="M80" s="15" t="n">
        <v>0.807553740819379</v>
      </c>
      <c r="N80" s="13" t="n">
        <f aca="false">H80-M80*I80</f>
        <v>-0.00632323527511448</v>
      </c>
      <c r="O80" s="16" t="n">
        <f aca="false">'Results &amp; Charts'!$C$9</f>
        <v>0.613567382430444</v>
      </c>
    </row>
    <row r="81" customFormat="false" ht="15" hidden="false" customHeight="false" outlineLevel="0" collapsed="false">
      <c r="A81" s="14" t="n">
        <f aca="false">'Roll Schedule'!A176</f>
        <v>45386</v>
      </c>
      <c r="B81" s="14" t="n">
        <f aca="false">'Roll Schedule'!A175</f>
        <v>45385</v>
      </c>
      <c r="C81" s="3" t="n">
        <f aca="false">SUMIFS('Spot Data'!$E$5:$E$651,'Spot Data'!$A$5:$A$651,B81,'Spot Data'!$H$5:$H$651,"YES")</f>
        <v>6250</v>
      </c>
      <c r="D81" s="3" t="n">
        <f aca="false">SUMIFS('Spot Data'!$E$5:$E$651,'Spot Data'!$A$5:$A$651,A81,'Spot Data'!$H$5:$H$651,"YES")</f>
        <v>6350</v>
      </c>
      <c r="E81" s="14" t="n">
        <f aca="false">'Roll Schedule'!B176</f>
        <v>45401</v>
      </c>
      <c r="F81" s="3" t="n">
        <f aca="false">SUMIFS('Futures Data'!$C$5:$C$3471,'Futures Data'!$A$5:$A$3471,B81,'Futures Data'!$B$5:$B$3471,E81)</f>
        <v>6026</v>
      </c>
      <c r="G81" s="3" t="n">
        <f aca="false">SUMIFS('Futures Data'!$C$5:$C$3471,'Futures Data'!$A$5:$A$3471,A81,'Futures Data'!$B$5:$B$3471,E81)</f>
        <v>6081</v>
      </c>
      <c r="H81" s="13" t="n">
        <f aca="false">LN(D81/C81)</f>
        <v>0.0158733491562902</v>
      </c>
      <c r="I81" s="13" t="n">
        <f aca="false">LN(G81/F81)</f>
        <v>0.00908571542986315</v>
      </c>
      <c r="J81" s="3" t="str">
        <f aca="false">IF(A81&lt;='Results &amp; Charts'!$C$5,"In-sample","Out-of-sample")</f>
        <v>In-sample</v>
      </c>
      <c r="K81" s="13" t="n">
        <f aca="false">H81-'Results &amp; Charts'!$C$9*I81</f>
        <v>0.0102986505224811</v>
      </c>
      <c r="L81" s="13" t="n">
        <f aca="false">H81-I81</f>
        <v>0.00678763372642701</v>
      </c>
      <c r="M81" s="15" t="n">
        <v>0.756321222138065</v>
      </c>
      <c r="N81" s="13" t="n">
        <f aca="false">H81-M81*I81</f>
        <v>0.00900162975837739</v>
      </c>
      <c r="O81" s="16" t="n">
        <f aca="false">'Results &amp; Charts'!$C$9</f>
        <v>0.613567382430444</v>
      </c>
    </row>
    <row r="82" customFormat="false" ht="15" hidden="false" customHeight="false" outlineLevel="0" collapsed="false">
      <c r="A82" s="14" t="n">
        <f aca="false">'Roll Schedule'!A177</f>
        <v>45387</v>
      </c>
      <c r="B82" s="14" t="n">
        <f aca="false">'Roll Schedule'!A176</f>
        <v>45386</v>
      </c>
      <c r="C82" s="3" t="n">
        <f aca="false">SUMIFS('Spot Data'!$E$5:$E$651,'Spot Data'!$A$5:$A$651,B82,'Spot Data'!$H$5:$H$651,"YES")</f>
        <v>6350</v>
      </c>
      <c r="D82" s="3" t="n">
        <f aca="false">SUMIFS('Spot Data'!$E$5:$E$651,'Spot Data'!$A$5:$A$651,A82,'Spot Data'!$H$5:$H$651,"YES")</f>
        <v>6350</v>
      </c>
      <c r="E82" s="14" t="n">
        <f aca="false">'Roll Schedule'!B177</f>
        <v>45401</v>
      </c>
      <c r="F82" s="3" t="n">
        <f aca="false">SUMIFS('Futures Data'!$C$5:$C$3471,'Futures Data'!$A$5:$A$3471,B82,'Futures Data'!$B$5:$B$3471,E82)</f>
        <v>6081</v>
      </c>
      <c r="G82" s="3" t="n">
        <f aca="false">SUMIFS('Futures Data'!$C$5:$C$3471,'Futures Data'!$A$5:$A$3471,A82,'Futures Data'!$B$5:$B$3471,E82)</f>
        <v>6028</v>
      </c>
      <c r="H82" s="13" t="n">
        <f aca="false">LN(D82/C82)</f>
        <v>0</v>
      </c>
      <c r="I82" s="13" t="n">
        <f aca="false">LN(G82/F82)</f>
        <v>-0.00875387537372361</v>
      </c>
      <c r="J82" s="3" t="str">
        <f aca="false">IF(A82&lt;='Results &amp; Charts'!$C$5,"In-sample","Out-of-sample")</f>
        <v>In-sample</v>
      </c>
      <c r="K82" s="13" t="n">
        <f aca="false">H82-'Results &amp; Charts'!$C$9*I82</f>
        <v>0.00537109239917792</v>
      </c>
      <c r="L82" s="13" t="n">
        <f aca="false">H82-I82</f>
        <v>0.00875387537372361</v>
      </c>
      <c r="M82" s="15" t="n">
        <v>0.733065218867447</v>
      </c>
      <c r="N82" s="13" t="n">
        <f aca="false">H82-M82*I82</f>
        <v>0.00641716156677706</v>
      </c>
      <c r="O82" s="16" t="n">
        <f aca="false">'Results &amp; Charts'!$C$9</f>
        <v>0.613567382430444</v>
      </c>
    </row>
    <row r="83" customFormat="false" ht="15" hidden="false" customHeight="false" outlineLevel="0" collapsed="false">
      <c r="A83" s="14" t="n">
        <f aca="false">'Roll Schedule'!A178</f>
        <v>45390</v>
      </c>
      <c r="B83" s="14" t="n">
        <f aca="false">'Roll Schedule'!A177</f>
        <v>45387</v>
      </c>
      <c r="C83" s="3" t="n">
        <f aca="false">SUMIFS('Spot Data'!$E$5:$E$651,'Spot Data'!$A$5:$A$651,B83,'Spot Data'!$H$5:$H$651,"YES")</f>
        <v>6350</v>
      </c>
      <c r="D83" s="3" t="n">
        <f aca="false">SUMIFS('Spot Data'!$E$5:$E$651,'Spot Data'!$A$5:$A$651,A83,'Spot Data'!$H$5:$H$651,"YES")</f>
        <v>6250</v>
      </c>
      <c r="E83" s="14" t="n">
        <f aca="false">'Roll Schedule'!B178</f>
        <v>45401</v>
      </c>
      <c r="F83" s="3" t="n">
        <f aca="false">SUMIFS('Futures Data'!$C$5:$C$3471,'Futures Data'!$A$5:$A$3471,B83,'Futures Data'!$B$5:$B$3471,E83)</f>
        <v>6028</v>
      </c>
      <c r="G83" s="3" t="n">
        <f aca="false">SUMIFS('Futures Data'!$C$5:$C$3471,'Futures Data'!$A$5:$A$3471,A83,'Futures Data'!$B$5:$B$3471,E83)</f>
        <v>5931</v>
      </c>
      <c r="H83" s="13" t="n">
        <f aca="false">LN(D83/C83)</f>
        <v>-0.0158733491562901</v>
      </c>
      <c r="I83" s="13" t="n">
        <f aca="false">LN(G83/F83)</f>
        <v>-0.0162224479076595</v>
      </c>
      <c r="J83" s="3" t="str">
        <f aca="false">IF(A83&lt;='Results &amp; Charts'!$C$5,"In-sample","Out-of-sample")</f>
        <v>In-sample</v>
      </c>
      <c r="K83" s="13" t="n">
        <f aca="false">H83-'Results &amp; Charts'!$C$9*I83</f>
        <v>-0.00591978425697323</v>
      </c>
      <c r="L83" s="13" t="n">
        <f aca="false">H83-I83</f>
        <v>0.000349098751369393</v>
      </c>
      <c r="M83" s="15" t="n">
        <v>0.695398952645512</v>
      </c>
      <c r="N83" s="13" t="n">
        <f aca="false">H83-M83*I83</f>
        <v>-0.00459227587195732</v>
      </c>
      <c r="O83" s="16" t="n">
        <f aca="false">'Results &amp; Charts'!$C$9</f>
        <v>0.613567382430444</v>
      </c>
    </row>
    <row r="84" customFormat="false" ht="15" hidden="false" customHeight="false" outlineLevel="0" collapsed="false">
      <c r="A84" s="14" t="n">
        <f aca="false">'Roll Schedule'!A182</f>
        <v>45397</v>
      </c>
      <c r="B84" s="14" t="n">
        <f aca="false">'Roll Schedule'!A181</f>
        <v>45394</v>
      </c>
      <c r="C84" s="3" t="n">
        <f aca="false">SUMIFS('Spot Data'!$E$5:$E$651,'Spot Data'!$A$5:$A$651,B84,'Spot Data'!$H$5:$H$651,"YES")</f>
        <v>6250</v>
      </c>
      <c r="D84" s="3" t="n">
        <f aca="false">SUMIFS('Spot Data'!$E$5:$E$651,'Spot Data'!$A$5:$A$651,A84,'Spot Data'!$H$5:$H$651,"YES")</f>
        <v>6250</v>
      </c>
      <c r="E84" s="14" t="n">
        <f aca="false">'Roll Schedule'!B182</f>
        <v>45432</v>
      </c>
      <c r="F84" s="3" t="n">
        <f aca="false">SUMIFS('Futures Data'!$C$5:$C$3471,'Futures Data'!$A$5:$A$3471,B84,'Futures Data'!$B$5:$B$3471,E84)</f>
        <v>5902</v>
      </c>
      <c r="G84" s="3" t="n">
        <f aca="false">SUMIFS('Futures Data'!$C$5:$C$3471,'Futures Data'!$A$5:$A$3471,A84,'Futures Data'!$B$5:$B$3471,E84)</f>
        <v>5823</v>
      </c>
      <c r="H84" s="13" t="n">
        <f aca="false">LN(D84/C84)</f>
        <v>0</v>
      </c>
      <c r="I84" s="13" t="n">
        <f aca="false">LN(G84/F84)</f>
        <v>-0.0134756836657648</v>
      </c>
      <c r="J84" s="3" t="str">
        <f aca="false">IF(A84&lt;='Results &amp; Charts'!$C$5,"In-sample","Out-of-sample")</f>
        <v>In-sample</v>
      </c>
      <c r="K84" s="13" t="n">
        <f aca="false">H84-'Results &amp; Charts'!$C$9*I84</f>
        <v>0.00826823995326397</v>
      </c>
      <c r="L84" s="13" t="n">
        <f aca="false">H84-I84</f>
        <v>0.0134756836657648</v>
      </c>
      <c r="M84" s="15" t="n">
        <v>0.570115756542606</v>
      </c>
      <c r="N84" s="13" t="n">
        <f aca="false">H84-M84*I84</f>
        <v>0.00768269958803631</v>
      </c>
      <c r="O84" s="16" t="n">
        <f aca="false">'Results &amp; Charts'!$C$9</f>
        <v>0.613567382430444</v>
      </c>
    </row>
    <row r="85" customFormat="false" ht="15" hidden="false" customHeight="false" outlineLevel="0" collapsed="false">
      <c r="A85" s="14" t="n">
        <f aca="false">'Roll Schedule'!A183</f>
        <v>45398</v>
      </c>
      <c r="B85" s="14" t="n">
        <f aca="false">'Roll Schedule'!A182</f>
        <v>45397</v>
      </c>
      <c r="C85" s="3" t="n">
        <f aca="false">SUMIFS('Spot Data'!$E$5:$E$651,'Spot Data'!$A$5:$A$651,B85,'Spot Data'!$H$5:$H$651,"YES")</f>
        <v>6250</v>
      </c>
      <c r="D85" s="3" t="n">
        <f aca="false">SUMIFS('Spot Data'!$E$5:$E$651,'Spot Data'!$A$5:$A$651,A85,'Spot Data'!$H$5:$H$651,"YES")</f>
        <v>6150</v>
      </c>
      <c r="E85" s="14" t="n">
        <f aca="false">'Roll Schedule'!B183</f>
        <v>45432</v>
      </c>
      <c r="F85" s="3" t="n">
        <f aca="false">SUMIFS('Futures Data'!$C$5:$C$3471,'Futures Data'!$A$5:$A$3471,B85,'Futures Data'!$B$5:$B$3471,E85)</f>
        <v>5823</v>
      </c>
      <c r="G85" s="3" t="n">
        <f aca="false">SUMIFS('Futures Data'!$C$5:$C$3471,'Futures Data'!$A$5:$A$3471,A85,'Futures Data'!$B$5:$B$3471,E85)</f>
        <v>5802</v>
      </c>
      <c r="H85" s="13" t="n">
        <f aca="false">LN(D85/C85)</f>
        <v>-0.0161293819298836</v>
      </c>
      <c r="I85" s="13" t="n">
        <f aca="false">LN(G85/F85)</f>
        <v>-0.00361290715577066</v>
      </c>
      <c r="J85" s="3" t="str">
        <f aca="false">IF(A85&lt;='Results &amp; Charts'!$C$5,"In-sample","Out-of-sample")</f>
        <v>In-sample</v>
      </c>
      <c r="K85" s="13" t="n">
        <f aca="false">H85-'Results &amp; Charts'!$C$9*I85</f>
        <v>-0.0139126199433532</v>
      </c>
      <c r="L85" s="13" t="n">
        <f aca="false">H85-I85</f>
        <v>-0.012516474774113</v>
      </c>
      <c r="M85" s="15" t="n">
        <v>0.502260831564004</v>
      </c>
      <c r="N85" s="13" t="n">
        <f aca="false">H85-M85*I85</f>
        <v>-0.0143147601774627</v>
      </c>
      <c r="O85" s="16" t="n">
        <f aca="false">'Results &amp; Charts'!$C$9</f>
        <v>0.613567382430444</v>
      </c>
    </row>
    <row r="86" customFormat="false" ht="15" hidden="false" customHeight="false" outlineLevel="0" collapsed="false">
      <c r="A86" s="14" t="n">
        <f aca="false">'Roll Schedule'!A184</f>
        <v>45400</v>
      </c>
      <c r="B86" s="14" t="n">
        <f aca="false">'Roll Schedule'!A183</f>
        <v>45398</v>
      </c>
      <c r="C86" s="3" t="n">
        <f aca="false">SUMIFS('Spot Data'!$E$5:$E$651,'Spot Data'!$A$5:$A$651,B86,'Spot Data'!$H$5:$H$651,"YES")</f>
        <v>6150</v>
      </c>
      <c r="D86" s="3" t="n">
        <f aca="false">SUMIFS('Spot Data'!$E$5:$E$651,'Spot Data'!$A$5:$A$651,A86,'Spot Data'!$H$5:$H$651,"YES")</f>
        <v>6150</v>
      </c>
      <c r="E86" s="14" t="n">
        <f aca="false">'Roll Schedule'!B184</f>
        <v>45432</v>
      </c>
      <c r="F86" s="3" t="n">
        <f aca="false">SUMIFS('Futures Data'!$C$5:$C$3471,'Futures Data'!$A$5:$A$3471,B86,'Futures Data'!$B$5:$B$3471,E86)</f>
        <v>5802</v>
      </c>
      <c r="G86" s="3" t="n">
        <f aca="false">SUMIFS('Futures Data'!$C$5:$C$3471,'Futures Data'!$A$5:$A$3471,A86,'Futures Data'!$B$5:$B$3471,E86)</f>
        <v>5806</v>
      </c>
      <c r="H86" s="13" t="n">
        <f aca="false">LN(D86/C86)</f>
        <v>0</v>
      </c>
      <c r="I86" s="13" t="n">
        <f aca="false">LN(G86/F86)</f>
        <v>0.00068917990322595</v>
      </c>
      <c r="J86" s="3" t="str">
        <f aca="false">IF(A86&lt;='Results &amp; Charts'!$C$5,"In-sample","Out-of-sample")</f>
        <v>In-sample</v>
      </c>
      <c r="K86" s="13" t="n">
        <f aca="false">H86-'Results &amp; Charts'!$C$9*I86</f>
        <v>-0.000422858309246013</v>
      </c>
      <c r="L86" s="13" t="n">
        <f aca="false">H86-I86</f>
        <v>-0.00068917990322595</v>
      </c>
      <c r="M86" s="15" t="n">
        <v>0.556389954226119</v>
      </c>
      <c r="N86" s="13" t="n">
        <f aca="false">H86-M86*I86</f>
        <v>-0.000383452774809447</v>
      </c>
      <c r="O86" s="16" t="n">
        <f aca="false">'Results &amp; Charts'!$C$9</f>
        <v>0.613567382430444</v>
      </c>
    </row>
    <row r="87" customFormat="false" ht="15" hidden="false" customHeight="false" outlineLevel="0" collapsed="false">
      <c r="A87" s="14" t="n">
        <f aca="false">'Roll Schedule'!A187</f>
        <v>45405</v>
      </c>
      <c r="B87" s="14" t="n">
        <f aca="false">'Roll Schedule'!A186</f>
        <v>45404</v>
      </c>
      <c r="C87" s="3" t="n">
        <f aca="false">SUMIFS('Spot Data'!$E$5:$E$651,'Spot Data'!$A$5:$A$651,B87,'Spot Data'!$H$5:$H$651,"YES")</f>
        <v>6150</v>
      </c>
      <c r="D87" s="3" t="n">
        <f aca="false">SUMIFS('Spot Data'!$E$5:$E$651,'Spot Data'!$A$5:$A$651,A87,'Spot Data'!$H$5:$H$651,"YES")</f>
        <v>6150</v>
      </c>
      <c r="E87" s="14" t="n">
        <f aca="false">'Roll Schedule'!B187</f>
        <v>45432</v>
      </c>
      <c r="F87" s="3" t="n">
        <f aca="false">SUMIFS('Futures Data'!$C$5:$C$3471,'Futures Data'!$A$5:$A$3471,B87,'Futures Data'!$B$5:$B$3471,E87)</f>
        <v>5806</v>
      </c>
      <c r="G87" s="3" t="n">
        <f aca="false">SUMIFS('Futures Data'!$C$5:$C$3471,'Futures Data'!$A$5:$A$3471,A87,'Futures Data'!$B$5:$B$3471,E87)</f>
        <v>5810</v>
      </c>
      <c r="H87" s="13" t="n">
        <f aca="false">LN(D87/C87)</f>
        <v>0</v>
      </c>
      <c r="I87" s="13" t="n">
        <f aca="false">LN(G87/F87)</f>
        <v>0.000688705261381654</v>
      </c>
      <c r="J87" s="3" t="str">
        <f aca="false">IF(A87&lt;='Results &amp; Charts'!$C$5,"In-sample","Out-of-sample")</f>
        <v>In-sample</v>
      </c>
      <c r="K87" s="13" t="n">
        <f aca="false">H87-'Results &amp; Charts'!$C$9*I87</f>
        <v>-0.000422567084492017</v>
      </c>
      <c r="L87" s="13" t="n">
        <f aca="false">H87-I87</f>
        <v>-0.000688705261381654</v>
      </c>
      <c r="M87" s="15" t="n">
        <v>0.607092177080801</v>
      </c>
      <c r="N87" s="13" t="n">
        <f aca="false">H87-M87*I87</f>
        <v>-0.00041810757649919</v>
      </c>
      <c r="O87" s="16" t="n">
        <f aca="false">'Results &amp; Charts'!$C$9</f>
        <v>0.613567382430444</v>
      </c>
    </row>
    <row r="88" customFormat="false" ht="15" hidden="false" customHeight="false" outlineLevel="0" collapsed="false">
      <c r="A88" s="14" t="n">
        <f aca="false">'Roll Schedule'!A188</f>
        <v>45406</v>
      </c>
      <c r="B88" s="14" t="n">
        <f aca="false">'Roll Schedule'!A187</f>
        <v>45405</v>
      </c>
      <c r="C88" s="3" t="n">
        <f aca="false">SUMIFS('Spot Data'!$E$5:$E$651,'Spot Data'!$A$5:$A$651,B88,'Spot Data'!$H$5:$H$651,"YES")</f>
        <v>6150</v>
      </c>
      <c r="D88" s="3" t="n">
        <f aca="false">SUMIFS('Spot Data'!$E$5:$E$651,'Spot Data'!$A$5:$A$651,A88,'Spot Data'!$H$5:$H$651,"YES")</f>
        <v>6050</v>
      </c>
      <c r="E88" s="14" t="n">
        <f aca="false">'Roll Schedule'!B188</f>
        <v>45432</v>
      </c>
      <c r="F88" s="3" t="n">
        <f aca="false">SUMIFS('Futures Data'!$C$5:$C$3471,'Futures Data'!$A$5:$A$3471,B88,'Futures Data'!$B$5:$B$3471,E88)</f>
        <v>5810</v>
      </c>
      <c r="G88" s="3" t="n">
        <f aca="false">SUMIFS('Futures Data'!$C$5:$C$3471,'Futures Data'!$A$5:$A$3471,A88,'Futures Data'!$B$5:$B$3471,E88)</f>
        <v>5780</v>
      </c>
      <c r="H88" s="13" t="n">
        <f aca="false">LN(D88/C88)</f>
        <v>-0.0163938097756764</v>
      </c>
      <c r="I88" s="13" t="n">
        <f aca="false">LN(G88/F88)</f>
        <v>-0.00517688817953379</v>
      </c>
      <c r="J88" s="3" t="str">
        <f aca="false">IF(A88&lt;='Results &amp; Charts'!$C$5,"In-sample","Out-of-sample")</f>
        <v>In-sample</v>
      </c>
      <c r="K88" s="13" t="n">
        <f aca="false">H88-'Results &amp; Charts'!$C$9*I88</f>
        <v>-0.0132174400462247</v>
      </c>
      <c r="L88" s="13" t="n">
        <f aca="false">H88-I88</f>
        <v>-0.0112169215961426</v>
      </c>
      <c r="M88" s="15" t="n">
        <v>0.657537828973206</v>
      </c>
      <c r="N88" s="13" t="n">
        <f aca="false">H88-M88*I88</f>
        <v>-0.0129898099612687</v>
      </c>
      <c r="O88" s="16" t="n">
        <f aca="false">'Results &amp; Charts'!$C$9</f>
        <v>0.613567382430444</v>
      </c>
    </row>
    <row r="89" customFormat="false" ht="15" hidden="false" customHeight="false" outlineLevel="0" collapsed="false">
      <c r="A89" s="14" t="n">
        <f aca="false">'Roll Schedule'!A189</f>
        <v>45407</v>
      </c>
      <c r="B89" s="14" t="n">
        <f aca="false">'Roll Schedule'!A188</f>
        <v>45406</v>
      </c>
      <c r="C89" s="3" t="n">
        <f aca="false">SUMIFS('Spot Data'!$E$5:$E$651,'Spot Data'!$A$5:$A$651,B89,'Spot Data'!$H$5:$H$651,"YES")</f>
        <v>6050</v>
      </c>
      <c r="D89" s="3" t="n">
        <f aca="false">SUMIFS('Spot Data'!$E$5:$E$651,'Spot Data'!$A$5:$A$651,A89,'Spot Data'!$H$5:$H$651,"YES")</f>
        <v>6050</v>
      </c>
      <c r="E89" s="14" t="n">
        <f aca="false">'Roll Schedule'!B189</f>
        <v>45432</v>
      </c>
      <c r="F89" s="3" t="n">
        <f aca="false">SUMIFS('Futures Data'!$C$5:$C$3471,'Futures Data'!$A$5:$A$3471,B89,'Futures Data'!$B$5:$B$3471,E89)</f>
        <v>5780</v>
      </c>
      <c r="G89" s="3" t="n">
        <f aca="false">SUMIFS('Futures Data'!$C$5:$C$3471,'Futures Data'!$A$5:$A$3471,A89,'Futures Data'!$B$5:$B$3471,E89)</f>
        <v>5787</v>
      </c>
      <c r="H89" s="13" t="n">
        <f aca="false">LN(D89/C89)</f>
        <v>0</v>
      </c>
      <c r="I89" s="13" t="n">
        <f aca="false">LN(G89/F89)</f>
        <v>0.00121033990741569</v>
      </c>
      <c r="J89" s="3" t="str">
        <f aca="false">IF(A89&lt;='Results &amp; Charts'!$C$5,"In-sample","Out-of-sample")</f>
        <v>In-sample</v>
      </c>
      <c r="K89" s="13" t="n">
        <f aca="false">H89-'Results &amp; Charts'!$C$9*I89</f>
        <v>-0.000742625088844151</v>
      </c>
      <c r="L89" s="13" t="n">
        <f aca="false">H89-I89</f>
        <v>-0.00121033990741569</v>
      </c>
      <c r="M89" s="15" t="n">
        <v>0.703659835751835</v>
      </c>
      <c r="N89" s="13" t="n">
        <f aca="false">H89-M89*I89</f>
        <v>-0.000851667580456016</v>
      </c>
      <c r="O89" s="16" t="n">
        <f aca="false">'Results &amp; Charts'!$C$9</f>
        <v>0.613567382430444</v>
      </c>
    </row>
    <row r="90" customFormat="false" ht="15" hidden="false" customHeight="false" outlineLevel="0" collapsed="false">
      <c r="A90" s="14" t="n">
        <f aca="false">'Roll Schedule'!A190</f>
        <v>45408</v>
      </c>
      <c r="B90" s="14" t="n">
        <f aca="false">'Roll Schedule'!A189</f>
        <v>45407</v>
      </c>
      <c r="C90" s="3" t="n">
        <f aca="false">SUMIFS('Spot Data'!$E$5:$E$651,'Spot Data'!$A$5:$A$651,B90,'Spot Data'!$H$5:$H$651,"YES")</f>
        <v>6050</v>
      </c>
      <c r="D90" s="3" t="n">
        <f aca="false">SUMIFS('Spot Data'!$E$5:$E$651,'Spot Data'!$A$5:$A$651,A90,'Spot Data'!$H$5:$H$651,"YES")</f>
        <v>6050</v>
      </c>
      <c r="E90" s="14" t="n">
        <f aca="false">'Roll Schedule'!B190</f>
        <v>45432</v>
      </c>
      <c r="F90" s="3" t="n">
        <f aca="false">SUMIFS('Futures Data'!$C$5:$C$3471,'Futures Data'!$A$5:$A$3471,B90,'Futures Data'!$B$5:$B$3471,E90)</f>
        <v>5787</v>
      </c>
      <c r="G90" s="3" t="n">
        <f aca="false">SUMIFS('Futures Data'!$C$5:$C$3471,'Futures Data'!$A$5:$A$3471,A90,'Futures Data'!$B$5:$B$3471,E90)</f>
        <v>5754</v>
      </c>
      <c r="H90" s="13" t="n">
        <f aca="false">LN(D90/C90)</f>
        <v>0</v>
      </c>
      <c r="I90" s="13" t="n">
        <f aca="false">LN(G90/F90)</f>
        <v>-0.00571875746234552</v>
      </c>
      <c r="J90" s="3" t="str">
        <f aca="false">IF(A90&lt;='Results &amp; Charts'!$C$5,"In-sample","Out-of-sample")</f>
        <v>In-sample</v>
      </c>
      <c r="K90" s="13" t="n">
        <f aca="false">H90-'Results &amp; Charts'!$C$9*I90</f>
        <v>0.00350884304692591</v>
      </c>
      <c r="L90" s="13" t="n">
        <f aca="false">H90-I90</f>
        <v>0.00571875746234552</v>
      </c>
      <c r="M90" s="15" t="n">
        <v>0.750643213130361</v>
      </c>
      <c r="N90" s="13" t="n">
        <f aca="false">H90-M90*I90</f>
        <v>0.00429274647664827</v>
      </c>
      <c r="O90" s="16" t="n">
        <f aca="false">'Results &amp; Charts'!$C$9</f>
        <v>0.613567382430444</v>
      </c>
    </row>
    <row r="91" customFormat="false" ht="15" hidden="false" customHeight="false" outlineLevel="0" collapsed="false">
      <c r="A91" s="14" t="n">
        <f aca="false">'Roll Schedule'!A341</f>
        <v>45631</v>
      </c>
      <c r="B91" s="14" t="n">
        <f aca="false">'Roll Schedule'!A340</f>
        <v>45630</v>
      </c>
      <c r="C91" s="3" t="n">
        <f aca="false">SUMIFS('Spot Data'!$E$5:$E$651,'Spot Data'!$A$5:$A$651,B91,'Spot Data'!$H$5:$H$651,"YES")</f>
        <v>6800</v>
      </c>
      <c r="D91" s="3" t="n">
        <f aca="false">SUMIFS('Spot Data'!$E$5:$E$651,'Spot Data'!$A$5:$A$651,A91,'Spot Data'!$H$5:$H$651,"YES")</f>
        <v>6750</v>
      </c>
      <c r="E91" s="14" t="n">
        <f aca="false">'Roll Schedule'!B341</f>
        <v>45646</v>
      </c>
      <c r="F91" s="3" t="n">
        <f aca="false">SUMIFS('Futures Data'!$C$5:$C$3471,'Futures Data'!$A$5:$A$3471,B91,'Futures Data'!$B$5:$B$3471,E91)</f>
        <v>6479</v>
      </c>
      <c r="G91" s="3" t="n">
        <f aca="false">SUMIFS('Futures Data'!$C$5:$C$3471,'Futures Data'!$A$5:$A$3471,A91,'Futures Data'!$B$5:$B$3471,E91)</f>
        <v>6390</v>
      </c>
      <c r="H91" s="13" t="n">
        <f aca="false">LN(D91/C91)</f>
        <v>-0.00738010729762253</v>
      </c>
      <c r="I91" s="13" t="n">
        <f aca="false">LN(G91/F91)</f>
        <v>-0.0138319090783768</v>
      </c>
      <c r="J91" s="3" t="str">
        <f aca="false">IF(A91&lt;='Results &amp; Charts'!$C$5,"In-sample","Out-of-sample")</f>
        <v>In-sample</v>
      </c>
      <c r="K91" s="13" t="n">
        <f aca="false">H91-'Results &amp; Charts'!$C$9*I91</f>
        <v>0.00110670094961301</v>
      </c>
      <c r="L91" s="13" t="n">
        <f aca="false">H91-I91</f>
        <v>0.00645180178075426</v>
      </c>
      <c r="M91" s="15" t="n">
        <v>0.754638800357336</v>
      </c>
      <c r="N91" s="13" t="n">
        <f aca="false">H91-M91*I91</f>
        <v>0.00305798797593548</v>
      </c>
      <c r="O91" s="16" t="n">
        <f aca="false">'Results &amp; Charts'!$C$9</f>
        <v>0.613567382430444</v>
      </c>
    </row>
    <row r="92" customFormat="false" ht="15" hidden="false" customHeight="false" outlineLevel="0" collapsed="false">
      <c r="A92" s="14" t="n">
        <f aca="false">'Roll Schedule'!A342</f>
        <v>45632</v>
      </c>
      <c r="B92" s="14" t="n">
        <f aca="false">'Roll Schedule'!A341</f>
        <v>45631</v>
      </c>
      <c r="C92" s="3" t="n">
        <f aca="false">SUMIFS('Spot Data'!$E$5:$E$651,'Spot Data'!$A$5:$A$651,B92,'Spot Data'!$H$5:$H$651,"YES")</f>
        <v>6750</v>
      </c>
      <c r="D92" s="3" t="n">
        <f aca="false">SUMIFS('Spot Data'!$E$5:$E$651,'Spot Data'!$A$5:$A$651,A92,'Spot Data'!$H$5:$H$651,"YES")</f>
        <v>6650</v>
      </c>
      <c r="E92" s="14" t="n">
        <f aca="false">'Roll Schedule'!B342</f>
        <v>45646</v>
      </c>
      <c r="F92" s="3" t="n">
        <f aca="false">SUMIFS('Futures Data'!$C$5:$C$3471,'Futures Data'!$A$5:$A$3471,B92,'Futures Data'!$B$5:$B$3471,E92)</f>
        <v>6390</v>
      </c>
      <c r="G92" s="3" t="n">
        <f aca="false">SUMIFS('Futures Data'!$C$5:$C$3471,'Futures Data'!$A$5:$A$3471,A92,'Futures Data'!$B$5:$B$3471,E92)</f>
        <v>6417</v>
      </c>
      <c r="H92" s="13" t="n">
        <f aca="false">LN(D92/C92)</f>
        <v>-0.0149256502166757</v>
      </c>
      <c r="I92" s="13" t="n">
        <f aca="false">LN(G92/F92)</f>
        <v>0.00421645037893483</v>
      </c>
      <c r="J92" s="3" t="str">
        <f aca="false">IF(A92&lt;='Results &amp; Charts'!$C$5,"In-sample","Out-of-sample")</f>
        <v>In-sample</v>
      </c>
      <c r="K92" s="13" t="n">
        <f aca="false">H92-'Results &amp; Charts'!$C$9*I92</f>
        <v>-0.0175127266388266</v>
      </c>
      <c r="L92" s="13" t="n">
        <f aca="false">H92-I92</f>
        <v>-0.0191421005956105</v>
      </c>
      <c r="M92" s="15" t="n">
        <v>0.608948586630738</v>
      </c>
      <c r="N92" s="13" t="n">
        <f aca="false">H92-M92*I92</f>
        <v>-0.0174932517155267</v>
      </c>
      <c r="O92" s="16" t="n">
        <f aca="false">'Results &amp; Charts'!$C$9</f>
        <v>0.613567382430444</v>
      </c>
    </row>
    <row r="93" customFormat="false" ht="15" hidden="false" customHeight="false" outlineLevel="0" collapsed="false">
      <c r="A93" s="14" t="n">
        <f aca="false">'Roll Schedule'!A343</f>
        <v>45635</v>
      </c>
      <c r="B93" s="14" t="n">
        <f aca="false">'Roll Schedule'!A342</f>
        <v>45632</v>
      </c>
      <c r="C93" s="3" t="n">
        <f aca="false">SUMIFS('Spot Data'!$E$5:$E$651,'Spot Data'!$A$5:$A$651,B93,'Spot Data'!$H$5:$H$651,"YES")</f>
        <v>6650</v>
      </c>
      <c r="D93" s="3" t="n">
        <f aca="false">SUMIFS('Spot Data'!$E$5:$E$651,'Spot Data'!$A$5:$A$651,A93,'Spot Data'!$H$5:$H$651,"YES")</f>
        <v>6650</v>
      </c>
      <c r="E93" s="14" t="n">
        <f aca="false">'Roll Schedule'!B343</f>
        <v>45646</v>
      </c>
      <c r="F93" s="3" t="n">
        <f aca="false">SUMIFS('Futures Data'!$C$5:$C$3471,'Futures Data'!$A$5:$A$3471,B93,'Futures Data'!$B$5:$B$3471,E93)</f>
        <v>6417</v>
      </c>
      <c r="G93" s="3" t="n">
        <f aca="false">SUMIFS('Futures Data'!$C$5:$C$3471,'Futures Data'!$A$5:$A$3471,A93,'Futures Data'!$B$5:$B$3471,E93)</f>
        <v>6383</v>
      </c>
      <c r="H93" s="13" t="n">
        <f aca="false">LN(D93/C93)</f>
        <v>0</v>
      </c>
      <c r="I93" s="13" t="n">
        <f aca="false">LN(G93/F93)</f>
        <v>-0.00531251249445804</v>
      </c>
      <c r="J93" s="3" t="str">
        <f aca="false">IF(A93&lt;='Results &amp; Charts'!$C$5,"In-sample","Out-of-sample")</f>
        <v>In-sample</v>
      </c>
      <c r="K93" s="13" t="n">
        <f aca="false">H93-'Results &amp; Charts'!$C$9*I93</f>
        <v>0.00325958438535365</v>
      </c>
      <c r="L93" s="13" t="n">
        <f aca="false">H93-I93</f>
        <v>0.00531251249445804</v>
      </c>
      <c r="M93" s="15" t="n">
        <v>0.616554631703173</v>
      </c>
      <c r="N93" s="13" t="n">
        <f aca="false">H93-M93*I93</f>
        <v>0.00327545418443908</v>
      </c>
      <c r="O93" s="16" t="n">
        <f aca="false">'Results &amp; Charts'!$C$9</f>
        <v>0.613567382430444</v>
      </c>
    </row>
    <row r="94" customFormat="false" ht="15" hidden="false" customHeight="false" outlineLevel="0" collapsed="false">
      <c r="A94" s="14" t="n">
        <f aca="false">'Roll Schedule'!A344</f>
        <v>45636</v>
      </c>
      <c r="B94" s="14" t="n">
        <f aca="false">'Roll Schedule'!A343</f>
        <v>45635</v>
      </c>
      <c r="C94" s="3" t="n">
        <f aca="false">SUMIFS('Spot Data'!$E$5:$E$651,'Spot Data'!$A$5:$A$651,B94,'Spot Data'!$H$5:$H$651,"YES")</f>
        <v>6650</v>
      </c>
      <c r="D94" s="3" t="n">
        <f aca="false">SUMIFS('Spot Data'!$E$5:$E$651,'Spot Data'!$A$5:$A$651,A94,'Spot Data'!$H$5:$H$651,"YES")</f>
        <v>6650</v>
      </c>
      <c r="E94" s="14" t="n">
        <f aca="false">'Roll Schedule'!B344</f>
        <v>45646</v>
      </c>
      <c r="F94" s="3" t="n">
        <f aca="false">SUMIFS('Futures Data'!$C$5:$C$3471,'Futures Data'!$A$5:$A$3471,B94,'Futures Data'!$B$5:$B$3471,E94)</f>
        <v>6383</v>
      </c>
      <c r="G94" s="3" t="n">
        <f aca="false">SUMIFS('Futures Data'!$C$5:$C$3471,'Futures Data'!$A$5:$A$3471,A94,'Futures Data'!$B$5:$B$3471,E94)</f>
        <v>6294</v>
      </c>
      <c r="H94" s="13" t="n">
        <f aca="false">LN(D94/C94)</f>
        <v>0</v>
      </c>
      <c r="I94" s="13" t="n">
        <f aca="false">LN(G94/F94)</f>
        <v>-0.0140414076317051</v>
      </c>
      <c r="J94" s="3" t="str">
        <f aca="false">IF(A94&lt;='Results &amp; Charts'!$C$5,"In-sample","Out-of-sample")</f>
        <v>In-sample</v>
      </c>
      <c r="K94" s="13" t="n">
        <f aca="false">H94-'Results &amp; Charts'!$C$9*I94</f>
        <v>0.00861534972622417</v>
      </c>
      <c r="L94" s="13" t="n">
        <f aca="false">H94-I94</f>
        <v>0.0140414076317051</v>
      </c>
      <c r="M94" s="15" t="n">
        <v>0.635152336479808</v>
      </c>
      <c r="N94" s="13" t="n">
        <f aca="false">H94-M94*I94</f>
        <v>0.0089184328647429</v>
      </c>
      <c r="O94" s="16" t="n">
        <f aca="false">'Results &amp; Charts'!$C$9</f>
        <v>0.613567382430444</v>
      </c>
    </row>
    <row r="95" customFormat="false" ht="15" hidden="false" customHeight="false" outlineLevel="0" collapsed="false">
      <c r="A95" s="14" t="n">
        <f aca="false">'Roll Schedule'!A345</f>
        <v>45637</v>
      </c>
      <c r="B95" s="14" t="n">
        <f aca="false">'Roll Schedule'!A344</f>
        <v>45636</v>
      </c>
      <c r="C95" s="3" t="n">
        <f aca="false">SUMIFS('Spot Data'!$E$5:$E$651,'Spot Data'!$A$5:$A$651,B95,'Spot Data'!$H$5:$H$651,"YES")</f>
        <v>6650</v>
      </c>
      <c r="D95" s="3" t="n">
        <f aca="false">SUMIFS('Spot Data'!$E$5:$E$651,'Spot Data'!$A$5:$A$651,A95,'Spot Data'!$H$5:$H$651,"YES")</f>
        <v>6750</v>
      </c>
      <c r="E95" s="14" t="n">
        <f aca="false">'Roll Schedule'!B345</f>
        <v>45677</v>
      </c>
      <c r="F95" s="3" t="n">
        <f aca="false">SUMIFS('Futures Data'!$C$5:$C$3471,'Futures Data'!$A$5:$A$3471,B95,'Futures Data'!$B$5:$B$3471,E95)</f>
        <v>6368</v>
      </c>
      <c r="G95" s="3" t="n">
        <f aca="false">SUMIFS('Futures Data'!$C$5:$C$3471,'Futures Data'!$A$5:$A$3471,A95,'Futures Data'!$B$5:$B$3471,E95)</f>
        <v>6346</v>
      </c>
      <c r="H95" s="13" t="n">
        <f aca="false">LN(D95/C95)</f>
        <v>0.0149256502166758</v>
      </c>
      <c r="I95" s="13" t="n">
        <f aca="false">LN(G95/F95)</f>
        <v>-0.00346075538107812</v>
      </c>
      <c r="J95" s="3" t="str">
        <f aca="false">IF(A95&lt;='Results &amp; Charts'!$C$5,"In-sample","Out-of-sample")</f>
        <v>In-sample</v>
      </c>
      <c r="K95" s="13" t="n">
        <f aca="false">H95-'Results &amp; Charts'!$C$9*I95</f>
        <v>0.017049056837076</v>
      </c>
      <c r="L95" s="13" t="n">
        <f aca="false">H95-I95</f>
        <v>0.0183864055977539</v>
      </c>
      <c r="M95" s="15" t="n">
        <v>0.50300892957655</v>
      </c>
      <c r="N95" s="13" t="n">
        <f aca="false">H95-M95*I95</f>
        <v>0.0166664410764382</v>
      </c>
      <c r="O95" s="16" t="n">
        <f aca="false">'Results &amp; Charts'!$C$9</f>
        <v>0.613567382430444</v>
      </c>
    </row>
    <row r="96" customFormat="false" ht="15" hidden="false" customHeight="false" outlineLevel="0" collapsed="false">
      <c r="A96" s="14" t="n">
        <f aca="false">'Roll Schedule'!A346</f>
        <v>45638</v>
      </c>
      <c r="B96" s="14" t="n">
        <f aca="false">'Roll Schedule'!A345</f>
        <v>45637</v>
      </c>
      <c r="C96" s="3" t="n">
        <f aca="false">SUMIFS('Spot Data'!$E$5:$E$651,'Spot Data'!$A$5:$A$651,B96,'Spot Data'!$H$5:$H$651,"YES")</f>
        <v>6750</v>
      </c>
      <c r="D96" s="3" t="n">
        <f aca="false">SUMIFS('Spot Data'!$E$5:$E$651,'Spot Data'!$A$5:$A$651,A96,'Spot Data'!$H$5:$H$651,"YES")</f>
        <v>6700</v>
      </c>
      <c r="E96" s="14" t="n">
        <f aca="false">'Roll Schedule'!B346</f>
        <v>45677</v>
      </c>
      <c r="F96" s="3" t="n">
        <f aca="false">SUMIFS('Futures Data'!$C$5:$C$3471,'Futures Data'!$A$5:$A$3471,B96,'Futures Data'!$B$5:$B$3471,E96)</f>
        <v>6346</v>
      </c>
      <c r="G96" s="3" t="n">
        <f aca="false">SUMIFS('Futures Data'!$C$5:$C$3471,'Futures Data'!$A$5:$A$3471,A96,'Futures Data'!$B$5:$B$3471,E96)</f>
        <v>6372</v>
      </c>
      <c r="H96" s="13" t="n">
        <f aca="false">LN(D96/C96)</f>
        <v>-0.00743497848751809</v>
      </c>
      <c r="I96" s="13" t="n">
        <f aca="false">LN(G96/F96)</f>
        <v>0.0040886988867982</v>
      </c>
      <c r="J96" s="3" t="str">
        <f aca="false">IF(A96&lt;='Results &amp; Charts'!$C$5,"In-sample","Out-of-sample")</f>
        <v>In-sample</v>
      </c>
      <c r="K96" s="13" t="n">
        <f aca="false">H96-'Results &amp; Charts'!$C$9*I96</f>
        <v>-0.00994367076103713</v>
      </c>
      <c r="L96" s="13" t="n">
        <f aca="false">H96-I96</f>
        <v>-0.0115236773743163</v>
      </c>
      <c r="M96" s="15" t="n">
        <v>0.526597879353107</v>
      </c>
      <c r="N96" s="13" t="n">
        <f aca="false">H96-M96*I96</f>
        <v>-0.00958807865061943</v>
      </c>
      <c r="O96" s="16" t="n">
        <f aca="false">'Results &amp; Charts'!$C$9</f>
        <v>0.613567382430444</v>
      </c>
    </row>
    <row r="97" customFormat="false" ht="15" hidden="false" customHeight="false" outlineLevel="0" collapsed="false">
      <c r="A97" s="14" t="n">
        <f aca="false">'Roll Schedule'!A347</f>
        <v>45639</v>
      </c>
      <c r="B97" s="14" t="n">
        <f aca="false">'Roll Schedule'!A346</f>
        <v>45638</v>
      </c>
      <c r="C97" s="3" t="n">
        <f aca="false">SUMIFS('Spot Data'!$E$5:$E$651,'Spot Data'!$A$5:$A$651,B97,'Spot Data'!$H$5:$H$651,"YES")</f>
        <v>6700</v>
      </c>
      <c r="D97" s="3" t="n">
        <f aca="false">SUMIFS('Spot Data'!$E$5:$E$651,'Spot Data'!$A$5:$A$651,A97,'Spot Data'!$H$5:$H$651,"YES")</f>
        <v>6700</v>
      </c>
      <c r="E97" s="14" t="n">
        <f aca="false">'Roll Schedule'!B347</f>
        <v>45677</v>
      </c>
      <c r="F97" s="3" t="n">
        <f aca="false">SUMIFS('Futures Data'!$C$5:$C$3471,'Futures Data'!$A$5:$A$3471,B97,'Futures Data'!$B$5:$B$3471,E97)</f>
        <v>6372</v>
      </c>
      <c r="G97" s="3" t="n">
        <f aca="false">SUMIFS('Futures Data'!$C$5:$C$3471,'Futures Data'!$A$5:$A$3471,A97,'Futures Data'!$B$5:$B$3471,E97)</f>
        <v>6347</v>
      </c>
      <c r="H97" s="13" t="n">
        <f aca="false">LN(D97/C97)</f>
        <v>0</v>
      </c>
      <c r="I97" s="13" t="n">
        <f aca="false">LN(G97/F97)</f>
        <v>-0.00393113172346902</v>
      </c>
      <c r="J97" s="3" t="str">
        <f aca="false">IF(A97&lt;='Results &amp; Charts'!$C$5,"In-sample","Out-of-sample")</f>
        <v>In-sample</v>
      </c>
      <c r="K97" s="13" t="n">
        <f aca="false">H97-'Results &amp; Charts'!$C$9*I97</f>
        <v>0.00241201420155817</v>
      </c>
      <c r="L97" s="13" t="n">
        <f aca="false">H97-I97</f>
        <v>0.00393113172346902</v>
      </c>
      <c r="M97" s="15" t="n">
        <v>0.542060345557221</v>
      </c>
      <c r="N97" s="13" t="n">
        <f aca="false">H97-M97*I97</f>
        <v>0.00213091062045457</v>
      </c>
      <c r="O97" s="16" t="n">
        <f aca="false">'Results &amp; Charts'!$C$9</f>
        <v>0.613567382430444</v>
      </c>
    </row>
    <row r="98" customFormat="false" ht="15" hidden="false" customHeight="false" outlineLevel="0" collapsed="false">
      <c r="A98" s="14" t="n">
        <f aca="false">'Roll Schedule'!A348</f>
        <v>45642</v>
      </c>
      <c r="B98" s="14" t="n">
        <f aca="false">'Roll Schedule'!A347</f>
        <v>45639</v>
      </c>
      <c r="C98" s="3" t="n">
        <f aca="false">SUMIFS('Spot Data'!$E$5:$E$651,'Spot Data'!$A$5:$A$651,B98,'Spot Data'!$H$5:$H$651,"YES")</f>
        <v>6700</v>
      </c>
      <c r="D98" s="3" t="n">
        <f aca="false">SUMIFS('Spot Data'!$E$5:$E$651,'Spot Data'!$A$5:$A$651,A98,'Spot Data'!$H$5:$H$651,"YES")</f>
        <v>6650</v>
      </c>
      <c r="E98" s="14" t="n">
        <f aca="false">'Roll Schedule'!B348</f>
        <v>45677</v>
      </c>
      <c r="F98" s="3" t="n">
        <f aca="false">SUMIFS('Futures Data'!$C$5:$C$3471,'Futures Data'!$A$5:$A$3471,B98,'Futures Data'!$B$5:$B$3471,E98)</f>
        <v>6347</v>
      </c>
      <c r="G98" s="3" t="n">
        <f aca="false">SUMIFS('Futures Data'!$C$5:$C$3471,'Futures Data'!$A$5:$A$3471,A98,'Futures Data'!$B$5:$B$3471,E98)</f>
        <v>6265</v>
      </c>
      <c r="H98" s="13" t="n">
        <f aca="false">LN(D98/C98)</f>
        <v>-0.00749067172915763</v>
      </c>
      <c r="I98" s="13" t="n">
        <f aca="false">LN(G98/F98)</f>
        <v>-0.0130036719763015</v>
      </c>
      <c r="J98" s="3" t="str">
        <f aca="false">IF(A98&lt;='Results &amp; Charts'!$C$5,"In-sample","Out-of-sample")</f>
        <v>In-sample</v>
      </c>
      <c r="K98" s="13" t="n">
        <f aca="false">H98-'Results &amp; Charts'!$C$9*I98</f>
        <v>0.00048795724732578</v>
      </c>
      <c r="L98" s="13" t="n">
        <f aca="false">H98-I98</f>
        <v>0.00551300024714383</v>
      </c>
      <c r="M98" s="15" t="n">
        <v>0.570158743824284</v>
      </c>
      <c r="N98" s="13" t="n">
        <f aca="false">H98-M98*I98</f>
        <v>-7.65144500465423E-005</v>
      </c>
      <c r="O98" s="16" t="n">
        <f aca="false">'Results &amp; Charts'!$C$9</f>
        <v>0.613567382430444</v>
      </c>
    </row>
    <row r="99" customFormat="false" ht="15" hidden="false" customHeight="false" outlineLevel="0" collapsed="false">
      <c r="A99" s="14" t="n">
        <f aca="false">'Roll Schedule'!A349</f>
        <v>45643</v>
      </c>
      <c r="B99" s="14" t="n">
        <f aca="false">'Roll Schedule'!A348</f>
        <v>45642</v>
      </c>
      <c r="C99" s="3" t="n">
        <f aca="false">SUMIFS('Spot Data'!$E$5:$E$651,'Spot Data'!$A$5:$A$651,B99,'Spot Data'!$H$5:$H$651,"YES")</f>
        <v>6650</v>
      </c>
      <c r="D99" s="3" t="n">
        <f aca="false">SUMIFS('Spot Data'!$E$5:$E$651,'Spot Data'!$A$5:$A$651,A99,'Spot Data'!$H$5:$H$651,"YES")</f>
        <v>6600</v>
      </c>
      <c r="E99" s="14" t="n">
        <f aca="false">'Roll Schedule'!B349</f>
        <v>45677</v>
      </c>
      <c r="F99" s="3" t="n">
        <f aca="false">SUMIFS('Futures Data'!$C$5:$C$3471,'Futures Data'!$A$5:$A$3471,B99,'Futures Data'!$B$5:$B$3471,E99)</f>
        <v>6265</v>
      </c>
      <c r="G99" s="3" t="n">
        <f aca="false">SUMIFS('Futures Data'!$C$5:$C$3471,'Futures Data'!$A$5:$A$3471,A99,'Futures Data'!$B$5:$B$3471,E99)</f>
        <v>6246</v>
      </c>
      <c r="H99" s="13" t="n">
        <f aca="false">LN(D99/C99)</f>
        <v>-0.00754720563538297</v>
      </c>
      <c r="I99" s="13" t="n">
        <f aca="false">LN(G99/F99)</f>
        <v>-0.0030373294871448</v>
      </c>
      <c r="J99" s="3" t="str">
        <f aca="false">IF(A99&lt;='Results &amp; Charts'!$C$5,"In-sample","Out-of-sample")</f>
        <v>In-sample</v>
      </c>
      <c r="K99" s="13" t="n">
        <f aca="false">H99-'Results &amp; Charts'!$C$9*I99</f>
        <v>-0.00568359933237673</v>
      </c>
      <c r="L99" s="13" t="n">
        <f aca="false">H99-I99</f>
        <v>-0.00450987614823817</v>
      </c>
      <c r="M99" s="15" t="n">
        <v>0.490303116501087</v>
      </c>
      <c r="N99" s="13" t="n">
        <f aca="false">H99-M99*I99</f>
        <v>-0.00605799352199522</v>
      </c>
      <c r="O99" s="16" t="n">
        <f aca="false">'Results &amp; Charts'!$C$9</f>
        <v>0.613567382430444</v>
      </c>
    </row>
    <row r="100" customFormat="false" ht="15" hidden="false" customHeight="false" outlineLevel="0" collapsed="false">
      <c r="A100" s="14" t="n">
        <f aca="false">'Roll Schedule'!A350</f>
        <v>45644</v>
      </c>
      <c r="B100" s="14" t="n">
        <f aca="false">'Roll Schedule'!A349</f>
        <v>45643</v>
      </c>
      <c r="C100" s="3" t="n">
        <f aca="false">SUMIFS('Spot Data'!$E$5:$E$651,'Spot Data'!$A$5:$A$651,B100,'Spot Data'!$H$5:$H$651,"YES")</f>
        <v>6600</v>
      </c>
      <c r="D100" s="3" t="n">
        <f aca="false">SUMIFS('Spot Data'!$E$5:$E$651,'Spot Data'!$A$5:$A$651,A100,'Spot Data'!$H$5:$H$651,"YES")</f>
        <v>6600</v>
      </c>
      <c r="E100" s="14" t="n">
        <f aca="false">'Roll Schedule'!B350</f>
        <v>45677</v>
      </c>
      <c r="F100" s="3" t="n">
        <f aca="false">SUMIFS('Futures Data'!$C$5:$C$3471,'Futures Data'!$A$5:$A$3471,B100,'Futures Data'!$B$5:$B$3471,E100)</f>
        <v>6246</v>
      </c>
      <c r="G100" s="3" t="n">
        <f aca="false">SUMIFS('Futures Data'!$C$5:$C$3471,'Futures Data'!$A$5:$A$3471,A100,'Futures Data'!$B$5:$B$3471,E100)</f>
        <v>6313</v>
      </c>
      <c r="H100" s="13" t="n">
        <f aca="false">LN(D100/C100)</f>
        <v>0</v>
      </c>
      <c r="I100" s="13" t="n">
        <f aca="false">LN(G100/F100)</f>
        <v>0.0106697405246018</v>
      </c>
      <c r="J100" s="3" t="str">
        <f aca="false">IF(A100&lt;='Results &amp; Charts'!$C$5,"In-sample","Out-of-sample")</f>
        <v>In-sample</v>
      </c>
      <c r="K100" s="13" t="n">
        <f aca="false">H100-'Results &amp; Charts'!$C$9*I100</f>
        <v>-0.00654660476489194</v>
      </c>
      <c r="L100" s="13" t="n">
        <f aca="false">H100-I100</f>
        <v>-0.0106697405246018</v>
      </c>
      <c r="M100" s="15" t="n">
        <v>0.53135772520686</v>
      </c>
      <c r="N100" s="13" t="n">
        <f aca="false">H100-M100*I100</f>
        <v>-0.00566944905369984</v>
      </c>
      <c r="O100" s="16" t="n">
        <f aca="false">'Results &amp; Charts'!$C$9</f>
        <v>0.613567382430444</v>
      </c>
    </row>
    <row r="101" customFormat="false" ht="15" hidden="false" customHeight="false" outlineLevel="0" collapsed="false">
      <c r="A101" s="14" t="n">
        <f aca="false">'Roll Schedule'!A351</f>
        <v>45645</v>
      </c>
      <c r="B101" s="14" t="n">
        <f aca="false">'Roll Schedule'!A350</f>
        <v>45644</v>
      </c>
      <c r="C101" s="3" t="n">
        <f aca="false">SUMIFS('Spot Data'!$E$5:$E$651,'Spot Data'!$A$5:$A$651,B101,'Spot Data'!$H$5:$H$651,"YES")</f>
        <v>6600</v>
      </c>
      <c r="D101" s="3" t="n">
        <f aca="false">SUMIFS('Spot Data'!$E$5:$E$651,'Spot Data'!$A$5:$A$651,A101,'Spot Data'!$H$5:$H$651,"YES")</f>
        <v>6650</v>
      </c>
      <c r="E101" s="14" t="n">
        <f aca="false">'Roll Schedule'!B351</f>
        <v>45677</v>
      </c>
      <c r="F101" s="3" t="n">
        <f aca="false">SUMIFS('Futures Data'!$C$5:$C$3471,'Futures Data'!$A$5:$A$3471,B101,'Futures Data'!$B$5:$B$3471,E101)</f>
        <v>6313</v>
      </c>
      <c r="G101" s="3" t="n">
        <f aca="false">SUMIFS('Futures Data'!$C$5:$C$3471,'Futures Data'!$A$5:$A$3471,A101,'Futures Data'!$B$5:$B$3471,E101)</f>
        <v>6328</v>
      </c>
      <c r="H101" s="13" t="n">
        <f aca="false">LN(D101/C101)</f>
        <v>0.0075472056353829</v>
      </c>
      <c r="I101" s="13" t="n">
        <f aca="false">LN(G101/F101)</f>
        <v>0.0023732310798641</v>
      </c>
      <c r="J101" s="3" t="str">
        <f aca="false">IF(A101&lt;='Results &amp; Charts'!$C$5,"In-sample","Out-of-sample")</f>
        <v>In-sample</v>
      </c>
      <c r="K101" s="13" t="n">
        <f aca="false">H101-'Results &amp; Charts'!$C$9*I101</f>
        <v>0.00609106845380811</v>
      </c>
      <c r="L101" s="13" t="n">
        <f aca="false">H101-I101</f>
        <v>0.0051739745555188</v>
      </c>
      <c r="M101" s="15" t="n">
        <v>0.471760484613482</v>
      </c>
      <c r="N101" s="13" t="n">
        <f aca="false">H101-M101*I101</f>
        <v>0.00642760899104644</v>
      </c>
      <c r="O101" s="16" t="n">
        <f aca="false">'Results &amp; Charts'!$C$9</f>
        <v>0.613567382430444</v>
      </c>
    </row>
    <row r="102" customFormat="false" ht="15" hidden="false" customHeight="false" outlineLevel="0" collapsed="false">
      <c r="A102" s="14" t="n">
        <f aca="false">'Roll Schedule'!A352</f>
        <v>45646</v>
      </c>
      <c r="B102" s="14" t="n">
        <f aca="false">'Roll Schedule'!A351</f>
        <v>45645</v>
      </c>
      <c r="C102" s="3" t="n">
        <f aca="false">SUMIFS('Spot Data'!$E$5:$E$651,'Spot Data'!$A$5:$A$651,B102,'Spot Data'!$H$5:$H$651,"YES")</f>
        <v>6650</v>
      </c>
      <c r="D102" s="3" t="n">
        <f aca="false">SUMIFS('Spot Data'!$E$5:$E$651,'Spot Data'!$A$5:$A$651,A102,'Spot Data'!$H$5:$H$651,"YES")</f>
        <v>6650</v>
      </c>
      <c r="E102" s="14" t="n">
        <f aca="false">'Roll Schedule'!B352</f>
        <v>45677</v>
      </c>
      <c r="F102" s="3" t="n">
        <f aca="false">SUMIFS('Futures Data'!$C$5:$C$3471,'Futures Data'!$A$5:$A$3471,B102,'Futures Data'!$B$5:$B$3471,E102)</f>
        <v>6328</v>
      </c>
      <c r="G102" s="3" t="n">
        <f aca="false">SUMIFS('Futures Data'!$C$5:$C$3471,'Futures Data'!$A$5:$A$3471,A102,'Futures Data'!$B$5:$B$3471,E102)</f>
        <v>6376</v>
      </c>
      <c r="H102" s="13" t="n">
        <f aca="false">LN(D102/C102)</f>
        <v>0</v>
      </c>
      <c r="I102" s="13" t="n">
        <f aca="false">LN(G102/F102)</f>
        <v>0.00755671102256124</v>
      </c>
      <c r="J102" s="3" t="str">
        <f aca="false">IF(A102&lt;='Results &amp; Charts'!$C$5,"In-sample","Out-of-sample")</f>
        <v>In-sample</v>
      </c>
      <c r="K102" s="13" t="n">
        <f aca="false">H102-'Results &amp; Charts'!$C$9*I102</f>
        <v>-0.00463655140189619</v>
      </c>
      <c r="L102" s="13" t="n">
        <f aca="false">H102-I102</f>
        <v>-0.00755671102256124</v>
      </c>
      <c r="M102" s="15" t="n">
        <v>0.512732509470605</v>
      </c>
      <c r="N102" s="13" t="n">
        <f aca="false">H102-M102*I102</f>
        <v>-0.003874571405942</v>
      </c>
      <c r="O102" s="16" t="n">
        <f aca="false">'Results &amp; Charts'!$C$9</f>
        <v>0.613567382430444</v>
      </c>
    </row>
    <row r="103" customFormat="false" ht="15" hidden="false" customHeight="false" outlineLevel="0" collapsed="false">
      <c r="A103" s="14" t="n">
        <f aca="false">'Roll Schedule'!A353</f>
        <v>45649</v>
      </c>
      <c r="B103" s="14" t="n">
        <f aca="false">'Roll Schedule'!A352</f>
        <v>45646</v>
      </c>
      <c r="C103" s="3" t="n">
        <f aca="false">SUMIFS('Spot Data'!$E$5:$E$651,'Spot Data'!$A$5:$A$651,B103,'Spot Data'!$H$5:$H$651,"YES")</f>
        <v>6650</v>
      </c>
      <c r="D103" s="3" t="n">
        <f aca="false">SUMIFS('Spot Data'!$E$5:$E$651,'Spot Data'!$A$5:$A$651,A103,'Spot Data'!$H$5:$H$651,"YES")</f>
        <v>6650</v>
      </c>
      <c r="E103" s="14" t="n">
        <f aca="false">'Roll Schedule'!B353</f>
        <v>45677</v>
      </c>
      <c r="F103" s="3" t="n">
        <f aca="false">SUMIFS('Futures Data'!$C$5:$C$3471,'Futures Data'!$A$5:$A$3471,B103,'Futures Data'!$B$5:$B$3471,E103)</f>
        <v>6376</v>
      </c>
      <c r="G103" s="3" t="n">
        <f aca="false">SUMIFS('Futures Data'!$C$5:$C$3471,'Futures Data'!$A$5:$A$3471,A103,'Futures Data'!$B$5:$B$3471,E103)</f>
        <v>6438</v>
      </c>
      <c r="H103" s="13" t="n">
        <f aca="false">LN(D103/C103)</f>
        <v>0</v>
      </c>
      <c r="I103" s="13" t="n">
        <f aca="false">LN(G103/F103)</f>
        <v>0.00967699138870243</v>
      </c>
      <c r="J103" s="3" t="str">
        <f aca="false">IF(A103&lt;='Results &amp; Charts'!$C$5,"In-sample","Out-of-sample")</f>
        <v>In-sample</v>
      </c>
      <c r="K103" s="13" t="n">
        <f aca="false">H103-'Results &amp; Charts'!$C$9*I103</f>
        <v>-0.0059374862761681</v>
      </c>
      <c r="L103" s="13" t="n">
        <f aca="false">H103-I103</f>
        <v>-0.00967699138870243</v>
      </c>
      <c r="M103" s="15" t="n">
        <v>0.498808007624049</v>
      </c>
      <c r="N103" s="13" t="n">
        <f aca="false">H103-M103*I103</f>
        <v>-0.00482696079439374</v>
      </c>
      <c r="O103" s="16" t="n">
        <f aca="false">'Results &amp; Charts'!$C$9</f>
        <v>0.613567382430444</v>
      </c>
    </row>
    <row r="104" customFormat="false" ht="15" hidden="false" customHeight="false" outlineLevel="0" collapsed="false">
      <c r="A104" s="14" t="n">
        <f aca="false">'Roll Schedule'!A354</f>
        <v>45650</v>
      </c>
      <c r="B104" s="14" t="n">
        <f aca="false">'Roll Schedule'!A353</f>
        <v>45649</v>
      </c>
      <c r="C104" s="3" t="n">
        <f aca="false">SUMIFS('Spot Data'!$E$5:$E$651,'Spot Data'!$A$5:$A$651,B104,'Spot Data'!$H$5:$H$651,"YES")</f>
        <v>6650</v>
      </c>
      <c r="D104" s="3" t="n">
        <f aca="false">SUMIFS('Spot Data'!$E$5:$E$651,'Spot Data'!$A$5:$A$651,A104,'Spot Data'!$H$5:$H$651,"YES")</f>
        <v>6650</v>
      </c>
      <c r="E104" s="14" t="n">
        <f aca="false">'Roll Schedule'!B354</f>
        <v>45677</v>
      </c>
      <c r="F104" s="3" t="n">
        <f aca="false">SUMIFS('Futures Data'!$C$5:$C$3471,'Futures Data'!$A$5:$A$3471,B104,'Futures Data'!$B$5:$B$3471,E104)</f>
        <v>6438</v>
      </c>
      <c r="G104" s="3" t="n">
        <f aca="false">SUMIFS('Futures Data'!$C$5:$C$3471,'Futures Data'!$A$5:$A$3471,A104,'Futures Data'!$B$5:$B$3471,E104)</f>
        <v>6363</v>
      </c>
      <c r="H104" s="13" t="n">
        <f aca="false">LN(D104/C104)</f>
        <v>0</v>
      </c>
      <c r="I104" s="13" t="n">
        <f aca="false">LN(G104/F104)</f>
        <v>-0.0117179686259614</v>
      </c>
      <c r="J104" s="3" t="str">
        <f aca="false">IF(A104&lt;='Results &amp; Charts'!$C$5,"In-sample","Out-of-sample")</f>
        <v>In-sample</v>
      </c>
      <c r="K104" s="13" t="n">
        <f aca="false">H104-'Results &amp; Charts'!$C$9*I104</f>
        <v>0.0071897633372332</v>
      </c>
      <c r="L104" s="13" t="n">
        <f aca="false">H104-I104</f>
        <v>0.0117179686259614</v>
      </c>
      <c r="M104" s="15" t="n">
        <v>0.458745044988493</v>
      </c>
      <c r="N104" s="13" t="n">
        <f aca="false">H104-M104*I104</f>
        <v>0.0053755600444904</v>
      </c>
      <c r="O104" s="16" t="n">
        <f aca="false">'Results &amp; Charts'!$C$9</f>
        <v>0.613567382430444</v>
      </c>
    </row>
    <row r="105" customFormat="false" ht="15" hidden="false" customHeight="false" outlineLevel="0" collapsed="false">
      <c r="A105" s="14" t="n">
        <f aca="false">'Roll Schedule'!A355</f>
        <v>45652</v>
      </c>
      <c r="B105" s="14" t="n">
        <f aca="false">'Roll Schedule'!A354</f>
        <v>45650</v>
      </c>
      <c r="C105" s="3" t="n">
        <f aca="false">SUMIFS('Spot Data'!$E$5:$E$651,'Spot Data'!$A$5:$A$651,B105,'Spot Data'!$H$5:$H$651,"YES")</f>
        <v>6650</v>
      </c>
      <c r="D105" s="3" t="n">
        <f aca="false">SUMIFS('Spot Data'!$E$5:$E$651,'Spot Data'!$A$5:$A$651,A105,'Spot Data'!$H$5:$H$651,"YES")</f>
        <v>6600</v>
      </c>
      <c r="E105" s="14" t="n">
        <f aca="false">'Roll Schedule'!B355</f>
        <v>45677</v>
      </c>
      <c r="F105" s="3" t="n">
        <f aca="false">SUMIFS('Futures Data'!$C$5:$C$3471,'Futures Data'!$A$5:$A$3471,B105,'Futures Data'!$B$5:$B$3471,E105)</f>
        <v>6363</v>
      </c>
      <c r="G105" s="3" t="n">
        <f aca="false">SUMIFS('Futures Data'!$C$5:$C$3471,'Futures Data'!$A$5:$A$3471,A105,'Futures Data'!$B$5:$B$3471,E105)</f>
        <v>6373</v>
      </c>
      <c r="H105" s="13" t="n">
        <f aca="false">LN(D105/C105)</f>
        <v>-0.00754720563538297</v>
      </c>
      <c r="I105" s="13" t="n">
        <f aca="false">LN(G105/F105)</f>
        <v>0.00157035208150201</v>
      </c>
      <c r="J105" s="3" t="str">
        <f aca="false">IF(A105&lt;='Results &amp; Charts'!$C$5,"In-sample","Out-of-sample")</f>
        <v>In-sample</v>
      </c>
      <c r="K105" s="13" t="n">
        <f aca="false">H105-'Results &amp; Charts'!$C$9*I105</f>
        <v>-0.00851072245152436</v>
      </c>
      <c r="L105" s="13" t="n">
        <f aca="false">H105-I105</f>
        <v>-0.00911755771688498</v>
      </c>
      <c r="M105" s="15" t="n">
        <v>0.408930553510145</v>
      </c>
      <c r="N105" s="13" t="n">
        <f aca="false">H105-M105*I105</f>
        <v>-0.00818937058127739</v>
      </c>
      <c r="O105" s="16" t="n">
        <f aca="false">'Results &amp; Charts'!$C$9</f>
        <v>0.613567382430444</v>
      </c>
    </row>
    <row r="106" customFormat="false" ht="15" hidden="false" customHeight="false" outlineLevel="0" collapsed="false">
      <c r="A106" s="14" t="n">
        <f aca="false">'Roll Schedule'!A356</f>
        <v>45653</v>
      </c>
      <c r="B106" s="14" t="n">
        <f aca="false">'Roll Schedule'!A355</f>
        <v>45652</v>
      </c>
      <c r="C106" s="3" t="n">
        <f aca="false">SUMIFS('Spot Data'!$E$5:$E$651,'Spot Data'!$A$5:$A$651,B106,'Spot Data'!$H$5:$H$651,"YES")</f>
        <v>6600</v>
      </c>
      <c r="D106" s="3" t="n">
        <f aca="false">SUMIFS('Spot Data'!$E$5:$E$651,'Spot Data'!$A$5:$A$651,A106,'Spot Data'!$H$5:$H$651,"YES")</f>
        <v>6600</v>
      </c>
      <c r="E106" s="14" t="n">
        <f aca="false">'Roll Schedule'!B356</f>
        <v>45677</v>
      </c>
      <c r="F106" s="3" t="n">
        <f aca="false">SUMIFS('Futures Data'!$C$5:$C$3471,'Futures Data'!$A$5:$A$3471,B106,'Futures Data'!$B$5:$B$3471,E106)</f>
        <v>6373</v>
      </c>
      <c r="G106" s="3" t="n">
        <f aca="false">SUMIFS('Futures Data'!$C$5:$C$3471,'Futures Data'!$A$5:$A$3471,A106,'Futures Data'!$B$5:$B$3471,E106)</f>
        <v>6371</v>
      </c>
      <c r="H106" s="13" t="n">
        <f aca="false">LN(D106/C106)</f>
        <v>0</v>
      </c>
      <c r="I106" s="13" t="n">
        <f aca="false">LN(G106/F106)</f>
        <v>-0.000313873197805924</v>
      </c>
      <c r="J106" s="3" t="str">
        <f aca="false">IF(A106&lt;='Results &amp; Charts'!$C$5,"In-sample","Out-of-sample")</f>
        <v>In-sample</v>
      </c>
      <c r="K106" s="13" t="n">
        <f aca="false">H106-'Results &amp; Charts'!$C$9*I106</f>
        <v>0.000192582356392854</v>
      </c>
      <c r="L106" s="13" t="n">
        <f aca="false">H106-I106</f>
        <v>0.000313873197805924</v>
      </c>
      <c r="M106" s="15" t="n">
        <v>0.440635911060085</v>
      </c>
      <c r="N106" s="13" t="n">
        <f aca="false">H106-M106*I106</f>
        <v>0.000138303802472556</v>
      </c>
      <c r="O106" s="16" t="n">
        <f aca="false">'Results &amp; Charts'!$C$9</f>
        <v>0.613567382430444</v>
      </c>
    </row>
    <row r="107" customFormat="false" ht="15" hidden="false" customHeight="false" outlineLevel="0" collapsed="false">
      <c r="A107" s="14" t="n">
        <f aca="false">'Roll Schedule'!A357</f>
        <v>45656</v>
      </c>
      <c r="B107" s="14" t="n">
        <f aca="false">'Roll Schedule'!A356</f>
        <v>45653</v>
      </c>
      <c r="C107" s="3" t="n">
        <f aca="false">SUMIFS('Spot Data'!$E$5:$E$651,'Spot Data'!$A$5:$A$651,B107,'Spot Data'!$H$5:$H$651,"YES")</f>
        <v>6600</v>
      </c>
      <c r="D107" s="3" t="n">
        <f aca="false">SUMIFS('Spot Data'!$E$5:$E$651,'Spot Data'!$A$5:$A$651,A107,'Spot Data'!$H$5:$H$651,"YES")</f>
        <v>6600</v>
      </c>
      <c r="E107" s="14" t="n">
        <f aca="false">'Roll Schedule'!B357</f>
        <v>45677</v>
      </c>
      <c r="F107" s="3" t="n">
        <f aca="false">SUMIFS('Futures Data'!$C$5:$C$3471,'Futures Data'!$A$5:$A$3471,B107,'Futures Data'!$B$5:$B$3471,E107)</f>
        <v>6371</v>
      </c>
      <c r="G107" s="3" t="n">
        <f aca="false">SUMIFS('Futures Data'!$C$5:$C$3471,'Futures Data'!$A$5:$A$3471,A107,'Futures Data'!$B$5:$B$3471,E107)</f>
        <v>6435</v>
      </c>
      <c r="H107" s="13" t="n">
        <f aca="false">LN(D107/C107)</f>
        <v>0</v>
      </c>
      <c r="I107" s="13" t="n">
        <f aca="false">LN(G107/F107)</f>
        <v>0.00999539791373889</v>
      </c>
      <c r="J107" s="3" t="str">
        <f aca="false">IF(A107&lt;='Results &amp; Charts'!$C$5,"In-sample","Out-of-sample")</f>
        <v>In-sample</v>
      </c>
      <c r="K107" s="13" t="n">
        <f aca="false">H107-'Results &amp; Charts'!$C$9*I107</f>
        <v>-0.0061328501342835</v>
      </c>
      <c r="L107" s="13" t="n">
        <f aca="false">H107-I107</f>
        <v>-0.00999539791373889</v>
      </c>
      <c r="M107" s="15" t="n">
        <v>0.478344235469001</v>
      </c>
      <c r="N107" s="13" t="n">
        <f aca="false">H107-M107*I107</f>
        <v>-0.00478124097325588</v>
      </c>
      <c r="O107" s="16" t="n">
        <f aca="false">'Results &amp; Charts'!$C$9</f>
        <v>0.613567382430444</v>
      </c>
    </row>
    <row r="108" customFormat="false" ht="15" hidden="false" customHeight="false" outlineLevel="0" collapsed="false">
      <c r="A108" s="14" t="n">
        <f aca="false">'Roll Schedule'!A358</f>
        <v>45657</v>
      </c>
      <c r="B108" s="14" t="n">
        <f aca="false">'Roll Schedule'!A357</f>
        <v>45656</v>
      </c>
      <c r="C108" s="3" t="n">
        <f aca="false">SUMIFS('Spot Data'!$E$5:$E$651,'Spot Data'!$A$5:$A$651,B108,'Spot Data'!$H$5:$H$651,"YES")</f>
        <v>6600</v>
      </c>
      <c r="D108" s="3" t="n">
        <f aca="false">SUMIFS('Spot Data'!$E$5:$E$651,'Spot Data'!$A$5:$A$651,A108,'Spot Data'!$H$5:$H$651,"YES")</f>
        <v>6700</v>
      </c>
      <c r="E108" s="14" t="n">
        <f aca="false">'Roll Schedule'!B358</f>
        <v>45677</v>
      </c>
      <c r="F108" s="3" t="n">
        <f aca="false">SUMIFS('Futures Data'!$C$5:$C$3471,'Futures Data'!$A$5:$A$3471,B108,'Futures Data'!$B$5:$B$3471,E108)</f>
        <v>6435</v>
      </c>
      <c r="G108" s="3" t="n">
        <f aca="false">SUMIFS('Futures Data'!$C$5:$C$3471,'Futures Data'!$A$5:$A$3471,A108,'Futures Data'!$B$5:$B$3471,E108)</f>
        <v>6448</v>
      </c>
      <c r="H108" s="13" t="n">
        <f aca="false">LN(D108/C108)</f>
        <v>0.0150378773645405</v>
      </c>
      <c r="I108" s="13" t="n">
        <f aca="false">LN(G108/F108)</f>
        <v>0.0020181641562372</v>
      </c>
      <c r="J108" s="3" t="str">
        <f aca="false">IF(A108&lt;='Results &amp; Charts'!$C$5,"In-sample","Out-of-sample")</f>
        <v>In-sample</v>
      </c>
      <c r="K108" s="13" t="n">
        <f aca="false">H108-'Results &amp; Charts'!$C$9*I108</f>
        <v>0.0137995976658831</v>
      </c>
      <c r="L108" s="13" t="n">
        <f aca="false">H108-I108</f>
        <v>0.0130197132083033</v>
      </c>
      <c r="M108" s="15" t="n">
        <v>0.431378965906292</v>
      </c>
      <c r="N108" s="13" t="n">
        <f aca="false">H108-M108*I108</f>
        <v>0.0141672837977938</v>
      </c>
      <c r="O108" s="16" t="n">
        <f aca="false">'Results &amp; Charts'!$C$9</f>
        <v>0.613567382430444</v>
      </c>
    </row>
    <row r="109" customFormat="false" ht="15" hidden="false" customHeight="false" outlineLevel="0" collapsed="false">
      <c r="A109" s="14" t="n">
        <f aca="false">'Roll Schedule'!A359</f>
        <v>45658</v>
      </c>
      <c r="B109" s="14" t="n">
        <f aca="false">'Roll Schedule'!A358</f>
        <v>45657</v>
      </c>
      <c r="C109" s="3" t="n">
        <f aca="false">SUMIFS('Spot Data'!$E$5:$E$651,'Spot Data'!$A$5:$A$651,B109,'Spot Data'!$H$5:$H$651,"YES")</f>
        <v>6700</v>
      </c>
      <c r="D109" s="3" t="n">
        <f aca="false">SUMIFS('Spot Data'!$E$5:$E$651,'Spot Data'!$A$5:$A$651,A109,'Spot Data'!$H$5:$H$651,"YES")</f>
        <v>6700</v>
      </c>
      <c r="E109" s="14" t="n">
        <f aca="false">'Roll Schedule'!B359</f>
        <v>45677</v>
      </c>
      <c r="F109" s="3" t="n">
        <f aca="false">SUMIFS('Futures Data'!$C$5:$C$3471,'Futures Data'!$A$5:$A$3471,B109,'Futures Data'!$B$5:$B$3471,E109)</f>
        <v>6448</v>
      </c>
      <c r="G109" s="3" t="n">
        <f aca="false">SUMIFS('Futures Data'!$C$5:$C$3471,'Futures Data'!$A$5:$A$3471,A109,'Futures Data'!$B$5:$B$3471,E109)</f>
        <v>6479</v>
      </c>
      <c r="H109" s="13" t="n">
        <f aca="false">LN(D109/C109)</f>
        <v>0</v>
      </c>
      <c r="I109" s="13" t="n">
        <f aca="false">LN(G109/F109)</f>
        <v>0.00479617226349301</v>
      </c>
      <c r="J109" s="3" t="str">
        <f aca="false">IF(A109&lt;='Results &amp; Charts'!$C$5,"In-sample","Out-of-sample")</f>
        <v>In-sample</v>
      </c>
      <c r="K109" s="13" t="n">
        <f aca="false">H109-'Results &amp; Charts'!$C$9*I109</f>
        <v>-0.00294277486139691</v>
      </c>
      <c r="L109" s="13" t="n">
        <f aca="false">H109-I109</f>
        <v>-0.00479617226349301</v>
      </c>
      <c r="M109" s="15" t="n">
        <v>0.47504608772278</v>
      </c>
      <c r="N109" s="13" t="n">
        <f aca="false">H109-M109*I109</f>
        <v>-0.00227840286981686</v>
      </c>
      <c r="O109" s="16" t="n">
        <f aca="false">'Results &amp; Charts'!$C$9</f>
        <v>0.613567382430444</v>
      </c>
    </row>
    <row r="110" customFormat="false" ht="15" hidden="false" customHeight="false" outlineLevel="0" collapsed="false">
      <c r="A110" s="14" t="n">
        <f aca="false">'Roll Schedule'!A360</f>
        <v>45659</v>
      </c>
      <c r="B110" s="14" t="n">
        <f aca="false">'Roll Schedule'!A359</f>
        <v>45658</v>
      </c>
      <c r="C110" s="3" t="n">
        <f aca="false">SUMIFS('Spot Data'!$E$5:$E$651,'Spot Data'!$A$5:$A$651,B110,'Spot Data'!$H$5:$H$651,"YES")</f>
        <v>6700</v>
      </c>
      <c r="D110" s="3" t="n">
        <f aca="false">SUMIFS('Spot Data'!$E$5:$E$651,'Spot Data'!$A$5:$A$651,A110,'Spot Data'!$H$5:$H$651,"YES")</f>
        <v>6600</v>
      </c>
      <c r="E110" s="14" t="n">
        <f aca="false">'Roll Schedule'!B360</f>
        <v>45677</v>
      </c>
      <c r="F110" s="3" t="n">
        <f aca="false">SUMIFS('Futures Data'!$C$5:$C$3471,'Futures Data'!$A$5:$A$3471,B110,'Futures Data'!$B$5:$B$3471,E110)</f>
        <v>6479</v>
      </c>
      <c r="G110" s="3" t="n">
        <f aca="false">SUMIFS('Futures Data'!$C$5:$C$3471,'Futures Data'!$A$5:$A$3471,A110,'Futures Data'!$B$5:$B$3471,E110)</f>
        <v>6463</v>
      </c>
      <c r="H110" s="13" t="n">
        <f aca="false">LN(D110/C110)</f>
        <v>-0.0150378773645406</v>
      </c>
      <c r="I110" s="13" t="n">
        <f aca="false">LN(G110/F110)</f>
        <v>-0.00247257118706176</v>
      </c>
      <c r="J110" s="3" t="str">
        <f aca="false">IF(A110&lt;='Results &amp; Charts'!$C$5,"In-sample","Out-of-sample")</f>
        <v>In-sample</v>
      </c>
      <c r="K110" s="13" t="n">
        <f aca="false">H110-'Results &amp; Charts'!$C$9*I110</f>
        <v>-0.0135207883334221</v>
      </c>
      <c r="L110" s="13" t="n">
        <f aca="false">H110-I110</f>
        <v>-0.0125653061774788</v>
      </c>
      <c r="M110" s="15" t="n">
        <v>0.48835014804139</v>
      </c>
      <c r="N110" s="13" t="n">
        <f aca="false">H110-M110*I110</f>
        <v>-0.0138303968592961</v>
      </c>
      <c r="O110" s="16" t="n">
        <f aca="false">'Results &amp; Charts'!$C$9</f>
        <v>0.613567382430444</v>
      </c>
    </row>
    <row r="111" customFormat="false" ht="15" hidden="false" customHeight="false" outlineLevel="0" collapsed="false">
      <c r="A111" s="14" t="n">
        <f aca="false">'Roll Schedule'!A361</f>
        <v>45660</v>
      </c>
      <c r="B111" s="14" t="n">
        <f aca="false">'Roll Schedule'!A360</f>
        <v>45659</v>
      </c>
      <c r="C111" s="3" t="n">
        <f aca="false">SUMIFS('Spot Data'!$E$5:$E$651,'Spot Data'!$A$5:$A$651,B111,'Spot Data'!$H$5:$H$651,"YES")</f>
        <v>6600</v>
      </c>
      <c r="D111" s="3" t="n">
        <f aca="false">SUMIFS('Spot Data'!$E$5:$E$651,'Spot Data'!$A$5:$A$651,A111,'Spot Data'!$H$5:$H$651,"YES")</f>
        <v>6300</v>
      </c>
      <c r="E111" s="14" t="n">
        <f aca="false">'Roll Schedule'!B361</f>
        <v>45677</v>
      </c>
      <c r="F111" s="3" t="n">
        <f aca="false">SUMIFS('Futures Data'!$C$5:$C$3471,'Futures Data'!$A$5:$A$3471,B111,'Futures Data'!$B$5:$B$3471,E111)</f>
        <v>6463</v>
      </c>
      <c r="G111" s="3" t="n">
        <f aca="false">SUMIFS('Futures Data'!$C$5:$C$3471,'Futures Data'!$A$5:$A$3471,A111,'Futures Data'!$B$5:$B$3471,E111)</f>
        <v>6373</v>
      </c>
      <c r="H111" s="13" t="n">
        <f aca="false">LN(D111/C111)</f>
        <v>-0.0465200156348928</v>
      </c>
      <c r="I111" s="13" t="n">
        <f aca="false">LN(G111/F111)</f>
        <v>-0.0140232899486013</v>
      </c>
      <c r="J111" s="3" t="str">
        <f aca="false">IF(A111&lt;='Results &amp; Charts'!$C$5,"In-sample","Out-of-sample")</f>
        <v>In-sample</v>
      </c>
      <c r="K111" s="13" t="n">
        <f aca="false">H111-'Results &amp; Charts'!$C$9*I111</f>
        <v>-0.0379157823280664</v>
      </c>
      <c r="L111" s="13" t="n">
        <f aca="false">H111-I111</f>
        <v>-0.0324967256862915</v>
      </c>
      <c r="M111" s="15" t="n">
        <v>0.530168510094095</v>
      </c>
      <c r="N111" s="13" t="n">
        <f aca="false">H111-M111*I111</f>
        <v>-0.0390853088962254</v>
      </c>
      <c r="O111" s="16" t="n">
        <f aca="false">'Results &amp; Charts'!$C$9</f>
        <v>0.613567382430444</v>
      </c>
    </row>
    <row r="112" customFormat="false" ht="15" hidden="false" customHeight="false" outlineLevel="0" collapsed="false">
      <c r="A112" s="14" t="n">
        <f aca="false">'Roll Schedule'!A362</f>
        <v>45663</v>
      </c>
      <c r="B112" s="14" t="n">
        <f aca="false">'Roll Schedule'!A361</f>
        <v>45660</v>
      </c>
      <c r="C112" s="3" t="n">
        <f aca="false">SUMIFS('Spot Data'!$E$5:$E$651,'Spot Data'!$A$5:$A$651,B112,'Spot Data'!$H$5:$H$651,"YES")</f>
        <v>6300</v>
      </c>
      <c r="D112" s="3" t="n">
        <f aca="false">SUMIFS('Spot Data'!$E$5:$E$651,'Spot Data'!$A$5:$A$651,A112,'Spot Data'!$H$5:$H$651,"YES")</f>
        <v>6600</v>
      </c>
      <c r="E112" s="14" t="n">
        <f aca="false">'Roll Schedule'!B362</f>
        <v>45677</v>
      </c>
      <c r="F112" s="3" t="n">
        <f aca="false">SUMIFS('Futures Data'!$C$5:$C$3471,'Futures Data'!$A$5:$A$3471,B112,'Futures Data'!$B$5:$B$3471,E112)</f>
        <v>6373</v>
      </c>
      <c r="G112" s="3" t="n">
        <f aca="false">SUMIFS('Futures Data'!$C$5:$C$3471,'Futures Data'!$A$5:$A$3471,A112,'Futures Data'!$B$5:$B$3471,E112)</f>
        <v>6296</v>
      </c>
      <c r="H112" s="13" t="n">
        <f aca="false">LN(D112/C112)</f>
        <v>0.0465200156348929</v>
      </c>
      <c r="I112" s="13" t="n">
        <f aca="false">LN(G112/F112)</f>
        <v>-0.0121558052170549</v>
      </c>
      <c r="J112" s="3" t="str">
        <f aca="false">IF(A112&lt;='Results &amp; Charts'!$C$5,"In-sample","Out-of-sample")</f>
        <v>In-sample</v>
      </c>
      <c r="K112" s="13" t="n">
        <f aca="false">H112-'Results &amp; Charts'!$C$9*I112</f>
        <v>0.0539784212232556</v>
      </c>
      <c r="L112" s="13" t="n">
        <f aca="false">H112-I112</f>
        <v>0.0586758208519478</v>
      </c>
      <c r="M112" s="15" t="n">
        <v>0.576731708166565</v>
      </c>
      <c r="N112" s="13" t="n">
        <f aca="false">H112-M112*I112</f>
        <v>0.053530653941865</v>
      </c>
      <c r="O112" s="16" t="n">
        <f aca="false">'Results &amp; Charts'!$C$9</f>
        <v>0.613567382430444</v>
      </c>
    </row>
    <row r="113" customFormat="false" ht="15" hidden="false" customHeight="false" outlineLevel="0" collapsed="false">
      <c r="A113" s="14" t="n">
        <f aca="false">'Roll Schedule'!A363</f>
        <v>45664</v>
      </c>
      <c r="B113" s="14" t="n">
        <f aca="false">'Roll Schedule'!A362</f>
        <v>45663</v>
      </c>
      <c r="C113" s="3" t="n">
        <f aca="false">SUMIFS('Spot Data'!$E$5:$E$651,'Spot Data'!$A$5:$A$651,B113,'Spot Data'!$H$5:$H$651,"YES")</f>
        <v>6600</v>
      </c>
      <c r="D113" s="3" t="n">
        <f aca="false">SUMIFS('Spot Data'!$E$5:$E$651,'Spot Data'!$A$5:$A$651,A113,'Spot Data'!$H$5:$H$651,"YES")</f>
        <v>6600</v>
      </c>
      <c r="E113" s="14" t="n">
        <f aca="false">'Roll Schedule'!B363</f>
        <v>45677</v>
      </c>
      <c r="F113" s="3" t="n">
        <f aca="false">SUMIFS('Futures Data'!$C$5:$C$3471,'Futures Data'!$A$5:$A$3471,B113,'Futures Data'!$B$5:$B$3471,E113)</f>
        <v>6296</v>
      </c>
      <c r="G113" s="3" t="n">
        <f aca="false">SUMIFS('Futures Data'!$C$5:$C$3471,'Futures Data'!$A$5:$A$3471,A113,'Futures Data'!$B$5:$B$3471,E113)</f>
        <v>6343</v>
      </c>
      <c r="H113" s="13" t="n">
        <f aca="false">LN(D113/C113)</f>
        <v>0</v>
      </c>
      <c r="I113" s="13" t="n">
        <f aca="false">LN(G113/F113)</f>
        <v>0.00743733153665807</v>
      </c>
      <c r="J113" s="3" t="str">
        <f aca="false">IF(A113&lt;='Results &amp; Charts'!$C$5,"In-sample","Out-of-sample")</f>
        <v>In-sample</v>
      </c>
      <c r="K113" s="13" t="n">
        <f aca="false">H113-'Results &amp; Charts'!$C$9*I113</f>
        <v>-0.00456330404321469</v>
      </c>
      <c r="L113" s="13" t="n">
        <f aca="false">H113-I113</f>
        <v>-0.00743733153665807</v>
      </c>
      <c r="M113" s="15" t="n">
        <v>0.370952083692919</v>
      </c>
      <c r="N113" s="13" t="n">
        <f aca="false">H113-M113*I113</f>
        <v>-0.00275889363063837</v>
      </c>
      <c r="O113" s="16" t="n">
        <f aca="false">'Results &amp; Charts'!$C$9</f>
        <v>0.613567382430444</v>
      </c>
    </row>
    <row r="114" customFormat="false" ht="15" hidden="false" customHeight="false" outlineLevel="0" collapsed="false">
      <c r="A114" s="14" t="n">
        <f aca="false">'Roll Schedule'!A364</f>
        <v>45665</v>
      </c>
      <c r="B114" s="14" t="n">
        <f aca="false">'Roll Schedule'!A363</f>
        <v>45664</v>
      </c>
      <c r="C114" s="3" t="n">
        <f aca="false">SUMIFS('Spot Data'!$E$5:$E$651,'Spot Data'!$A$5:$A$651,B114,'Spot Data'!$H$5:$H$651,"YES")</f>
        <v>6600</v>
      </c>
      <c r="D114" s="3" t="n">
        <f aca="false">SUMIFS('Spot Data'!$E$5:$E$651,'Spot Data'!$A$5:$A$651,A114,'Spot Data'!$H$5:$H$651,"YES")</f>
        <v>6550</v>
      </c>
      <c r="E114" s="14" t="n">
        <f aca="false">'Roll Schedule'!B364</f>
        <v>45677</v>
      </c>
      <c r="F114" s="3" t="n">
        <f aca="false">SUMIFS('Futures Data'!$C$5:$C$3471,'Futures Data'!$A$5:$A$3471,B114,'Futures Data'!$B$5:$B$3471,E114)</f>
        <v>6343</v>
      </c>
      <c r="G114" s="3" t="n">
        <f aca="false">SUMIFS('Futures Data'!$C$5:$C$3471,'Futures Data'!$A$5:$A$3471,A114,'Futures Data'!$B$5:$B$3471,E114)</f>
        <v>6318</v>
      </c>
      <c r="H114" s="13" t="n">
        <f aca="false">LN(D114/C114)</f>
        <v>-0.0076045993852193</v>
      </c>
      <c r="I114" s="13" t="n">
        <f aca="false">LN(G114/F114)</f>
        <v>-0.00394914027186669</v>
      </c>
      <c r="J114" s="3" t="str">
        <f aca="false">IF(A114&lt;='Results &amp; Charts'!$C$5,"In-sample","Out-of-sample")</f>
        <v>In-sample</v>
      </c>
      <c r="K114" s="13" t="n">
        <f aca="false">H114-'Results &amp; Charts'!$C$9*I114</f>
        <v>-0.00518153572575941</v>
      </c>
      <c r="L114" s="13" t="n">
        <f aca="false">H114-I114</f>
        <v>-0.00365545911335262</v>
      </c>
      <c r="M114" s="15" t="n">
        <v>0.373150472871913</v>
      </c>
      <c r="N114" s="13" t="n">
        <f aca="false">H114-M114*I114</f>
        <v>-0.00613097582533474</v>
      </c>
      <c r="O114" s="16" t="n">
        <f aca="false">'Results &amp; Charts'!$C$9</f>
        <v>0.613567382430444</v>
      </c>
    </row>
    <row r="115" customFormat="false" ht="15" hidden="false" customHeight="false" outlineLevel="0" collapsed="false">
      <c r="A115" s="14" t="n">
        <f aca="false">'Roll Schedule'!A365</f>
        <v>45666</v>
      </c>
      <c r="B115" s="14" t="n">
        <f aca="false">'Roll Schedule'!A364</f>
        <v>45665</v>
      </c>
      <c r="C115" s="3" t="n">
        <f aca="false">SUMIFS('Spot Data'!$E$5:$E$651,'Spot Data'!$A$5:$A$651,B115,'Spot Data'!$H$5:$H$651,"YES")</f>
        <v>6550</v>
      </c>
      <c r="D115" s="3" t="n">
        <f aca="false">SUMIFS('Spot Data'!$E$5:$E$651,'Spot Data'!$A$5:$A$651,A115,'Spot Data'!$H$5:$H$651,"YES")</f>
        <v>6600</v>
      </c>
      <c r="E115" s="14" t="n">
        <f aca="false">'Roll Schedule'!B365</f>
        <v>45677</v>
      </c>
      <c r="F115" s="3" t="n">
        <f aca="false">SUMIFS('Futures Data'!$C$5:$C$3471,'Futures Data'!$A$5:$A$3471,B115,'Futures Data'!$B$5:$B$3471,E115)</f>
        <v>6318</v>
      </c>
      <c r="G115" s="3" t="n">
        <f aca="false">SUMIFS('Futures Data'!$C$5:$C$3471,'Futures Data'!$A$5:$A$3471,A115,'Futures Data'!$B$5:$B$3471,E115)</f>
        <v>6318</v>
      </c>
      <c r="H115" s="13" t="n">
        <f aca="false">LN(D115/C115)</f>
        <v>0.00760459938521921</v>
      </c>
      <c r="I115" s="13" t="n">
        <f aca="false">LN(G115/F115)</f>
        <v>0</v>
      </c>
      <c r="J115" s="3" t="str">
        <f aca="false">IF(A115&lt;='Results &amp; Charts'!$C$5,"In-sample","Out-of-sample")</f>
        <v>In-sample</v>
      </c>
      <c r="K115" s="13" t="n">
        <f aca="false">H115-'Results &amp; Charts'!$C$9*I115</f>
        <v>0.00760459938521921</v>
      </c>
      <c r="L115" s="13" t="n">
        <f aca="false">H115-I115</f>
        <v>0.00760459938521921</v>
      </c>
      <c r="M115" s="15" t="n">
        <v>0.407306558614658</v>
      </c>
      <c r="N115" s="13" t="n">
        <f aca="false">H115-M115*I115</f>
        <v>0.00760459938521921</v>
      </c>
      <c r="O115" s="16" t="n">
        <f aca="false">'Results &amp; Charts'!$C$9</f>
        <v>0.613567382430444</v>
      </c>
    </row>
    <row r="116" customFormat="false" ht="15" hidden="false" customHeight="false" outlineLevel="0" collapsed="false">
      <c r="A116" s="14" t="n">
        <f aca="false">'Roll Schedule'!A366</f>
        <v>45667</v>
      </c>
      <c r="B116" s="14" t="n">
        <f aca="false">'Roll Schedule'!A365</f>
        <v>45666</v>
      </c>
      <c r="C116" s="3" t="n">
        <f aca="false">SUMIFS('Spot Data'!$E$5:$E$651,'Spot Data'!$A$5:$A$651,B116,'Spot Data'!$H$5:$H$651,"YES")</f>
        <v>6600</v>
      </c>
      <c r="D116" s="3" t="n">
        <f aca="false">SUMIFS('Spot Data'!$E$5:$E$651,'Spot Data'!$A$5:$A$651,A116,'Spot Data'!$H$5:$H$651,"YES")</f>
        <v>6400</v>
      </c>
      <c r="E116" s="14" t="n">
        <f aca="false">'Roll Schedule'!B366</f>
        <v>45708</v>
      </c>
      <c r="F116" s="3" t="n">
        <f aca="false">SUMIFS('Futures Data'!$C$5:$C$3471,'Futures Data'!$A$5:$A$3471,B116,'Futures Data'!$B$5:$B$3471,E116)</f>
        <v>6368</v>
      </c>
      <c r="G116" s="3" t="n">
        <f aca="false">SUMIFS('Futures Data'!$C$5:$C$3471,'Futures Data'!$A$5:$A$3471,A116,'Futures Data'!$B$5:$B$3471,E116)</f>
        <v>6389</v>
      </c>
      <c r="H116" s="13" t="n">
        <f aca="false">LN(D116/C116)</f>
        <v>-0.0307716586667537</v>
      </c>
      <c r="I116" s="13" t="n">
        <f aca="false">LN(G116/F116)</f>
        <v>0.00329231307812438</v>
      </c>
      <c r="J116" s="3" t="str">
        <f aca="false">IF(A116&lt;='Results &amp; Charts'!$C$5,"In-sample","Out-of-sample")</f>
        <v>In-sample</v>
      </c>
      <c r="K116" s="13" t="n">
        <f aca="false">H116-'Results &amp; Charts'!$C$9*I116</f>
        <v>-0.03279171458424</v>
      </c>
      <c r="L116" s="13" t="n">
        <f aca="false">H116-I116</f>
        <v>-0.034063971744878</v>
      </c>
      <c r="M116" s="15" t="n">
        <v>0.443780276483807</v>
      </c>
      <c r="N116" s="13" t="n">
        <f aca="false">H116-M116*I116</f>
        <v>-0.032232722274835</v>
      </c>
      <c r="O116" s="16" t="n">
        <f aca="false">'Results &amp; Charts'!$C$9</f>
        <v>0.613567382430444</v>
      </c>
    </row>
    <row r="117" customFormat="false" ht="15" hidden="false" customHeight="false" outlineLevel="0" collapsed="false">
      <c r="A117" s="14" t="n">
        <f aca="false">'Roll Schedule'!A367</f>
        <v>45670</v>
      </c>
      <c r="B117" s="14" t="n">
        <f aca="false">'Roll Schedule'!A366</f>
        <v>45667</v>
      </c>
      <c r="C117" s="3" t="n">
        <f aca="false">SUMIFS('Spot Data'!$E$5:$E$651,'Spot Data'!$A$5:$A$651,B117,'Spot Data'!$H$5:$H$651,"YES")</f>
        <v>6400</v>
      </c>
      <c r="D117" s="3" t="n">
        <f aca="false">SUMIFS('Spot Data'!$E$5:$E$651,'Spot Data'!$A$5:$A$651,A117,'Spot Data'!$H$5:$H$651,"YES")</f>
        <v>6650</v>
      </c>
      <c r="E117" s="14" t="n">
        <f aca="false">'Roll Schedule'!B367</f>
        <v>45708</v>
      </c>
      <c r="F117" s="3" t="n">
        <f aca="false">SUMIFS('Futures Data'!$C$5:$C$3471,'Futures Data'!$A$5:$A$3471,B117,'Futures Data'!$B$5:$B$3471,E117)</f>
        <v>6389</v>
      </c>
      <c r="G117" s="3" t="n">
        <f aca="false">SUMIFS('Futures Data'!$C$5:$C$3471,'Futures Data'!$A$5:$A$3471,A117,'Futures Data'!$B$5:$B$3471,E117)</f>
        <v>6384</v>
      </c>
      <c r="H117" s="13" t="n">
        <f aca="false">LN(D117/C117)</f>
        <v>0.0383188643021366</v>
      </c>
      <c r="I117" s="13" t="n">
        <f aca="false">LN(G117/F117)</f>
        <v>-0.000782901472698586</v>
      </c>
      <c r="J117" s="3" t="str">
        <f aca="false">IF(A117&lt;='Results &amp; Charts'!$C$5,"In-sample","Out-of-sample")</f>
        <v>In-sample</v>
      </c>
      <c r="K117" s="13" t="n">
        <f aca="false">H117-'Results &amp; Charts'!$C$9*I117</f>
        <v>0.0387992271094412</v>
      </c>
      <c r="L117" s="13" t="n">
        <f aca="false">H117-I117</f>
        <v>0.0391017657748352</v>
      </c>
      <c r="M117" s="15" t="n">
        <v>0.430917912593359</v>
      </c>
      <c r="N117" s="13" t="n">
        <f aca="false">H117-M117*I117</f>
        <v>0.0386562305705181</v>
      </c>
      <c r="O117" s="16" t="n">
        <f aca="false">'Results &amp; Charts'!$C$9</f>
        <v>0.613567382430444</v>
      </c>
    </row>
    <row r="118" customFormat="false" ht="15" hidden="false" customHeight="false" outlineLevel="0" collapsed="false">
      <c r="A118" s="14" t="n">
        <f aca="false">'Roll Schedule'!A370</f>
        <v>45673</v>
      </c>
      <c r="B118" s="14" t="n">
        <f aca="false">'Roll Schedule'!A369</f>
        <v>45672</v>
      </c>
      <c r="C118" s="3" t="n">
        <f aca="false">SUMIFS('Spot Data'!$E$5:$E$651,'Spot Data'!$A$5:$A$651,B118,'Spot Data'!$H$5:$H$651,"YES")</f>
        <v>6800</v>
      </c>
      <c r="D118" s="3" t="n">
        <f aca="false">SUMIFS('Spot Data'!$E$5:$E$651,'Spot Data'!$A$5:$A$651,A118,'Spot Data'!$H$5:$H$651,"YES")</f>
        <v>6750</v>
      </c>
      <c r="E118" s="14" t="n">
        <f aca="false">'Roll Schedule'!B370</f>
        <v>45708</v>
      </c>
      <c r="F118" s="3" t="n">
        <f aca="false">SUMIFS('Futures Data'!$C$5:$C$3471,'Futures Data'!$A$5:$A$3471,B118,'Futures Data'!$B$5:$B$3471,E118)</f>
        <v>6382</v>
      </c>
      <c r="G118" s="3" t="n">
        <f aca="false">SUMIFS('Futures Data'!$C$5:$C$3471,'Futures Data'!$A$5:$A$3471,A118,'Futures Data'!$B$5:$B$3471,E118)</f>
        <v>6428</v>
      </c>
      <c r="H118" s="13" t="n">
        <f aca="false">LN(D118/C118)</f>
        <v>-0.00738010729762253</v>
      </c>
      <c r="I118" s="13" t="n">
        <f aca="false">LN(G118/F118)</f>
        <v>0.00718192001921441</v>
      </c>
      <c r="J118" s="3" t="str">
        <f aca="false">IF(A118&lt;='Results &amp; Charts'!$C$5,"In-sample","Out-of-sample")</f>
        <v>In-sample</v>
      </c>
      <c r="K118" s="13" t="n">
        <f aca="false">H118-'Results &amp; Charts'!$C$9*I118</f>
        <v>-0.0117866991646367</v>
      </c>
      <c r="L118" s="13" t="n">
        <f aca="false">H118-I118</f>
        <v>-0.0145620273168369</v>
      </c>
      <c r="M118" s="15" t="n">
        <v>0.457828705898593</v>
      </c>
      <c r="N118" s="13" t="n">
        <f aca="false">H118-M118*I118</f>
        <v>-0.0106681964458867</v>
      </c>
      <c r="O118" s="16" t="n">
        <f aca="false">'Results &amp; Charts'!$C$9</f>
        <v>0.613567382430444</v>
      </c>
    </row>
    <row r="119" customFormat="false" ht="15" hidden="false" customHeight="false" outlineLevel="0" collapsed="false">
      <c r="A119" s="14" t="n">
        <f aca="false">'Roll Schedule'!A371</f>
        <v>45674</v>
      </c>
      <c r="B119" s="14" t="n">
        <f aca="false">'Roll Schedule'!A370</f>
        <v>45673</v>
      </c>
      <c r="C119" s="3" t="n">
        <f aca="false">SUMIFS('Spot Data'!$E$5:$E$651,'Spot Data'!$A$5:$A$651,B119,'Spot Data'!$H$5:$H$651,"YES")</f>
        <v>6750</v>
      </c>
      <c r="D119" s="3" t="n">
        <f aca="false">SUMIFS('Spot Data'!$E$5:$E$651,'Spot Data'!$A$5:$A$651,A119,'Spot Data'!$H$5:$H$651,"YES")</f>
        <v>6750</v>
      </c>
      <c r="E119" s="14" t="n">
        <f aca="false">'Roll Schedule'!B371</f>
        <v>45708</v>
      </c>
      <c r="F119" s="3" t="n">
        <f aca="false">SUMIFS('Futures Data'!$C$5:$C$3471,'Futures Data'!$A$5:$A$3471,B119,'Futures Data'!$B$5:$B$3471,E119)</f>
        <v>6428</v>
      </c>
      <c r="G119" s="3" t="n">
        <f aca="false">SUMIFS('Futures Data'!$C$5:$C$3471,'Futures Data'!$A$5:$A$3471,A119,'Futures Data'!$B$5:$B$3471,E119)</f>
        <v>6428</v>
      </c>
      <c r="H119" s="13" t="n">
        <f aca="false">LN(D119/C119)</f>
        <v>0</v>
      </c>
      <c r="I119" s="13" t="n">
        <f aca="false">LN(G119/F119)</f>
        <v>0</v>
      </c>
      <c r="J119" s="3" t="str">
        <f aca="false">IF(A119&lt;='Results &amp; Charts'!$C$5,"In-sample","Out-of-sample")</f>
        <v>In-sample</v>
      </c>
      <c r="K119" s="13" t="n">
        <f aca="false">H119-'Results &amp; Charts'!$C$9*I119</f>
        <v>0</v>
      </c>
      <c r="L119" s="13" t="n">
        <f aca="false">H119-I119</f>
        <v>0</v>
      </c>
      <c r="M119" s="15" t="n">
        <v>0.417668958027906</v>
      </c>
      <c r="N119" s="13" t="n">
        <f aca="false">H119-M119*I119</f>
        <v>0</v>
      </c>
      <c r="O119" s="16" t="n">
        <f aca="false">'Results &amp; Charts'!$C$9</f>
        <v>0.613567382430444</v>
      </c>
    </row>
    <row r="120" customFormat="false" ht="15" hidden="false" customHeight="false" outlineLevel="0" collapsed="false">
      <c r="A120" s="14" t="n">
        <f aca="false">'Roll Schedule'!A372</f>
        <v>45677</v>
      </c>
      <c r="B120" s="14" t="n">
        <f aca="false">'Roll Schedule'!A371</f>
        <v>45674</v>
      </c>
      <c r="C120" s="3" t="n">
        <f aca="false">SUMIFS('Spot Data'!$E$5:$E$651,'Spot Data'!$A$5:$A$651,B120,'Spot Data'!$H$5:$H$651,"YES")</f>
        <v>6750</v>
      </c>
      <c r="D120" s="3" t="n">
        <f aca="false">SUMIFS('Spot Data'!$E$5:$E$651,'Spot Data'!$A$5:$A$651,A120,'Spot Data'!$H$5:$H$651,"YES")</f>
        <v>6850</v>
      </c>
      <c r="E120" s="14" t="n">
        <f aca="false">'Roll Schedule'!B372</f>
        <v>45708</v>
      </c>
      <c r="F120" s="3" t="n">
        <f aca="false">SUMIFS('Futures Data'!$C$5:$C$3471,'Futures Data'!$A$5:$A$3471,B120,'Futures Data'!$B$5:$B$3471,E120)</f>
        <v>6428</v>
      </c>
      <c r="G120" s="3" t="n">
        <f aca="false">SUMIFS('Futures Data'!$C$5:$C$3471,'Futures Data'!$A$5:$A$3471,A120,'Futures Data'!$B$5:$B$3471,E120)</f>
        <v>6461</v>
      </c>
      <c r="H120" s="13" t="n">
        <f aca="false">LN(D120/C120)</f>
        <v>0.0147061473896955</v>
      </c>
      <c r="I120" s="13" t="n">
        <f aca="false">LN(G120/F120)</f>
        <v>0.0051206567007622</v>
      </c>
      <c r="J120" s="3" t="str">
        <f aca="false">IF(A120&lt;='Results &amp; Charts'!$C$5,"In-sample","Out-of-sample")</f>
        <v>In-sample</v>
      </c>
      <c r="K120" s="13" t="n">
        <f aca="false">H120-'Results &amp; Charts'!$C$9*I120</f>
        <v>0.0115642794614839</v>
      </c>
      <c r="L120" s="13" t="n">
        <f aca="false">H120-I120</f>
        <v>0.00958549068893329</v>
      </c>
      <c r="M120" s="15" t="n">
        <v>0.447751496772947</v>
      </c>
      <c r="N120" s="13" t="n">
        <f aca="false">H120-M120*I120</f>
        <v>0.0124133656874688</v>
      </c>
      <c r="O120" s="16" t="n">
        <f aca="false">'Results &amp; Charts'!$C$9</f>
        <v>0.613567382430444</v>
      </c>
    </row>
    <row r="121" customFormat="false" ht="15" hidden="false" customHeight="false" outlineLevel="0" collapsed="false">
      <c r="A121" s="14" t="n">
        <f aca="false">'Roll Schedule'!A373</f>
        <v>45678</v>
      </c>
      <c r="B121" s="14" t="n">
        <f aca="false">'Roll Schedule'!A372</f>
        <v>45677</v>
      </c>
      <c r="C121" s="3" t="n">
        <f aca="false">SUMIFS('Spot Data'!$E$5:$E$651,'Spot Data'!$A$5:$A$651,B121,'Spot Data'!$H$5:$H$651,"YES")</f>
        <v>6850</v>
      </c>
      <c r="D121" s="3" t="n">
        <f aca="false">SUMIFS('Spot Data'!$E$5:$E$651,'Spot Data'!$A$5:$A$651,A121,'Spot Data'!$H$5:$H$651,"YES")</f>
        <v>6900</v>
      </c>
      <c r="E121" s="14" t="n">
        <f aca="false">'Roll Schedule'!B373</f>
        <v>45708</v>
      </c>
      <c r="F121" s="3" t="n">
        <f aca="false">SUMIFS('Futures Data'!$C$5:$C$3471,'Futures Data'!$A$5:$A$3471,B121,'Futures Data'!$B$5:$B$3471,E121)</f>
        <v>6461</v>
      </c>
      <c r="G121" s="3" t="n">
        <f aca="false">SUMIFS('Futures Data'!$C$5:$C$3471,'Futures Data'!$A$5:$A$3471,A121,'Futures Data'!$B$5:$B$3471,E121)</f>
        <v>6467</v>
      </c>
      <c r="H121" s="13" t="n">
        <f aca="false">LN(D121/C121)</f>
        <v>0.00727275932907988</v>
      </c>
      <c r="I121" s="13" t="n">
        <f aca="false">LN(G121/F121)</f>
        <v>0.000928217888427329</v>
      </c>
      <c r="J121" s="3" t="str">
        <f aca="false">IF(A121&lt;='Results &amp; Charts'!$C$5,"In-sample","Out-of-sample")</f>
        <v>In-sample</v>
      </c>
      <c r="K121" s="13" t="n">
        <f aca="false">H121-'Results &amp; Charts'!$C$9*I121</f>
        <v>0.00670323510895241</v>
      </c>
      <c r="L121" s="13" t="n">
        <f aca="false">H121-I121</f>
        <v>0.00634454144065255</v>
      </c>
      <c r="M121" s="15" t="n">
        <v>0.478060099038403</v>
      </c>
      <c r="N121" s="13" t="n">
        <f aca="false">H121-M121*I121</f>
        <v>0.00682901539340909</v>
      </c>
      <c r="O121" s="16" t="n">
        <f aca="false">'Results &amp; Charts'!$C$9</f>
        <v>0.613567382430444</v>
      </c>
    </row>
    <row r="122" customFormat="false" ht="15" hidden="false" customHeight="false" outlineLevel="0" collapsed="false">
      <c r="A122" s="14" t="n">
        <f aca="false">'Roll Schedule'!A374</f>
        <v>45679</v>
      </c>
      <c r="B122" s="14" t="n">
        <f aca="false">'Roll Schedule'!A373</f>
        <v>45678</v>
      </c>
      <c r="C122" s="3" t="n">
        <f aca="false">SUMIFS('Spot Data'!$E$5:$E$651,'Spot Data'!$A$5:$A$651,B122,'Spot Data'!$H$5:$H$651,"YES")</f>
        <v>6900</v>
      </c>
      <c r="D122" s="3" t="n">
        <f aca="false">SUMIFS('Spot Data'!$E$5:$E$651,'Spot Data'!$A$5:$A$651,A122,'Spot Data'!$H$5:$H$651,"YES")</f>
        <v>7000</v>
      </c>
      <c r="E122" s="14" t="n">
        <f aca="false">'Roll Schedule'!B374</f>
        <v>45708</v>
      </c>
      <c r="F122" s="3" t="n">
        <f aca="false">SUMIFS('Futures Data'!$C$5:$C$3471,'Futures Data'!$A$5:$A$3471,B122,'Futures Data'!$B$5:$B$3471,E122)</f>
        <v>6467</v>
      </c>
      <c r="G122" s="3" t="n">
        <f aca="false">SUMIFS('Futures Data'!$C$5:$C$3471,'Futures Data'!$A$5:$A$3471,A122,'Futures Data'!$B$5:$B$3471,E122)</f>
        <v>6510</v>
      </c>
      <c r="H122" s="13" t="n">
        <f aca="false">LN(D122/C122)</f>
        <v>0.0143887374520997</v>
      </c>
      <c r="I122" s="13" t="n">
        <f aca="false">LN(G122/F122)</f>
        <v>0.00662713375602218</v>
      </c>
      <c r="J122" s="3" t="str">
        <f aca="false">IF(A122&lt;='Results &amp; Charts'!$C$5,"In-sample","Out-of-sample")</f>
        <v>In-sample</v>
      </c>
      <c r="K122" s="13" t="n">
        <f aca="false">H122-'Results &amp; Charts'!$C$9*I122</f>
        <v>0.0103225443404007</v>
      </c>
      <c r="L122" s="13" t="n">
        <f aca="false">H122-I122</f>
        <v>0.00776160369607749</v>
      </c>
      <c r="M122" s="15" t="n">
        <v>0.509657497095084</v>
      </c>
      <c r="N122" s="13" t="n">
        <f aca="false">H122-M122*I122</f>
        <v>0.0110111690490911</v>
      </c>
      <c r="O122" s="16" t="n">
        <f aca="false">'Results &amp; Charts'!$C$9</f>
        <v>0.613567382430444</v>
      </c>
    </row>
    <row r="123" customFormat="false" ht="15" hidden="false" customHeight="false" outlineLevel="0" collapsed="false">
      <c r="A123" s="14" t="n">
        <f aca="false">'Roll Schedule'!A375</f>
        <v>45680</v>
      </c>
      <c r="B123" s="14" t="n">
        <f aca="false">'Roll Schedule'!A374</f>
        <v>45679</v>
      </c>
      <c r="C123" s="3" t="n">
        <f aca="false">SUMIFS('Spot Data'!$E$5:$E$651,'Spot Data'!$A$5:$A$651,B123,'Spot Data'!$H$5:$H$651,"YES")</f>
        <v>7000</v>
      </c>
      <c r="D123" s="3" t="n">
        <f aca="false">SUMIFS('Spot Data'!$E$5:$E$651,'Spot Data'!$A$5:$A$651,A123,'Spot Data'!$H$5:$H$651,"YES")</f>
        <v>7050</v>
      </c>
      <c r="E123" s="14" t="n">
        <f aca="false">'Roll Schedule'!B375</f>
        <v>45708</v>
      </c>
      <c r="F123" s="3" t="n">
        <f aca="false">SUMIFS('Futures Data'!$C$5:$C$3471,'Futures Data'!$A$5:$A$3471,B123,'Futures Data'!$B$5:$B$3471,E123)</f>
        <v>6510</v>
      </c>
      <c r="G123" s="3" t="n">
        <f aca="false">SUMIFS('Futures Data'!$C$5:$C$3471,'Futures Data'!$A$5:$A$3471,A123,'Futures Data'!$B$5:$B$3471,E123)</f>
        <v>6481</v>
      </c>
      <c r="H123" s="13" t="n">
        <f aca="false">LN(D123/C123)</f>
        <v>0.00711746776886396</v>
      </c>
      <c r="I123" s="13" t="n">
        <f aca="false">LN(G123/F123)</f>
        <v>-0.00446463677489891</v>
      </c>
      <c r="J123" s="3" t="str">
        <f aca="false">IF(A123&lt;='Results &amp; Charts'!$C$5,"In-sample","Out-of-sample")</f>
        <v>In-sample</v>
      </c>
      <c r="K123" s="13" t="n">
        <f aca="false">H123-'Results &amp; Charts'!$C$9*I123</f>
        <v>0.00985682326834138</v>
      </c>
      <c r="L123" s="13" t="n">
        <f aca="false">H123-I123</f>
        <v>0.0115821045437629</v>
      </c>
      <c r="M123" s="15" t="n">
        <v>0.521120931694939</v>
      </c>
      <c r="N123" s="13" t="n">
        <f aca="false">H123-M123*I123</f>
        <v>0.00944408344467877</v>
      </c>
      <c r="O123" s="16" t="n">
        <f aca="false">'Results &amp; Charts'!$C$9</f>
        <v>0.613567382430444</v>
      </c>
    </row>
    <row r="124" customFormat="false" ht="15" hidden="false" customHeight="false" outlineLevel="0" collapsed="false">
      <c r="A124" s="14" t="n">
        <f aca="false">'Roll Schedule'!A376</f>
        <v>45681</v>
      </c>
      <c r="B124" s="14" t="n">
        <f aca="false">'Roll Schedule'!A375</f>
        <v>45680</v>
      </c>
      <c r="C124" s="3" t="n">
        <f aca="false">SUMIFS('Spot Data'!$E$5:$E$651,'Spot Data'!$A$5:$A$651,B124,'Spot Data'!$H$5:$H$651,"YES")</f>
        <v>7050</v>
      </c>
      <c r="D124" s="3" t="n">
        <f aca="false">SUMIFS('Spot Data'!$E$5:$E$651,'Spot Data'!$A$5:$A$651,A124,'Spot Data'!$H$5:$H$651,"YES")</f>
        <v>7050</v>
      </c>
      <c r="E124" s="14" t="n">
        <f aca="false">'Roll Schedule'!B376</f>
        <v>45708</v>
      </c>
      <c r="F124" s="3" t="n">
        <f aca="false">SUMIFS('Futures Data'!$C$5:$C$3471,'Futures Data'!$A$5:$A$3471,B124,'Futures Data'!$B$5:$B$3471,E124)</f>
        <v>6481</v>
      </c>
      <c r="G124" s="3" t="n">
        <f aca="false">SUMIFS('Futures Data'!$C$5:$C$3471,'Futures Data'!$A$5:$A$3471,A124,'Futures Data'!$B$5:$B$3471,E124)</f>
        <v>6416</v>
      </c>
      <c r="H124" s="13" t="n">
        <f aca="false">LN(D124/C124)</f>
        <v>0</v>
      </c>
      <c r="I124" s="13" t="n">
        <f aca="false">LN(G124/F124)</f>
        <v>-0.0100799488813655</v>
      </c>
      <c r="J124" s="3" t="str">
        <f aca="false">IF(A124&lt;='Results &amp; Charts'!$C$5,"In-sample","Out-of-sample")</f>
        <v>In-sample</v>
      </c>
      <c r="K124" s="13" t="n">
        <f aca="false">H124-'Results &amp; Charts'!$C$9*I124</f>
        <v>0.00618472785017214</v>
      </c>
      <c r="L124" s="13" t="n">
        <f aca="false">H124-I124</f>
        <v>0.0100799488813655</v>
      </c>
      <c r="M124" s="15" t="n">
        <v>0.517895533403685</v>
      </c>
      <c r="N124" s="13" t="n">
        <f aca="false">H124-M124*I124</f>
        <v>0.00522036050259669</v>
      </c>
      <c r="O124" s="16" t="n">
        <f aca="false">'Results &amp; Charts'!$C$9</f>
        <v>0.613567382430444</v>
      </c>
    </row>
    <row r="125" customFormat="false" ht="15" hidden="false" customHeight="false" outlineLevel="0" collapsed="false">
      <c r="A125" s="14" t="n">
        <f aca="false">'Roll Schedule'!A377</f>
        <v>45684</v>
      </c>
      <c r="B125" s="14" t="n">
        <f aca="false">'Roll Schedule'!A376</f>
        <v>45681</v>
      </c>
      <c r="C125" s="3" t="n">
        <f aca="false">SUMIFS('Spot Data'!$E$5:$E$651,'Spot Data'!$A$5:$A$651,B125,'Spot Data'!$H$5:$H$651,"YES")</f>
        <v>7050</v>
      </c>
      <c r="D125" s="3" t="n">
        <f aca="false">SUMIFS('Spot Data'!$E$5:$E$651,'Spot Data'!$A$5:$A$651,A125,'Spot Data'!$H$5:$H$651,"YES")</f>
        <v>7100</v>
      </c>
      <c r="E125" s="14" t="n">
        <f aca="false">'Roll Schedule'!B377</f>
        <v>45708</v>
      </c>
      <c r="F125" s="3" t="n">
        <f aca="false">SUMIFS('Futures Data'!$C$5:$C$3471,'Futures Data'!$A$5:$A$3471,B125,'Futures Data'!$B$5:$B$3471,E125)</f>
        <v>6416</v>
      </c>
      <c r="G125" s="3" t="n">
        <f aca="false">SUMIFS('Futures Data'!$C$5:$C$3471,'Futures Data'!$A$5:$A$3471,A125,'Futures Data'!$B$5:$B$3471,E125)</f>
        <v>6407</v>
      </c>
      <c r="H125" s="13" t="n">
        <f aca="false">LN(D125/C125)</f>
        <v>0.00706716722309235</v>
      </c>
      <c r="I125" s="13" t="n">
        <f aca="false">LN(G125/F125)</f>
        <v>-0.00140372790732883</v>
      </c>
      <c r="J125" s="3" t="str">
        <f aca="false">IF(A125&lt;='Results &amp; Charts'!$C$5,"In-sample","Out-of-sample")</f>
        <v>In-sample</v>
      </c>
      <c r="K125" s="13" t="n">
        <f aca="false">H125-'Results &amp; Charts'!$C$9*I125</f>
        <v>0.00792844888083667</v>
      </c>
      <c r="L125" s="13" t="n">
        <f aca="false">H125-I125</f>
        <v>0.00847089513042119</v>
      </c>
      <c r="M125" s="15" t="n">
        <v>0.44412474400941</v>
      </c>
      <c r="N125" s="13" t="n">
        <f aca="false">H125-M125*I125</f>
        <v>0.00769059752059364</v>
      </c>
      <c r="O125" s="16" t="n">
        <f aca="false">'Results &amp; Charts'!$C$9</f>
        <v>0.613567382430444</v>
      </c>
    </row>
    <row r="126" customFormat="false" ht="15" hidden="false" customHeight="false" outlineLevel="0" collapsed="false">
      <c r="A126" s="14" t="n">
        <f aca="false">'Roll Schedule'!A378</f>
        <v>45685</v>
      </c>
      <c r="B126" s="14" t="n">
        <f aca="false">'Roll Schedule'!A377</f>
        <v>45684</v>
      </c>
      <c r="C126" s="3" t="n">
        <f aca="false">SUMIFS('Spot Data'!$E$5:$E$651,'Spot Data'!$A$5:$A$651,B126,'Spot Data'!$H$5:$H$651,"YES")</f>
        <v>7100</v>
      </c>
      <c r="D126" s="3" t="n">
        <f aca="false">SUMIFS('Spot Data'!$E$5:$E$651,'Spot Data'!$A$5:$A$651,A126,'Spot Data'!$H$5:$H$651,"YES")</f>
        <v>7250</v>
      </c>
      <c r="E126" s="14" t="n">
        <f aca="false">'Roll Schedule'!B378</f>
        <v>45708</v>
      </c>
      <c r="F126" s="3" t="n">
        <f aca="false">SUMIFS('Futures Data'!$C$5:$C$3471,'Futures Data'!$A$5:$A$3471,B126,'Futures Data'!$B$5:$B$3471,E126)</f>
        <v>6407</v>
      </c>
      <c r="G126" s="3" t="n">
        <f aca="false">SUMIFS('Futures Data'!$C$5:$C$3471,'Futures Data'!$A$5:$A$3471,A126,'Futures Data'!$B$5:$B$3471,E126)</f>
        <v>6379</v>
      </c>
      <c r="H126" s="13" t="n">
        <f aca="false">LN(D126/C126)</f>
        <v>0.0209066848193136</v>
      </c>
      <c r="I126" s="13" t="n">
        <f aca="false">LN(G126/F126)</f>
        <v>-0.00437979739706622</v>
      </c>
      <c r="J126" s="3" t="str">
        <f aca="false">IF(A126&lt;='Results &amp; Charts'!$C$5,"In-sample","Out-of-sample")</f>
        <v>In-sample</v>
      </c>
      <c r="K126" s="13" t="n">
        <f aca="false">H126-'Results &amp; Charts'!$C$9*I126</f>
        <v>0.0235939856438072</v>
      </c>
      <c r="L126" s="13" t="n">
        <f aca="false">H126-I126</f>
        <v>0.0252864822163799</v>
      </c>
      <c r="M126" s="15" t="n">
        <v>0.470718707137371</v>
      </c>
      <c r="N126" s="13" t="n">
        <f aca="false">H126-M126*I126</f>
        <v>0.0229683373875843</v>
      </c>
      <c r="O126" s="16" t="n">
        <f aca="false">'Results &amp; Charts'!$C$9</f>
        <v>0.613567382430444</v>
      </c>
    </row>
    <row r="127" customFormat="false" ht="15" hidden="false" customHeight="false" outlineLevel="0" collapsed="false">
      <c r="A127" s="14" t="n">
        <f aca="false">'Roll Schedule'!A379</f>
        <v>45686</v>
      </c>
      <c r="B127" s="14" t="n">
        <f aca="false">'Roll Schedule'!A378</f>
        <v>45685</v>
      </c>
      <c r="C127" s="3" t="n">
        <f aca="false">SUMIFS('Spot Data'!$E$5:$E$651,'Spot Data'!$A$5:$A$651,B127,'Spot Data'!$H$5:$H$651,"YES")</f>
        <v>7250</v>
      </c>
      <c r="D127" s="3" t="n">
        <f aca="false">SUMIFS('Spot Data'!$E$5:$E$651,'Spot Data'!$A$5:$A$651,A127,'Spot Data'!$H$5:$H$651,"YES")</f>
        <v>7150</v>
      </c>
      <c r="E127" s="14" t="n">
        <f aca="false">'Roll Schedule'!B379</f>
        <v>45708</v>
      </c>
      <c r="F127" s="3" t="n">
        <f aca="false">SUMIFS('Futures Data'!$C$5:$C$3471,'Futures Data'!$A$5:$A$3471,B127,'Futures Data'!$B$5:$B$3471,E127)</f>
        <v>6379</v>
      </c>
      <c r="G127" s="3" t="n">
        <f aca="false">SUMIFS('Futures Data'!$C$5:$C$3471,'Futures Data'!$A$5:$A$3471,A127,'Futures Data'!$B$5:$B$3471,E127)</f>
        <v>6390</v>
      </c>
      <c r="H127" s="13" t="n">
        <f aca="false">LN(D127/C127)</f>
        <v>-0.0138891121606672</v>
      </c>
      <c r="I127" s="13" t="n">
        <f aca="false">LN(G127/F127)</f>
        <v>0.00172292312962514</v>
      </c>
      <c r="J127" s="3" t="str">
        <f aca="false">IF(A127&lt;='Results &amp; Charts'!$C$5,"In-sample","Out-of-sample")</f>
        <v>In-sample</v>
      </c>
      <c r="K127" s="13" t="n">
        <f aca="false">H127-'Results &amp; Charts'!$C$9*I127</f>
        <v>-0.0149462415954401</v>
      </c>
      <c r="L127" s="13" t="n">
        <f aca="false">H127-I127</f>
        <v>-0.0156120352902923</v>
      </c>
      <c r="M127" s="15" t="n">
        <v>0.448191093170619</v>
      </c>
      <c r="N127" s="13" t="n">
        <f aca="false">H127-M127*I127</f>
        <v>-0.0146613109615828</v>
      </c>
      <c r="O127" s="16" t="n">
        <f aca="false">'Results &amp; Charts'!$C$9</f>
        <v>0.613567382430444</v>
      </c>
    </row>
    <row r="128" customFormat="false" ht="15" hidden="false" customHeight="false" outlineLevel="0" collapsed="false">
      <c r="A128" s="14" t="n">
        <f aca="false">'Roll Schedule'!A380</f>
        <v>45687</v>
      </c>
      <c r="B128" s="14" t="n">
        <f aca="false">'Roll Schedule'!A379</f>
        <v>45686</v>
      </c>
      <c r="C128" s="3" t="n">
        <f aca="false">SUMIFS('Spot Data'!$E$5:$E$651,'Spot Data'!$A$5:$A$651,B128,'Spot Data'!$H$5:$H$651,"YES")</f>
        <v>7150</v>
      </c>
      <c r="D128" s="3" t="n">
        <f aca="false">SUMIFS('Spot Data'!$E$5:$E$651,'Spot Data'!$A$5:$A$651,A128,'Spot Data'!$H$5:$H$651,"YES")</f>
        <v>7300</v>
      </c>
      <c r="E128" s="14" t="n">
        <f aca="false">'Roll Schedule'!B380</f>
        <v>45708</v>
      </c>
      <c r="F128" s="3" t="n">
        <f aca="false">SUMIFS('Futures Data'!$C$5:$C$3471,'Futures Data'!$A$5:$A$3471,B128,'Futures Data'!$B$5:$B$3471,E128)</f>
        <v>6390</v>
      </c>
      <c r="G128" s="3" t="n">
        <f aca="false">SUMIFS('Futures Data'!$C$5:$C$3471,'Futures Data'!$A$5:$A$3471,A128,'Futures Data'!$B$5:$B$3471,E128)</f>
        <v>6325</v>
      </c>
      <c r="H128" s="13" t="n">
        <f aca="false">LN(D128/C128)</f>
        <v>0.0207619914484292</v>
      </c>
      <c r="I128" s="13" t="n">
        <f aca="false">LN(G128/F128)</f>
        <v>-0.0102242337758595</v>
      </c>
      <c r="J128" s="3" t="str">
        <f aca="false">IF(A128&lt;='Results &amp; Charts'!$C$5,"In-sample","Out-of-sample")</f>
        <v>In-sample</v>
      </c>
      <c r="K128" s="13" t="n">
        <f aca="false">H128-'Results &amp; Charts'!$C$9*I128</f>
        <v>0.0270352478036403</v>
      </c>
      <c r="L128" s="13" t="n">
        <f aca="false">H128-I128</f>
        <v>0.0309862252242888</v>
      </c>
      <c r="M128" s="15" t="n">
        <v>0.458019937084486</v>
      </c>
      <c r="N128" s="13" t="n">
        <f aca="false">H128-M128*I128</f>
        <v>0.0254448943591855</v>
      </c>
      <c r="O128" s="16" t="n">
        <f aca="false">'Results &amp; Charts'!$C$9</f>
        <v>0.613567382430444</v>
      </c>
    </row>
    <row r="129" customFormat="false" ht="15" hidden="false" customHeight="false" outlineLevel="0" collapsed="false">
      <c r="A129" s="14" t="n">
        <f aca="false">'Roll Schedule'!A381</f>
        <v>45688</v>
      </c>
      <c r="B129" s="14" t="n">
        <f aca="false">'Roll Schedule'!A380</f>
        <v>45687</v>
      </c>
      <c r="C129" s="3" t="n">
        <f aca="false">SUMIFS('Spot Data'!$E$5:$E$651,'Spot Data'!$A$5:$A$651,B129,'Spot Data'!$H$5:$H$651,"YES")</f>
        <v>7300</v>
      </c>
      <c r="D129" s="3" t="n">
        <f aca="false">SUMIFS('Spot Data'!$E$5:$E$651,'Spot Data'!$A$5:$A$651,A129,'Spot Data'!$H$5:$H$651,"YES")</f>
        <v>7300</v>
      </c>
      <c r="E129" s="14" t="n">
        <f aca="false">'Roll Schedule'!B381</f>
        <v>45708</v>
      </c>
      <c r="F129" s="3" t="n">
        <f aca="false">SUMIFS('Futures Data'!$C$5:$C$3471,'Futures Data'!$A$5:$A$3471,B129,'Futures Data'!$B$5:$B$3471,E129)</f>
        <v>6325</v>
      </c>
      <c r="G129" s="3" t="n">
        <f aca="false">SUMIFS('Futures Data'!$C$5:$C$3471,'Futures Data'!$A$5:$A$3471,A129,'Futures Data'!$B$5:$B$3471,E129)</f>
        <v>6341</v>
      </c>
      <c r="H129" s="13" t="n">
        <f aca="false">LN(D129/C129)</f>
        <v>0</v>
      </c>
      <c r="I129" s="13" t="n">
        <f aca="false">LN(G129/F129)</f>
        <v>0.00252645010431071</v>
      </c>
      <c r="J129" s="3" t="str">
        <f aca="false">IF(A129&lt;='Results &amp; Charts'!$C$5,"In-sample","Out-of-sample")</f>
        <v>In-sample</v>
      </c>
      <c r="K129" s="13" t="n">
        <f aca="false">H129-'Results &amp; Charts'!$C$9*I129</f>
        <v>-0.00155014737734305</v>
      </c>
      <c r="L129" s="13" t="n">
        <f aca="false">H129-I129</f>
        <v>-0.00252645010431071</v>
      </c>
      <c r="M129" s="15" t="n">
        <v>0.313459425084809</v>
      </c>
      <c r="N129" s="13" t="n">
        <f aca="false">H129-M129*I129</f>
        <v>-0.000791939597202691</v>
      </c>
      <c r="O129" s="16" t="n">
        <f aca="false">'Results &amp; Charts'!$C$9</f>
        <v>0.613567382430444</v>
      </c>
    </row>
    <row r="130" customFormat="false" ht="15" hidden="false" customHeight="false" outlineLevel="0" collapsed="false">
      <c r="A130" s="14" t="n">
        <f aca="false">'Roll Schedule'!A384</f>
        <v>45692</v>
      </c>
      <c r="B130" s="14" t="n">
        <f aca="false">'Roll Schedule'!A383</f>
        <v>45691</v>
      </c>
      <c r="C130" s="3" t="n">
        <f aca="false">SUMIFS('Spot Data'!$E$5:$E$651,'Spot Data'!$A$5:$A$651,B130,'Spot Data'!$H$5:$H$651,"YES")</f>
        <v>7000</v>
      </c>
      <c r="D130" s="3" t="n">
        <f aca="false">SUMIFS('Spot Data'!$E$5:$E$651,'Spot Data'!$A$5:$A$651,A130,'Spot Data'!$H$5:$H$651,"YES")</f>
        <v>6950</v>
      </c>
      <c r="E130" s="14" t="n">
        <f aca="false">'Roll Schedule'!B384</f>
        <v>45708</v>
      </c>
      <c r="F130" s="3" t="n">
        <f aca="false">SUMIFS('Futures Data'!$C$5:$C$3471,'Futures Data'!$A$5:$A$3471,B130,'Futures Data'!$B$5:$B$3471,E130)</f>
        <v>6405</v>
      </c>
      <c r="G130" s="3" t="n">
        <f aca="false">SUMIFS('Futures Data'!$C$5:$C$3471,'Futures Data'!$A$5:$A$3471,A130,'Futures Data'!$B$5:$B$3471,E130)</f>
        <v>6438</v>
      </c>
      <c r="H130" s="13" t="n">
        <f aca="false">LN(D130/C130)</f>
        <v>-0.00716848947861252</v>
      </c>
      <c r="I130" s="13" t="n">
        <f aca="false">LN(G130/F130)</f>
        <v>0.00513899752791895</v>
      </c>
      <c r="J130" s="3" t="str">
        <f aca="false">IF(A130&lt;='Results &amp; Charts'!$C$5,"In-sample","Out-of-sample")</f>
        <v>In-sample</v>
      </c>
      <c r="K130" s="13" t="n">
        <f aca="false">H130-'Results &amp; Charts'!$C$9*I130</f>
        <v>-0.0103216107401343</v>
      </c>
      <c r="L130" s="13" t="n">
        <f aca="false">H130-I130</f>
        <v>-0.0123074870065315</v>
      </c>
      <c r="M130" s="15" t="n">
        <v>0.332575441020362</v>
      </c>
      <c r="N130" s="13" t="n">
        <f aca="false">H130-M130*I130</f>
        <v>-0.00887759384786271</v>
      </c>
      <c r="O130" s="16" t="n">
        <f aca="false">'Results &amp; Charts'!$C$9</f>
        <v>0.613567382430444</v>
      </c>
    </row>
    <row r="131" customFormat="false" ht="15" hidden="false" customHeight="false" outlineLevel="0" collapsed="false">
      <c r="A131" s="14" t="n">
        <f aca="false">'Roll Schedule'!A385</f>
        <v>45693</v>
      </c>
      <c r="B131" s="14" t="n">
        <f aca="false">'Roll Schedule'!A384</f>
        <v>45692</v>
      </c>
      <c r="C131" s="3" t="n">
        <f aca="false">SUMIFS('Spot Data'!$E$5:$E$651,'Spot Data'!$A$5:$A$651,B131,'Spot Data'!$H$5:$H$651,"YES")</f>
        <v>6950</v>
      </c>
      <c r="D131" s="3" t="n">
        <f aca="false">SUMIFS('Spot Data'!$E$5:$E$651,'Spot Data'!$A$5:$A$651,A131,'Spot Data'!$H$5:$H$651,"YES")</f>
        <v>7000</v>
      </c>
      <c r="E131" s="14" t="n">
        <f aca="false">'Roll Schedule'!B385</f>
        <v>45708</v>
      </c>
      <c r="F131" s="3" t="n">
        <f aca="false">SUMIFS('Futures Data'!$C$5:$C$3471,'Futures Data'!$A$5:$A$3471,B131,'Futures Data'!$B$5:$B$3471,E131)</f>
        <v>6438</v>
      </c>
      <c r="G131" s="3" t="n">
        <f aca="false">SUMIFS('Futures Data'!$C$5:$C$3471,'Futures Data'!$A$5:$A$3471,A131,'Futures Data'!$B$5:$B$3471,E131)</f>
        <v>6460</v>
      </c>
      <c r="H131" s="13" t="n">
        <f aca="false">LN(D131/C131)</f>
        <v>0.0071684894786125</v>
      </c>
      <c r="I131" s="13" t="n">
        <f aca="false">LN(G131/F131)</f>
        <v>0.00341138491789399</v>
      </c>
      <c r="J131" s="3" t="str">
        <f aca="false">IF(A131&lt;='Results &amp; Charts'!$C$5,"In-sample","Out-of-sample")</f>
        <v>In-sample</v>
      </c>
      <c r="K131" s="13" t="n">
        <f aca="false">H131-'Results &amp; Charts'!$C$9*I131</f>
        <v>0.00507537496407759</v>
      </c>
      <c r="L131" s="13" t="n">
        <f aca="false">H131-I131</f>
        <v>0.00375710456071851</v>
      </c>
      <c r="M131" s="15" t="n">
        <v>0.319186085864686</v>
      </c>
      <c r="N131" s="13" t="n">
        <f aca="false">H131-M131*I131</f>
        <v>0.00607962287929209</v>
      </c>
      <c r="O131" s="16" t="n">
        <f aca="false">'Results &amp; Charts'!$C$9</f>
        <v>0.613567382430444</v>
      </c>
    </row>
    <row r="132" customFormat="false" ht="15" hidden="false" customHeight="false" outlineLevel="0" collapsed="false">
      <c r="A132" s="14" t="n">
        <f aca="false">'Roll Schedule'!A386</f>
        <v>45694</v>
      </c>
      <c r="B132" s="14" t="n">
        <f aca="false">'Roll Schedule'!A385</f>
        <v>45693</v>
      </c>
      <c r="C132" s="3" t="n">
        <f aca="false">SUMIFS('Spot Data'!$E$5:$E$651,'Spot Data'!$A$5:$A$651,B132,'Spot Data'!$H$5:$H$651,"YES")</f>
        <v>7000</v>
      </c>
      <c r="D132" s="3" t="n">
        <f aca="false">SUMIFS('Spot Data'!$E$5:$E$651,'Spot Data'!$A$5:$A$651,A132,'Spot Data'!$H$5:$H$651,"YES")</f>
        <v>7000</v>
      </c>
      <c r="E132" s="14" t="n">
        <f aca="false">'Roll Schedule'!B386</f>
        <v>45708</v>
      </c>
      <c r="F132" s="3" t="n">
        <f aca="false">SUMIFS('Futures Data'!$C$5:$C$3471,'Futures Data'!$A$5:$A$3471,B132,'Futures Data'!$B$5:$B$3471,E132)</f>
        <v>6460</v>
      </c>
      <c r="G132" s="3" t="n">
        <f aca="false">SUMIFS('Futures Data'!$C$5:$C$3471,'Futures Data'!$A$5:$A$3471,A132,'Futures Data'!$B$5:$B$3471,E132)</f>
        <v>6498</v>
      </c>
      <c r="H132" s="13" t="n">
        <f aca="false">LN(D132/C132)</f>
        <v>0</v>
      </c>
      <c r="I132" s="13" t="n">
        <f aca="false">LN(G132/F132)</f>
        <v>0.00586511945239806</v>
      </c>
      <c r="J132" s="3" t="str">
        <f aca="false">IF(A132&lt;='Results &amp; Charts'!$C$5,"In-sample","Out-of-sample")</f>
        <v>In-sample</v>
      </c>
      <c r="K132" s="13" t="n">
        <f aca="false">H132-'Results &amp; Charts'!$C$9*I132</f>
        <v>-0.00359864599004976</v>
      </c>
      <c r="L132" s="13" t="n">
        <f aca="false">H132-I132</f>
        <v>-0.00586511945239806</v>
      </c>
      <c r="M132" s="15" t="n">
        <v>0.343423179652951</v>
      </c>
      <c r="N132" s="13" t="n">
        <f aca="false">H132-M132*I132</f>
        <v>-0.00201421797138691</v>
      </c>
      <c r="O132" s="16" t="n">
        <f aca="false">'Results &amp; Charts'!$C$9</f>
        <v>0.613567382430444</v>
      </c>
    </row>
    <row r="133" customFormat="false" ht="15" hidden="false" customHeight="false" outlineLevel="0" collapsed="false">
      <c r="A133" s="14" t="n">
        <f aca="false">'Roll Schedule'!A387</f>
        <v>45695</v>
      </c>
      <c r="B133" s="14" t="n">
        <f aca="false">'Roll Schedule'!A386</f>
        <v>45694</v>
      </c>
      <c r="C133" s="3" t="n">
        <f aca="false">SUMIFS('Spot Data'!$E$5:$E$651,'Spot Data'!$A$5:$A$651,B133,'Spot Data'!$H$5:$H$651,"YES")</f>
        <v>7000</v>
      </c>
      <c r="D133" s="3" t="n">
        <f aca="false">SUMIFS('Spot Data'!$E$5:$E$651,'Spot Data'!$A$5:$A$651,A133,'Spot Data'!$H$5:$H$651,"YES")</f>
        <v>7000</v>
      </c>
      <c r="E133" s="14" t="n">
        <f aca="false">'Roll Schedule'!B387</f>
        <v>45708</v>
      </c>
      <c r="F133" s="3" t="n">
        <f aca="false">SUMIFS('Futures Data'!$C$5:$C$3471,'Futures Data'!$A$5:$A$3471,B133,'Futures Data'!$B$5:$B$3471,E133)</f>
        <v>6498</v>
      </c>
      <c r="G133" s="3" t="n">
        <f aca="false">SUMIFS('Futures Data'!$C$5:$C$3471,'Futures Data'!$A$5:$A$3471,A133,'Futures Data'!$B$5:$B$3471,E133)</f>
        <v>6570</v>
      </c>
      <c r="H133" s="13" t="n">
        <f aca="false">LN(D133/C133)</f>
        <v>0</v>
      </c>
      <c r="I133" s="13" t="n">
        <f aca="false">LN(G133/F133)</f>
        <v>0.0110193952496105</v>
      </c>
      <c r="J133" s="3" t="str">
        <f aca="false">IF(A133&lt;='Results &amp; Charts'!$C$5,"In-sample","Out-of-sample")</f>
        <v>In-sample</v>
      </c>
      <c r="K133" s="13" t="n">
        <f aca="false">H133-'Results &amp; Charts'!$C$9*I133</f>
        <v>-0.00676114149926998</v>
      </c>
      <c r="L133" s="13" t="n">
        <f aca="false">H133-I133</f>
        <v>-0.0110193952496105</v>
      </c>
      <c r="M133" s="15" t="n">
        <v>0.336827717631146</v>
      </c>
      <c r="N133" s="13" t="n">
        <f aca="false">H133-M133*I133</f>
        <v>-0.00371163775160178</v>
      </c>
      <c r="O133" s="16" t="n">
        <f aca="false">'Results &amp; Charts'!$C$9</f>
        <v>0.613567382430444</v>
      </c>
    </row>
    <row r="134" customFormat="false" ht="15" hidden="false" customHeight="false" outlineLevel="0" collapsed="false">
      <c r="A134" s="14" t="n">
        <f aca="false">'Roll Schedule'!A388</f>
        <v>45698</v>
      </c>
      <c r="B134" s="14" t="n">
        <f aca="false">'Roll Schedule'!A387</f>
        <v>45695</v>
      </c>
      <c r="C134" s="3" t="n">
        <f aca="false">SUMIFS('Spot Data'!$E$5:$E$651,'Spot Data'!$A$5:$A$651,B134,'Spot Data'!$H$5:$H$651,"YES")</f>
        <v>7000</v>
      </c>
      <c r="D134" s="3" t="n">
        <f aca="false">SUMIFS('Spot Data'!$E$5:$E$651,'Spot Data'!$A$5:$A$651,A134,'Spot Data'!$H$5:$H$651,"YES")</f>
        <v>7150</v>
      </c>
      <c r="E134" s="14" t="n">
        <f aca="false">'Roll Schedule'!B388</f>
        <v>45708</v>
      </c>
      <c r="F134" s="3" t="n">
        <f aca="false">SUMIFS('Futures Data'!$C$5:$C$3471,'Futures Data'!$A$5:$A$3471,B134,'Futures Data'!$B$5:$B$3471,E134)</f>
        <v>6570</v>
      </c>
      <c r="G134" s="3" t="n">
        <f aca="false">SUMIFS('Futures Data'!$C$5:$C$3471,'Futures Data'!$A$5:$A$3471,A134,'Futures Data'!$B$5:$B$3471,E134)</f>
        <v>6593</v>
      </c>
      <c r="H134" s="13" t="n">
        <f aca="false">LN(D134/C134)</f>
        <v>0.0212022076506029</v>
      </c>
      <c r="I134" s="13" t="n">
        <f aca="false">LN(G134/F134)</f>
        <v>0.00349464763464336</v>
      </c>
      <c r="J134" s="3" t="str">
        <f aca="false">IF(A134&lt;='Results &amp; Charts'!$C$5,"In-sample","Out-of-sample")</f>
        <v>In-sample</v>
      </c>
      <c r="K134" s="13" t="n">
        <f aca="false">H134-'Results &amp; Charts'!$C$9*I134</f>
        <v>0.019058005848898</v>
      </c>
      <c r="L134" s="13" t="n">
        <f aca="false">H134-I134</f>
        <v>0.0177075600159595</v>
      </c>
      <c r="M134" s="15" t="n">
        <v>0.278553574610823</v>
      </c>
      <c r="N134" s="13" t="n">
        <f aca="false">H134-M134*I134</f>
        <v>0.0202287610599677</v>
      </c>
      <c r="O134" s="16" t="n">
        <f aca="false">'Results &amp; Charts'!$C$9</f>
        <v>0.613567382430444</v>
      </c>
    </row>
    <row r="135" customFormat="false" ht="15" hidden="false" customHeight="false" outlineLevel="0" collapsed="false">
      <c r="A135" s="14" t="n">
        <f aca="false">'Roll Schedule'!A389</f>
        <v>45699</v>
      </c>
      <c r="B135" s="14" t="n">
        <f aca="false">'Roll Schedule'!A388</f>
        <v>45698</v>
      </c>
      <c r="C135" s="3" t="n">
        <f aca="false">SUMIFS('Spot Data'!$E$5:$E$651,'Spot Data'!$A$5:$A$651,B135,'Spot Data'!$H$5:$H$651,"YES")</f>
        <v>7150</v>
      </c>
      <c r="D135" s="3" t="n">
        <f aca="false">SUMIFS('Spot Data'!$E$5:$E$651,'Spot Data'!$A$5:$A$651,A135,'Spot Data'!$H$5:$H$651,"YES")</f>
        <v>7150</v>
      </c>
      <c r="E135" s="14" t="n">
        <f aca="false">'Roll Schedule'!B389</f>
        <v>45708</v>
      </c>
      <c r="F135" s="3" t="n">
        <f aca="false">SUMIFS('Futures Data'!$C$5:$C$3471,'Futures Data'!$A$5:$A$3471,B135,'Futures Data'!$B$5:$B$3471,E135)</f>
        <v>6593</v>
      </c>
      <c r="G135" s="3" t="n">
        <f aca="false">SUMIFS('Futures Data'!$C$5:$C$3471,'Futures Data'!$A$5:$A$3471,A135,'Futures Data'!$B$5:$B$3471,E135)</f>
        <v>6543</v>
      </c>
      <c r="H135" s="13" t="n">
        <f aca="false">LN(D135/C135)</f>
        <v>0</v>
      </c>
      <c r="I135" s="13" t="n">
        <f aca="false">LN(G135/F135)</f>
        <v>-0.00761270424356088</v>
      </c>
      <c r="J135" s="3" t="str">
        <f aca="false">IF(A135&lt;='Results &amp; Charts'!$C$5,"In-sample","Out-of-sample")</f>
        <v>In-sample</v>
      </c>
      <c r="K135" s="13" t="n">
        <f aca="false">H135-'Results &amp; Charts'!$C$9*I135</f>
        <v>0.00467090701593878</v>
      </c>
      <c r="L135" s="13" t="n">
        <f aca="false">H135-I135</f>
        <v>0.00761270424356088</v>
      </c>
      <c r="M135" s="15" t="n">
        <v>0.323980306504372</v>
      </c>
      <c r="N135" s="13" t="n">
        <f aca="false">H135-M135*I135</f>
        <v>0.00246636625415598</v>
      </c>
      <c r="O135" s="16" t="n">
        <f aca="false">'Results &amp; Charts'!$C$9</f>
        <v>0.613567382430444</v>
      </c>
    </row>
    <row r="136" customFormat="false" ht="15" hidden="false" customHeight="false" outlineLevel="0" collapsed="false">
      <c r="A136" s="14" t="n">
        <f aca="false">'Roll Schedule'!A390</f>
        <v>45700</v>
      </c>
      <c r="B136" s="14" t="n">
        <f aca="false">'Roll Schedule'!A389</f>
        <v>45699</v>
      </c>
      <c r="C136" s="3" t="n">
        <f aca="false">SUMIFS('Spot Data'!$E$5:$E$651,'Spot Data'!$A$5:$A$651,B136,'Spot Data'!$H$5:$H$651,"YES")</f>
        <v>7150</v>
      </c>
      <c r="D136" s="3" t="n">
        <f aca="false">SUMIFS('Spot Data'!$E$5:$E$651,'Spot Data'!$A$5:$A$651,A136,'Spot Data'!$H$5:$H$651,"YES")</f>
        <v>7050</v>
      </c>
      <c r="E136" s="14" t="n">
        <f aca="false">'Roll Schedule'!B390</f>
        <v>45736</v>
      </c>
      <c r="F136" s="3" t="n">
        <f aca="false">SUMIFS('Futures Data'!$C$5:$C$3471,'Futures Data'!$A$5:$A$3471,B136,'Futures Data'!$B$5:$B$3471,E136)</f>
        <v>6290</v>
      </c>
      <c r="G136" s="3" t="n">
        <f aca="false">SUMIFS('Futures Data'!$C$5:$C$3471,'Futures Data'!$A$5:$A$3471,A136,'Futures Data'!$B$5:$B$3471,E136)</f>
        <v>6318</v>
      </c>
      <c r="H136" s="13" t="n">
        <f aca="false">LN(D136/C136)</f>
        <v>-0.014084739881739</v>
      </c>
      <c r="I136" s="13" t="n">
        <f aca="false">LN(G136/F136)</f>
        <v>0.00444163166754439</v>
      </c>
      <c r="J136" s="3" t="str">
        <f aca="false">IF(A136&lt;='Results &amp; Charts'!$C$5,"In-sample","Out-of-sample")</f>
        <v>In-sample</v>
      </c>
      <c r="K136" s="13" t="n">
        <f aca="false">H136-'Results &amp; Charts'!$C$9*I136</f>
        <v>-0.0168099801977144</v>
      </c>
      <c r="L136" s="13" t="n">
        <f aca="false">H136-I136</f>
        <v>-0.0185263715492834</v>
      </c>
      <c r="M136" s="15" t="n">
        <v>0.314318752225845</v>
      </c>
      <c r="N136" s="13" t="n">
        <f aca="false">H136-M136*I136</f>
        <v>-0.0154808280053283</v>
      </c>
      <c r="O136" s="16" t="n">
        <f aca="false">'Results &amp; Charts'!$C$9</f>
        <v>0.613567382430444</v>
      </c>
    </row>
    <row r="137" customFormat="false" ht="15" hidden="false" customHeight="false" outlineLevel="0" collapsed="false">
      <c r="A137" s="14" t="n">
        <f aca="false">'Roll Schedule'!A391</f>
        <v>45701</v>
      </c>
      <c r="B137" s="14" t="n">
        <f aca="false">'Roll Schedule'!A390</f>
        <v>45700</v>
      </c>
      <c r="C137" s="3" t="n">
        <f aca="false">SUMIFS('Spot Data'!$E$5:$E$651,'Spot Data'!$A$5:$A$651,B137,'Spot Data'!$H$5:$H$651,"YES")</f>
        <v>7050</v>
      </c>
      <c r="D137" s="3" t="n">
        <f aca="false">SUMIFS('Spot Data'!$E$5:$E$651,'Spot Data'!$A$5:$A$651,A137,'Spot Data'!$H$5:$H$651,"YES")</f>
        <v>7050</v>
      </c>
      <c r="E137" s="14" t="n">
        <f aca="false">'Roll Schedule'!B391</f>
        <v>45736</v>
      </c>
      <c r="F137" s="3" t="n">
        <f aca="false">SUMIFS('Futures Data'!$C$5:$C$3471,'Futures Data'!$A$5:$A$3471,B137,'Futures Data'!$B$5:$B$3471,E137)</f>
        <v>6318</v>
      </c>
      <c r="G137" s="3" t="n">
        <f aca="false">SUMIFS('Futures Data'!$C$5:$C$3471,'Futures Data'!$A$5:$A$3471,A137,'Futures Data'!$B$5:$B$3471,E137)</f>
        <v>6315</v>
      </c>
      <c r="H137" s="13" t="n">
        <f aca="false">LN(D137/C137)</f>
        <v>0</v>
      </c>
      <c r="I137" s="13" t="n">
        <f aca="false">LN(G137/F137)</f>
        <v>-0.00047494657743903</v>
      </c>
      <c r="J137" s="3" t="str">
        <f aca="false">IF(A137&lt;='Results &amp; Charts'!$C$5,"In-sample","Out-of-sample")</f>
        <v>In-sample</v>
      </c>
      <c r="K137" s="13" t="n">
        <f aca="false">H137-'Results &amp; Charts'!$C$9*I137</f>
        <v>0.000291411728313564</v>
      </c>
      <c r="L137" s="13" t="n">
        <f aca="false">H137-I137</f>
        <v>0.00047494657743903</v>
      </c>
      <c r="M137" s="15" t="n">
        <v>0.301959430254126</v>
      </c>
      <c r="N137" s="13" t="n">
        <f aca="false">H137-M137*I137</f>
        <v>0.000143414597924636</v>
      </c>
      <c r="O137" s="16" t="n">
        <f aca="false">'Results &amp; Charts'!$C$9</f>
        <v>0.613567382430444</v>
      </c>
    </row>
    <row r="138" customFormat="false" ht="15" hidden="false" customHeight="false" outlineLevel="0" collapsed="false">
      <c r="A138" s="14" t="n">
        <f aca="false">'Roll Schedule'!A392</f>
        <v>45702</v>
      </c>
      <c r="B138" s="14" t="n">
        <f aca="false">'Roll Schedule'!A391</f>
        <v>45701</v>
      </c>
      <c r="C138" s="3" t="n">
        <f aca="false">SUMIFS('Spot Data'!$E$5:$E$651,'Spot Data'!$A$5:$A$651,B138,'Spot Data'!$H$5:$H$651,"YES")</f>
        <v>7050</v>
      </c>
      <c r="D138" s="3" t="n">
        <f aca="false">SUMIFS('Spot Data'!$E$5:$E$651,'Spot Data'!$A$5:$A$651,A138,'Spot Data'!$H$5:$H$651,"YES")</f>
        <v>6850</v>
      </c>
      <c r="E138" s="14" t="n">
        <f aca="false">'Roll Schedule'!B392</f>
        <v>45736</v>
      </c>
      <c r="F138" s="3" t="n">
        <f aca="false">SUMIFS('Futures Data'!$C$5:$C$3471,'Futures Data'!$A$5:$A$3471,B138,'Futures Data'!$B$5:$B$3471,E138)</f>
        <v>6315</v>
      </c>
      <c r="G138" s="3" t="n">
        <f aca="false">SUMIFS('Futures Data'!$C$5:$C$3471,'Futures Data'!$A$5:$A$3471,A138,'Futures Data'!$B$5:$B$3471,E138)</f>
        <v>6273</v>
      </c>
      <c r="H138" s="13" t="n">
        <f aca="false">LN(D138/C138)</f>
        <v>-0.0287789645500434</v>
      </c>
      <c r="I138" s="13" t="n">
        <f aca="false">LN(G138/F138)</f>
        <v>-0.00667304668784817</v>
      </c>
      <c r="J138" s="3" t="str">
        <f aca="false">IF(A138&lt;='Results &amp; Charts'!$C$5,"In-sample","Out-of-sample")</f>
        <v>In-sample</v>
      </c>
      <c r="K138" s="13" t="n">
        <f aca="false">H138-'Results &amp; Charts'!$C$9*I138</f>
        <v>-0.0246846007609443</v>
      </c>
      <c r="L138" s="13" t="n">
        <f aca="false">H138-I138</f>
        <v>-0.0221059178621952</v>
      </c>
      <c r="M138" s="15" t="n">
        <v>0.326557105756421</v>
      </c>
      <c r="N138" s="13" t="n">
        <f aca="false">H138-M138*I138</f>
        <v>-0.0265998337370822</v>
      </c>
      <c r="O138" s="16" t="n">
        <f aca="false">'Results &amp; Charts'!$C$9</f>
        <v>0.613567382430444</v>
      </c>
    </row>
    <row r="139" customFormat="false" ht="15" hidden="false" customHeight="false" outlineLevel="0" collapsed="false">
      <c r="A139" s="14" t="n">
        <f aca="false">'Roll Schedule'!A393</f>
        <v>45705</v>
      </c>
      <c r="B139" s="14" t="n">
        <f aca="false">'Roll Schedule'!A392</f>
        <v>45702</v>
      </c>
      <c r="C139" s="3" t="n">
        <f aca="false">SUMIFS('Spot Data'!$E$5:$E$651,'Spot Data'!$A$5:$A$651,B139,'Spot Data'!$H$5:$H$651,"YES")</f>
        <v>6850</v>
      </c>
      <c r="D139" s="3" t="n">
        <f aca="false">SUMIFS('Spot Data'!$E$5:$E$651,'Spot Data'!$A$5:$A$651,A139,'Spot Data'!$H$5:$H$651,"YES")</f>
        <v>6875</v>
      </c>
      <c r="E139" s="14" t="n">
        <f aca="false">'Roll Schedule'!B393</f>
        <v>45736</v>
      </c>
      <c r="F139" s="3" t="n">
        <f aca="false">SUMIFS('Futures Data'!$C$5:$C$3471,'Futures Data'!$A$5:$A$3471,B139,'Futures Data'!$B$5:$B$3471,E139)</f>
        <v>6273</v>
      </c>
      <c r="G139" s="3" t="n">
        <f aca="false">SUMIFS('Futures Data'!$C$5:$C$3471,'Futures Data'!$A$5:$A$3471,A139,'Futures Data'!$B$5:$B$3471,E139)</f>
        <v>6290</v>
      </c>
      <c r="H139" s="13" t="n">
        <f aca="false">LN(D139/C139)</f>
        <v>0.00364299127850101</v>
      </c>
      <c r="I139" s="13" t="n">
        <f aca="false">LN(G139/F139)</f>
        <v>0.00270636159774285</v>
      </c>
      <c r="J139" s="3" t="str">
        <f aca="false">IF(A139&lt;='Results &amp; Charts'!$C$5,"In-sample","Out-of-sample")</f>
        <v>In-sample</v>
      </c>
      <c r="K139" s="13" t="n">
        <f aca="false">H139-'Results &amp; Charts'!$C$9*I139</f>
        <v>0.00198245607706366</v>
      </c>
      <c r="L139" s="13" t="n">
        <f aca="false">H139-I139</f>
        <v>0.000936629680758163</v>
      </c>
      <c r="M139" s="15" t="n">
        <v>0.387995030638793</v>
      </c>
      <c r="N139" s="13" t="n">
        <f aca="false">H139-M139*I139</f>
        <v>0.00259293642746512</v>
      </c>
      <c r="O139" s="16" t="n">
        <f aca="false">'Results &amp; Charts'!$C$9</f>
        <v>0.613567382430444</v>
      </c>
    </row>
    <row r="140" customFormat="false" ht="15" hidden="false" customHeight="false" outlineLevel="0" collapsed="false">
      <c r="A140" s="14" t="n">
        <f aca="false">'Roll Schedule'!A394</f>
        <v>45706</v>
      </c>
      <c r="B140" s="14" t="n">
        <f aca="false">'Roll Schedule'!A393</f>
        <v>45705</v>
      </c>
      <c r="C140" s="3" t="n">
        <f aca="false">SUMIFS('Spot Data'!$E$5:$E$651,'Spot Data'!$A$5:$A$651,B140,'Spot Data'!$H$5:$H$651,"YES")</f>
        <v>6875</v>
      </c>
      <c r="D140" s="3" t="n">
        <f aca="false">SUMIFS('Spot Data'!$E$5:$E$651,'Spot Data'!$A$5:$A$651,A140,'Spot Data'!$H$5:$H$651,"YES")</f>
        <v>6850</v>
      </c>
      <c r="E140" s="14" t="n">
        <f aca="false">'Roll Schedule'!B394</f>
        <v>45736</v>
      </c>
      <c r="F140" s="3" t="n">
        <f aca="false">SUMIFS('Futures Data'!$C$5:$C$3471,'Futures Data'!$A$5:$A$3471,B140,'Futures Data'!$B$5:$B$3471,E140)</f>
        <v>6290</v>
      </c>
      <c r="G140" s="3" t="n">
        <f aca="false">SUMIFS('Futures Data'!$C$5:$C$3471,'Futures Data'!$A$5:$A$3471,A140,'Futures Data'!$B$5:$B$3471,E140)</f>
        <v>6313</v>
      </c>
      <c r="H140" s="13" t="n">
        <f aca="false">LN(D140/C140)</f>
        <v>-0.00364299127850109</v>
      </c>
      <c r="I140" s="13" t="n">
        <f aca="false">LN(G140/F140)</f>
        <v>0.00364992867313946</v>
      </c>
      <c r="J140" s="3" t="str">
        <f aca="false">IF(A140&lt;='Results &amp; Charts'!$C$5,"In-sample","Out-of-sample")</f>
        <v>In-sample</v>
      </c>
      <c r="K140" s="13" t="n">
        <f aca="false">H140-'Results &amp; Charts'!$C$9*I140</f>
        <v>-0.00588246846053709</v>
      </c>
      <c r="L140" s="13" t="n">
        <f aca="false">H140-I140</f>
        <v>-0.00729291995164055</v>
      </c>
      <c r="M140" s="15" t="n">
        <v>0.410781572078004</v>
      </c>
      <c r="N140" s="13" t="n">
        <f aca="false">H140-M140*I140</f>
        <v>-0.0051423147168259</v>
      </c>
      <c r="O140" s="16" t="n">
        <f aca="false">'Results &amp; Charts'!$C$9</f>
        <v>0.613567382430444</v>
      </c>
    </row>
    <row r="141" customFormat="false" ht="15" hidden="false" customHeight="false" outlineLevel="0" collapsed="false">
      <c r="A141" s="14" t="n">
        <f aca="false">'Roll Schedule'!A395</f>
        <v>45707</v>
      </c>
      <c r="B141" s="14" t="n">
        <f aca="false">'Roll Schedule'!A394</f>
        <v>45706</v>
      </c>
      <c r="C141" s="3" t="n">
        <f aca="false">SUMIFS('Spot Data'!$E$5:$E$651,'Spot Data'!$A$5:$A$651,B141,'Spot Data'!$H$5:$H$651,"YES")</f>
        <v>6850</v>
      </c>
      <c r="D141" s="3" t="n">
        <f aca="false">SUMIFS('Spot Data'!$E$5:$E$651,'Spot Data'!$A$5:$A$651,A141,'Spot Data'!$H$5:$H$651,"YES")</f>
        <v>6750</v>
      </c>
      <c r="E141" s="14" t="n">
        <f aca="false">'Roll Schedule'!B395</f>
        <v>45736</v>
      </c>
      <c r="F141" s="3" t="n">
        <f aca="false">SUMIFS('Futures Data'!$C$5:$C$3471,'Futures Data'!$A$5:$A$3471,B141,'Futures Data'!$B$5:$B$3471,E141)</f>
        <v>6313</v>
      </c>
      <c r="G141" s="3" t="n">
        <f aca="false">SUMIFS('Futures Data'!$C$5:$C$3471,'Futures Data'!$A$5:$A$3471,A141,'Futures Data'!$B$5:$B$3471,E141)</f>
        <v>6335</v>
      </c>
      <c r="H141" s="13" t="n">
        <f aca="false">LN(D141/C141)</f>
        <v>-0.0147061473896954</v>
      </c>
      <c r="I141" s="13" t="n">
        <f aca="false">LN(G141/F141)</f>
        <v>0.0034788143876139</v>
      </c>
      <c r="J141" s="3" t="str">
        <f aca="false">IF(A141&lt;='Results &amp; Charts'!$C$5,"In-sample","Out-of-sample")</f>
        <v>In-sample</v>
      </c>
      <c r="K141" s="13" t="n">
        <f aca="false">H141-'Results &amp; Charts'!$C$9*I141</f>
        <v>-0.0168406344274651</v>
      </c>
      <c r="L141" s="13" t="n">
        <f aca="false">H141-I141</f>
        <v>-0.0181849617773093</v>
      </c>
      <c r="M141" s="15" t="n">
        <v>0.414943109256721</v>
      </c>
      <c r="N141" s="13" t="n">
        <f aca="false">H141-M141*I141</f>
        <v>-0.016149657448219</v>
      </c>
      <c r="O141" s="16" t="n">
        <f aca="false">'Results &amp; Charts'!$C$9</f>
        <v>0.613567382430444</v>
      </c>
    </row>
    <row r="142" customFormat="false" ht="15" hidden="false" customHeight="false" outlineLevel="0" collapsed="false">
      <c r="A142" s="14" t="n">
        <f aca="false">'Roll Schedule'!A396</f>
        <v>45708</v>
      </c>
      <c r="B142" s="14" t="n">
        <f aca="false">'Roll Schedule'!A395</f>
        <v>45707</v>
      </c>
      <c r="C142" s="3" t="n">
        <f aca="false">SUMIFS('Spot Data'!$E$5:$E$651,'Spot Data'!$A$5:$A$651,B142,'Spot Data'!$H$5:$H$651,"YES")</f>
        <v>6750</v>
      </c>
      <c r="D142" s="3" t="n">
        <f aca="false">SUMIFS('Spot Data'!$E$5:$E$651,'Spot Data'!$A$5:$A$651,A142,'Spot Data'!$H$5:$H$651,"YES")</f>
        <v>6750</v>
      </c>
      <c r="E142" s="14" t="n">
        <f aca="false">'Roll Schedule'!B396</f>
        <v>45736</v>
      </c>
      <c r="F142" s="3" t="n">
        <f aca="false">SUMIFS('Futures Data'!$C$5:$C$3471,'Futures Data'!$A$5:$A$3471,B142,'Futures Data'!$B$5:$B$3471,E142)</f>
        <v>6335</v>
      </c>
      <c r="G142" s="3" t="n">
        <f aca="false">SUMIFS('Futures Data'!$C$5:$C$3471,'Futures Data'!$A$5:$A$3471,A142,'Futures Data'!$B$5:$B$3471,E142)</f>
        <v>6307</v>
      </c>
      <c r="H142" s="13" t="n">
        <f aca="false">LN(D142/C142)</f>
        <v>0</v>
      </c>
      <c r="I142" s="13" t="n">
        <f aca="false">LN(G142/F142)</f>
        <v>-0.00442968609158817</v>
      </c>
      <c r="J142" s="3" t="str">
        <f aca="false">IF(A142&lt;='Results &amp; Charts'!$C$5,"In-sample","Out-of-sample")</f>
        <v>In-sample</v>
      </c>
      <c r="K142" s="13" t="n">
        <f aca="false">H142-'Results &amp; Charts'!$C$9*I142</f>
        <v>0.0027179109002043</v>
      </c>
      <c r="L142" s="13" t="n">
        <f aca="false">H142-I142</f>
        <v>0.00442968609158817</v>
      </c>
      <c r="M142" s="15" t="n">
        <v>0.400864298870928</v>
      </c>
      <c r="N142" s="13" t="n">
        <f aca="false">H142-M142*I142</f>
        <v>0.00177570300932279</v>
      </c>
      <c r="O142" s="16" t="n">
        <f aca="false">'Results &amp; Charts'!$C$9</f>
        <v>0.613567382430444</v>
      </c>
    </row>
    <row r="143" customFormat="false" ht="15" hidden="false" customHeight="false" outlineLevel="0" collapsed="false">
      <c r="A143" s="14" t="n">
        <f aca="false">'Roll Schedule'!A397</f>
        <v>45709</v>
      </c>
      <c r="B143" s="14" t="n">
        <f aca="false">'Roll Schedule'!A396</f>
        <v>45708</v>
      </c>
      <c r="C143" s="3" t="n">
        <f aca="false">SUMIFS('Spot Data'!$E$5:$E$651,'Spot Data'!$A$5:$A$651,B143,'Spot Data'!$H$5:$H$651,"YES")</f>
        <v>6750</v>
      </c>
      <c r="D143" s="3" t="n">
        <f aca="false">SUMIFS('Spot Data'!$E$5:$E$651,'Spot Data'!$A$5:$A$651,A143,'Spot Data'!$H$5:$H$651,"YES")</f>
        <v>6750</v>
      </c>
      <c r="E143" s="14" t="n">
        <f aca="false">'Roll Schedule'!B397</f>
        <v>45736</v>
      </c>
      <c r="F143" s="3" t="n">
        <f aca="false">SUMIFS('Futures Data'!$C$5:$C$3471,'Futures Data'!$A$5:$A$3471,B143,'Futures Data'!$B$5:$B$3471,E143)</f>
        <v>6307</v>
      </c>
      <c r="G143" s="3" t="n">
        <f aca="false">SUMIFS('Futures Data'!$C$5:$C$3471,'Futures Data'!$A$5:$A$3471,A143,'Futures Data'!$B$5:$B$3471,E143)</f>
        <v>6355</v>
      </c>
      <c r="H143" s="13" t="n">
        <f aca="false">LN(D143/C143)</f>
        <v>0</v>
      </c>
      <c r="I143" s="13" t="n">
        <f aca="false">LN(G143/F143)</f>
        <v>0.0075817769599031</v>
      </c>
      <c r="J143" s="3" t="str">
        <f aca="false">IF(A143&lt;='Results &amp; Charts'!$C$5,"In-sample","Out-of-sample")</f>
        <v>In-sample</v>
      </c>
      <c r="K143" s="13" t="n">
        <f aca="false">H143-'Results &amp; Charts'!$C$9*I143</f>
        <v>-0.0046519310434592</v>
      </c>
      <c r="L143" s="13" t="n">
        <f aca="false">H143-I143</f>
        <v>-0.0075817769599031</v>
      </c>
      <c r="M143" s="15" t="n">
        <v>0.406249937726967</v>
      </c>
      <c r="N143" s="13" t="n">
        <f aca="false">H143-M143*I143</f>
        <v>-0.00308009641782039</v>
      </c>
      <c r="O143" s="16" t="n">
        <f aca="false">'Results &amp; Charts'!$C$9</f>
        <v>0.613567382430444</v>
      </c>
    </row>
    <row r="144" customFormat="false" ht="15" hidden="false" customHeight="false" outlineLevel="0" collapsed="false">
      <c r="A144" s="14" t="n">
        <f aca="false">'Roll Schedule'!A398</f>
        <v>45712</v>
      </c>
      <c r="B144" s="14" t="n">
        <f aca="false">'Roll Schedule'!A397</f>
        <v>45709</v>
      </c>
      <c r="C144" s="3" t="n">
        <f aca="false">SUMIFS('Spot Data'!$E$5:$E$651,'Spot Data'!$A$5:$A$651,B144,'Spot Data'!$H$5:$H$651,"YES")</f>
        <v>6750</v>
      </c>
      <c r="D144" s="3" t="n">
        <f aca="false">SUMIFS('Spot Data'!$E$5:$E$651,'Spot Data'!$A$5:$A$651,A144,'Spot Data'!$H$5:$H$651,"YES")</f>
        <v>6750</v>
      </c>
      <c r="E144" s="14" t="n">
        <f aca="false">'Roll Schedule'!B398</f>
        <v>45736</v>
      </c>
      <c r="F144" s="3" t="n">
        <f aca="false">SUMIFS('Futures Data'!$C$5:$C$3471,'Futures Data'!$A$5:$A$3471,B144,'Futures Data'!$B$5:$B$3471,E144)</f>
        <v>6355</v>
      </c>
      <c r="G144" s="3" t="n">
        <f aca="false">SUMIFS('Futures Data'!$C$5:$C$3471,'Futures Data'!$A$5:$A$3471,A144,'Futures Data'!$B$5:$B$3471,E144)</f>
        <v>6386</v>
      </c>
      <c r="H144" s="13" t="n">
        <f aca="false">LN(D144/C144)</f>
        <v>0</v>
      </c>
      <c r="I144" s="13" t="n">
        <f aca="false">LN(G144/F144)</f>
        <v>0.00486618965117291</v>
      </c>
      <c r="J144" s="3" t="str">
        <f aca="false">IF(A144&lt;='Results &amp; Charts'!$C$5,"In-sample","Out-of-sample")</f>
        <v>In-sample</v>
      </c>
      <c r="K144" s="13" t="n">
        <f aca="false">H144-'Results &amp; Charts'!$C$9*I144</f>
        <v>-0.00298573524668028</v>
      </c>
      <c r="L144" s="13" t="n">
        <f aca="false">H144-I144</f>
        <v>-0.00486618965117291</v>
      </c>
      <c r="M144" s="15" t="n">
        <v>0.370927083246314</v>
      </c>
      <c r="N144" s="13" t="n">
        <f aca="false">H144-M144*I144</f>
        <v>-0.00180500153383297</v>
      </c>
      <c r="O144" s="16" t="n">
        <f aca="false">'Results &amp; Charts'!$C$9</f>
        <v>0.613567382430444</v>
      </c>
    </row>
    <row r="145" customFormat="false" ht="15" hidden="false" customHeight="false" outlineLevel="0" collapsed="false">
      <c r="A145" s="14" t="n">
        <f aca="false">'Roll Schedule'!A399</f>
        <v>45713</v>
      </c>
      <c r="B145" s="14" t="n">
        <f aca="false">'Roll Schedule'!A398</f>
        <v>45712</v>
      </c>
      <c r="C145" s="3" t="n">
        <f aca="false">SUMIFS('Spot Data'!$E$5:$E$651,'Spot Data'!$A$5:$A$651,B145,'Spot Data'!$H$5:$H$651,"YES")</f>
        <v>6750</v>
      </c>
      <c r="D145" s="3" t="n">
        <f aca="false">SUMIFS('Spot Data'!$E$5:$E$651,'Spot Data'!$A$5:$A$651,A145,'Spot Data'!$H$5:$H$651,"YES")</f>
        <v>6700</v>
      </c>
      <c r="E145" s="14" t="n">
        <f aca="false">'Roll Schedule'!B399</f>
        <v>45736</v>
      </c>
      <c r="F145" s="3" t="n">
        <f aca="false">SUMIFS('Futures Data'!$C$5:$C$3471,'Futures Data'!$A$5:$A$3471,B145,'Futures Data'!$B$5:$B$3471,E145)</f>
        <v>6386</v>
      </c>
      <c r="G145" s="3" t="n">
        <f aca="false">SUMIFS('Futures Data'!$C$5:$C$3471,'Futures Data'!$A$5:$A$3471,A145,'Futures Data'!$B$5:$B$3471,E145)</f>
        <v>6350</v>
      </c>
      <c r="H145" s="13" t="n">
        <f aca="false">LN(D145/C145)</f>
        <v>-0.00743497848751809</v>
      </c>
      <c r="I145" s="13" t="n">
        <f aca="false">LN(G145/F145)</f>
        <v>-0.00565328138798999</v>
      </c>
      <c r="J145" s="3" t="str">
        <f aca="false">IF(A145&lt;='Results &amp; Charts'!$C$5,"In-sample","Out-of-sample")</f>
        <v>In-sample</v>
      </c>
      <c r="K145" s="13" t="n">
        <f aca="false">H145-'Results &amp; Charts'!$C$9*I145</f>
        <v>-0.00396630942414632</v>
      </c>
      <c r="L145" s="13" t="n">
        <f aca="false">H145-I145</f>
        <v>-0.0017816970995281</v>
      </c>
      <c r="M145" s="15" t="n">
        <v>0.372458268997969</v>
      </c>
      <c r="N145" s="13" t="n">
        <f aca="false">H145-M145*I145</f>
        <v>-0.00532936708758891</v>
      </c>
      <c r="O145" s="16" t="n">
        <f aca="false">'Results &amp; Charts'!$C$9</f>
        <v>0.613567382430444</v>
      </c>
    </row>
    <row r="146" customFormat="false" ht="15" hidden="false" customHeight="false" outlineLevel="0" collapsed="false">
      <c r="A146" s="14" t="n">
        <f aca="false">'Roll Schedule'!A400</f>
        <v>45715</v>
      </c>
      <c r="B146" s="14" t="n">
        <f aca="false">'Roll Schedule'!A399</f>
        <v>45713</v>
      </c>
      <c r="C146" s="3" t="n">
        <f aca="false">SUMIFS('Spot Data'!$E$5:$E$651,'Spot Data'!$A$5:$A$651,B146,'Spot Data'!$H$5:$H$651,"YES")</f>
        <v>6700</v>
      </c>
      <c r="D146" s="3" t="n">
        <f aca="false">SUMIFS('Spot Data'!$E$5:$E$651,'Spot Data'!$A$5:$A$651,A146,'Spot Data'!$H$5:$H$651,"YES")</f>
        <v>6750</v>
      </c>
      <c r="E146" s="14" t="n">
        <f aca="false">'Roll Schedule'!B400</f>
        <v>45736</v>
      </c>
      <c r="F146" s="3" t="n">
        <f aca="false">SUMIFS('Futures Data'!$C$5:$C$3471,'Futures Data'!$A$5:$A$3471,B146,'Futures Data'!$B$5:$B$3471,E146)</f>
        <v>6350</v>
      </c>
      <c r="G146" s="3" t="n">
        <f aca="false">SUMIFS('Futures Data'!$C$5:$C$3471,'Futures Data'!$A$5:$A$3471,A146,'Futures Data'!$B$5:$B$3471,E146)</f>
        <v>6357</v>
      </c>
      <c r="H146" s="13" t="n">
        <f aca="false">LN(D146/C146)</f>
        <v>0.00743497848751799</v>
      </c>
      <c r="I146" s="13" t="n">
        <f aca="false">LN(G146/F146)</f>
        <v>0.00110175504967139</v>
      </c>
      <c r="J146" s="3" t="str">
        <f aca="false">IF(A146&lt;='Results &amp; Charts'!$C$5,"In-sample","Out-of-sample")</f>
        <v>In-sample</v>
      </c>
      <c r="K146" s="13" t="n">
        <f aca="false">H146-'Results &amp; Charts'!$C$9*I146</f>
        <v>0.00675897752561159</v>
      </c>
      <c r="L146" s="13" t="n">
        <f aca="false">H146-I146</f>
        <v>0.0063332234378466</v>
      </c>
      <c r="M146" s="15" t="n">
        <v>0.386549804288325</v>
      </c>
      <c r="N146" s="13" t="n">
        <f aca="false">H146-M146*I146</f>
        <v>0.00700909528869384</v>
      </c>
      <c r="O146" s="16" t="n">
        <f aca="false">'Results &amp; Charts'!$C$9</f>
        <v>0.613567382430444</v>
      </c>
    </row>
    <row r="147" customFormat="false" ht="15" hidden="false" customHeight="false" outlineLevel="0" collapsed="false">
      <c r="A147" s="14" t="n">
        <f aca="false">'Roll Schedule'!A401</f>
        <v>45716</v>
      </c>
      <c r="B147" s="14" t="n">
        <f aca="false">'Roll Schedule'!A400</f>
        <v>45715</v>
      </c>
      <c r="C147" s="3" t="n">
        <f aca="false">SUMIFS('Spot Data'!$E$5:$E$651,'Spot Data'!$A$5:$A$651,B147,'Spot Data'!$H$5:$H$651,"YES")</f>
        <v>6750</v>
      </c>
      <c r="D147" s="3" t="n">
        <f aca="false">SUMIFS('Spot Data'!$E$5:$E$651,'Spot Data'!$A$5:$A$651,A147,'Spot Data'!$H$5:$H$651,"YES")</f>
        <v>6350</v>
      </c>
      <c r="E147" s="14" t="n">
        <f aca="false">'Roll Schedule'!B401</f>
        <v>45736</v>
      </c>
      <c r="F147" s="3" t="n">
        <f aca="false">SUMIFS('Futures Data'!$C$5:$C$3471,'Futures Data'!$A$5:$A$3471,B147,'Futures Data'!$B$5:$B$3471,E147)</f>
        <v>6357</v>
      </c>
      <c r="G147" s="3" t="n">
        <f aca="false">SUMIFS('Futures Data'!$C$5:$C$3471,'Futures Data'!$A$5:$A$3471,A147,'Futures Data'!$B$5:$B$3471,E147)</f>
        <v>6336</v>
      </c>
      <c r="H147" s="13" t="n">
        <f aca="false">LN(D147/C147)</f>
        <v>-0.0610876919798382</v>
      </c>
      <c r="I147" s="13" t="n">
        <f aca="false">LN(G147/F147)</f>
        <v>-0.00330891344214702</v>
      </c>
      <c r="J147" s="3" t="str">
        <f aca="false">IF(A147&lt;='Results &amp; Charts'!$C$5,"In-sample","Out-of-sample")</f>
        <v>In-sample</v>
      </c>
      <c r="K147" s="13" t="n">
        <f aca="false">H147-'Results &amp; Charts'!$C$9*I147</f>
        <v>-0.0590574506204511</v>
      </c>
      <c r="L147" s="13" t="n">
        <f aca="false">H147-I147</f>
        <v>-0.0577787785376911</v>
      </c>
      <c r="M147" s="15" t="n">
        <v>0.413924479906611</v>
      </c>
      <c r="N147" s="13" t="n">
        <f aca="false">H147-M147*I147</f>
        <v>-0.0597180517042415</v>
      </c>
      <c r="O147" s="16" t="n">
        <f aca="false">'Results &amp; Charts'!$C$9</f>
        <v>0.613567382430444</v>
      </c>
    </row>
    <row r="148" customFormat="false" ht="15" hidden="false" customHeight="false" outlineLevel="0" collapsed="false">
      <c r="A148" s="14" t="n">
        <f aca="false">'Roll Schedule'!A402</f>
        <v>45719</v>
      </c>
      <c r="B148" s="14" t="n">
        <f aca="false">'Roll Schedule'!A401</f>
        <v>45716</v>
      </c>
      <c r="C148" s="3" t="n">
        <f aca="false">SUMIFS('Spot Data'!$E$5:$E$651,'Spot Data'!$A$5:$A$651,B148,'Spot Data'!$H$5:$H$651,"YES")</f>
        <v>6350</v>
      </c>
      <c r="D148" s="3" t="n">
        <f aca="false">SUMIFS('Spot Data'!$E$5:$E$651,'Spot Data'!$A$5:$A$651,A148,'Spot Data'!$H$5:$H$651,"YES")</f>
        <v>6350</v>
      </c>
      <c r="E148" s="14" t="n">
        <f aca="false">'Roll Schedule'!B402</f>
        <v>45736</v>
      </c>
      <c r="F148" s="3" t="n">
        <f aca="false">SUMIFS('Futures Data'!$C$5:$C$3471,'Futures Data'!$A$5:$A$3471,B148,'Futures Data'!$B$5:$B$3471,E148)</f>
        <v>6336</v>
      </c>
      <c r="G148" s="3" t="n">
        <f aca="false">SUMIFS('Futures Data'!$C$5:$C$3471,'Futures Data'!$A$5:$A$3471,A148,'Futures Data'!$B$5:$B$3471,E148)</f>
        <v>6271</v>
      </c>
      <c r="H148" s="13" t="n">
        <f aca="false">LN(D148/C148)</f>
        <v>0</v>
      </c>
      <c r="I148" s="13" t="n">
        <f aca="false">LN(G148/F148)</f>
        <v>-0.0103118229512409</v>
      </c>
      <c r="J148" s="3" t="str">
        <f aca="false">IF(A148&lt;='Results &amp; Charts'!$C$5,"In-sample","Out-of-sample")</f>
        <v>In-sample</v>
      </c>
      <c r="K148" s="13" t="n">
        <f aca="false">H148-'Results &amp; Charts'!$C$9*I148</f>
        <v>0.00632699821627907</v>
      </c>
      <c r="L148" s="13" t="n">
        <f aca="false">H148-I148</f>
        <v>0.0103118229512409</v>
      </c>
      <c r="M148" s="15" t="n">
        <v>0.505907561504277</v>
      </c>
      <c r="N148" s="13" t="n">
        <f aca="false">H148-M148*I148</f>
        <v>0.00521682920392613</v>
      </c>
      <c r="O148" s="16" t="n">
        <f aca="false">'Results &amp; Charts'!$C$9</f>
        <v>0.613567382430444</v>
      </c>
    </row>
    <row r="149" customFormat="false" ht="15" hidden="false" customHeight="false" outlineLevel="0" collapsed="false">
      <c r="A149" s="14" t="n">
        <f aca="false">'Roll Schedule'!A403</f>
        <v>45720</v>
      </c>
      <c r="B149" s="14" t="n">
        <f aca="false">'Roll Schedule'!A402</f>
        <v>45719</v>
      </c>
      <c r="C149" s="3" t="n">
        <f aca="false">SUMIFS('Spot Data'!$E$5:$E$651,'Spot Data'!$A$5:$A$651,B149,'Spot Data'!$H$5:$H$651,"YES")</f>
        <v>6350</v>
      </c>
      <c r="D149" s="3" t="n">
        <f aca="false">SUMIFS('Spot Data'!$E$5:$E$651,'Spot Data'!$A$5:$A$651,A149,'Spot Data'!$H$5:$H$651,"YES")</f>
        <v>6350</v>
      </c>
      <c r="E149" s="14" t="n">
        <f aca="false">'Roll Schedule'!B403</f>
        <v>45736</v>
      </c>
      <c r="F149" s="3" t="n">
        <f aca="false">SUMIFS('Futures Data'!$C$5:$C$3471,'Futures Data'!$A$5:$A$3471,B149,'Futures Data'!$B$5:$B$3471,E149)</f>
        <v>6271</v>
      </c>
      <c r="G149" s="3" t="n">
        <f aca="false">SUMIFS('Futures Data'!$C$5:$C$3471,'Futures Data'!$A$5:$A$3471,A149,'Futures Data'!$B$5:$B$3471,E149)</f>
        <v>6267</v>
      </c>
      <c r="H149" s="13" t="n">
        <f aca="false">LN(D149/C149)</f>
        <v>0</v>
      </c>
      <c r="I149" s="13" t="n">
        <f aca="false">LN(G149/F149)</f>
        <v>-0.000638060318345346</v>
      </c>
      <c r="J149" s="3" t="str">
        <f aca="false">IF(A149&lt;='Results &amp; Charts'!$C$5,"In-sample","Out-of-sample")</f>
        <v>In-sample</v>
      </c>
      <c r="K149" s="13" t="n">
        <f aca="false">H149-'Results &amp; Charts'!$C$9*I149</f>
        <v>0.00039149299935989</v>
      </c>
      <c r="L149" s="13" t="n">
        <f aca="false">H149-I149</f>
        <v>0.000638060318345346</v>
      </c>
      <c r="M149" s="15" t="n">
        <v>0.418590571596735</v>
      </c>
      <c r="N149" s="13" t="n">
        <f aca="false">H149-M149*I149</f>
        <v>0.000267086033369373</v>
      </c>
      <c r="O149" s="16" t="n">
        <f aca="false">'Results &amp; Charts'!$C$9</f>
        <v>0.613567382430444</v>
      </c>
    </row>
    <row r="150" customFormat="false" ht="15" hidden="false" customHeight="false" outlineLevel="0" collapsed="false">
      <c r="A150" s="14" t="n">
        <f aca="false">'Roll Schedule'!A404</f>
        <v>45721</v>
      </c>
      <c r="B150" s="14" t="n">
        <f aca="false">'Roll Schedule'!A403</f>
        <v>45720</v>
      </c>
      <c r="C150" s="3" t="n">
        <f aca="false">SUMIFS('Spot Data'!$E$5:$E$651,'Spot Data'!$A$5:$A$651,B150,'Spot Data'!$H$5:$H$651,"YES")</f>
        <v>6350</v>
      </c>
      <c r="D150" s="3" t="n">
        <f aca="false">SUMIFS('Spot Data'!$E$5:$E$651,'Spot Data'!$A$5:$A$651,A150,'Spot Data'!$H$5:$H$651,"YES")</f>
        <v>6350</v>
      </c>
      <c r="E150" s="14" t="n">
        <f aca="false">'Roll Schedule'!B404</f>
        <v>45736</v>
      </c>
      <c r="F150" s="3" t="n">
        <f aca="false">SUMIFS('Futures Data'!$C$5:$C$3471,'Futures Data'!$A$5:$A$3471,B150,'Futures Data'!$B$5:$B$3471,E150)</f>
        <v>6267</v>
      </c>
      <c r="G150" s="3" t="n">
        <f aca="false">SUMIFS('Futures Data'!$C$5:$C$3471,'Futures Data'!$A$5:$A$3471,A150,'Futures Data'!$B$5:$B$3471,E150)</f>
        <v>6288</v>
      </c>
      <c r="H150" s="13" t="n">
        <f aca="false">LN(D150/C150)</f>
        <v>0</v>
      </c>
      <c r="I150" s="13" t="n">
        <f aca="false">LN(G150/F150)</f>
        <v>0.00334528388436694</v>
      </c>
      <c r="J150" s="3" t="str">
        <f aca="false">IF(A150&lt;='Results &amp; Charts'!$C$5,"In-sample","Out-of-sample")</f>
        <v>In-sample</v>
      </c>
      <c r="K150" s="13" t="n">
        <f aca="false">H150-'Results &amp; Charts'!$C$9*I150</f>
        <v>-0.00205255707641777</v>
      </c>
      <c r="L150" s="13" t="n">
        <f aca="false">H150-I150</f>
        <v>-0.00334528388436694</v>
      </c>
      <c r="M150" s="15" t="n">
        <v>0.445934245040129</v>
      </c>
      <c r="N150" s="13" t="n">
        <f aca="false">H150-M150*I150</f>
        <v>-0.00149177664342008</v>
      </c>
      <c r="O150" s="16" t="n">
        <f aca="false">'Results &amp; Charts'!$C$9</f>
        <v>0.613567382430444</v>
      </c>
    </row>
    <row r="151" customFormat="false" ht="15" hidden="false" customHeight="false" outlineLevel="0" collapsed="false">
      <c r="A151" s="14" t="n">
        <f aca="false">'Roll Schedule'!A405</f>
        <v>45722</v>
      </c>
      <c r="B151" s="14" t="n">
        <f aca="false">'Roll Schedule'!A404</f>
        <v>45721</v>
      </c>
      <c r="C151" s="3" t="n">
        <f aca="false">SUMIFS('Spot Data'!$E$5:$E$651,'Spot Data'!$A$5:$A$651,B151,'Spot Data'!$H$5:$H$651,"YES")</f>
        <v>6350</v>
      </c>
      <c r="D151" s="3" t="n">
        <f aca="false">SUMIFS('Spot Data'!$E$5:$E$651,'Spot Data'!$A$5:$A$651,A151,'Spot Data'!$H$5:$H$651,"YES")</f>
        <v>6350</v>
      </c>
      <c r="E151" s="14" t="n">
        <f aca="false">'Roll Schedule'!B405</f>
        <v>45736</v>
      </c>
      <c r="F151" s="3" t="n">
        <f aca="false">SUMIFS('Futures Data'!$C$5:$C$3471,'Futures Data'!$A$5:$A$3471,B151,'Futures Data'!$B$5:$B$3471,E151)</f>
        <v>6288</v>
      </c>
      <c r="G151" s="3" t="n">
        <f aca="false">SUMIFS('Futures Data'!$C$5:$C$3471,'Futures Data'!$A$5:$A$3471,A151,'Futures Data'!$B$5:$B$3471,E151)</f>
        <v>6319</v>
      </c>
      <c r="H151" s="13" t="n">
        <f aca="false">LN(D151/C151)</f>
        <v>0</v>
      </c>
      <c r="I151" s="13" t="n">
        <f aca="false">LN(G151/F151)</f>
        <v>0.00491791266441281</v>
      </c>
      <c r="J151" s="3" t="str">
        <f aca="false">IF(A151&lt;='Results &amp; Charts'!$C$5,"In-sample","Out-of-sample")</f>
        <v>In-sample</v>
      </c>
      <c r="K151" s="13" t="n">
        <f aca="false">H151-'Results &amp; Charts'!$C$9*I151</f>
        <v>-0.0030174708005253</v>
      </c>
      <c r="L151" s="13" t="n">
        <f aca="false">H151-I151</f>
        <v>-0.00491791266441281</v>
      </c>
      <c r="M151" s="15" t="n">
        <v>0.457370272580313</v>
      </c>
      <c r="N151" s="13" t="n">
        <f aca="false">H151-M151*I151</f>
        <v>-0.00224930705584866</v>
      </c>
      <c r="O151" s="16" t="n">
        <f aca="false">'Results &amp; Charts'!$C$9</f>
        <v>0.613567382430444</v>
      </c>
    </row>
    <row r="152" customFormat="false" ht="15" hidden="false" customHeight="false" outlineLevel="0" collapsed="false">
      <c r="A152" s="14" t="n">
        <f aca="false">'Roll Schedule'!A406</f>
        <v>45723</v>
      </c>
      <c r="B152" s="14" t="n">
        <f aca="false">'Roll Schedule'!A405</f>
        <v>45722</v>
      </c>
      <c r="C152" s="3" t="n">
        <f aca="false">SUMIFS('Spot Data'!$E$5:$E$651,'Spot Data'!$A$5:$A$651,B152,'Spot Data'!$H$5:$H$651,"YES")</f>
        <v>6350</v>
      </c>
      <c r="D152" s="3" t="n">
        <f aca="false">SUMIFS('Spot Data'!$E$5:$E$651,'Spot Data'!$A$5:$A$651,A152,'Spot Data'!$H$5:$H$651,"YES")</f>
        <v>6050</v>
      </c>
      <c r="E152" s="14" t="n">
        <f aca="false">'Roll Schedule'!B406</f>
        <v>45736</v>
      </c>
      <c r="F152" s="3" t="n">
        <f aca="false">SUMIFS('Futures Data'!$C$5:$C$3471,'Futures Data'!$A$5:$A$3471,B152,'Futures Data'!$B$5:$B$3471,E152)</f>
        <v>6319</v>
      </c>
      <c r="G152" s="3" t="n">
        <f aca="false">SUMIFS('Futures Data'!$C$5:$C$3471,'Futures Data'!$A$5:$A$3471,A152,'Futures Data'!$B$5:$B$3471,E152)</f>
        <v>6346</v>
      </c>
      <c r="H152" s="13" t="n">
        <f aca="false">LN(D152/C152)</f>
        <v>-0.0483965408618502</v>
      </c>
      <c r="I152" s="13" t="n">
        <f aca="false">LN(G152/F152)</f>
        <v>0.00426372536968566</v>
      </c>
      <c r="J152" s="3" t="str">
        <f aca="false">IF(A152&lt;='Results &amp; Charts'!$C$5,"In-sample","Out-of-sample")</f>
        <v>In-sample</v>
      </c>
      <c r="K152" s="13" t="n">
        <f aca="false">H152-'Results &amp; Charts'!$C$9*I152</f>
        <v>-0.0510126236763305</v>
      </c>
      <c r="L152" s="13" t="n">
        <f aca="false">H152-I152</f>
        <v>-0.0526602662315359</v>
      </c>
      <c r="M152" s="15" t="n">
        <v>0.452052804182043</v>
      </c>
      <c r="N152" s="13" t="n">
        <f aca="false">H152-M152*I152</f>
        <v>-0.0503239698714787</v>
      </c>
      <c r="O152" s="16" t="n">
        <f aca="false">'Results &amp; Charts'!$C$9</f>
        <v>0.613567382430444</v>
      </c>
    </row>
    <row r="153" customFormat="false" ht="15" hidden="false" customHeight="false" outlineLevel="0" collapsed="false">
      <c r="A153" s="14" t="n">
        <f aca="false">'Roll Schedule'!A407</f>
        <v>45726</v>
      </c>
      <c r="B153" s="14" t="n">
        <f aca="false">'Roll Schedule'!A406</f>
        <v>45723</v>
      </c>
      <c r="C153" s="3" t="n">
        <f aca="false">SUMIFS('Spot Data'!$E$5:$E$651,'Spot Data'!$A$5:$A$651,B153,'Spot Data'!$H$5:$H$651,"YES")</f>
        <v>6050</v>
      </c>
      <c r="D153" s="3" t="n">
        <f aca="false">SUMIFS('Spot Data'!$E$5:$E$651,'Spot Data'!$A$5:$A$651,A153,'Spot Data'!$H$5:$H$651,"YES")</f>
        <v>6050</v>
      </c>
      <c r="E153" s="14" t="n">
        <f aca="false">'Roll Schedule'!B407</f>
        <v>45736</v>
      </c>
      <c r="F153" s="3" t="n">
        <f aca="false">SUMIFS('Futures Data'!$C$5:$C$3471,'Futures Data'!$A$5:$A$3471,B153,'Futures Data'!$B$5:$B$3471,E153)</f>
        <v>6346</v>
      </c>
      <c r="G153" s="3" t="n">
        <f aca="false">SUMIFS('Futures Data'!$C$5:$C$3471,'Futures Data'!$A$5:$A$3471,A153,'Futures Data'!$B$5:$B$3471,E153)</f>
        <v>6256</v>
      </c>
      <c r="H153" s="13" t="n">
        <f aca="false">LN(D153/C153)</f>
        <v>0</v>
      </c>
      <c r="I153" s="13" t="n">
        <f aca="false">LN(G153/F153)</f>
        <v>-0.0142836899179939</v>
      </c>
      <c r="J153" s="3" t="str">
        <f aca="false">IF(A153&lt;='Results &amp; Charts'!$C$5,"In-sample","Out-of-sample")</f>
        <v>In-sample</v>
      </c>
      <c r="K153" s="13" t="n">
        <f aca="false">H153-'Results &amp; Charts'!$C$9*I153</f>
        <v>0.00876400623443164</v>
      </c>
      <c r="L153" s="13" t="n">
        <f aca="false">H153-I153</f>
        <v>0.0142836899179939</v>
      </c>
      <c r="M153" s="15" t="n">
        <v>0.358558163506077</v>
      </c>
      <c r="N153" s="13" t="n">
        <f aca="false">H153-M153*I153</f>
        <v>0.00512153362508616</v>
      </c>
      <c r="O153" s="16" t="n">
        <f aca="false">'Results &amp; Charts'!$C$9</f>
        <v>0.613567382430444</v>
      </c>
    </row>
    <row r="154" customFormat="false" ht="15" hidden="false" customHeight="false" outlineLevel="0" collapsed="false">
      <c r="A154" s="14" t="n">
        <f aca="false">'Roll Schedule'!A408</f>
        <v>45727</v>
      </c>
      <c r="B154" s="14" t="n">
        <f aca="false">'Roll Schedule'!A407</f>
        <v>45726</v>
      </c>
      <c r="C154" s="3" t="n">
        <f aca="false">SUMIFS('Spot Data'!$E$5:$E$651,'Spot Data'!$A$5:$A$651,B154,'Spot Data'!$H$5:$H$651,"YES")</f>
        <v>6050</v>
      </c>
      <c r="D154" s="3" t="n">
        <f aca="false">SUMIFS('Spot Data'!$E$5:$E$651,'Spot Data'!$A$5:$A$651,A154,'Spot Data'!$H$5:$H$651,"YES")</f>
        <v>6050</v>
      </c>
      <c r="E154" s="14" t="n">
        <f aca="false">'Roll Schedule'!B408</f>
        <v>45764</v>
      </c>
      <c r="F154" s="3" t="n">
        <f aca="false">SUMIFS('Futures Data'!$C$5:$C$3471,'Futures Data'!$A$5:$A$3471,B154,'Futures Data'!$B$5:$B$3471,E154)</f>
        <v>6264</v>
      </c>
      <c r="G154" s="3" t="n">
        <f aca="false">SUMIFS('Futures Data'!$C$5:$C$3471,'Futures Data'!$A$5:$A$3471,A154,'Futures Data'!$B$5:$B$3471,E154)</f>
        <v>6286</v>
      </c>
      <c r="H154" s="13" t="n">
        <f aca="false">LN(D154/C154)</f>
        <v>0</v>
      </c>
      <c r="I154" s="13" t="n">
        <f aca="false">LN(G154/F154)</f>
        <v>0.00350597968687387</v>
      </c>
      <c r="J154" s="3" t="str">
        <f aca="false">IF(A154&lt;='Results &amp; Charts'!$C$5,"In-sample","Out-of-sample")</f>
        <v>In-sample</v>
      </c>
      <c r="K154" s="13" t="n">
        <f aca="false">H154-'Results &amp; Charts'!$C$9*I154</f>
        <v>-0.00215115477932951</v>
      </c>
      <c r="L154" s="13" t="n">
        <f aca="false">H154-I154</f>
        <v>-0.00350597968687387</v>
      </c>
      <c r="M154" s="15" t="n">
        <v>0.254375750306476</v>
      </c>
      <c r="N154" s="13" t="n">
        <f aca="false">H154-M154*I154</f>
        <v>-0.000891836213407804</v>
      </c>
      <c r="O154" s="16" t="n">
        <f aca="false">'Results &amp; Charts'!$C$9</f>
        <v>0.613567382430444</v>
      </c>
    </row>
    <row r="155" customFormat="false" ht="15" hidden="false" customHeight="false" outlineLevel="0" collapsed="false">
      <c r="A155" s="14" t="n">
        <f aca="false">'Roll Schedule'!A409</f>
        <v>45728</v>
      </c>
      <c r="B155" s="14" t="n">
        <f aca="false">'Roll Schedule'!A408</f>
        <v>45727</v>
      </c>
      <c r="C155" s="3" t="n">
        <f aca="false">SUMIFS('Spot Data'!$E$5:$E$651,'Spot Data'!$A$5:$A$651,B155,'Spot Data'!$H$5:$H$651,"YES")</f>
        <v>6050</v>
      </c>
      <c r="D155" s="3" t="n">
        <f aca="false">SUMIFS('Spot Data'!$E$5:$E$651,'Spot Data'!$A$5:$A$651,A155,'Spot Data'!$H$5:$H$651,"YES")</f>
        <v>6300</v>
      </c>
      <c r="E155" s="14" t="n">
        <f aca="false">'Roll Schedule'!B409</f>
        <v>45764</v>
      </c>
      <c r="F155" s="3" t="n">
        <f aca="false">SUMIFS('Futures Data'!$C$5:$C$3471,'Futures Data'!$A$5:$A$3471,B155,'Futures Data'!$B$5:$B$3471,E155)</f>
        <v>6286</v>
      </c>
      <c r="G155" s="3" t="n">
        <f aca="false">SUMIFS('Futures Data'!$C$5:$C$3471,'Futures Data'!$A$5:$A$3471,A155,'Futures Data'!$B$5:$B$3471,E155)</f>
        <v>6281</v>
      </c>
      <c r="H155" s="13" t="n">
        <f aca="false">LN(D155/C155)</f>
        <v>0.040491361354737</v>
      </c>
      <c r="I155" s="13" t="n">
        <f aca="false">LN(G155/F155)</f>
        <v>-0.000795734903132101</v>
      </c>
      <c r="J155" s="3" t="str">
        <f aca="false">IF(A155&lt;='Results &amp; Charts'!$C$5,"In-sample","Out-of-sample")</f>
        <v>In-sample</v>
      </c>
      <c r="K155" s="13" t="n">
        <f aca="false">H155-'Results &amp; Charts'!$C$9*I155</f>
        <v>0.0409795983363603</v>
      </c>
      <c r="L155" s="13" t="n">
        <f aca="false">H155-I155</f>
        <v>0.0412870962578691</v>
      </c>
      <c r="M155" s="15" t="n">
        <v>0.272105135733068</v>
      </c>
      <c r="N155" s="13" t="n">
        <f aca="false">H155-M155*I155</f>
        <v>0.0407078849085613</v>
      </c>
      <c r="O155" s="16" t="n">
        <f aca="false">'Results &amp; Charts'!$C$9</f>
        <v>0.613567382430444</v>
      </c>
    </row>
    <row r="156" customFormat="false" ht="15" hidden="false" customHeight="false" outlineLevel="0" collapsed="false">
      <c r="A156" s="14" t="n">
        <f aca="false">'Roll Schedule'!A410</f>
        <v>45729</v>
      </c>
      <c r="B156" s="14" t="n">
        <f aca="false">'Roll Schedule'!A409</f>
        <v>45728</v>
      </c>
      <c r="C156" s="3" t="n">
        <f aca="false">SUMIFS('Spot Data'!$E$5:$E$651,'Spot Data'!$A$5:$A$651,B156,'Spot Data'!$H$5:$H$651,"YES")</f>
        <v>6300</v>
      </c>
      <c r="D156" s="3" t="n">
        <f aca="false">SUMIFS('Spot Data'!$E$5:$E$651,'Spot Data'!$A$5:$A$651,A156,'Spot Data'!$H$5:$H$651,"YES")</f>
        <v>6400</v>
      </c>
      <c r="E156" s="14" t="n">
        <f aca="false">'Roll Schedule'!B410</f>
        <v>45764</v>
      </c>
      <c r="F156" s="3" t="n">
        <f aca="false">SUMIFS('Futures Data'!$C$5:$C$3471,'Futures Data'!$A$5:$A$3471,B156,'Futures Data'!$B$5:$B$3471,E156)</f>
        <v>6281</v>
      </c>
      <c r="G156" s="3" t="n">
        <f aca="false">SUMIFS('Futures Data'!$C$5:$C$3471,'Futures Data'!$A$5:$A$3471,A156,'Futures Data'!$B$5:$B$3471,E156)</f>
        <v>6209</v>
      </c>
      <c r="H156" s="13" t="n">
        <f aca="false">LN(D156/C156)</f>
        <v>0.0157483569681391</v>
      </c>
      <c r="I156" s="13" t="n">
        <f aca="false">LN(G156/F156)</f>
        <v>-0.0115293510894879</v>
      </c>
      <c r="J156" s="3" t="str">
        <f aca="false">IF(A156&lt;='Results &amp; Charts'!$C$5,"In-sample","Out-of-sample")</f>
        <v>In-sample</v>
      </c>
      <c r="K156" s="13" t="n">
        <f aca="false">H156-'Results &amp; Charts'!$C$9*I156</f>
        <v>0.0228223907372378</v>
      </c>
      <c r="L156" s="13" t="n">
        <f aca="false">H156-I156</f>
        <v>0.0272777080576271</v>
      </c>
      <c r="M156" s="15" t="n">
        <v>0.290791860437779</v>
      </c>
      <c r="N156" s="13" t="n">
        <f aca="false">H156-M156*I156</f>
        <v>0.0191009984210916</v>
      </c>
      <c r="O156" s="16" t="n">
        <f aca="false">'Results &amp; Charts'!$C$9</f>
        <v>0.613567382430444</v>
      </c>
    </row>
    <row r="157" customFormat="false" ht="15" hidden="false" customHeight="false" outlineLevel="0" collapsed="false">
      <c r="A157" s="14" t="n">
        <f aca="false">'Roll Schedule'!A411</f>
        <v>45733</v>
      </c>
      <c r="B157" s="14" t="n">
        <f aca="false">'Roll Schedule'!A410</f>
        <v>45729</v>
      </c>
      <c r="C157" s="3" t="n">
        <f aca="false">SUMIFS('Spot Data'!$E$5:$E$651,'Spot Data'!$A$5:$A$651,B157,'Spot Data'!$H$5:$H$651,"YES")</f>
        <v>6400</v>
      </c>
      <c r="D157" s="3" t="n">
        <f aca="false">SUMIFS('Spot Data'!$E$5:$E$651,'Spot Data'!$A$5:$A$651,A157,'Spot Data'!$H$5:$H$651,"YES")</f>
        <v>6300</v>
      </c>
      <c r="E157" s="14" t="n">
        <f aca="false">'Roll Schedule'!B411</f>
        <v>45764</v>
      </c>
      <c r="F157" s="3" t="n">
        <f aca="false">SUMIFS('Futures Data'!$C$5:$C$3471,'Futures Data'!$A$5:$A$3471,B157,'Futures Data'!$B$5:$B$3471,E157)</f>
        <v>6209</v>
      </c>
      <c r="G157" s="3" t="n">
        <f aca="false">SUMIFS('Futures Data'!$C$5:$C$3471,'Futures Data'!$A$5:$A$3471,A157,'Futures Data'!$B$5:$B$3471,E157)</f>
        <v>6224</v>
      </c>
      <c r="H157" s="13" t="n">
        <f aca="false">LN(D157/C157)</f>
        <v>-0.0157483569681392</v>
      </c>
      <c r="I157" s="13" t="n">
        <f aca="false">LN(G157/F157)</f>
        <v>0.00241293449333468</v>
      </c>
      <c r="J157" s="3" t="str">
        <f aca="false">IF(A157&lt;='Results &amp; Charts'!$C$5,"In-sample","Out-of-sample")</f>
        <v>In-sample</v>
      </c>
      <c r="K157" s="13" t="n">
        <f aca="false">H157-'Results &amp; Charts'!$C$9*I157</f>
        <v>-0.0172288548691907</v>
      </c>
      <c r="L157" s="13" t="n">
        <f aca="false">H157-I157</f>
        <v>-0.0181612914614738</v>
      </c>
      <c r="M157" s="15" t="n">
        <v>0.193359828535205</v>
      </c>
      <c r="N157" s="13" t="n">
        <f aca="false">H157-M157*I157</f>
        <v>-0.016214921568037</v>
      </c>
      <c r="O157" s="16" t="n">
        <f aca="false">'Results &amp; Charts'!$C$9</f>
        <v>0.613567382430444</v>
      </c>
    </row>
    <row r="158" customFormat="false" ht="15" hidden="false" customHeight="false" outlineLevel="0" collapsed="false">
      <c r="A158" s="14" t="n">
        <f aca="false">'Roll Schedule'!A412</f>
        <v>45734</v>
      </c>
      <c r="B158" s="14" t="n">
        <f aca="false">'Roll Schedule'!A411</f>
        <v>45733</v>
      </c>
      <c r="C158" s="3" t="n">
        <f aca="false">SUMIFS('Spot Data'!$E$5:$E$651,'Spot Data'!$A$5:$A$651,B158,'Spot Data'!$H$5:$H$651,"YES")</f>
        <v>6300</v>
      </c>
      <c r="D158" s="3" t="n">
        <f aca="false">SUMIFS('Spot Data'!$E$5:$E$651,'Spot Data'!$A$5:$A$651,A158,'Spot Data'!$H$5:$H$651,"YES")</f>
        <v>6300</v>
      </c>
      <c r="E158" s="14" t="n">
        <f aca="false">'Roll Schedule'!B412</f>
        <v>45764</v>
      </c>
      <c r="F158" s="3" t="n">
        <f aca="false">SUMIFS('Futures Data'!$C$5:$C$3471,'Futures Data'!$A$5:$A$3471,B158,'Futures Data'!$B$5:$B$3471,E158)</f>
        <v>6224</v>
      </c>
      <c r="G158" s="3" t="n">
        <f aca="false">SUMIFS('Futures Data'!$C$5:$C$3471,'Futures Data'!$A$5:$A$3471,A158,'Futures Data'!$B$5:$B$3471,E158)</f>
        <v>6245</v>
      </c>
      <c r="H158" s="13" t="n">
        <f aca="false">LN(D158/C158)</f>
        <v>0</v>
      </c>
      <c r="I158" s="13" t="n">
        <f aca="false">LN(G158/F158)</f>
        <v>0.00336835670145049</v>
      </c>
      <c r="J158" s="3" t="str">
        <f aca="false">IF(A158&lt;='Results &amp; Charts'!$C$5,"In-sample","Out-of-sample")</f>
        <v>In-sample</v>
      </c>
      <c r="K158" s="13" t="n">
        <f aca="false">H158-'Results &amp; Charts'!$C$9*I158</f>
        <v>-0.00206671380440102</v>
      </c>
      <c r="L158" s="13" t="n">
        <f aca="false">H158-I158</f>
        <v>-0.00336835670145049</v>
      </c>
      <c r="M158" s="15" t="n">
        <v>0.197410074841647</v>
      </c>
      <c r="N158" s="13" t="n">
        <f aca="false">H158-M158*I158</f>
        <v>-0.000664947548526704</v>
      </c>
      <c r="O158" s="16" t="n">
        <f aca="false">'Results &amp; Charts'!$C$9</f>
        <v>0.613567382430444</v>
      </c>
    </row>
    <row r="159" customFormat="false" ht="15" hidden="false" customHeight="false" outlineLevel="0" collapsed="false">
      <c r="A159" s="14" t="n">
        <f aca="false">'Roll Schedule'!A413</f>
        <v>45735</v>
      </c>
      <c r="B159" s="14" t="n">
        <f aca="false">'Roll Schedule'!A412</f>
        <v>45734</v>
      </c>
      <c r="C159" s="3" t="n">
        <f aca="false">SUMIFS('Spot Data'!$E$5:$E$651,'Spot Data'!$A$5:$A$651,B159,'Spot Data'!$H$5:$H$651,"YES")</f>
        <v>6300</v>
      </c>
      <c r="D159" s="3" t="n">
        <f aca="false">SUMIFS('Spot Data'!$E$5:$E$651,'Spot Data'!$A$5:$A$651,A159,'Spot Data'!$H$5:$H$651,"YES")</f>
        <v>6300</v>
      </c>
      <c r="E159" s="14" t="n">
        <f aca="false">'Roll Schedule'!B413</f>
        <v>45764</v>
      </c>
      <c r="F159" s="3" t="n">
        <f aca="false">SUMIFS('Futures Data'!$C$5:$C$3471,'Futures Data'!$A$5:$A$3471,B159,'Futures Data'!$B$5:$B$3471,E159)</f>
        <v>6245</v>
      </c>
      <c r="G159" s="3" t="n">
        <f aca="false">SUMIFS('Futures Data'!$C$5:$C$3471,'Futures Data'!$A$5:$A$3471,A159,'Futures Data'!$B$5:$B$3471,E159)</f>
        <v>6292</v>
      </c>
      <c r="H159" s="13" t="n">
        <f aca="false">LN(D159/C159)</f>
        <v>0</v>
      </c>
      <c r="I159" s="13" t="n">
        <f aca="false">LN(G159/F159)</f>
        <v>0.00749784161849028</v>
      </c>
      <c r="J159" s="3" t="str">
        <f aca="false">IF(A159&lt;='Results &amp; Charts'!$C$5,"In-sample","Out-of-sample")</f>
        <v>In-sample</v>
      </c>
      <c r="K159" s="13" t="n">
        <f aca="false">H159-'Results &amp; Charts'!$C$9*I159</f>
        <v>-0.00460043105573513</v>
      </c>
      <c r="L159" s="13" t="n">
        <f aca="false">H159-I159</f>
        <v>-0.00749784161849028</v>
      </c>
      <c r="M159" s="15" t="n">
        <v>0.213018714117504</v>
      </c>
      <c r="N159" s="13" t="n">
        <f aca="false">H159-M159*I159</f>
        <v>-0.00159718058022751</v>
      </c>
      <c r="O159" s="16" t="n">
        <f aca="false">'Results &amp; Charts'!$C$9</f>
        <v>0.613567382430444</v>
      </c>
    </row>
    <row r="160" customFormat="false" ht="15" hidden="false" customHeight="false" outlineLevel="0" collapsed="false">
      <c r="A160" s="14" t="n">
        <f aca="false">'Roll Schedule'!A414</f>
        <v>45736</v>
      </c>
      <c r="B160" s="14" t="n">
        <f aca="false">'Roll Schedule'!A413</f>
        <v>45735</v>
      </c>
      <c r="C160" s="3" t="n">
        <f aca="false">SUMIFS('Spot Data'!$E$5:$E$651,'Spot Data'!$A$5:$A$651,B160,'Spot Data'!$H$5:$H$651,"YES")</f>
        <v>6300</v>
      </c>
      <c r="D160" s="3" t="n">
        <f aca="false">SUMIFS('Spot Data'!$E$5:$E$651,'Spot Data'!$A$5:$A$651,A160,'Spot Data'!$H$5:$H$651,"YES")</f>
        <v>6300</v>
      </c>
      <c r="E160" s="14" t="n">
        <f aca="false">'Roll Schedule'!B414</f>
        <v>45764</v>
      </c>
      <c r="F160" s="3" t="n">
        <f aca="false">SUMIFS('Futures Data'!$C$5:$C$3471,'Futures Data'!$A$5:$A$3471,B160,'Futures Data'!$B$5:$B$3471,E160)</f>
        <v>6292</v>
      </c>
      <c r="G160" s="3" t="n">
        <f aca="false">SUMIFS('Futures Data'!$C$5:$C$3471,'Futures Data'!$A$5:$A$3471,A160,'Futures Data'!$B$5:$B$3471,E160)</f>
        <v>6297</v>
      </c>
      <c r="H160" s="13" t="n">
        <f aca="false">LN(D160/C160)</f>
        <v>0</v>
      </c>
      <c r="I160" s="13" t="n">
        <f aca="false">LN(G160/F160)</f>
        <v>0.000794344310574298</v>
      </c>
      <c r="J160" s="3" t="str">
        <f aca="false">IF(A160&lt;='Results &amp; Charts'!$C$5,"In-sample","Out-of-sample")</f>
        <v>In-sample</v>
      </c>
      <c r="K160" s="13" t="n">
        <f aca="false">H160-'Results &amp; Charts'!$C$9*I160</f>
        <v>-0.000487383759387588</v>
      </c>
      <c r="L160" s="13" t="n">
        <f aca="false">H160-I160</f>
        <v>-0.000794344310574298</v>
      </c>
      <c r="M160" s="15" t="n">
        <v>0.208531243743025</v>
      </c>
      <c r="N160" s="13" t="n">
        <f aca="false">H160-M160*I160</f>
        <v>-0.000165645607044254</v>
      </c>
      <c r="O160" s="16" t="n">
        <f aca="false">'Results &amp; Charts'!$C$9</f>
        <v>0.613567382430444</v>
      </c>
    </row>
    <row r="161" customFormat="false" ht="15" hidden="false" customHeight="false" outlineLevel="0" collapsed="false">
      <c r="A161" s="14" t="n">
        <f aca="false">'Roll Schedule'!A415</f>
        <v>45737</v>
      </c>
      <c r="B161" s="14" t="n">
        <f aca="false">'Roll Schedule'!A414</f>
        <v>45736</v>
      </c>
      <c r="C161" s="3" t="n">
        <f aca="false">SUMIFS('Spot Data'!$E$5:$E$651,'Spot Data'!$A$5:$A$651,B161,'Spot Data'!$H$5:$H$651,"YES")</f>
        <v>6300</v>
      </c>
      <c r="D161" s="3" t="n">
        <f aca="false">SUMIFS('Spot Data'!$E$5:$E$651,'Spot Data'!$A$5:$A$651,A161,'Spot Data'!$H$5:$H$651,"YES")</f>
        <v>6300</v>
      </c>
      <c r="E161" s="14" t="n">
        <f aca="false">'Roll Schedule'!B415</f>
        <v>45764</v>
      </c>
      <c r="F161" s="3" t="n">
        <f aca="false">SUMIFS('Futures Data'!$C$5:$C$3471,'Futures Data'!$A$5:$A$3471,B161,'Futures Data'!$B$5:$B$3471,E161)</f>
        <v>6297</v>
      </c>
      <c r="G161" s="3" t="n">
        <f aca="false">SUMIFS('Futures Data'!$C$5:$C$3471,'Futures Data'!$A$5:$A$3471,A161,'Futures Data'!$B$5:$B$3471,E161)</f>
        <v>6307</v>
      </c>
      <c r="H161" s="13" t="n">
        <f aca="false">LN(D161/C161)</f>
        <v>0</v>
      </c>
      <c r="I161" s="13" t="n">
        <f aca="false">LN(G161/F161)</f>
        <v>0.00158679817490845</v>
      </c>
      <c r="J161" s="3" t="str">
        <f aca="false">IF(A161&lt;='Results &amp; Charts'!$C$5,"In-sample","Out-of-sample")</f>
        <v>In-sample</v>
      </c>
      <c r="K161" s="13" t="n">
        <f aca="false">H161-'Results &amp; Charts'!$C$9*I161</f>
        <v>-0.000973607602623983</v>
      </c>
      <c r="L161" s="13" t="n">
        <f aca="false">H161-I161</f>
        <v>-0.00158679817490845</v>
      </c>
      <c r="M161" s="15" t="n">
        <v>0.229255608814076</v>
      </c>
      <c r="N161" s="13" t="n">
        <f aca="false">H161-M161*I161</f>
        <v>-0.000363782381653701</v>
      </c>
      <c r="O161" s="16" t="n">
        <f aca="false">'Results &amp; Charts'!$C$9</f>
        <v>0.613567382430444</v>
      </c>
    </row>
    <row r="162" customFormat="false" ht="15" hidden="false" customHeight="false" outlineLevel="0" collapsed="false">
      <c r="A162" s="14" t="n">
        <f aca="false">'Roll Schedule'!A416</f>
        <v>45740</v>
      </c>
      <c r="B162" s="14" t="n">
        <f aca="false">'Roll Schedule'!A415</f>
        <v>45737</v>
      </c>
      <c r="C162" s="3" t="n">
        <f aca="false">SUMIFS('Spot Data'!$E$5:$E$651,'Spot Data'!$A$5:$A$651,B162,'Spot Data'!$H$5:$H$651,"YES")</f>
        <v>6300</v>
      </c>
      <c r="D162" s="3" t="n">
        <f aca="false">SUMIFS('Spot Data'!$E$5:$E$651,'Spot Data'!$A$5:$A$651,A162,'Spot Data'!$H$5:$H$651,"YES")</f>
        <v>6300</v>
      </c>
      <c r="E162" s="14" t="n">
        <f aca="false">'Roll Schedule'!B416</f>
        <v>45764</v>
      </c>
      <c r="F162" s="3" t="n">
        <f aca="false">SUMIFS('Futures Data'!$C$5:$C$3471,'Futures Data'!$A$5:$A$3471,B162,'Futures Data'!$B$5:$B$3471,E162)</f>
        <v>6307</v>
      </c>
      <c r="G162" s="3" t="n">
        <f aca="false">SUMIFS('Futures Data'!$C$5:$C$3471,'Futures Data'!$A$5:$A$3471,A162,'Futures Data'!$B$5:$B$3471,E162)</f>
        <v>6339</v>
      </c>
      <c r="H162" s="13" t="n">
        <f aca="false">LN(D162/C162)</f>
        <v>0</v>
      </c>
      <c r="I162" s="13" t="n">
        <f aca="false">LN(G162/F162)</f>
        <v>0.0050608996205151</v>
      </c>
      <c r="J162" s="3" t="str">
        <f aca="false">IF(A162&lt;='Results &amp; Charts'!$C$5,"In-sample","Out-of-sample")</f>
        <v>In-sample</v>
      </c>
      <c r="K162" s="13" t="n">
        <f aca="false">H162-'Results &amp; Charts'!$C$9*I162</f>
        <v>-0.00310520293290268</v>
      </c>
      <c r="L162" s="13" t="n">
        <f aca="false">H162-I162</f>
        <v>-0.0050608996205151</v>
      </c>
      <c r="M162" s="15" t="n">
        <v>0.248714492727737</v>
      </c>
      <c r="N162" s="13" t="n">
        <f aca="false">H162-M162*I162</f>
        <v>-0.00125871908186241</v>
      </c>
      <c r="O162" s="16" t="n">
        <f aca="false">'Results &amp; Charts'!$C$9</f>
        <v>0.613567382430444</v>
      </c>
    </row>
    <row r="163" customFormat="false" ht="15" hidden="false" customHeight="false" outlineLevel="0" collapsed="false">
      <c r="A163" s="14" t="n">
        <f aca="false">'Roll Schedule'!A417</f>
        <v>45741</v>
      </c>
      <c r="B163" s="14" t="n">
        <f aca="false">'Roll Schedule'!A416</f>
        <v>45740</v>
      </c>
      <c r="C163" s="3" t="n">
        <f aca="false">SUMIFS('Spot Data'!$E$5:$E$651,'Spot Data'!$A$5:$A$651,B163,'Spot Data'!$H$5:$H$651,"YES")</f>
        <v>6300</v>
      </c>
      <c r="D163" s="3" t="n">
        <f aca="false">SUMIFS('Spot Data'!$E$5:$E$651,'Spot Data'!$A$5:$A$651,A163,'Spot Data'!$H$5:$H$651,"YES")</f>
        <v>6300</v>
      </c>
      <c r="E163" s="14" t="n">
        <f aca="false">'Roll Schedule'!B417</f>
        <v>45764</v>
      </c>
      <c r="F163" s="3" t="n">
        <f aca="false">SUMIFS('Futures Data'!$C$5:$C$3471,'Futures Data'!$A$5:$A$3471,B163,'Futures Data'!$B$5:$B$3471,E163)</f>
        <v>6339</v>
      </c>
      <c r="G163" s="3" t="n">
        <f aca="false">SUMIFS('Futures Data'!$C$5:$C$3471,'Futures Data'!$A$5:$A$3471,A163,'Futures Data'!$B$5:$B$3471,E163)</f>
        <v>6304</v>
      </c>
      <c r="H163" s="13" t="n">
        <f aca="false">LN(D163/C163)</f>
        <v>0</v>
      </c>
      <c r="I163" s="13" t="n">
        <f aca="false">LN(G163/F163)</f>
        <v>-0.00553667474645136</v>
      </c>
      <c r="J163" s="3" t="str">
        <f aca="false">IF(A163&lt;='Results &amp; Charts'!$C$5,"In-sample","Out-of-sample")</f>
        <v>In-sample</v>
      </c>
      <c r="K163" s="13" t="n">
        <f aca="false">H163-'Results &amp; Charts'!$C$9*I163</f>
        <v>0.0033971230315489</v>
      </c>
      <c r="L163" s="13" t="n">
        <f aca="false">H163-I163</f>
        <v>0.00553667474645136</v>
      </c>
      <c r="M163" s="15" t="n">
        <v>0.253465948172973</v>
      </c>
      <c r="N163" s="13" t="n">
        <f aca="false">H163-M163*I163</f>
        <v>0.00140335851433465</v>
      </c>
      <c r="O163" s="16" t="n">
        <f aca="false">'Results &amp; Charts'!$C$9</f>
        <v>0.613567382430444</v>
      </c>
    </row>
    <row r="164" customFormat="false" ht="15" hidden="false" customHeight="false" outlineLevel="0" collapsed="false">
      <c r="A164" s="14" t="n">
        <f aca="false">'Roll Schedule'!A418</f>
        <v>45742</v>
      </c>
      <c r="B164" s="14" t="n">
        <f aca="false">'Roll Schedule'!A417</f>
        <v>45741</v>
      </c>
      <c r="C164" s="3" t="n">
        <f aca="false">SUMIFS('Spot Data'!$E$5:$E$651,'Spot Data'!$A$5:$A$651,B164,'Spot Data'!$H$5:$H$651,"YES")</f>
        <v>6300</v>
      </c>
      <c r="D164" s="3" t="n">
        <f aca="false">SUMIFS('Spot Data'!$E$5:$E$651,'Spot Data'!$A$5:$A$651,A164,'Spot Data'!$H$5:$H$651,"YES")</f>
        <v>6300</v>
      </c>
      <c r="E164" s="14" t="n">
        <f aca="false">'Roll Schedule'!B418</f>
        <v>45764</v>
      </c>
      <c r="F164" s="3" t="n">
        <f aca="false">SUMIFS('Futures Data'!$C$5:$C$3471,'Futures Data'!$A$5:$A$3471,B164,'Futures Data'!$B$5:$B$3471,E164)</f>
        <v>6304</v>
      </c>
      <c r="G164" s="3" t="n">
        <f aca="false">SUMIFS('Futures Data'!$C$5:$C$3471,'Futures Data'!$A$5:$A$3471,A164,'Futures Data'!$B$5:$B$3471,E164)</f>
        <v>6272</v>
      </c>
      <c r="H164" s="13" t="n">
        <f aca="false">LN(D164/C164)</f>
        <v>0</v>
      </c>
      <c r="I164" s="13" t="n">
        <f aca="false">LN(G164/F164)</f>
        <v>-0.00508906950747129</v>
      </c>
      <c r="J164" s="3" t="str">
        <f aca="false">IF(A164&lt;='Results &amp; Charts'!$C$5,"In-sample","Out-of-sample")</f>
        <v>In-sample</v>
      </c>
      <c r="K164" s="13" t="n">
        <f aca="false">H164-'Results &amp; Charts'!$C$9*I164</f>
        <v>0.00312248705670575</v>
      </c>
      <c r="L164" s="13" t="n">
        <f aca="false">H164-I164</f>
        <v>0.00508906950747129</v>
      </c>
      <c r="M164" s="15" t="n">
        <v>0.257061788938657</v>
      </c>
      <c r="N164" s="13" t="n">
        <f aca="false">H164-M164*I164</f>
        <v>0.00130820531162374</v>
      </c>
      <c r="O164" s="16" t="n">
        <f aca="false">'Results &amp; Charts'!$C$9</f>
        <v>0.613567382430444</v>
      </c>
    </row>
    <row r="165" customFormat="false" ht="15" hidden="false" customHeight="false" outlineLevel="0" collapsed="false">
      <c r="A165" s="14" t="n">
        <f aca="false">'Roll Schedule'!A419</f>
        <v>45743</v>
      </c>
      <c r="B165" s="14" t="n">
        <f aca="false">'Roll Schedule'!A418</f>
        <v>45742</v>
      </c>
      <c r="C165" s="3" t="n">
        <f aca="false">SUMIFS('Spot Data'!$E$5:$E$651,'Spot Data'!$A$5:$A$651,B165,'Spot Data'!$H$5:$H$651,"YES")</f>
        <v>6300</v>
      </c>
      <c r="D165" s="3" t="n">
        <f aca="false">SUMIFS('Spot Data'!$E$5:$E$651,'Spot Data'!$A$5:$A$651,A165,'Spot Data'!$H$5:$H$651,"YES")</f>
        <v>6300</v>
      </c>
      <c r="E165" s="14" t="n">
        <f aca="false">'Roll Schedule'!B419</f>
        <v>45797</v>
      </c>
      <c r="F165" s="3" t="n">
        <f aca="false">SUMIFS('Futures Data'!$C$5:$C$3471,'Futures Data'!$A$5:$A$3471,B165,'Futures Data'!$B$5:$B$3471,E165)</f>
        <v>6340</v>
      </c>
      <c r="G165" s="3" t="n">
        <f aca="false">SUMIFS('Futures Data'!$C$5:$C$3471,'Futures Data'!$A$5:$A$3471,A165,'Futures Data'!$B$5:$B$3471,E165)</f>
        <v>6322</v>
      </c>
      <c r="H165" s="13" t="n">
        <f aca="false">LN(D165/C165)</f>
        <v>0</v>
      </c>
      <c r="I165" s="13" t="n">
        <f aca="false">LN(G165/F165)</f>
        <v>-0.00284315465570853</v>
      </c>
      <c r="J165" s="3" t="str">
        <f aca="false">IF(A165&lt;='Results &amp; Charts'!$C$5,"In-sample","Out-of-sample")</f>
        <v>In-sample</v>
      </c>
      <c r="K165" s="13" t="n">
        <f aca="false">H165-'Results &amp; Charts'!$C$9*I165</f>
        <v>0.00174446695994801</v>
      </c>
      <c r="L165" s="13" t="n">
        <f aca="false">H165-I165</f>
        <v>0.00284315465570853</v>
      </c>
      <c r="M165" s="15" t="n">
        <v>0.262914698881822</v>
      </c>
      <c r="N165" s="13" t="n">
        <f aca="false">H165-M165*I165</f>
        <v>0.000747507150180059</v>
      </c>
      <c r="O165" s="16" t="n">
        <f aca="false">'Results &amp; Charts'!$C$9</f>
        <v>0.613567382430444</v>
      </c>
    </row>
    <row r="166" customFormat="false" ht="15" hidden="false" customHeight="false" outlineLevel="0" collapsed="false">
      <c r="A166" s="14" t="n">
        <f aca="false">'Roll Schedule'!A422</f>
        <v>45749</v>
      </c>
      <c r="B166" s="14" t="n">
        <f aca="false">'Roll Schedule'!A421</f>
        <v>45748</v>
      </c>
      <c r="C166" s="3" t="n">
        <f aca="false">SUMIFS('Spot Data'!$E$5:$E$651,'Spot Data'!$A$5:$A$651,B166,'Spot Data'!$H$5:$H$651,"YES")</f>
        <v>6250</v>
      </c>
      <c r="D166" s="3" t="n">
        <f aca="false">SUMIFS('Spot Data'!$E$5:$E$651,'Spot Data'!$A$5:$A$651,A166,'Spot Data'!$H$5:$H$651,"YES")</f>
        <v>6400</v>
      </c>
      <c r="E166" s="14" t="n">
        <f aca="false">'Roll Schedule'!B422</f>
        <v>45797</v>
      </c>
      <c r="F166" s="3" t="n">
        <f aca="false">SUMIFS('Futures Data'!$C$5:$C$3471,'Futures Data'!$A$5:$A$3471,B166,'Futures Data'!$B$5:$B$3471,E166)</f>
        <v>6333</v>
      </c>
      <c r="G166" s="3" t="n">
        <f aca="false">SUMIFS('Futures Data'!$C$5:$C$3471,'Futures Data'!$A$5:$A$3471,A166,'Futures Data'!$B$5:$B$3471,E166)</f>
        <v>6354</v>
      </c>
      <c r="H166" s="13" t="n">
        <f aca="false">LN(D166/C166)</f>
        <v>0.0237165266173161</v>
      </c>
      <c r="I166" s="13" t="n">
        <f aca="false">LN(G166/F166)</f>
        <v>0.00331047831303107</v>
      </c>
      <c r="J166" s="3" t="str">
        <f aca="false">IF(A166&lt;='Results &amp; Charts'!$C$5,"In-sample","Out-of-sample")</f>
        <v>In-sample</v>
      </c>
      <c r="K166" s="13" t="n">
        <f aca="false">H166-'Results &amp; Charts'!$C$9*I166</f>
        <v>0.0216853251041968</v>
      </c>
      <c r="L166" s="13" t="n">
        <f aca="false">H166-I166</f>
        <v>0.020406048304285</v>
      </c>
      <c r="M166" s="15" t="n">
        <v>0.278896316116152</v>
      </c>
      <c r="N166" s="13" t="n">
        <f aca="false">H166-M166*I166</f>
        <v>0.0227932464112293</v>
      </c>
      <c r="O166" s="16" t="n">
        <f aca="false">'Results &amp; Charts'!$C$9</f>
        <v>0.613567382430444</v>
      </c>
    </row>
    <row r="167" customFormat="false" ht="15" hidden="false" customHeight="false" outlineLevel="0" collapsed="false">
      <c r="A167" s="14" t="n">
        <f aca="false">'Roll Schedule'!A423</f>
        <v>45750</v>
      </c>
      <c r="B167" s="14" t="n">
        <f aca="false">'Roll Schedule'!A422</f>
        <v>45749</v>
      </c>
      <c r="C167" s="3" t="n">
        <f aca="false">SUMIFS('Spot Data'!$E$5:$E$651,'Spot Data'!$A$5:$A$651,B167,'Spot Data'!$H$5:$H$651,"YES")</f>
        <v>6400</v>
      </c>
      <c r="D167" s="3" t="n">
        <f aca="false">SUMIFS('Spot Data'!$E$5:$E$651,'Spot Data'!$A$5:$A$651,A167,'Spot Data'!$H$5:$H$651,"YES")</f>
        <v>6400</v>
      </c>
      <c r="E167" s="14" t="n">
        <f aca="false">'Roll Schedule'!B423</f>
        <v>45797</v>
      </c>
      <c r="F167" s="3" t="n">
        <f aca="false">SUMIFS('Futures Data'!$C$5:$C$3471,'Futures Data'!$A$5:$A$3471,B167,'Futures Data'!$B$5:$B$3471,E167)</f>
        <v>6354</v>
      </c>
      <c r="G167" s="3" t="n">
        <f aca="false">SUMIFS('Futures Data'!$C$5:$C$3471,'Futures Data'!$A$5:$A$3471,A167,'Futures Data'!$B$5:$B$3471,E167)</f>
        <v>6350</v>
      </c>
      <c r="H167" s="13" t="n">
        <f aca="false">LN(D167/C167)</f>
        <v>0</v>
      </c>
      <c r="I167" s="13" t="n">
        <f aca="false">LN(G167/F167)</f>
        <v>-0.000629722942724114</v>
      </c>
      <c r="J167" s="3" t="str">
        <f aca="false">IF(A167&lt;='Results &amp; Charts'!$C$5,"In-sample","Out-of-sample")</f>
        <v>In-sample</v>
      </c>
      <c r="K167" s="13" t="n">
        <f aca="false">H167-'Results &amp; Charts'!$C$9*I167</f>
        <v>0.000386377457623632</v>
      </c>
      <c r="L167" s="13" t="n">
        <f aca="false">H167-I167</f>
        <v>0.000629722942724114</v>
      </c>
      <c r="M167" s="15" t="n">
        <v>0.328726118727882</v>
      </c>
      <c r="N167" s="13" t="n">
        <f aca="false">H167-M167*I167</f>
        <v>0.000207006378835598</v>
      </c>
      <c r="O167" s="16" t="n">
        <f aca="false">'Results &amp; Charts'!$C$9</f>
        <v>0.613567382430444</v>
      </c>
    </row>
    <row r="168" customFormat="false" ht="15" hidden="false" customHeight="false" outlineLevel="0" collapsed="false">
      <c r="A168" s="14" t="n">
        <f aca="false">'Roll Schedule'!A424</f>
        <v>45751</v>
      </c>
      <c r="B168" s="14" t="n">
        <f aca="false">'Roll Schedule'!A423</f>
        <v>45750</v>
      </c>
      <c r="C168" s="3" t="n">
        <f aca="false">SUMIFS('Spot Data'!$E$5:$E$651,'Spot Data'!$A$5:$A$651,B168,'Spot Data'!$H$5:$H$651,"YES")</f>
        <v>6400</v>
      </c>
      <c r="D168" s="3" t="n">
        <f aca="false">SUMIFS('Spot Data'!$E$5:$E$651,'Spot Data'!$A$5:$A$651,A168,'Spot Data'!$H$5:$H$651,"YES")</f>
        <v>6650</v>
      </c>
      <c r="E168" s="14" t="n">
        <f aca="false">'Roll Schedule'!B424</f>
        <v>45797</v>
      </c>
      <c r="F168" s="3" t="n">
        <f aca="false">SUMIFS('Futures Data'!$C$5:$C$3471,'Futures Data'!$A$5:$A$3471,B168,'Futures Data'!$B$5:$B$3471,E168)</f>
        <v>6350</v>
      </c>
      <c r="G168" s="3" t="n">
        <f aca="false">SUMIFS('Futures Data'!$C$5:$C$3471,'Futures Data'!$A$5:$A$3471,A168,'Futures Data'!$B$5:$B$3471,E168)</f>
        <v>6300</v>
      </c>
      <c r="H168" s="13" t="n">
        <f aca="false">LN(D168/C168)</f>
        <v>0.0383188643021366</v>
      </c>
      <c r="I168" s="13" t="n">
        <f aca="false">LN(G168/F168)</f>
        <v>-0.00790517950711326</v>
      </c>
      <c r="J168" s="3" t="str">
        <f aca="false">IF(A168&lt;='Results &amp; Charts'!$C$5,"In-sample","Out-of-sample")</f>
        <v>In-sample</v>
      </c>
      <c r="K168" s="13" t="n">
        <f aca="false">H168-'Results &amp; Charts'!$C$9*I168</f>
        <v>0.0431692245999589</v>
      </c>
      <c r="L168" s="13" t="n">
        <f aca="false">H168-I168</f>
        <v>0.0462240438092499</v>
      </c>
      <c r="M168" s="15" t="n">
        <v>0.349064730786479</v>
      </c>
      <c r="N168" s="13" t="n">
        <f aca="false">H168-M168*I168</f>
        <v>0.0410782836586059</v>
      </c>
      <c r="O168" s="16" t="n">
        <f aca="false">'Results &amp; Charts'!$C$9</f>
        <v>0.613567382430444</v>
      </c>
    </row>
    <row r="169" customFormat="false" ht="15" hidden="false" customHeight="false" outlineLevel="0" collapsed="false">
      <c r="A169" s="14" t="n">
        <f aca="false">'Roll Schedule'!A425</f>
        <v>45754</v>
      </c>
      <c r="B169" s="14" t="n">
        <f aca="false">'Roll Schedule'!A424</f>
        <v>45751</v>
      </c>
      <c r="C169" s="3" t="n">
        <f aca="false">SUMIFS('Spot Data'!$E$5:$E$651,'Spot Data'!$A$5:$A$651,B169,'Spot Data'!$H$5:$H$651,"YES")</f>
        <v>6650</v>
      </c>
      <c r="D169" s="3" t="n">
        <f aca="false">SUMIFS('Spot Data'!$E$5:$E$651,'Spot Data'!$A$5:$A$651,A169,'Spot Data'!$H$5:$H$651,"YES")</f>
        <v>6550</v>
      </c>
      <c r="E169" s="14" t="n">
        <f aca="false">'Roll Schedule'!B425</f>
        <v>45797</v>
      </c>
      <c r="F169" s="3" t="n">
        <f aca="false">SUMIFS('Futures Data'!$C$5:$C$3471,'Futures Data'!$A$5:$A$3471,B169,'Futures Data'!$B$5:$B$3471,E169)</f>
        <v>6300</v>
      </c>
      <c r="G169" s="3" t="n">
        <f aca="false">SUMIFS('Futures Data'!$C$5:$C$3471,'Futures Data'!$A$5:$A$3471,A169,'Futures Data'!$B$5:$B$3471,E169)</f>
        <v>6325</v>
      </c>
      <c r="H169" s="13" t="n">
        <f aca="false">LN(D169/C169)</f>
        <v>-0.0151518050206022</v>
      </c>
      <c r="I169" s="13" t="n">
        <f aca="false">LN(G169/F169)</f>
        <v>0.00396040121609691</v>
      </c>
      <c r="J169" s="3" t="str">
        <f aca="false">IF(A169&lt;='Results &amp; Charts'!$C$5,"In-sample","Out-of-sample")</f>
        <v>In-sample</v>
      </c>
      <c r="K169" s="13" t="n">
        <f aca="false">H169-'Results &amp; Charts'!$C$9*I169</f>
        <v>-0.0175817780281372</v>
      </c>
      <c r="L169" s="13" t="n">
        <f aca="false">H169-I169</f>
        <v>-0.0191122062366991</v>
      </c>
      <c r="M169" s="15" t="n">
        <v>0.194946480443758</v>
      </c>
      <c r="N169" s="13" t="n">
        <f aca="false">H169-M169*I169</f>
        <v>-0.0159238712988255</v>
      </c>
      <c r="O169" s="16" t="n">
        <f aca="false">'Results &amp; Charts'!$C$9</f>
        <v>0.613567382430444</v>
      </c>
    </row>
    <row r="170" customFormat="false" ht="15" hidden="false" customHeight="false" outlineLevel="0" collapsed="false">
      <c r="A170" s="14" t="n">
        <f aca="false">'Roll Schedule'!A426</f>
        <v>45755</v>
      </c>
      <c r="B170" s="14" t="n">
        <f aca="false">'Roll Schedule'!A425</f>
        <v>45754</v>
      </c>
      <c r="C170" s="3" t="n">
        <f aca="false">SUMIFS('Spot Data'!$E$5:$E$651,'Spot Data'!$A$5:$A$651,B170,'Spot Data'!$H$5:$H$651,"YES")</f>
        <v>6550</v>
      </c>
      <c r="D170" s="3" t="n">
        <f aca="false">SUMIFS('Spot Data'!$E$5:$E$651,'Spot Data'!$A$5:$A$651,A170,'Spot Data'!$H$5:$H$651,"YES")</f>
        <v>6500</v>
      </c>
      <c r="E170" s="14" t="n">
        <f aca="false">'Roll Schedule'!B426</f>
        <v>45797</v>
      </c>
      <c r="F170" s="3" t="n">
        <f aca="false">SUMIFS('Futures Data'!$C$5:$C$3471,'Futures Data'!$A$5:$A$3471,B170,'Futures Data'!$B$5:$B$3471,E170)</f>
        <v>6325</v>
      </c>
      <c r="G170" s="3" t="n">
        <f aca="false">SUMIFS('Futures Data'!$C$5:$C$3471,'Futures Data'!$A$5:$A$3471,A170,'Futures Data'!$B$5:$B$3471,E170)</f>
        <v>6419</v>
      </c>
      <c r="H170" s="13" t="n">
        <f aca="false">LN(D170/C170)</f>
        <v>-0.00766287274556914</v>
      </c>
      <c r="I170" s="13" t="n">
        <f aca="false">LN(G170/F170)</f>
        <v>0.0147523077160572</v>
      </c>
      <c r="J170" s="3" t="str">
        <f aca="false">IF(A170&lt;='Results &amp; Charts'!$C$5,"In-sample","Out-of-sample")</f>
        <v>In-sample</v>
      </c>
      <c r="K170" s="13" t="n">
        <f aca="false">H170-'Results &amp; Charts'!$C$9*I170</f>
        <v>-0.0167144075757188</v>
      </c>
      <c r="L170" s="13" t="n">
        <f aca="false">H170-I170</f>
        <v>-0.0224151804616264</v>
      </c>
      <c r="M170" s="15" t="n">
        <v>0.176341204788418</v>
      </c>
      <c r="N170" s="13" t="n">
        <f aca="false">H170-M170*I170</f>
        <v>-0.0102643124616281</v>
      </c>
      <c r="O170" s="16" t="n">
        <f aca="false">'Results &amp; Charts'!$C$9</f>
        <v>0.613567382430444</v>
      </c>
    </row>
    <row r="171" customFormat="false" ht="15" hidden="false" customHeight="false" outlineLevel="0" collapsed="false">
      <c r="A171" s="14" t="n">
        <f aca="false">'Roll Schedule'!A429</f>
        <v>45762</v>
      </c>
      <c r="B171" s="14" t="n">
        <f aca="false">'Roll Schedule'!A428</f>
        <v>45758</v>
      </c>
      <c r="C171" s="3" t="n">
        <f aca="false">SUMIFS('Spot Data'!$E$5:$E$651,'Spot Data'!$A$5:$A$651,B171,'Spot Data'!$H$5:$H$651,"YES")</f>
        <v>6850</v>
      </c>
      <c r="D171" s="3" t="n">
        <f aca="false">SUMIFS('Spot Data'!$E$5:$E$651,'Spot Data'!$A$5:$A$651,A171,'Spot Data'!$H$5:$H$651,"YES")</f>
        <v>6450</v>
      </c>
      <c r="E171" s="14" t="n">
        <f aca="false">'Roll Schedule'!B429</f>
        <v>45797</v>
      </c>
      <c r="F171" s="3" t="n">
        <f aca="false">SUMIFS('Futures Data'!$C$5:$C$3471,'Futures Data'!$A$5:$A$3471,B171,'Futures Data'!$B$5:$B$3471,E171)</f>
        <v>6432</v>
      </c>
      <c r="G171" s="3" t="n">
        <f aca="false">SUMIFS('Futures Data'!$C$5:$C$3471,'Futures Data'!$A$5:$A$3471,A171,'Futures Data'!$B$5:$B$3471,E171)</f>
        <v>6355</v>
      </c>
      <c r="H171" s="13" t="n">
        <f aca="false">LN(D171/C171)</f>
        <v>-0.0601685214664528</v>
      </c>
      <c r="I171" s="13" t="n">
        <f aca="false">LN(G171/F171)</f>
        <v>-0.0120436272352479</v>
      </c>
      <c r="J171" s="3" t="str">
        <f aca="false">IF(A171&lt;='Results &amp; Charts'!$C$5,"In-sample","Out-of-sample")</f>
        <v>In-sample</v>
      </c>
      <c r="K171" s="13" t="n">
        <f aca="false">H171-'Results &amp; Charts'!$C$9*I171</f>
        <v>-0.0527789446287538</v>
      </c>
      <c r="L171" s="13" t="n">
        <f aca="false">H171-I171</f>
        <v>-0.048124894231205</v>
      </c>
      <c r="M171" s="15" t="n">
        <v>0.0919275157636776</v>
      </c>
      <c r="N171" s="13" t="n">
        <f aca="false">H171-M171*I171</f>
        <v>-0.0590613807339327</v>
      </c>
      <c r="O171" s="16" t="n">
        <f aca="false">'Results &amp; Charts'!$C$9</f>
        <v>0.613567382430444</v>
      </c>
    </row>
    <row r="172" customFormat="false" ht="15" hidden="false" customHeight="false" outlineLevel="0" collapsed="false">
      <c r="A172" s="14" t="n">
        <f aca="false">'Roll Schedule'!A430</f>
        <v>45763</v>
      </c>
      <c r="B172" s="14" t="n">
        <f aca="false">'Roll Schedule'!A429</f>
        <v>45762</v>
      </c>
      <c r="C172" s="3" t="n">
        <f aca="false">SUMIFS('Spot Data'!$E$5:$E$651,'Spot Data'!$A$5:$A$651,B172,'Spot Data'!$H$5:$H$651,"YES")</f>
        <v>6450</v>
      </c>
      <c r="D172" s="3" t="n">
        <f aca="false">SUMIFS('Spot Data'!$E$5:$E$651,'Spot Data'!$A$5:$A$651,A172,'Spot Data'!$H$5:$H$651,"YES")</f>
        <v>6500</v>
      </c>
      <c r="E172" s="14" t="n">
        <f aca="false">'Roll Schedule'!B430</f>
        <v>45797</v>
      </c>
      <c r="F172" s="3" t="n">
        <f aca="false">SUMIFS('Futures Data'!$C$5:$C$3471,'Futures Data'!$A$5:$A$3471,B172,'Futures Data'!$B$5:$B$3471,E172)</f>
        <v>6355</v>
      </c>
      <c r="G172" s="3" t="n">
        <f aca="false">SUMIFS('Futures Data'!$C$5:$C$3471,'Futures Data'!$A$5:$A$3471,A172,'Futures Data'!$B$5:$B$3471,E172)</f>
        <v>6372</v>
      </c>
      <c r="H172" s="13" t="n">
        <f aca="false">LN(D172/C172)</f>
        <v>0.00772204609391032</v>
      </c>
      <c r="I172" s="13" t="n">
        <f aca="false">LN(G172/F172)</f>
        <v>0.00267148740638473</v>
      </c>
      <c r="J172" s="3" t="str">
        <f aca="false">IF(A172&lt;='Results &amp; Charts'!$C$5,"In-sample","Out-of-sample")</f>
        <v>In-sample</v>
      </c>
      <c r="K172" s="13" t="n">
        <f aca="false">H172-'Results &amp; Charts'!$C$9*I172</f>
        <v>0.00608290855877894</v>
      </c>
      <c r="L172" s="13" t="n">
        <f aca="false">H172-I172</f>
        <v>0.00505055868752559</v>
      </c>
      <c r="M172" s="15" t="n">
        <v>0.265171999283633</v>
      </c>
      <c r="N172" s="13" t="n">
        <f aca="false">H172-M172*I172</f>
        <v>0.00701364243729823</v>
      </c>
      <c r="O172" s="16" t="n">
        <f aca="false">'Results &amp; Charts'!$C$9</f>
        <v>0.613567382430444</v>
      </c>
    </row>
    <row r="173" customFormat="false" ht="15" hidden="false" customHeight="false" outlineLevel="0" collapsed="false">
      <c r="A173" s="14" t="n">
        <f aca="false">'Roll Schedule'!A431</f>
        <v>45764</v>
      </c>
      <c r="B173" s="14" t="n">
        <f aca="false">'Roll Schedule'!A430</f>
        <v>45763</v>
      </c>
      <c r="C173" s="3" t="n">
        <f aca="false">SUMIFS('Spot Data'!$E$5:$E$651,'Spot Data'!$A$5:$A$651,B173,'Spot Data'!$H$5:$H$651,"YES")</f>
        <v>6500</v>
      </c>
      <c r="D173" s="3" t="n">
        <f aca="false">SUMIFS('Spot Data'!$E$5:$E$651,'Spot Data'!$A$5:$A$651,A173,'Spot Data'!$H$5:$H$651,"YES")</f>
        <v>6600</v>
      </c>
      <c r="E173" s="14" t="n">
        <f aca="false">'Roll Schedule'!B431</f>
        <v>45797</v>
      </c>
      <c r="F173" s="3" t="n">
        <f aca="false">SUMIFS('Futures Data'!$C$5:$C$3471,'Futures Data'!$A$5:$A$3471,B173,'Futures Data'!$B$5:$B$3471,E173)</f>
        <v>6372</v>
      </c>
      <c r="G173" s="3" t="n">
        <f aca="false">SUMIFS('Futures Data'!$C$5:$C$3471,'Futures Data'!$A$5:$A$3471,A173,'Futures Data'!$B$5:$B$3471,E173)</f>
        <v>6402</v>
      </c>
      <c r="H173" s="13" t="n">
        <f aca="false">LN(D173/C173)</f>
        <v>0.0152674721307884</v>
      </c>
      <c r="I173" s="13" t="n">
        <f aca="false">LN(G173/F173)</f>
        <v>0.00469704949986916</v>
      </c>
      <c r="J173" s="3" t="str">
        <f aca="false">IF(A173&lt;='Results &amp; Charts'!$C$5,"In-sample","Out-of-sample")</f>
        <v>In-sample</v>
      </c>
      <c r="K173" s="13" t="n">
        <f aca="false">H173-'Results &amp; Charts'!$C$9*I173</f>
        <v>0.0123855157640074</v>
      </c>
      <c r="L173" s="13" t="n">
        <f aca="false">H173-I173</f>
        <v>0.0105704226309192</v>
      </c>
      <c r="M173" s="15" t="n">
        <v>0.295344078866671</v>
      </c>
      <c r="N173" s="13" t="n">
        <f aca="false">H173-M173*I173</f>
        <v>0.0138802263728584</v>
      </c>
      <c r="O173" s="16" t="n">
        <f aca="false">'Results &amp; Charts'!$C$9</f>
        <v>0.613567382430444</v>
      </c>
    </row>
    <row r="174" customFormat="false" ht="15" hidden="false" customHeight="false" outlineLevel="0" collapsed="false">
      <c r="A174" s="14" t="n">
        <f aca="false">'Roll Schedule'!A432</f>
        <v>45768</v>
      </c>
      <c r="B174" s="14" t="n">
        <f aca="false">'Roll Schedule'!A431</f>
        <v>45764</v>
      </c>
      <c r="C174" s="3" t="n">
        <f aca="false">SUMIFS('Spot Data'!$E$5:$E$651,'Spot Data'!$A$5:$A$651,B174,'Spot Data'!$H$5:$H$651,"YES")</f>
        <v>6600</v>
      </c>
      <c r="D174" s="3" t="n">
        <f aca="false">SUMIFS('Spot Data'!$E$5:$E$651,'Spot Data'!$A$5:$A$651,A174,'Spot Data'!$H$5:$H$651,"YES")</f>
        <v>6550</v>
      </c>
      <c r="E174" s="14" t="n">
        <f aca="false">'Roll Schedule'!B432</f>
        <v>45797</v>
      </c>
      <c r="F174" s="3" t="n">
        <f aca="false">SUMIFS('Futures Data'!$C$5:$C$3471,'Futures Data'!$A$5:$A$3471,B174,'Futures Data'!$B$5:$B$3471,E174)</f>
        <v>6402</v>
      </c>
      <c r="G174" s="3" t="n">
        <f aca="false">SUMIFS('Futures Data'!$C$5:$C$3471,'Futures Data'!$A$5:$A$3471,A174,'Futures Data'!$B$5:$B$3471,E174)</f>
        <v>6360</v>
      </c>
      <c r="H174" s="13" t="n">
        <f aca="false">LN(D174/C174)</f>
        <v>-0.0076045993852193</v>
      </c>
      <c r="I174" s="13" t="n">
        <f aca="false">LN(G174/F174)</f>
        <v>-0.00658206419564056</v>
      </c>
      <c r="J174" s="3" t="str">
        <f aca="false">IF(A174&lt;='Results &amp; Charts'!$C$5,"In-sample","Out-of-sample")</f>
        <v>In-sample</v>
      </c>
      <c r="K174" s="13" t="n">
        <f aca="false">H174-'Results &amp; Charts'!$C$9*I174</f>
        <v>-0.00356605948571098</v>
      </c>
      <c r="L174" s="13" t="n">
        <f aca="false">H174-I174</f>
        <v>-0.00102253518957875</v>
      </c>
      <c r="M174" s="15" t="n">
        <v>0.333651823798869</v>
      </c>
      <c r="N174" s="13" t="n">
        <f aca="false">H174-M174*I174</f>
        <v>-0.0054084816619826</v>
      </c>
      <c r="O174" s="16" t="n">
        <f aca="false">'Results &amp; Charts'!$C$9</f>
        <v>0.613567382430444</v>
      </c>
    </row>
    <row r="175" customFormat="false" ht="15" hidden="false" customHeight="false" outlineLevel="0" collapsed="false">
      <c r="A175" s="14" t="n">
        <f aca="false">'Roll Schedule'!A433</f>
        <v>45769</v>
      </c>
      <c r="B175" s="14" t="n">
        <f aca="false">'Roll Schedule'!A432</f>
        <v>45768</v>
      </c>
      <c r="C175" s="3" t="n">
        <f aca="false">SUMIFS('Spot Data'!$E$5:$E$651,'Spot Data'!$A$5:$A$651,B175,'Spot Data'!$H$5:$H$651,"YES")</f>
        <v>6550</v>
      </c>
      <c r="D175" s="3" t="n">
        <f aca="false">SUMIFS('Spot Data'!$E$5:$E$651,'Spot Data'!$A$5:$A$651,A175,'Spot Data'!$H$5:$H$651,"YES")</f>
        <v>6400</v>
      </c>
      <c r="E175" s="14" t="n">
        <f aca="false">'Roll Schedule'!B433</f>
        <v>45797</v>
      </c>
      <c r="F175" s="3" t="n">
        <f aca="false">SUMIFS('Futures Data'!$C$5:$C$3471,'Futures Data'!$A$5:$A$3471,B175,'Futures Data'!$B$5:$B$3471,E175)</f>
        <v>6360</v>
      </c>
      <c r="G175" s="3" t="n">
        <f aca="false">SUMIFS('Futures Data'!$C$5:$C$3471,'Futures Data'!$A$5:$A$3471,A175,'Futures Data'!$B$5:$B$3471,E175)</f>
        <v>6313</v>
      </c>
      <c r="H175" s="13" t="n">
        <f aca="false">LN(D175/C175)</f>
        <v>-0.0231670592815344</v>
      </c>
      <c r="I175" s="13" t="n">
        <f aca="false">LN(G175/F175)</f>
        <v>-0.00741737796654223</v>
      </c>
      <c r="J175" s="3" t="str">
        <f aca="false">IF(A175&lt;='Results &amp; Charts'!$C$5,"In-sample","Out-of-sample")</f>
        <v>In-sample</v>
      </c>
      <c r="K175" s="13" t="n">
        <f aca="false">H175-'Results &amp; Charts'!$C$9*I175</f>
        <v>-0.0186159980981058</v>
      </c>
      <c r="L175" s="13" t="n">
        <f aca="false">H175-I175</f>
        <v>-0.0157496813149922</v>
      </c>
      <c r="M175" s="15" t="n">
        <v>0.352409009919749</v>
      </c>
      <c r="N175" s="13" t="n">
        <f aca="false">H175-M175*I175</f>
        <v>-0.0205531084561447</v>
      </c>
      <c r="O175" s="16" t="n">
        <f aca="false">'Results &amp; Charts'!$C$9</f>
        <v>0.613567382430444</v>
      </c>
    </row>
    <row r="176" customFormat="false" ht="15" hidden="false" customHeight="false" outlineLevel="0" collapsed="false">
      <c r="A176" s="14" t="n">
        <f aca="false">'Roll Schedule'!A434</f>
        <v>45770</v>
      </c>
      <c r="B176" s="14" t="n">
        <f aca="false">'Roll Schedule'!A433</f>
        <v>45769</v>
      </c>
      <c r="C176" s="3" t="n">
        <f aca="false">SUMIFS('Spot Data'!$E$5:$E$651,'Spot Data'!$A$5:$A$651,B176,'Spot Data'!$H$5:$H$651,"YES")</f>
        <v>6400</v>
      </c>
      <c r="D176" s="3" t="n">
        <f aca="false">SUMIFS('Spot Data'!$E$5:$E$651,'Spot Data'!$A$5:$A$651,A176,'Spot Data'!$H$5:$H$651,"YES")</f>
        <v>6450</v>
      </c>
      <c r="E176" s="14" t="n">
        <f aca="false">'Roll Schedule'!B434</f>
        <v>45797</v>
      </c>
      <c r="F176" s="3" t="n">
        <f aca="false">SUMIFS('Futures Data'!$C$5:$C$3471,'Futures Data'!$A$5:$A$3471,B176,'Futures Data'!$B$5:$B$3471,E176)</f>
        <v>6313</v>
      </c>
      <c r="G176" s="3" t="n">
        <f aca="false">SUMIFS('Futures Data'!$C$5:$C$3471,'Futures Data'!$A$5:$A$3471,A176,'Futures Data'!$B$5:$B$3471,E176)</f>
        <v>6249</v>
      </c>
      <c r="H176" s="13" t="n">
        <f aca="false">LN(D176/C176)</f>
        <v>0.00778214044205495</v>
      </c>
      <c r="I176" s="13" t="n">
        <f aca="false">LN(G176/F176)</f>
        <v>-0.010189548438544</v>
      </c>
      <c r="J176" s="3" t="str">
        <f aca="false">IF(A176&lt;='Results &amp; Charts'!$C$5,"In-sample","Out-of-sample")</f>
        <v>In-sample</v>
      </c>
      <c r="K176" s="13" t="n">
        <f aca="false">H176-'Results &amp; Charts'!$C$9*I176</f>
        <v>0.0140341150056406</v>
      </c>
      <c r="L176" s="13" t="n">
        <f aca="false">H176-I176</f>
        <v>0.0179716888805989</v>
      </c>
      <c r="M176" s="15" t="n">
        <v>0.398674457981365</v>
      </c>
      <c r="N176" s="13" t="n">
        <f aca="false">H176-M176*I176</f>
        <v>0.0118444531428663</v>
      </c>
      <c r="O176" s="16" t="n">
        <f aca="false">'Results &amp; Charts'!$C$9</f>
        <v>0.613567382430444</v>
      </c>
    </row>
    <row r="177" customFormat="false" ht="15" hidden="false" customHeight="false" outlineLevel="0" collapsed="false">
      <c r="A177" s="14" t="n">
        <f aca="false">'Roll Schedule'!A435</f>
        <v>45771</v>
      </c>
      <c r="B177" s="14" t="n">
        <f aca="false">'Roll Schedule'!A434</f>
        <v>45770</v>
      </c>
      <c r="C177" s="3" t="n">
        <f aca="false">SUMIFS('Spot Data'!$E$5:$E$651,'Spot Data'!$A$5:$A$651,B177,'Spot Data'!$H$5:$H$651,"YES")</f>
        <v>6450</v>
      </c>
      <c r="D177" s="3" t="n">
        <f aca="false">SUMIFS('Spot Data'!$E$5:$E$651,'Spot Data'!$A$5:$A$651,A177,'Spot Data'!$H$5:$H$651,"YES")</f>
        <v>6450</v>
      </c>
      <c r="E177" s="14" t="n">
        <f aca="false">'Roll Schedule'!B435</f>
        <v>45797</v>
      </c>
      <c r="F177" s="3" t="n">
        <f aca="false">SUMIFS('Futures Data'!$C$5:$C$3471,'Futures Data'!$A$5:$A$3471,B177,'Futures Data'!$B$5:$B$3471,E177)</f>
        <v>6249</v>
      </c>
      <c r="G177" s="3" t="n">
        <f aca="false">SUMIFS('Futures Data'!$C$5:$C$3471,'Futures Data'!$A$5:$A$3471,A177,'Futures Data'!$B$5:$B$3471,E177)</f>
        <v>6249</v>
      </c>
      <c r="H177" s="13" t="n">
        <f aca="false">LN(D177/C177)</f>
        <v>0</v>
      </c>
      <c r="I177" s="13" t="n">
        <f aca="false">LN(G177/F177)</f>
        <v>0</v>
      </c>
      <c r="J177" s="3" t="str">
        <f aca="false">IF(A177&lt;='Results &amp; Charts'!$C$5,"In-sample","Out-of-sample")</f>
        <v>In-sample</v>
      </c>
      <c r="K177" s="13" t="n">
        <f aca="false">H177-'Results &amp; Charts'!$C$9*I177</f>
        <v>0</v>
      </c>
      <c r="L177" s="13" t="n">
        <f aca="false">H177-I177</f>
        <v>0</v>
      </c>
      <c r="M177" s="15" t="n">
        <v>0.341076958498921</v>
      </c>
      <c r="N177" s="13" t="n">
        <f aca="false">H177-M177*I177</f>
        <v>0</v>
      </c>
      <c r="O177" s="16" t="n">
        <f aca="false">'Results &amp; Charts'!$C$9</f>
        <v>0.613567382430444</v>
      </c>
    </row>
    <row r="178" customFormat="false" ht="15" hidden="false" customHeight="false" outlineLevel="0" collapsed="false">
      <c r="A178" s="14" t="n">
        <f aca="false">'Roll Schedule'!A436</f>
        <v>45772</v>
      </c>
      <c r="B178" s="14" t="n">
        <f aca="false">'Roll Schedule'!A435</f>
        <v>45771</v>
      </c>
      <c r="C178" s="3" t="n">
        <f aca="false">SUMIFS('Spot Data'!$E$5:$E$651,'Spot Data'!$A$5:$A$651,B178,'Spot Data'!$H$5:$H$651,"YES")</f>
        <v>6450</v>
      </c>
      <c r="D178" s="3" t="n">
        <f aca="false">SUMIFS('Spot Data'!$E$5:$E$651,'Spot Data'!$A$5:$A$651,A178,'Spot Data'!$H$5:$H$651,"YES")</f>
        <v>6500</v>
      </c>
      <c r="E178" s="14" t="n">
        <f aca="false">'Roll Schedule'!B436</f>
        <v>45797</v>
      </c>
      <c r="F178" s="3" t="n">
        <f aca="false">SUMIFS('Futures Data'!$C$5:$C$3471,'Futures Data'!$A$5:$A$3471,B178,'Futures Data'!$B$5:$B$3471,E178)</f>
        <v>6249</v>
      </c>
      <c r="G178" s="3" t="n">
        <f aca="false">SUMIFS('Futures Data'!$C$5:$C$3471,'Futures Data'!$A$5:$A$3471,A178,'Futures Data'!$B$5:$B$3471,E178)</f>
        <v>6288</v>
      </c>
      <c r="H178" s="13" t="n">
        <f aca="false">LN(D178/C178)</f>
        <v>0.00772204609391032</v>
      </c>
      <c r="I178" s="13" t="n">
        <f aca="false">LN(G178/F178)</f>
        <v>0.00622160417996079</v>
      </c>
      <c r="J178" s="3" t="str">
        <f aca="false">IF(A178&lt;='Results &amp; Charts'!$C$5,"In-sample","Out-of-sample")</f>
        <v>In-sample</v>
      </c>
      <c r="K178" s="13" t="n">
        <f aca="false">H178-'Results &amp; Charts'!$C$9*I178</f>
        <v>0.00390467270269347</v>
      </c>
      <c r="L178" s="13" t="n">
        <f aca="false">H178-I178</f>
        <v>0.00150044191394953</v>
      </c>
      <c r="M178" s="15" t="n">
        <v>0.371452861029213</v>
      </c>
      <c r="N178" s="13" t="n">
        <f aca="false">H178-M178*I178</f>
        <v>0.00541101342107258</v>
      </c>
      <c r="O178" s="16" t="n">
        <f aca="false">'Results &amp; Charts'!$C$9</f>
        <v>0.613567382430444</v>
      </c>
    </row>
    <row r="179" customFormat="false" ht="15" hidden="false" customHeight="false" outlineLevel="0" collapsed="false">
      <c r="A179" s="14" t="n">
        <f aca="false">'Roll Schedule'!A437</f>
        <v>45775</v>
      </c>
      <c r="B179" s="14" t="n">
        <f aca="false">'Roll Schedule'!A436</f>
        <v>45772</v>
      </c>
      <c r="C179" s="3" t="n">
        <f aca="false">SUMIFS('Spot Data'!$E$5:$E$651,'Spot Data'!$A$5:$A$651,B179,'Spot Data'!$H$5:$H$651,"YES")</f>
        <v>6500</v>
      </c>
      <c r="D179" s="3" t="n">
        <f aca="false">SUMIFS('Spot Data'!$E$5:$E$651,'Spot Data'!$A$5:$A$651,A179,'Spot Data'!$H$5:$H$651,"YES")</f>
        <v>6550</v>
      </c>
      <c r="E179" s="14" t="n">
        <f aca="false">'Roll Schedule'!B437</f>
        <v>45797</v>
      </c>
      <c r="F179" s="3" t="n">
        <f aca="false">SUMIFS('Futures Data'!$C$5:$C$3471,'Futures Data'!$A$5:$A$3471,B179,'Futures Data'!$B$5:$B$3471,E179)</f>
        <v>6288</v>
      </c>
      <c r="G179" s="3" t="n">
        <f aca="false">SUMIFS('Futures Data'!$C$5:$C$3471,'Futures Data'!$A$5:$A$3471,A179,'Futures Data'!$B$5:$B$3471,E179)</f>
        <v>6252</v>
      </c>
      <c r="H179" s="13" t="n">
        <f aca="false">LN(D179/C179)</f>
        <v>0.0076628727455691</v>
      </c>
      <c r="I179" s="13" t="n">
        <f aca="false">LN(G179/F179)</f>
        <v>-0.00574164256767528</v>
      </c>
      <c r="J179" s="3" t="str">
        <f aca="false">IF(A179&lt;='Results &amp; Charts'!$C$5,"In-sample","Out-of-sample")</f>
        <v>In-sample</v>
      </c>
      <c r="K179" s="13" t="n">
        <f aca="false">H179-'Results &amp; Charts'!$C$9*I179</f>
        <v>0.0111857573466688</v>
      </c>
      <c r="L179" s="13" t="n">
        <f aca="false">H179-I179</f>
        <v>0.0134045153132444</v>
      </c>
      <c r="M179" s="15" t="n">
        <v>0.387962026956197</v>
      </c>
      <c r="N179" s="13" t="n">
        <f aca="false">H179-M179*I179</f>
        <v>0.00989041203418238</v>
      </c>
      <c r="O179" s="16" t="n">
        <f aca="false">'Results &amp; Charts'!$C$9</f>
        <v>0.613567382430444</v>
      </c>
    </row>
    <row r="180" customFormat="false" ht="15" hidden="false" customHeight="false" outlineLevel="0" collapsed="false">
      <c r="A180" s="14" t="n">
        <f aca="false">'Roll Schedule'!A438</f>
        <v>45776</v>
      </c>
      <c r="B180" s="14" t="n">
        <f aca="false">'Roll Schedule'!A437</f>
        <v>45775</v>
      </c>
      <c r="C180" s="3" t="n">
        <f aca="false">SUMIFS('Spot Data'!$E$5:$E$651,'Spot Data'!$A$5:$A$651,B180,'Spot Data'!$H$5:$H$651,"YES")</f>
        <v>6550</v>
      </c>
      <c r="D180" s="3" t="n">
        <f aca="false">SUMIFS('Spot Data'!$E$5:$E$651,'Spot Data'!$A$5:$A$651,A180,'Spot Data'!$H$5:$H$651,"YES")</f>
        <v>6450</v>
      </c>
      <c r="E180" s="14" t="n">
        <f aca="false">'Roll Schedule'!B438</f>
        <v>45797</v>
      </c>
      <c r="F180" s="3" t="n">
        <f aca="false">SUMIFS('Futures Data'!$C$5:$C$3471,'Futures Data'!$A$5:$A$3471,B180,'Futures Data'!$B$5:$B$3471,E180)</f>
        <v>6252</v>
      </c>
      <c r="G180" s="3" t="n">
        <f aca="false">SUMIFS('Futures Data'!$C$5:$C$3471,'Futures Data'!$A$5:$A$3471,A180,'Futures Data'!$B$5:$B$3471,E180)</f>
        <v>6261</v>
      </c>
      <c r="H180" s="13" t="n">
        <f aca="false">LN(D180/C180)</f>
        <v>-0.0153849188394795</v>
      </c>
      <c r="I180" s="13" t="n">
        <f aca="false">LN(G180/F180)</f>
        <v>0.00143850420394331</v>
      </c>
      <c r="J180" s="3" t="str">
        <f aca="false">IF(A180&lt;='Results &amp; Charts'!$C$5,"In-sample","Out-of-sample")</f>
        <v>In-sample</v>
      </c>
      <c r="K180" s="13" t="n">
        <f aca="false">H180-'Results &amp; Charts'!$C$9*I180</f>
        <v>-0.0162675380985081</v>
      </c>
      <c r="L180" s="13" t="n">
        <f aca="false">H180-I180</f>
        <v>-0.0168234230434228</v>
      </c>
      <c r="M180" s="15" t="n">
        <v>0.381724160146578</v>
      </c>
      <c r="N180" s="13" t="n">
        <f aca="false">H180-M180*I180</f>
        <v>-0.015934030648597</v>
      </c>
      <c r="O180" s="16" t="n">
        <f aca="false">'Results &amp; Charts'!$C$9</f>
        <v>0.613567382430444</v>
      </c>
    </row>
    <row r="181" customFormat="false" ht="15" hidden="false" customHeight="false" outlineLevel="0" collapsed="false">
      <c r="A181" s="14" t="n">
        <f aca="false">'Roll Schedule'!A439</f>
        <v>45777</v>
      </c>
      <c r="B181" s="14" t="n">
        <f aca="false">'Roll Schedule'!A438</f>
        <v>45776</v>
      </c>
      <c r="C181" s="3" t="n">
        <f aca="false">SUMIFS('Spot Data'!$E$5:$E$651,'Spot Data'!$A$5:$A$651,B181,'Spot Data'!$H$5:$H$651,"YES")</f>
        <v>6450</v>
      </c>
      <c r="D181" s="3" t="n">
        <f aca="false">SUMIFS('Spot Data'!$E$5:$E$651,'Spot Data'!$A$5:$A$651,A181,'Spot Data'!$H$5:$H$651,"YES")</f>
        <v>6450</v>
      </c>
      <c r="E181" s="14" t="n">
        <f aca="false">'Roll Schedule'!B439</f>
        <v>45828</v>
      </c>
      <c r="F181" s="3" t="n">
        <f aca="false">SUMIFS('Futures Data'!$C$5:$C$3471,'Futures Data'!$A$5:$A$3471,B181,'Futures Data'!$B$5:$B$3471,E181)</f>
        <v>6326</v>
      </c>
      <c r="G181" s="3" t="n">
        <f aca="false">SUMIFS('Futures Data'!$C$5:$C$3471,'Futures Data'!$A$5:$A$3471,A181,'Futures Data'!$B$5:$B$3471,E181)</f>
        <v>6293</v>
      </c>
      <c r="H181" s="13" t="n">
        <f aca="false">LN(D181/C181)</f>
        <v>0</v>
      </c>
      <c r="I181" s="13" t="n">
        <f aca="false">LN(G181/F181)</f>
        <v>-0.00523022033866059</v>
      </c>
      <c r="J181" s="3" t="str">
        <f aca="false">IF(A181&lt;='Results &amp; Charts'!$C$5,"In-sample","Out-of-sample")</f>
        <v>In-sample</v>
      </c>
      <c r="K181" s="13" t="n">
        <f aca="false">H181-'Results &amp; Charts'!$C$9*I181</f>
        <v>0.00320909260272645</v>
      </c>
      <c r="L181" s="13" t="n">
        <f aca="false">H181-I181</f>
        <v>0.00523022033866059</v>
      </c>
      <c r="M181" s="15" t="n">
        <v>0.398546159874518</v>
      </c>
      <c r="N181" s="13" t="n">
        <f aca="false">H181-M181*I181</f>
        <v>0.00208448423127078</v>
      </c>
      <c r="O181" s="16" t="n">
        <f aca="false">'Results &amp; Charts'!$C$9</f>
        <v>0.613567382430444</v>
      </c>
    </row>
    <row r="182" customFormat="false" ht="15" hidden="false" customHeight="false" outlineLevel="0" collapsed="false">
      <c r="A182" s="14" t="n">
        <f aca="false">'Roll Schedule'!A440</f>
        <v>45779</v>
      </c>
      <c r="B182" s="14" t="n">
        <f aca="false">'Roll Schedule'!A439</f>
        <v>45777</v>
      </c>
      <c r="C182" s="3" t="n">
        <f aca="false">SUMIFS('Spot Data'!$E$5:$E$651,'Spot Data'!$A$5:$A$651,B182,'Spot Data'!$H$5:$H$651,"YES")</f>
        <v>6450</v>
      </c>
      <c r="D182" s="3" t="n">
        <f aca="false">SUMIFS('Spot Data'!$E$5:$E$651,'Spot Data'!$A$5:$A$651,A182,'Spot Data'!$H$5:$H$651,"YES")</f>
        <v>6400</v>
      </c>
      <c r="E182" s="14" t="n">
        <f aca="false">'Roll Schedule'!B440</f>
        <v>45828</v>
      </c>
      <c r="F182" s="3" t="n">
        <f aca="false">SUMIFS('Futures Data'!$C$5:$C$3471,'Futures Data'!$A$5:$A$3471,B182,'Futures Data'!$B$5:$B$3471,E182)</f>
        <v>6293</v>
      </c>
      <c r="G182" s="3" t="n">
        <f aca="false">SUMIFS('Futures Data'!$C$5:$C$3471,'Futures Data'!$A$5:$A$3471,A182,'Futures Data'!$B$5:$B$3471,E182)</f>
        <v>6311</v>
      </c>
      <c r="H182" s="13" t="n">
        <f aca="false">LN(D182/C182)</f>
        <v>-0.00778214044205496</v>
      </c>
      <c r="I182" s="13" t="n">
        <f aca="false">LN(G182/F182)</f>
        <v>0.00285623805730585</v>
      </c>
      <c r="J182" s="3" t="str">
        <f aca="false">IF(A182&lt;='Results &amp; Charts'!$C$5,"In-sample","Out-of-sample")</f>
        <v>In-sample</v>
      </c>
      <c r="K182" s="13" t="n">
        <f aca="false">H182-'Results &amp; Charts'!$C$9*I182</f>
        <v>-0.00953463495047433</v>
      </c>
      <c r="L182" s="13" t="n">
        <f aca="false">H182-I182</f>
        <v>-0.0106383784993608</v>
      </c>
      <c r="M182" s="15" t="n">
        <v>0.404766290379047</v>
      </c>
      <c r="N182" s="13" t="n">
        <f aca="false">H182-M182*I182</f>
        <v>-0.00893824932495011</v>
      </c>
      <c r="O182" s="16" t="n">
        <f aca="false">'Results &amp; Charts'!$C$9</f>
        <v>0.613567382430444</v>
      </c>
    </row>
    <row r="183" customFormat="false" ht="15" hidden="false" customHeight="false" outlineLevel="0" collapsed="false">
      <c r="A183" s="14" t="n">
        <f aca="false">'Roll Schedule'!A441</f>
        <v>45782</v>
      </c>
      <c r="B183" s="14" t="n">
        <f aca="false">'Roll Schedule'!A440</f>
        <v>45779</v>
      </c>
      <c r="C183" s="3" t="n">
        <f aca="false">SUMIFS('Spot Data'!$E$5:$E$651,'Spot Data'!$A$5:$A$651,B183,'Spot Data'!$H$5:$H$651,"YES")</f>
        <v>6400</v>
      </c>
      <c r="D183" s="3" t="n">
        <f aca="false">SUMIFS('Spot Data'!$E$5:$E$651,'Spot Data'!$A$5:$A$651,A183,'Spot Data'!$H$5:$H$651,"YES")</f>
        <v>6350</v>
      </c>
      <c r="E183" s="14" t="n">
        <f aca="false">'Roll Schedule'!B441</f>
        <v>45828</v>
      </c>
      <c r="F183" s="3" t="n">
        <f aca="false">SUMIFS('Futures Data'!$C$5:$C$3471,'Futures Data'!$A$5:$A$3471,B183,'Futures Data'!$B$5:$B$3471,E183)</f>
        <v>6311</v>
      </c>
      <c r="G183" s="3" t="n">
        <f aca="false">SUMIFS('Futures Data'!$C$5:$C$3471,'Futures Data'!$A$5:$A$3471,A183,'Futures Data'!$B$5:$B$3471,E183)</f>
        <v>6254</v>
      </c>
      <c r="H183" s="13" t="n">
        <f aca="false">LN(D183/C183)</f>
        <v>-0.00784317746102589</v>
      </c>
      <c r="I183" s="13" t="n">
        <f aca="false">LN(G183/F183)</f>
        <v>-0.00907288356645297</v>
      </c>
      <c r="J183" s="3" t="str">
        <f aca="false">IF(A183&lt;='Results &amp; Charts'!$C$5,"In-sample","Out-of-sample")</f>
        <v>In-sample</v>
      </c>
      <c r="K183" s="13" t="n">
        <f aca="false">H183-'Results &amp; Charts'!$C$9*I183</f>
        <v>-0.00227635204006115</v>
      </c>
      <c r="L183" s="13" t="n">
        <f aca="false">H183-I183</f>
        <v>0.00122970610542708</v>
      </c>
      <c r="M183" s="15" t="n">
        <v>0.412984141154104</v>
      </c>
      <c r="N183" s="13" t="n">
        <f aca="false">H183-M183*I183</f>
        <v>-0.00409622043354313</v>
      </c>
      <c r="O183" s="16" t="n">
        <f aca="false">'Results &amp; Charts'!$C$9</f>
        <v>0.613567382430444</v>
      </c>
    </row>
    <row r="184" customFormat="false" ht="15" hidden="false" customHeight="false" outlineLevel="0" collapsed="false">
      <c r="A184" s="14" t="n">
        <f aca="false">'Roll Schedule'!A442</f>
        <v>45783</v>
      </c>
      <c r="B184" s="14" t="n">
        <f aca="false">'Roll Schedule'!A441</f>
        <v>45782</v>
      </c>
      <c r="C184" s="3" t="n">
        <f aca="false">SUMIFS('Spot Data'!$E$5:$E$651,'Spot Data'!$A$5:$A$651,B184,'Spot Data'!$H$5:$H$651,"YES")</f>
        <v>6350</v>
      </c>
      <c r="D184" s="3" t="n">
        <f aca="false">SUMIFS('Spot Data'!$E$5:$E$651,'Spot Data'!$A$5:$A$651,A184,'Spot Data'!$H$5:$H$651,"YES")</f>
        <v>6350</v>
      </c>
      <c r="E184" s="14" t="n">
        <f aca="false">'Roll Schedule'!B442</f>
        <v>45828</v>
      </c>
      <c r="F184" s="3" t="n">
        <f aca="false">SUMIFS('Futures Data'!$C$5:$C$3471,'Futures Data'!$A$5:$A$3471,B184,'Futures Data'!$B$5:$B$3471,E184)</f>
        <v>6254</v>
      </c>
      <c r="G184" s="3" t="n">
        <f aca="false">SUMIFS('Futures Data'!$C$5:$C$3471,'Futures Data'!$A$5:$A$3471,A184,'Futures Data'!$B$5:$B$3471,E184)</f>
        <v>6212</v>
      </c>
      <c r="H184" s="13" t="n">
        <f aca="false">LN(D184/C184)</f>
        <v>0</v>
      </c>
      <c r="I184" s="13" t="n">
        <f aca="false">LN(G184/F184)</f>
        <v>-0.00673835374920894</v>
      </c>
      <c r="J184" s="3" t="str">
        <f aca="false">IF(A184&lt;='Results &amp; Charts'!$C$5,"In-sample","Out-of-sample")</f>
        <v>In-sample</v>
      </c>
      <c r="K184" s="13" t="n">
        <f aca="false">H184-'Results &amp; Charts'!$C$9*I184</f>
        <v>0.0041344340717925</v>
      </c>
      <c r="L184" s="13" t="n">
        <f aca="false">H184-I184</f>
        <v>0.00673835374920894</v>
      </c>
      <c r="M184" s="15" t="n">
        <v>0.39563450714808</v>
      </c>
      <c r="N184" s="13" t="n">
        <f aca="false">H184-M184*I184</f>
        <v>0.00266592526455769</v>
      </c>
      <c r="O184" s="16" t="n">
        <f aca="false">'Results &amp; Charts'!$C$9</f>
        <v>0.613567382430444</v>
      </c>
    </row>
    <row r="185" customFormat="false" ht="15" hidden="false" customHeight="false" outlineLevel="0" collapsed="false">
      <c r="A185" s="14" t="n">
        <f aca="false">'Roll Schedule'!A443</f>
        <v>45784</v>
      </c>
      <c r="B185" s="14" t="n">
        <f aca="false">'Roll Schedule'!A442</f>
        <v>45783</v>
      </c>
      <c r="C185" s="3" t="n">
        <f aca="false">SUMIFS('Spot Data'!$E$5:$E$651,'Spot Data'!$A$5:$A$651,B185,'Spot Data'!$H$5:$H$651,"YES")</f>
        <v>6350</v>
      </c>
      <c r="D185" s="3" t="n">
        <f aca="false">SUMIFS('Spot Data'!$E$5:$E$651,'Spot Data'!$A$5:$A$651,A185,'Spot Data'!$H$5:$H$651,"YES")</f>
        <v>6375</v>
      </c>
      <c r="E185" s="14" t="n">
        <f aca="false">'Roll Schedule'!B443</f>
        <v>45828</v>
      </c>
      <c r="F185" s="3" t="n">
        <f aca="false">SUMIFS('Futures Data'!$C$5:$C$3471,'Futures Data'!$A$5:$A$3471,B185,'Futures Data'!$B$5:$B$3471,E185)</f>
        <v>6212</v>
      </c>
      <c r="G185" s="3" t="n">
        <f aca="false">SUMIFS('Futures Data'!$C$5:$C$3471,'Futures Data'!$A$5:$A$3471,A185,'Futures Data'!$B$5:$B$3471,E185)</f>
        <v>6231</v>
      </c>
      <c r="H185" s="13" t="n">
        <f aca="false">LN(D185/C185)</f>
        <v>0.00392927813988956</v>
      </c>
      <c r="I185" s="13" t="n">
        <f aca="false">LN(G185/F185)</f>
        <v>0.00305392827564425</v>
      </c>
      <c r="J185" s="3" t="str">
        <f aca="false">IF(A185&lt;='Results &amp; Charts'!$C$5,"In-sample","Out-of-sample")</f>
        <v>In-sample</v>
      </c>
      <c r="K185" s="13" t="n">
        <f aca="false">H185-'Results &amp; Charts'!$C$9*I185</f>
        <v>0.00205548736167219</v>
      </c>
      <c r="L185" s="13" t="n">
        <f aca="false">H185-I185</f>
        <v>0.000875349864245306</v>
      </c>
      <c r="M185" s="15" t="n">
        <v>0.388443155257182</v>
      </c>
      <c r="N185" s="13" t="n">
        <f aca="false">H185-M185*I185</f>
        <v>0.00274300060456918</v>
      </c>
      <c r="O185" s="16" t="n">
        <f aca="false">'Results &amp; Charts'!$C$9</f>
        <v>0.613567382430444</v>
      </c>
    </row>
    <row r="186" customFormat="false" ht="15" hidden="false" customHeight="false" outlineLevel="0" collapsed="false">
      <c r="A186" s="14" t="n">
        <f aca="false">'Roll Schedule'!A444</f>
        <v>45785</v>
      </c>
      <c r="B186" s="14" t="n">
        <f aca="false">'Roll Schedule'!A443</f>
        <v>45784</v>
      </c>
      <c r="C186" s="3" t="n">
        <f aca="false">SUMIFS('Spot Data'!$E$5:$E$651,'Spot Data'!$A$5:$A$651,B186,'Spot Data'!$H$5:$H$651,"YES")</f>
        <v>6375</v>
      </c>
      <c r="D186" s="3" t="n">
        <f aca="false">SUMIFS('Spot Data'!$E$5:$E$651,'Spot Data'!$A$5:$A$651,A186,'Spot Data'!$H$5:$H$651,"YES")</f>
        <v>6375</v>
      </c>
      <c r="E186" s="14" t="n">
        <f aca="false">'Roll Schedule'!B444</f>
        <v>45828</v>
      </c>
      <c r="F186" s="3" t="n">
        <f aca="false">SUMIFS('Futures Data'!$C$5:$C$3471,'Futures Data'!$A$5:$A$3471,B186,'Futures Data'!$B$5:$B$3471,E186)</f>
        <v>6231</v>
      </c>
      <c r="G186" s="3" t="n">
        <f aca="false">SUMIFS('Futures Data'!$C$5:$C$3471,'Futures Data'!$A$5:$A$3471,A186,'Futures Data'!$B$5:$B$3471,E186)</f>
        <v>6246</v>
      </c>
      <c r="H186" s="13" t="n">
        <f aca="false">LN(D186/C186)</f>
        <v>0</v>
      </c>
      <c r="I186" s="13" t="n">
        <f aca="false">LN(G186/F186)</f>
        <v>0.00240442529880199</v>
      </c>
      <c r="J186" s="3" t="str">
        <f aca="false">IF(A186&lt;='Results &amp; Charts'!$C$5,"In-sample","Out-of-sample")</f>
        <v>In-sample</v>
      </c>
      <c r="K186" s="13" t="n">
        <f aca="false">H186-'Results &amp; Charts'!$C$9*I186</f>
        <v>-0.00147527693683548</v>
      </c>
      <c r="L186" s="13" t="n">
        <f aca="false">H186-I186</f>
        <v>-0.00240442529880199</v>
      </c>
      <c r="M186" s="15" t="n">
        <v>0.411824783075408</v>
      </c>
      <c r="N186" s="13" t="n">
        <f aca="false">H186-M186*I186</f>
        <v>-0.000990201927100153</v>
      </c>
      <c r="O186" s="16" t="n">
        <f aca="false">'Results &amp; Charts'!$C$9</f>
        <v>0.613567382430444</v>
      </c>
    </row>
    <row r="187" customFormat="false" ht="15" hidden="false" customHeight="false" outlineLevel="0" collapsed="false">
      <c r="A187" s="14" t="n">
        <f aca="false">'Roll Schedule'!A445</f>
        <v>45786</v>
      </c>
      <c r="B187" s="14" t="n">
        <f aca="false">'Roll Schedule'!A444</f>
        <v>45785</v>
      </c>
      <c r="C187" s="3" t="n">
        <f aca="false">SUMIFS('Spot Data'!$E$5:$E$651,'Spot Data'!$A$5:$A$651,B187,'Spot Data'!$H$5:$H$651,"YES")</f>
        <v>6375</v>
      </c>
      <c r="D187" s="3" t="n">
        <f aca="false">SUMIFS('Spot Data'!$E$5:$E$651,'Spot Data'!$A$5:$A$651,A187,'Spot Data'!$H$5:$H$651,"YES")</f>
        <v>6350</v>
      </c>
      <c r="E187" s="14" t="n">
        <f aca="false">'Roll Schedule'!B445</f>
        <v>45828</v>
      </c>
      <c r="F187" s="3" t="n">
        <f aca="false">SUMIFS('Futures Data'!$C$5:$C$3471,'Futures Data'!$A$5:$A$3471,B187,'Futures Data'!$B$5:$B$3471,E187)</f>
        <v>6246</v>
      </c>
      <c r="G187" s="3" t="n">
        <f aca="false">SUMIFS('Futures Data'!$C$5:$C$3471,'Futures Data'!$A$5:$A$3471,A187,'Futures Data'!$B$5:$B$3471,E187)</f>
        <v>6306</v>
      </c>
      <c r="H187" s="13" t="n">
        <f aca="false">LN(D187/C187)</f>
        <v>-0.00392927813988955</v>
      </c>
      <c r="I187" s="13" t="n">
        <f aca="false">LN(G187/F187)</f>
        <v>0.00956030226198234</v>
      </c>
      <c r="J187" s="3" t="str">
        <f aca="false">IF(A187&lt;='Results &amp; Charts'!$C$5,"In-sample","Out-of-sample")</f>
        <v>In-sample</v>
      </c>
      <c r="K187" s="13" t="n">
        <f aca="false">H187-'Results &amp; Charts'!$C$9*I187</f>
        <v>-0.00979516777401791</v>
      </c>
      <c r="L187" s="13" t="n">
        <f aca="false">H187-I187</f>
        <v>-0.0134895804018719</v>
      </c>
      <c r="M187" s="15" t="n">
        <v>0.431951800274368</v>
      </c>
      <c r="N187" s="13" t="n">
        <f aca="false">H187-M187*I187</f>
        <v>-0.00805886791311993</v>
      </c>
      <c r="O187" s="16" t="n">
        <f aca="false">'Results &amp; Charts'!$C$9</f>
        <v>0.613567382430444</v>
      </c>
    </row>
    <row r="188" customFormat="false" ht="15" hidden="false" customHeight="false" outlineLevel="0" collapsed="false">
      <c r="A188" s="14" t="n">
        <f aca="false">'Roll Schedule'!A446</f>
        <v>45789</v>
      </c>
      <c r="B188" s="14" t="n">
        <f aca="false">'Roll Schedule'!A445</f>
        <v>45786</v>
      </c>
      <c r="C188" s="3" t="n">
        <f aca="false">SUMIFS('Spot Data'!$E$5:$E$651,'Spot Data'!$A$5:$A$651,B188,'Spot Data'!$H$5:$H$651,"YES")</f>
        <v>6350</v>
      </c>
      <c r="D188" s="3" t="n">
        <f aca="false">SUMIFS('Spot Data'!$E$5:$E$651,'Spot Data'!$A$5:$A$651,A188,'Spot Data'!$H$5:$H$651,"YES")</f>
        <v>6350</v>
      </c>
      <c r="E188" s="14" t="n">
        <f aca="false">'Roll Schedule'!B446</f>
        <v>45828</v>
      </c>
      <c r="F188" s="3" t="n">
        <f aca="false">SUMIFS('Futures Data'!$C$5:$C$3471,'Futures Data'!$A$5:$A$3471,B188,'Futures Data'!$B$5:$B$3471,E188)</f>
        <v>6306</v>
      </c>
      <c r="G188" s="3" t="n">
        <f aca="false">SUMIFS('Futures Data'!$C$5:$C$3471,'Futures Data'!$A$5:$A$3471,A188,'Futures Data'!$B$5:$B$3471,E188)</f>
        <v>6367</v>
      </c>
      <c r="H188" s="13" t="n">
        <f aca="false">LN(D188/C188)</f>
        <v>0</v>
      </c>
      <c r="I188" s="13" t="n">
        <f aca="false">LN(G188/F188)</f>
        <v>0.00962683991201921</v>
      </c>
      <c r="J188" s="3" t="str">
        <f aca="false">IF(A188&lt;='Results &amp; Charts'!$C$5,"In-sample","Out-of-sample")</f>
        <v>In-sample</v>
      </c>
      <c r="K188" s="13" t="n">
        <f aca="false">H188-'Results &amp; Charts'!$C$9*I188</f>
        <v>-0.00590671496589455</v>
      </c>
      <c r="L188" s="13" t="n">
        <f aca="false">H188-I188</f>
        <v>-0.00962683991201921</v>
      </c>
      <c r="M188" s="15" t="n">
        <v>0.359268074174482</v>
      </c>
      <c r="N188" s="13" t="n">
        <f aca="false">H188-M188*I188</f>
        <v>-0.00345861623557718</v>
      </c>
      <c r="O188" s="16" t="n">
        <f aca="false">'Results &amp; Charts'!$C$9</f>
        <v>0.613567382430444</v>
      </c>
    </row>
    <row r="189" customFormat="false" ht="15" hidden="false" customHeight="false" outlineLevel="0" collapsed="false">
      <c r="A189" s="14" t="n">
        <f aca="false">'Roll Schedule'!A447</f>
        <v>45790</v>
      </c>
      <c r="B189" s="14" t="n">
        <f aca="false">'Roll Schedule'!A446</f>
        <v>45789</v>
      </c>
      <c r="C189" s="3" t="n">
        <f aca="false">SUMIFS('Spot Data'!$E$5:$E$651,'Spot Data'!$A$5:$A$651,B189,'Spot Data'!$H$5:$H$651,"YES")</f>
        <v>6350</v>
      </c>
      <c r="D189" s="3" t="n">
        <f aca="false">SUMIFS('Spot Data'!$E$5:$E$651,'Spot Data'!$A$5:$A$651,A189,'Spot Data'!$H$5:$H$651,"YES")</f>
        <v>6350</v>
      </c>
      <c r="E189" s="14" t="n">
        <f aca="false">'Roll Schedule'!B447</f>
        <v>45828</v>
      </c>
      <c r="F189" s="3" t="n">
        <f aca="false">SUMIFS('Futures Data'!$C$5:$C$3471,'Futures Data'!$A$5:$A$3471,B189,'Futures Data'!$B$5:$B$3471,E189)</f>
        <v>6367</v>
      </c>
      <c r="G189" s="3" t="n">
        <f aca="false">SUMIFS('Futures Data'!$C$5:$C$3471,'Futures Data'!$A$5:$A$3471,A189,'Futures Data'!$B$5:$B$3471,E189)</f>
        <v>6385</v>
      </c>
      <c r="H189" s="13" t="n">
        <f aca="false">LN(D189/C189)</f>
        <v>0</v>
      </c>
      <c r="I189" s="13" t="n">
        <f aca="false">LN(G189/F189)</f>
        <v>0.00282308844961441</v>
      </c>
      <c r="J189" s="3" t="str">
        <f aca="false">IF(A189&lt;='Results &amp; Charts'!$C$5,"In-sample","Out-of-sample")</f>
        <v>In-sample</v>
      </c>
      <c r="K189" s="13" t="n">
        <f aca="false">H189-'Results &amp; Charts'!$C$9*I189</f>
        <v>-0.00173215499039953</v>
      </c>
      <c r="L189" s="13" t="n">
        <f aca="false">H189-I189</f>
        <v>-0.00282308844961441</v>
      </c>
      <c r="M189" s="15" t="n">
        <v>0.321645732044935</v>
      </c>
      <c r="N189" s="13" t="n">
        <f aca="false">H189-M189*I189</f>
        <v>-0.000908034351003826</v>
      </c>
      <c r="O189" s="16" t="n">
        <f aca="false">'Results &amp; Charts'!$C$9</f>
        <v>0.613567382430444</v>
      </c>
    </row>
    <row r="190" customFormat="false" ht="15" hidden="false" customHeight="false" outlineLevel="0" collapsed="false">
      <c r="A190" s="14" t="n">
        <f aca="false">'Roll Schedule'!A448</f>
        <v>45791</v>
      </c>
      <c r="B190" s="14" t="n">
        <f aca="false">'Roll Schedule'!A447</f>
        <v>45790</v>
      </c>
      <c r="C190" s="3" t="n">
        <f aca="false">SUMIFS('Spot Data'!$E$5:$E$651,'Spot Data'!$A$5:$A$651,B190,'Spot Data'!$H$5:$H$651,"YES")</f>
        <v>6350</v>
      </c>
      <c r="D190" s="3" t="n">
        <f aca="false">SUMIFS('Spot Data'!$E$5:$E$651,'Spot Data'!$A$5:$A$651,A190,'Spot Data'!$H$5:$H$651,"YES")</f>
        <v>6325</v>
      </c>
      <c r="E190" s="14" t="n">
        <f aca="false">'Roll Schedule'!B448</f>
        <v>45828</v>
      </c>
      <c r="F190" s="3" t="n">
        <f aca="false">SUMIFS('Futures Data'!$C$5:$C$3471,'Futures Data'!$A$5:$A$3471,B190,'Futures Data'!$B$5:$B$3471,E190)</f>
        <v>6385</v>
      </c>
      <c r="G190" s="3" t="n">
        <f aca="false">SUMIFS('Futures Data'!$C$5:$C$3471,'Futures Data'!$A$5:$A$3471,A190,'Futures Data'!$B$5:$B$3471,E190)</f>
        <v>6478</v>
      </c>
      <c r="H190" s="13" t="n">
        <f aca="false">LN(D190/C190)</f>
        <v>-0.00394477829101634</v>
      </c>
      <c r="I190" s="13" t="n">
        <f aca="false">LN(G190/F190)</f>
        <v>0.0144603312646349</v>
      </c>
      <c r="J190" s="3" t="str">
        <f aca="false">IF(A190&lt;='Results &amp; Charts'!$C$5,"In-sample","Out-of-sample")</f>
        <v>In-sample</v>
      </c>
      <c r="K190" s="13" t="n">
        <f aca="false">H190-'Results &amp; Charts'!$C$9*I190</f>
        <v>-0.0128171658941355</v>
      </c>
      <c r="L190" s="13" t="n">
        <f aca="false">H190-I190</f>
        <v>-0.0184051095556513</v>
      </c>
      <c r="M190" s="15" t="n">
        <v>0.343437099260007</v>
      </c>
      <c r="N190" s="13" t="n">
        <f aca="false">H190-M190*I190</f>
        <v>-0.00891099251488134</v>
      </c>
      <c r="O190" s="16" t="n">
        <f aca="false">'Results &amp; Charts'!$C$9</f>
        <v>0.613567382430444</v>
      </c>
    </row>
    <row r="191" customFormat="false" ht="15" hidden="false" customHeight="false" outlineLevel="0" collapsed="false">
      <c r="A191" s="14" t="n">
        <f aca="false">'Roll Schedule'!A449</f>
        <v>45792</v>
      </c>
      <c r="B191" s="14" t="n">
        <f aca="false">'Roll Schedule'!A448</f>
        <v>45791</v>
      </c>
      <c r="C191" s="3" t="n">
        <f aca="false">SUMIFS('Spot Data'!$E$5:$E$651,'Spot Data'!$A$5:$A$651,B191,'Spot Data'!$H$5:$H$651,"YES")</f>
        <v>6325</v>
      </c>
      <c r="D191" s="3" t="n">
        <f aca="false">SUMIFS('Spot Data'!$E$5:$E$651,'Spot Data'!$A$5:$A$651,A191,'Spot Data'!$H$5:$H$651,"YES")</f>
        <v>6300</v>
      </c>
      <c r="E191" s="14" t="n">
        <f aca="false">'Roll Schedule'!B449</f>
        <v>45828</v>
      </c>
      <c r="F191" s="3" t="n">
        <f aca="false">SUMIFS('Futures Data'!$C$5:$C$3471,'Futures Data'!$A$5:$A$3471,B191,'Futures Data'!$B$5:$B$3471,E191)</f>
        <v>6478</v>
      </c>
      <c r="G191" s="3" t="n">
        <f aca="false">SUMIFS('Futures Data'!$C$5:$C$3471,'Futures Data'!$A$5:$A$3471,A191,'Futures Data'!$B$5:$B$3471,E191)</f>
        <v>6438</v>
      </c>
      <c r="H191" s="13" t="n">
        <f aca="false">LN(D191/C191)</f>
        <v>-0.00396040121609691</v>
      </c>
      <c r="I191" s="13" t="n">
        <f aca="false">LN(G191/F191)</f>
        <v>-0.00619388787252119</v>
      </c>
      <c r="J191" s="3" t="str">
        <f aca="false">IF(A191&lt;='Results &amp; Charts'!$C$5,"In-sample","Out-of-sample")</f>
        <v>In-sample</v>
      </c>
      <c r="K191" s="13" t="n">
        <f aca="false">H191-'Results &amp; Charts'!$C$9*I191</f>
        <v>-0.000160033647086406</v>
      </c>
      <c r="L191" s="13" t="n">
        <f aca="false">H191-I191</f>
        <v>0.00223348665642428</v>
      </c>
      <c r="M191" s="15" t="n">
        <v>0.244046583822388</v>
      </c>
      <c r="N191" s="13" t="n">
        <f aca="false">H191-M191*I191</f>
        <v>-0.00244880404022919</v>
      </c>
      <c r="O191" s="16" t="n">
        <f aca="false">'Results &amp; Charts'!$C$9</f>
        <v>0.613567382430444</v>
      </c>
    </row>
    <row r="192" customFormat="false" ht="15" hidden="false" customHeight="false" outlineLevel="0" collapsed="false">
      <c r="A192" s="14" t="n">
        <f aca="false">'Roll Schedule'!A450</f>
        <v>45793</v>
      </c>
      <c r="B192" s="14" t="n">
        <f aca="false">'Roll Schedule'!A449</f>
        <v>45792</v>
      </c>
      <c r="C192" s="3" t="n">
        <f aca="false">SUMIFS('Spot Data'!$E$5:$E$651,'Spot Data'!$A$5:$A$651,B192,'Spot Data'!$H$5:$H$651,"YES")</f>
        <v>6300</v>
      </c>
      <c r="D192" s="3" t="n">
        <f aca="false">SUMIFS('Spot Data'!$E$5:$E$651,'Spot Data'!$A$5:$A$651,A192,'Spot Data'!$H$5:$H$651,"YES")</f>
        <v>6300</v>
      </c>
      <c r="E192" s="14" t="n">
        <f aca="false">'Roll Schedule'!B450</f>
        <v>45828</v>
      </c>
      <c r="F192" s="3" t="n">
        <f aca="false">SUMIFS('Futures Data'!$C$5:$C$3471,'Futures Data'!$A$5:$A$3471,B192,'Futures Data'!$B$5:$B$3471,E192)</f>
        <v>6438</v>
      </c>
      <c r="G192" s="3" t="n">
        <f aca="false">SUMIFS('Futures Data'!$C$5:$C$3471,'Futures Data'!$A$5:$A$3471,A192,'Futures Data'!$B$5:$B$3471,E192)</f>
        <v>6440</v>
      </c>
      <c r="H192" s="13" t="n">
        <f aca="false">LN(D192/C192)</f>
        <v>0</v>
      </c>
      <c r="I192" s="13" t="n">
        <f aca="false">LN(G192/F192)</f>
        <v>0.000310607239645739</v>
      </c>
      <c r="J192" s="3" t="str">
        <f aca="false">IF(A192&lt;='Results &amp; Charts'!$C$5,"In-sample","Out-of-sample")</f>
        <v>In-sample</v>
      </c>
      <c r="K192" s="13" t="n">
        <f aca="false">H192-'Results &amp; Charts'!$C$9*I192</f>
        <v>-0.000190578470993382</v>
      </c>
      <c r="L192" s="13" t="n">
        <f aca="false">H192-I192</f>
        <v>-0.000310607239645739</v>
      </c>
      <c r="M192" s="15" t="n">
        <v>0.26168240811983</v>
      </c>
      <c r="N192" s="13" t="n">
        <f aca="false">H192-M192*I192</f>
        <v>-8.12804504499501E-005</v>
      </c>
      <c r="O192" s="16" t="n">
        <f aca="false">'Results &amp; Charts'!$C$9</f>
        <v>0.613567382430444</v>
      </c>
    </row>
    <row r="193" customFormat="false" ht="15" hidden="false" customHeight="false" outlineLevel="0" collapsed="false">
      <c r="A193" s="14" t="n">
        <f aca="false">'Roll Schedule'!A451</f>
        <v>45796</v>
      </c>
      <c r="B193" s="14" t="n">
        <f aca="false">'Roll Schedule'!A450</f>
        <v>45793</v>
      </c>
      <c r="C193" s="3" t="n">
        <f aca="false">SUMIFS('Spot Data'!$E$5:$E$651,'Spot Data'!$A$5:$A$651,B193,'Spot Data'!$H$5:$H$651,"YES")</f>
        <v>6300</v>
      </c>
      <c r="D193" s="3" t="n">
        <f aca="false">SUMIFS('Spot Data'!$E$5:$E$651,'Spot Data'!$A$5:$A$651,A193,'Spot Data'!$H$5:$H$651,"YES")</f>
        <v>6250</v>
      </c>
      <c r="E193" s="14" t="n">
        <f aca="false">'Roll Schedule'!B451</f>
        <v>45828</v>
      </c>
      <c r="F193" s="3" t="n">
        <f aca="false">SUMIFS('Futures Data'!$C$5:$C$3471,'Futures Data'!$A$5:$A$3471,B193,'Futures Data'!$B$5:$B$3471,E193)</f>
        <v>6440</v>
      </c>
      <c r="G193" s="3" t="n">
        <f aca="false">SUMIFS('Futures Data'!$C$5:$C$3471,'Futures Data'!$A$5:$A$3471,A193,'Futures Data'!$B$5:$B$3471,E193)</f>
        <v>6446</v>
      </c>
      <c r="H193" s="13" t="n">
        <f aca="false">LN(D193/C193)</f>
        <v>-0.00796816964917685</v>
      </c>
      <c r="I193" s="13" t="n">
        <f aca="false">LN(G193/F193)</f>
        <v>0.000931243276983935</v>
      </c>
      <c r="J193" s="3" t="str">
        <f aca="false">IF(A193&lt;='Results &amp; Charts'!$C$5,"In-sample","Out-of-sample")</f>
        <v>In-sample</v>
      </c>
      <c r="K193" s="13" t="n">
        <f aca="false">H193-'Results &amp; Charts'!$C$9*I193</f>
        <v>-0.00853955014904183</v>
      </c>
      <c r="L193" s="13" t="n">
        <f aca="false">H193-I193</f>
        <v>-0.00889941292616078</v>
      </c>
      <c r="M193" s="15" t="n">
        <v>0.288123416841702</v>
      </c>
      <c r="N193" s="13" t="n">
        <f aca="false">H193-M193*I193</f>
        <v>-0.00823648264405232</v>
      </c>
      <c r="O193" s="16" t="n">
        <f aca="false">'Results &amp; Charts'!$C$9</f>
        <v>0.613567382430444</v>
      </c>
    </row>
    <row r="194" customFormat="false" ht="15" hidden="false" customHeight="false" outlineLevel="0" collapsed="false">
      <c r="A194" s="14" t="n">
        <f aca="false">'Roll Schedule'!A452</f>
        <v>45797</v>
      </c>
      <c r="B194" s="14" t="n">
        <f aca="false">'Roll Schedule'!A451</f>
        <v>45796</v>
      </c>
      <c r="C194" s="3" t="n">
        <f aca="false">SUMIFS('Spot Data'!$E$5:$E$651,'Spot Data'!$A$5:$A$651,B194,'Spot Data'!$H$5:$H$651,"YES")</f>
        <v>6250</v>
      </c>
      <c r="D194" s="3" t="n">
        <f aca="false">SUMIFS('Spot Data'!$E$5:$E$651,'Spot Data'!$A$5:$A$651,A194,'Spot Data'!$H$5:$H$651,"YES")</f>
        <v>6200</v>
      </c>
      <c r="E194" s="14" t="n">
        <f aca="false">'Roll Schedule'!B452</f>
        <v>45828</v>
      </c>
      <c r="F194" s="3" t="n">
        <f aca="false">SUMIFS('Futures Data'!$C$5:$C$3471,'Futures Data'!$A$5:$A$3471,B194,'Futures Data'!$B$5:$B$3471,E194)</f>
        <v>6446</v>
      </c>
      <c r="G194" s="3" t="n">
        <f aca="false">SUMIFS('Futures Data'!$C$5:$C$3471,'Futures Data'!$A$5:$A$3471,A194,'Futures Data'!$B$5:$B$3471,E194)</f>
        <v>6401</v>
      </c>
      <c r="H194" s="13" t="n">
        <f aca="false">LN(D194/C194)</f>
        <v>-0.00803217169726427</v>
      </c>
      <c r="I194" s="13" t="n">
        <f aca="false">LN(G194/F194)</f>
        <v>-0.0070055552333798</v>
      </c>
      <c r="J194" s="3" t="str">
        <f aca="false">IF(A194&lt;='Results &amp; Charts'!$C$5,"In-sample","Out-of-sample")</f>
        <v>In-sample</v>
      </c>
      <c r="K194" s="13" t="n">
        <f aca="false">H194-'Results &amp; Charts'!$C$9*I194</f>
        <v>-0.00373379151024752</v>
      </c>
      <c r="L194" s="13" t="n">
        <f aca="false">H194-I194</f>
        <v>-0.00102661646388446</v>
      </c>
      <c r="M194" s="15" t="n">
        <v>0.310718488373231</v>
      </c>
      <c r="N194" s="13" t="n">
        <f aca="false">H194-M194*I194</f>
        <v>-0.00585541616493332</v>
      </c>
      <c r="O194" s="16" t="n">
        <f aca="false">'Results &amp; Charts'!$C$9</f>
        <v>0.613567382430444</v>
      </c>
    </row>
    <row r="195" customFormat="false" ht="15" hidden="false" customHeight="false" outlineLevel="0" collapsed="false">
      <c r="A195" s="14" t="n">
        <f aca="false">'Roll Schedule'!A453</f>
        <v>45798</v>
      </c>
      <c r="B195" s="14" t="n">
        <f aca="false">'Roll Schedule'!A452</f>
        <v>45797</v>
      </c>
      <c r="C195" s="3" t="n">
        <f aca="false">SUMIFS('Spot Data'!$E$5:$E$651,'Spot Data'!$A$5:$A$651,B195,'Spot Data'!$H$5:$H$651,"YES")</f>
        <v>6200</v>
      </c>
      <c r="D195" s="3" t="n">
        <f aca="false">SUMIFS('Spot Data'!$E$5:$E$651,'Spot Data'!$A$5:$A$651,A195,'Spot Data'!$H$5:$H$651,"YES")</f>
        <v>6200</v>
      </c>
      <c r="E195" s="14" t="n">
        <f aca="false">'Roll Schedule'!B453</f>
        <v>45828</v>
      </c>
      <c r="F195" s="3" t="n">
        <f aca="false">SUMIFS('Futures Data'!$C$5:$C$3471,'Futures Data'!$A$5:$A$3471,B195,'Futures Data'!$B$5:$B$3471,E195)</f>
        <v>6401</v>
      </c>
      <c r="G195" s="3" t="n">
        <f aca="false">SUMIFS('Futures Data'!$C$5:$C$3471,'Futures Data'!$A$5:$A$3471,A195,'Futures Data'!$B$5:$B$3471,E195)</f>
        <v>6388</v>
      </c>
      <c r="H195" s="13" t="n">
        <f aca="false">LN(D195/C195)</f>
        <v>0</v>
      </c>
      <c r="I195" s="13" t="n">
        <f aca="false">LN(G195/F195)</f>
        <v>-0.00203299780710031</v>
      </c>
      <c r="J195" s="3" t="str">
        <f aca="false">IF(A195&lt;='Results &amp; Charts'!$C$5,"In-sample","Out-of-sample")</f>
        <v>In-sample</v>
      </c>
      <c r="K195" s="13" t="n">
        <f aca="false">H195-'Results &amp; Charts'!$C$9*I195</f>
        <v>0.00124738114298937</v>
      </c>
      <c r="L195" s="13" t="n">
        <f aca="false">H195-I195</f>
        <v>0.00203299780710031</v>
      </c>
      <c r="M195" s="15" t="n">
        <v>0.32634072000341</v>
      </c>
      <c r="N195" s="13" t="n">
        <f aca="false">H195-M195*I195</f>
        <v>0.00066344996813447</v>
      </c>
      <c r="O195" s="16" t="n">
        <f aca="false">'Results &amp; Charts'!$C$9</f>
        <v>0.613567382430444</v>
      </c>
    </row>
    <row r="196" customFormat="false" ht="15" hidden="false" customHeight="false" outlineLevel="0" collapsed="false">
      <c r="A196" s="14" t="n">
        <f aca="false">'Roll Schedule'!A454</f>
        <v>45799</v>
      </c>
      <c r="B196" s="14" t="n">
        <f aca="false">'Roll Schedule'!A453</f>
        <v>45798</v>
      </c>
      <c r="C196" s="3" t="n">
        <f aca="false">SUMIFS('Spot Data'!$E$5:$E$651,'Spot Data'!$A$5:$A$651,B196,'Spot Data'!$H$5:$H$651,"YES")</f>
        <v>6200</v>
      </c>
      <c r="D196" s="3" t="n">
        <f aca="false">SUMIFS('Spot Data'!$E$5:$E$651,'Spot Data'!$A$5:$A$651,A196,'Spot Data'!$H$5:$H$651,"YES")</f>
        <v>6250</v>
      </c>
      <c r="E196" s="14" t="n">
        <f aca="false">'Roll Schedule'!B454</f>
        <v>45828</v>
      </c>
      <c r="F196" s="3" t="n">
        <f aca="false">SUMIFS('Futures Data'!$C$5:$C$3471,'Futures Data'!$A$5:$A$3471,B196,'Futures Data'!$B$5:$B$3471,E196)</f>
        <v>6388</v>
      </c>
      <c r="G196" s="3" t="n">
        <f aca="false">SUMIFS('Futures Data'!$C$5:$C$3471,'Futures Data'!$A$5:$A$3471,A196,'Futures Data'!$B$5:$B$3471,E196)</f>
        <v>6436</v>
      </c>
      <c r="H196" s="13" t="n">
        <f aca="false">LN(D196/C196)</f>
        <v>0.00803217169726425</v>
      </c>
      <c r="I196" s="13" t="n">
        <f aca="false">LN(G196/F196)</f>
        <v>0.00748599877737083</v>
      </c>
      <c r="J196" s="3" t="str">
        <f aca="false">IF(A196&lt;='Results &amp; Charts'!$C$5,"In-sample","Out-of-sample")</f>
        <v>In-sample</v>
      </c>
      <c r="K196" s="13" t="n">
        <f aca="false">H196-'Results &amp; Charts'!$C$9*I196</f>
        <v>0.00343900702255533</v>
      </c>
      <c r="L196" s="13" t="n">
        <f aca="false">H196-I196</f>
        <v>0.000546172919893428</v>
      </c>
      <c r="M196" s="15" t="n">
        <v>0.351132645924076</v>
      </c>
      <c r="N196" s="13" t="n">
        <f aca="false">H196-M196*I196</f>
        <v>0.00540359313918164</v>
      </c>
      <c r="O196" s="16" t="n">
        <f aca="false">'Results &amp; Charts'!$C$9</f>
        <v>0.613567382430444</v>
      </c>
    </row>
    <row r="197" customFormat="false" ht="15" hidden="false" customHeight="false" outlineLevel="0" collapsed="false">
      <c r="A197" s="14" t="n">
        <f aca="false">'Roll Schedule'!A455</f>
        <v>45800</v>
      </c>
      <c r="B197" s="14" t="n">
        <f aca="false">'Roll Schedule'!A454</f>
        <v>45799</v>
      </c>
      <c r="C197" s="3" t="n">
        <f aca="false">SUMIFS('Spot Data'!$E$5:$E$651,'Spot Data'!$A$5:$A$651,B197,'Spot Data'!$H$5:$H$651,"YES")</f>
        <v>6250</v>
      </c>
      <c r="D197" s="3" t="n">
        <f aca="false">SUMIFS('Spot Data'!$E$5:$E$651,'Spot Data'!$A$5:$A$651,A197,'Spot Data'!$H$5:$H$651,"YES")</f>
        <v>6225</v>
      </c>
      <c r="E197" s="14" t="n">
        <f aca="false">'Roll Schedule'!B455</f>
        <v>45828</v>
      </c>
      <c r="F197" s="3" t="n">
        <f aca="false">SUMIFS('Futures Data'!$C$5:$C$3471,'Futures Data'!$A$5:$A$3471,B197,'Futures Data'!$B$5:$B$3471,E197)</f>
        <v>6436</v>
      </c>
      <c r="G197" s="3" t="n">
        <f aca="false">SUMIFS('Futures Data'!$C$5:$C$3471,'Futures Data'!$A$5:$A$3471,A197,'Futures Data'!$B$5:$B$3471,E197)</f>
        <v>6382</v>
      </c>
      <c r="H197" s="13" t="n">
        <f aca="false">LN(D197/C197)</f>
        <v>-0.00400802139753882</v>
      </c>
      <c r="I197" s="13" t="n">
        <f aca="false">LN(G197/F197)</f>
        <v>-0.00842570127408505</v>
      </c>
      <c r="J197" s="3" t="str">
        <f aca="false">IF(A197&lt;='Results &amp; Charts'!$C$5,"In-sample","Out-of-sample")</f>
        <v>In-sample</v>
      </c>
      <c r="K197" s="13" t="n">
        <f aca="false">H197-'Results &amp; Charts'!$C$9*I197</f>
        <v>0.0011617140783424</v>
      </c>
      <c r="L197" s="13" t="n">
        <f aca="false">H197-I197</f>
        <v>0.00441767987654623</v>
      </c>
      <c r="M197" s="15" t="n">
        <v>0.356520992010214</v>
      </c>
      <c r="N197" s="13" t="n">
        <f aca="false">H197-M197*I197</f>
        <v>-0.0010040820209203</v>
      </c>
      <c r="O197" s="16" t="n">
        <f aca="false">'Results &amp; Charts'!$C$9</f>
        <v>0.613567382430444</v>
      </c>
    </row>
    <row r="198" customFormat="false" ht="15" hidden="false" customHeight="false" outlineLevel="0" collapsed="false">
      <c r="A198" s="14" t="n">
        <f aca="false">'Roll Schedule'!A456</f>
        <v>45803</v>
      </c>
      <c r="B198" s="14" t="n">
        <f aca="false">'Roll Schedule'!A455</f>
        <v>45800</v>
      </c>
      <c r="C198" s="3" t="n">
        <f aca="false">SUMIFS('Spot Data'!$E$5:$E$651,'Spot Data'!$A$5:$A$651,B198,'Spot Data'!$H$5:$H$651,"YES")</f>
        <v>6225</v>
      </c>
      <c r="D198" s="3" t="n">
        <f aca="false">SUMIFS('Spot Data'!$E$5:$E$651,'Spot Data'!$A$5:$A$651,A198,'Spot Data'!$H$5:$H$651,"YES")</f>
        <v>6175</v>
      </c>
      <c r="E198" s="14" t="n">
        <f aca="false">'Roll Schedule'!B456</f>
        <v>45828</v>
      </c>
      <c r="F198" s="3" t="n">
        <f aca="false">SUMIFS('Futures Data'!$C$5:$C$3471,'Futures Data'!$A$5:$A$3471,B198,'Futures Data'!$B$5:$B$3471,E198)</f>
        <v>6382</v>
      </c>
      <c r="G198" s="3" t="n">
        <f aca="false">SUMIFS('Futures Data'!$C$5:$C$3471,'Futures Data'!$A$5:$A$3471,A198,'Futures Data'!$B$5:$B$3471,E198)</f>
        <v>6402</v>
      </c>
      <c r="H198" s="13" t="n">
        <f aca="false">LN(D198/C198)</f>
        <v>-0.00806455983673041</v>
      </c>
      <c r="I198" s="13" t="n">
        <f aca="false">LN(G198/F198)</f>
        <v>0.00312891369161949</v>
      </c>
      <c r="J198" s="3" t="str">
        <f aca="false">IF(A198&lt;='Results &amp; Charts'!$C$5,"In-sample","Out-of-sample")</f>
        <v>In-sample</v>
      </c>
      <c r="K198" s="13" t="n">
        <f aca="false">H198-'Results &amp; Charts'!$C$9*I198</f>
        <v>-0.00998435922034816</v>
      </c>
      <c r="L198" s="13" t="n">
        <f aca="false">H198-I198</f>
        <v>-0.0111934735283499</v>
      </c>
      <c r="M198" s="15" t="n">
        <v>0.348004876414081</v>
      </c>
      <c r="N198" s="13" t="n">
        <f aca="false">H198-M198*I198</f>
        <v>-0.00915343705929278</v>
      </c>
      <c r="O198" s="16" t="n">
        <f aca="false">'Results &amp; Charts'!$C$9</f>
        <v>0.613567382430444</v>
      </c>
    </row>
    <row r="199" customFormat="false" ht="15" hidden="false" customHeight="false" outlineLevel="0" collapsed="false">
      <c r="A199" s="14" t="n">
        <f aca="false">'Roll Schedule'!A457</f>
        <v>45804</v>
      </c>
      <c r="B199" s="14" t="n">
        <f aca="false">'Roll Schedule'!A456</f>
        <v>45803</v>
      </c>
      <c r="C199" s="3" t="n">
        <f aca="false">SUMIFS('Spot Data'!$E$5:$E$651,'Spot Data'!$A$5:$A$651,B199,'Spot Data'!$H$5:$H$651,"YES")</f>
        <v>6175</v>
      </c>
      <c r="D199" s="3" t="n">
        <f aca="false">SUMIFS('Spot Data'!$E$5:$E$651,'Spot Data'!$A$5:$A$651,A199,'Spot Data'!$H$5:$H$651,"YES")</f>
        <v>6200</v>
      </c>
      <c r="E199" s="14" t="n">
        <f aca="false">'Roll Schedule'!B457</f>
        <v>45828</v>
      </c>
      <c r="F199" s="3" t="n">
        <f aca="false">SUMIFS('Futures Data'!$C$5:$C$3471,'Futures Data'!$A$5:$A$3471,B199,'Futures Data'!$B$5:$B$3471,E199)</f>
        <v>6402</v>
      </c>
      <c r="G199" s="3" t="n">
        <f aca="false">SUMIFS('Futures Data'!$C$5:$C$3471,'Futures Data'!$A$5:$A$3471,A199,'Futures Data'!$B$5:$B$3471,E199)</f>
        <v>6382</v>
      </c>
      <c r="H199" s="13" t="n">
        <f aca="false">LN(D199/C199)</f>
        <v>0.00404040953700491</v>
      </c>
      <c r="I199" s="13" t="n">
        <f aca="false">LN(G199/F199)</f>
        <v>-0.00312891369161958</v>
      </c>
      <c r="J199" s="3" t="str">
        <f aca="false">IF(A199&lt;='Results &amp; Charts'!$C$5,"In-sample","Out-of-sample")</f>
        <v>In-sample</v>
      </c>
      <c r="K199" s="13" t="n">
        <f aca="false">H199-'Results &amp; Charts'!$C$9*I199</f>
        <v>0.00596020892062271</v>
      </c>
      <c r="L199" s="13" t="n">
        <f aca="false">H199-I199</f>
        <v>0.00716932322862448</v>
      </c>
      <c r="M199" s="15" t="n">
        <v>0.357942643436915</v>
      </c>
      <c r="N199" s="13" t="n">
        <f aca="false">H199-M199*I199</f>
        <v>0.00516038117486917</v>
      </c>
      <c r="O199" s="16" t="n">
        <f aca="false">'Results &amp; Charts'!$C$9</f>
        <v>0.613567382430444</v>
      </c>
    </row>
    <row r="200" customFormat="false" ht="15" hidden="false" customHeight="false" outlineLevel="0" collapsed="false">
      <c r="A200" s="14" t="n">
        <f aca="false">'Roll Schedule'!A458</f>
        <v>45805</v>
      </c>
      <c r="B200" s="14" t="n">
        <f aca="false">'Roll Schedule'!A457</f>
        <v>45804</v>
      </c>
      <c r="C200" s="3" t="n">
        <f aca="false">SUMIFS('Spot Data'!$E$5:$E$651,'Spot Data'!$A$5:$A$651,B200,'Spot Data'!$H$5:$H$651,"YES")</f>
        <v>6200</v>
      </c>
      <c r="D200" s="3" t="n">
        <f aca="false">SUMIFS('Spot Data'!$E$5:$E$651,'Spot Data'!$A$5:$A$651,A200,'Spot Data'!$H$5:$H$651,"YES")</f>
        <v>6225</v>
      </c>
      <c r="E200" s="14" t="n">
        <f aca="false">'Roll Schedule'!B458</f>
        <v>45828</v>
      </c>
      <c r="F200" s="3" t="n">
        <f aca="false">SUMIFS('Futures Data'!$C$5:$C$3471,'Futures Data'!$A$5:$A$3471,B200,'Futures Data'!$B$5:$B$3471,E200)</f>
        <v>6382</v>
      </c>
      <c r="G200" s="3" t="n">
        <f aca="false">SUMIFS('Futures Data'!$C$5:$C$3471,'Futures Data'!$A$5:$A$3471,A200,'Futures Data'!$B$5:$B$3471,E200)</f>
        <v>6373</v>
      </c>
      <c r="H200" s="13" t="n">
        <f aca="false">LN(D200/C200)</f>
        <v>0.00402415029972555</v>
      </c>
      <c r="I200" s="13" t="n">
        <f aca="false">LN(G200/F200)</f>
        <v>-0.00141121152389468</v>
      </c>
      <c r="J200" s="3" t="str">
        <f aca="false">IF(A200&lt;='Results &amp; Charts'!$C$5,"In-sample","Out-of-sample")</f>
        <v>In-sample</v>
      </c>
      <c r="K200" s="13" t="n">
        <f aca="false">H200-'Results &amp; Charts'!$C$9*I200</f>
        <v>0.00489002366049729</v>
      </c>
      <c r="L200" s="13" t="n">
        <f aca="false">H200-I200</f>
        <v>0.00543536182362023</v>
      </c>
      <c r="M200" s="15" t="n">
        <v>0.374300323939184</v>
      </c>
      <c r="N200" s="13" t="n">
        <f aca="false">H200-M200*I200</f>
        <v>0.00455236723026604</v>
      </c>
      <c r="O200" s="16" t="n">
        <f aca="false">'Results &amp; Charts'!$C$9</f>
        <v>0.613567382430444</v>
      </c>
    </row>
    <row r="201" customFormat="false" ht="15" hidden="false" customHeight="false" outlineLevel="0" collapsed="false">
      <c r="A201" s="14" t="n">
        <f aca="false">'Roll Schedule'!A459</f>
        <v>45806</v>
      </c>
      <c r="B201" s="14" t="n">
        <f aca="false">'Roll Schedule'!A458</f>
        <v>45805</v>
      </c>
      <c r="C201" s="3" t="n">
        <f aca="false">SUMIFS('Spot Data'!$E$5:$E$651,'Spot Data'!$A$5:$A$651,B201,'Spot Data'!$H$5:$H$651,"YES")</f>
        <v>6225</v>
      </c>
      <c r="D201" s="3" t="n">
        <f aca="false">SUMIFS('Spot Data'!$E$5:$E$651,'Spot Data'!$A$5:$A$651,A201,'Spot Data'!$H$5:$H$651,"YES")</f>
        <v>6275</v>
      </c>
      <c r="E201" s="14" t="n">
        <f aca="false">'Roll Schedule'!B459</f>
        <v>45828</v>
      </c>
      <c r="F201" s="3" t="n">
        <f aca="false">SUMIFS('Futures Data'!$C$5:$C$3471,'Futures Data'!$A$5:$A$3471,B201,'Futures Data'!$B$5:$B$3471,E201)</f>
        <v>6373</v>
      </c>
      <c r="G201" s="3" t="n">
        <f aca="false">SUMIFS('Futures Data'!$C$5:$C$3471,'Futures Data'!$A$5:$A$3471,A201,'Futures Data'!$B$5:$B$3471,E201)</f>
        <v>6404</v>
      </c>
      <c r="H201" s="13" t="n">
        <f aca="false">LN(D201/C201)</f>
        <v>0.00800004266707637</v>
      </c>
      <c r="I201" s="13" t="n">
        <f aca="false">LN(G201/F201)</f>
        <v>0.00485247880231112</v>
      </c>
      <c r="J201" s="3" t="str">
        <f aca="false">IF(A201&lt;='Results &amp; Charts'!$C$5,"In-sample","Out-of-sample")</f>
        <v>In-sample</v>
      </c>
      <c r="K201" s="13" t="n">
        <f aca="false">H201-'Results &amp; Charts'!$C$9*I201</f>
        <v>0.00502271995004312</v>
      </c>
      <c r="L201" s="13" t="n">
        <f aca="false">H201-I201</f>
        <v>0.00314756386476526</v>
      </c>
      <c r="M201" s="15" t="n">
        <v>0.397484472521629</v>
      </c>
      <c r="N201" s="13" t="n">
        <f aca="false">H201-M201*I201</f>
        <v>0.00607125768991735</v>
      </c>
      <c r="O201" s="16" t="n">
        <f aca="false">'Results &amp; Charts'!$C$9</f>
        <v>0.613567382430444</v>
      </c>
    </row>
    <row r="202" customFormat="false" ht="15" hidden="false" customHeight="false" outlineLevel="0" collapsed="false">
      <c r="A202" s="14" t="n">
        <f aca="false">'Roll Schedule'!A460</f>
        <v>45807</v>
      </c>
      <c r="B202" s="14" t="n">
        <f aca="false">'Roll Schedule'!A459</f>
        <v>45806</v>
      </c>
      <c r="C202" s="3" t="n">
        <f aca="false">SUMIFS('Spot Data'!$E$5:$E$651,'Spot Data'!$A$5:$A$651,B202,'Spot Data'!$H$5:$H$651,"YES")</f>
        <v>6275</v>
      </c>
      <c r="D202" s="3" t="n">
        <f aca="false">SUMIFS('Spot Data'!$E$5:$E$651,'Spot Data'!$A$5:$A$651,A202,'Spot Data'!$H$5:$H$651,"YES")</f>
        <v>6175</v>
      </c>
      <c r="E202" s="14" t="n">
        <f aca="false">'Roll Schedule'!B460</f>
        <v>45828</v>
      </c>
      <c r="F202" s="3" t="n">
        <f aca="false">SUMIFS('Futures Data'!$C$5:$C$3471,'Futures Data'!$A$5:$A$3471,B202,'Futures Data'!$B$5:$B$3471,E202)</f>
        <v>6404</v>
      </c>
      <c r="G202" s="3" t="n">
        <f aca="false">SUMIFS('Futures Data'!$C$5:$C$3471,'Futures Data'!$A$5:$A$3471,A202,'Futures Data'!$B$5:$B$3471,E202)</f>
        <v>6377</v>
      </c>
      <c r="H202" s="13" t="n">
        <f aca="false">LN(D202/C202)</f>
        <v>-0.0160646025038067</v>
      </c>
      <c r="I202" s="13" t="n">
        <f aca="false">LN(G202/F202)</f>
        <v>-0.00422502780133365</v>
      </c>
      <c r="J202" s="3" t="str">
        <f aca="false">IF(A202&lt;='Results &amp; Charts'!$C$5,"In-sample","Out-of-sample")</f>
        <v>In-sample</v>
      </c>
      <c r="K202" s="13" t="n">
        <f aca="false">H202-'Results &amp; Charts'!$C$9*I202</f>
        <v>-0.0134722632550465</v>
      </c>
      <c r="L202" s="13" t="n">
        <f aca="false">H202-I202</f>
        <v>-0.011839574702473</v>
      </c>
      <c r="M202" s="15" t="n">
        <v>0.414397653814423</v>
      </c>
      <c r="N202" s="13" t="n">
        <f aca="false">H202-M202*I202</f>
        <v>-0.0143137608956333</v>
      </c>
      <c r="O202" s="16" t="n">
        <f aca="false">'Results &amp; Charts'!$C$9</f>
        <v>0.613567382430444</v>
      </c>
    </row>
    <row r="203" customFormat="false" ht="15" hidden="false" customHeight="false" outlineLevel="0" collapsed="false">
      <c r="A203" s="14" t="n">
        <f aca="false">'Roll Schedule'!A461</f>
        <v>45810</v>
      </c>
      <c r="B203" s="14" t="n">
        <f aca="false">'Roll Schedule'!A460</f>
        <v>45807</v>
      </c>
      <c r="C203" s="3" t="n">
        <f aca="false">SUMIFS('Spot Data'!$E$5:$E$651,'Spot Data'!$A$5:$A$651,B203,'Spot Data'!$H$5:$H$651,"YES")</f>
        <v>6175</v>
      </c>
      <c r="D203" s="3" t="n">
        <f aca="false">SUMIFS('Spot Data'!$E$5:$E$651,'Spot Data'!$A$5:$A$651,A203,'Spot Data'!$H$5:$H$651,"YES")</f>
        <v>6175</v>
      </c>
      <c r="E203" s="14" t="n">
        <f aca="false">'Roll Schedule'!B461</f>
        <v>45828</v>
      </c>
      <c r="F203" s="3" t="n">
        <f aca="false">SUMIFS('Futures Data'!$C$5:$C$3471,'Futures Data'!$A$5:$A$3471,B203,'Futures Data'!$B$5:$B$3471,E203)</f>
        <v>6377</v>
      </c>
      <c r="G203" s="3" t="n">
        <f aca="false">SUMIFS('Futures Data'!$C$5:$C$3471,'Futures Data'!$A$5:$A$3471,A203,'Futures Data'!$B$5:$B$3471,E203)</f>
        <v>6366</v>
      </c>
      <c r="H203" s="13" t="n">
        <f aca="false">LN(D203/C203)</f>
        <v>0</v>
      </c>
      <c r="I203" s="13" t="n">
        <f aca="false">LN(G203/F203)</f>
        <v>-0.00172643847323354</v>
      </c>
      <c r="J203" s="3" t="str">
        <f aca="false">IF(A203&lt;='Results &amp; Charts'!$C$5,"In-sample","Out-of-sample")</f>
        <v>In-sample</v>
      </c>
      <c r="K203" s="13" t="n">
        <f aca="false">H203-'Results &amp; Charts'!$C$9*I203</f>
        <v>0.00105928633494911</v>
      </c>
      <c r="L203" s="13" t="n">
        <f aca="false">H203-I203</f>
        <v>0.00172643847323354</v>
      </c>
      <c r="M203" s="15" t="n">
        <v>0.449002494060632</v>
      </c>
      <c r="N203" s="13" t="n">
        <f aca="false">H203-M203*I203</f>
        <v>0.000775175180324088</v>
      </c>
      <c r="O203" s="16" t="n">
        <f aca="false">'Results &amp; Charts'!$C$9</f>
        <v>0.613567382430444</v>
      </c>
    </row>
    <row r="204" customFormat="false" ht="15" hidden="false" customHeight="false" outlineLevel="0" collapsed="false">
      <c r="A204" s="14" t="n">
        <f aca="false">'Roll Schedule'!A462</f>
        <v>45811</v>
      </c>
      <c r="B204" s="14" t="n">
        <f aca="false">'Roll Schedule'!A461</f>
        <v>45810</v>
      </c>
      <c r="C204" s="3" t="n">
        <f aca="false">SUMIFS('Spot Data'!$E$5:$E$651,'Spot Data'!$A$5:$A$651,B204,'Spot Data'!$H$5:$H$651,"YES")</f>
        <v>6175</v>
      </c>
      <c r="D204" s="3" t="n">
        <f aca="false">SUMIFS('Spot Data'!$E$5:$E$651,'Spot Data'!$A$5:$A$651,A204,'Spot Data'!$H$5:$H$651,"YES")</f>
        <v>6175</v>
      </c>
      <c r="E204" s="14" t="n">
        <f aca="false">'Roll Schedule'!B462</f>
        <v>45828</v>
      </c>
      <c r="F204" s="3" t="n">
        <f aca="false">SUMIFS('Futures Data'!$C$5:$C$3471,'Futures Data'!$A$5:$A$3471,B204,'Futures Data'!$B$5:$B$3471,E204)</f>
        <v>6366</v>
      </c>
      <c r="G204" s="3" t="n">
        <f aca="false">SUMIFS('Futures Data'!$C$5:$C$3471,'Futures Data'!$A$5:$A$3471,A204,'Futures Data'!$B$5:$B$3471,E204)</f>
        <v>6350</v>
      </c>
      <c r="H204" s="13" t="n">
        <f aca="false">LN(D204/C204)</f>
        <v>0</v>
      </c>
      <c r="I204" s="13" t="n">
        <f aca="false">LN(G204/F204)</f>
        <v>-0.0025165159553008</v>
      </c>
      <c r="J204" s="3" t="str">
        <f aca="false">IF(A204&lt;='Results &amp; Charts'!$C$5,"In-sample","Out-of-sample")</f>
        <v>In-sample</v>
      </c>
      <c r="K204" s="13" t="n">
        <f aca="false">H204-'Results &amp; Charts'!$C$9*I204</f>
        <v>0.00154405210753836</v>
      </c>
      <c r="L204" s="13" t="n">
        <f aca="false">H204-I204</f>
        <v>0.0025165159553008</v>
      </c>
      <c r="M204" s="15" t="n">
        <v>0.471143066548031</v>
      </c>
      <c r="N204" s="13" t="n">
        <f aca="false">H204-M204*I204</f>
        <v>0.00118563904419747</v>
      </c>
      <c r="O204" s="16" t="n">
        <f aca="false">'Results &amp; Charts'!$C$9</f>
        <v>0.613567382430444</v>
      </c>
    </row>
    <row r="205" customFormat="false" ht="15" hidden="false" customHeight="false" outlineLevel="0" collapsed="false">
      <c r="A205" s="14" t="n">
        <f aca="false">'Roll Schedule'!A463</f>
        <v>45812</v>
      </c>
      <c r="B205" s="14" t="n">
        <f aca="false">'Roll Schedule'!A462</f>
        <v>45811</v>
      </c>
      <c r="C205" s="3" t="n">
        <f aca="false">SUMIFS('Spot Data'!$E$5:$E$651,'Spot Data'!$A$5:$A$651,B205,'Spot Data'!$H$5:$H$651,"YES")</f>
        <v>6175</v>
      </c>
      <c r="D205" s="3" t="n">
        <f aca="false">SUMIFS('Spot Data'!$E$5:$E$651,'Spot Data'!$A$5:$A$651,A205,'Spot Data'!$H$5:$H$651,"YES")</f>
        <v>6250</v>
      </c>
      <c r="E205" s="14" t="n">
        <f aca="false">'Roll Schedule'!B463</f>
        <v>45828</v>
      </c>
      <c r="F205" s="3" t="n">
        <f aca="false">SUMIFS('Futures Data'!$C$5:$C$3471,'Futures Data'!$A$5:$A$3471,B205,'Futures Data'!$B$5:$B$3471,E205)</f>
        <v>6350</v>
      </c>
      <c r="G205" s="3" t="n">
        <f aca="false">SUMIFS('Futures Data'!$C$5:$C$3471,'Futures Data'!$A$5:$A$3471,A205,'Futures Data'!$B$5:$B$3471,E205)</f>
        <v>6392</v>
      </c>
      <c r="H205" s="13" t="n">
        <f aca="false">LN(D205/C205)</f>
        <v>0.0120725812342692</v>
      </c>
      <c r="I205" s="13" t="n">
        <f aca="false">LN(G205/F205)</f>
        <v>0.00659239555937326</v>
      </c>
      <c r="J205" s="3" t="str">
        <f aca="false">IF(A205&lt;='Results &amp; Charts'!$C$5,"In-sample","Out-of-sample")</f>
        <v>In-sample</v>
      </c>
      <c r="K205" s="13" t="n">
        <f aca="false">H205-'Results &amp; Charts'!$C$9*I205</f>
        <v>0.0080277023469585</v>
      </c>
      <c r="L205" s="13" t="n">
        <f aca="false">H205-I205</f>
        <v>0.00548018567489598</v>
      </c>
      <c r="M205" s="15" t="n">
        <v>0.487405285043661</v>
      </c>
      <c r="N205" s="13" t="n">
        <f aca="false">H205-M205*I205</f>
        <v>0.00885941279753235</v>
      </c>
      <c r="O205" s="16" t="n">
        <f aca="false">'Results &amp; Charts'!$C$9</f>
        <v>0.613567382430444</v>
      </c>
    </row>
    <row r="206" customFormat="false" ht="15" hidden="false" customHeight="false" outlineLevel="0" collapsed="false">
      <c r="A206" s="14" t="n">
        <f aca="false">'Roll Schedule'!A464</f>
        <v>45813</v>
      </c>
      <c r="B206" s="14" t="n">
        <f aca="false">'Roll Schedule'!A463</f>
        <v>45812</v>
      </c>
      <c r="C206" s="3" t="n">
        <f aca="false">SUMIFS('Spot Data'!$E$5:$E$651,'Spot Data'!$A$5:$A$651,B206,'Spot Data'!$H$5:$H$651,"YES")</f>
        <v>6250</v>
      </c>
      <c r="D206" s="3" t="n">
        <f aca="false">SUMIFS('Spot Data'!$E$5:$E$651,'Spot Data'!$A$5:$A$651,A206,'Spot Data'!$H$5:$H$651,"YES")</f>
        <v>6275</v>
      </c>
      <c r="E206" s="14" t="n">
        <f aca="false">'Roll Schedule'!B464</f>
        <v>45856</v>
      </c>
      <c r="F206" s="3" t="n">
        <f aca="false">SUMIFS('Futures Data'!$C$5:$C$3471,'Futures Data'!$A$5:$A$3471,B206,'Futures Data'!$B$5:$B$3471,E206)</f>
        <v>6470</v>
      </c>
      <c r="G206" s="3" t="n">
        <f aca="false">SUMIFS('Futures Data'!$C$5:$C$3471,'Futures Data'!$A$5:$A$3471,A206,'Futures Data'!$B$5:$B$3471,E206)</f>
        <v>6464</v>
      </c>
      <c r="H206" s="13" t="n">
        <f aca="false">LN(D206/C206)</f>
        <v>0.00399202126953746</v>
      </c>
      <c r="I206" s="13" t="n">
        <f aca="false">LN(G206/F206)</f>
        <v>-0.000927787294014944</v>
      </c>
      <c r="J206" s="3" t="str">
        <f aca="false">IF(A206&lt;='Results &amp; Charts'!$C$5,"In-sample","Out-of-sample")</f>
        <v>In-sample</v>
      </c>
      <c r="K206" s="13" t="n">
        <f aca="false">H206-'Results &amp; Charts'!$C$9*I206</f>
        <v>0.00456128129097843</v>
      </c>
      <c r="L206" s="13" t="n">
        <f aca="false">H206-I206</f>
        <v>0.0049198085635524</v>
      </c>
      <c r="M206" s="15" t="n">
        <v>0.487222617409624</v>
      </c>
      <c r="N206" s="13" t="n">
        <f aca="false">H206-M206*I206</f>
        <v>0.00444406022332681</v>
      </c>
      <c r="O206" s="16" t="n">
        <f aca="false">'Results &amp; Charts'!$C$9</f>
        <v>0.613567382430444</v>
      </c>
    </row>
    <row r="207" customFormat="false" ht="15" hidden="false" customHeight="false" outlineLevel="0" collapsed="false">
      <c r="A207" s="14" t="n">
        <f aca="false">'Roll Schedule'!A465</f>
        <v>45814</v>
      </c>
      <c r="B207" s="14" t="n">
        <f aca="false">'Roll Schedule'!A464</f>
        <v>45813</v>
      </c>
      <c r="C207" s="3" t="n">
        <f aca="false">SUMIFS('Spot Data'!$E$5:$E$651,'Spot Data'!$A$5:$A$651,B207,'Spot Data'!$H$5:$H$651,"YES")</f>
        <v>6275</v>
      </c>
      <c r="D207" s="3" t="n">
        <f aca="false">SUMIFS('Spot Data'!$E$5:$E$651,'Spot Data'!$A$5:$A$651,A207,'Spot Data'!$H$5:$H$651,"YES")</f>
        <v>6300</v>
      </c>
      <c r="E207" s="14" t="n">
        <f aca="false">'Roll Schedule'!B465</f>
        <v>45856</v>
      </c>
      <c r="F207" s="3" t="n">
        <f aca="false">SUMIFS('Futures Data'!$C$5:$C$3471,'Futures Data'!$A$5:$A$3471,B207,'Futures Data'!$B$5:$B$3471,E207)</f>
        <v>6464</v>
      </c>
      <c r="G207" s="3" t="n">
        <f aca="false">SUMIFS('Futures Data'!$C$5:$C$3471,'Futures Data'!$A$5:$A$3471,A207,'Futures Data'!$B$5:$B$3471,E207)</f>
        <v>6464</v>
      </c>
      <c r="H207" s="13" t="n">
        <f aca="false">LN(D207/C207)</f>
        <v>0.00397614837963942</v>
      </c>
      <c r="I207" s="13" t="n">
        <f aca="false">LN(G207/F207)</f>
        <v>0</v>
      </c>
      <c r="J207" s="3" t="str">
        <f aca="false">IF(A207&lt;='Results &amp; Charts'!$C$5,"In-sample","Out-of-sample")</f>
        <v>In-sample</v>
      </c>
      <c r="K207" s="13" t="n">
        <f aca="false">H207-'Results &amp; Charts'!$C$9*I207</f>
        <v>0.00397614837963942</v>
      </c>
      <c r="L207" s="13" t="n">
        <f aca="false">H207-I207</f>
        <v>0.00397614837963942</v>
      </c>
      <c r="M207" s="15" t="n">
        <v>0.509776801611602</v>
      </c>
      <c r="N207" s="13" t="n">
        <f aca="false">H207-M207*I207</f>
        <v>0.00397614837963942</v>
      </c>
      <c r="O207" s="16" t="n">
        <f aca="false">'Results &amp; Charts'!$C$9</f>
        <v>0.613567382430444</v>
      </c>
    </row>
    <row r="208" customFormat="false" ht="15" hidden="false" customHeight="false" outlineLevel="0" collapsed="false">
      <c r="A208" s="14" t="n">
        <f aca="false">'Roll Schedule'!A466</f>
        <v>45817</v>
      </c>
      <c r="B208" s="14" t="n">
        <f aca="false">'Roll Schedule'!A465</f>
        <v>45814</v>
      </c>
      <c r="C208" s="3" t="n">
        <f aca="false">SUMIFS('Spot Data'!$E$5:$E$651,'Spot Data'!$A$5:$A$651,B208,'Spot Data'!$H$5:$H$651,"YES")</f>
        <v>6300</v>
      </c>
      <c r="D208" s="3" t="n">
        <f aca="false">SUMIFS('Spot Data'!$E$5:$E$651,'Spot Data'!$A$5:$A$651,A208,'Spot Data'!$H$5:$H$651,"YES")</f>
        <v>6400</v>
      </c>
      <c r="E208" s="14" t="n">
        <f aca="false">'Roll Schedule'!B466</f>
        <v>45856</v>
      </c>
      <c r="F208" s="3" t="n">
        <f aca="false">SUMIFS('Futures Data'!$C$5:$C$3471,'Futures Data'!$A$5:$A$3471,B208,'Futures Data'!$B$5:$B$3471,E208)</f>
        <v>6464</v>
      </c>
      <c r="G208" s="3" t="n">
        <f aca="false">SUMIFS('Futures Data'!$C$5:$C$3471,'Futures Data'!$A$5:$A$3471,A208,'Futures Data'!$B$5:$B$3471,E208)</f>
        <v>6528</v>
      </c>
      <c r="H208" s="13" t="n">
        <f aca="false">LN(D208/C208)</f>
        <v>0.0157483569681391</v>
      </c>
      <c r="I208" s="13" t="n">
        <f aca="false">LN(G208/F208)</f>
        <v>0.00985229644301164</v>
      </c>
      <c r="J208" s="3" t="str">
        <f aca="false">IF(A208&lt;='Results &amp; Charts'!$C$5,"In-sample","Out-of-sample")</f>
        <v>In-sample</v>
      </c>
      <c r="K208" s="13" t="n">
        <f aca="false">H208-'Results &amp; Charts'!$C$9*I208</f>
        <v>0.00970330922867168</v>
      </c>
      <c r="L208" s="13" t="n">
        <f aca="false">H208-I208</f>
        <v>0.00589606052512747</v>
      </c>
      <c r="M208" s="15" t="n">
        <v>0.532106413278122</v>
      </c>
      <c r="N208" s="13" t="n">
        <f aca="false">H208-M208*I208</f>
        <v>0.0105058868452954</v>
      </c>
      <c r="O208" s="16" t="n">
        <f aca="false">'Results &amp; Charts'!$C$9</f>
        <v>0.613567382430444</v>
      </c>
    </row>
    <row r="209" customFormat="false" ht="15" hidden="false" customHeight="false" outlineLevel="0" collapsed="false">
      <c r="A209" s="14" t="n">
        <f aca="false">'Roll Schedule'!A467</f>
        <v>45818</v>
      </c>
      <c r="B209" s="14" t="n">
        <f aca="false">'Roll Schedule'!A466</f>
        <v>45817</v>
      </c>
      <c r="C209" s="3" t="n">
        <f aca="false">SUMIFS('Spot Data'!$E$5:$E$651,'Spot Data'!$A$5:$A$651,B209,'Spot Data'!$H$5:$H$651,"YES")</f>
        <v>6400</v>
      </c>
      <c r="D209" s="3" t="n">
        <f aca="false">SUMIFS('Spot Data'!$E$5:$E$651,'Spot Data'!$A$5:$A$651,A209,'Spot Data'!$H$5:$H$651,"YES")</f>
        <v>6450</v>
      </c>
      <c r="E209" s="14" t="n">
        <f aca="false">'Roll Schedule'!B467</f>
        <v>45856</v>
      </c>
      <c r="F209" s="3" t="n">
        <f aca="false">SUMIFS('Futures Data'!$C$5:$C$3471,'Futures Data'!$A$5:$A$3471,B209,'Futures Data'!$B$5:$B$3471,E209)</f>
        <v>6528</v>
      </c>
      <c r="G209" s="3" t="n">
        <f aca="false">SUMIFS('Futures Data'!$C$5:$C$3471,'Futures Data'!$A$5:$A$3471,A209,'Futures Data'!$B$5:$B$3471,E209)</f>
        <v>6637</v>
      </c>
      <c r="H209" s="13" t="n">
        <f aca="false">LN(D209/C209)</f>
        <v>0.00778214044205495</v>
      </c>
      <c r="I209" s="13" t="n">
        <f aca="false">LN(G209/F209)</f>
        <v>0.0165594365019819</v>
      </c>
      <c r="J209" s="3" t="str">
        <f aca="false">IF(A209&lt;='Results &amp; Charts'!$C$5,"In-sample","Out-of-sample")</f>
        <v>In-sample</v>
      </c>
      <c r="K209" s="13" t="n">
        <f aca="false">H209-'Results &amp; Charts'!$C$9*I209</f>
        <v>-0.00237818966698927</v>
      </c>
      <c r="L209" s="13" t="n">
        <f aca="false">H209-I209</f>
        <v>-0.00877729605992699</v>
      </c>
      <c r="M209" s="15" t="n">
        <v>0.491512281127963</v>
      </c>
      <c r="N209" s="13" t="n">
        <f aca="false">H209-M209*I209</f>
        <v>-0.000357025967227846</v>
      </c>
      <c r="O209" s="16" t="n">
        <f aca="false">'Results &amp; Charts'!$C$9</f>
        <v>0.613567382430444</v>
      </c>
    </row>
    <row r="210" customFormat="false" ht="15" hidden="false" customHeight="false" outlineLevel="0" collapsed="false">
      <c r="A210" s="14" t="n">
        <f aca="false">'Roll Schedule'!A468</f>
        <v>45819</v>
      </c>
      <c r="B210" s="14" t="n">
        <f aca="false">'Roll Schedule'!A467</f>
        <v>45818</v>
      </c>
      <c r="C210" s="3" t="n">
        <f aca="false">SUMIFS('Spot Data'!$E$5:$E$651,'Spot Data'!$A$5:$A$651,B210,'Spot Data'!$H$5:$H$651,"YES")</f>
        <v>6450</v>
      </c>
      <c r="D210" s="3" t="n">
        <f aca="false">SUMIFS('Spot Data'!$E$5:$E$651,'Spot Data'!$A$5:$A$651,A210,'Spot Data'!$H$5:$H$651,"YES")</f>
        <v>6425</v>
      </c>
      <c r="E210" s="14" t="n">
        <f aca="false">'Roll Schedule'!B468</f>
        <v>45856</v>
      </c>
      <c r="F210" s="3" t="n">
        <f aca="false">SUMIFS('Futures Data'!$C$5:$C$3471,'Futures Data'!$A$5:$A$3471,B210,'Futures Data'!$B$5:$B$3471,E210)</f>
        <v>6637</v>
      </c>
      <c r="G210" s="3" t="n">
        <f aca="false">SUMIFS('Futures Data'!$C$5:$C$3471,'Futures Data'!$A$5:$A$3471,A210,'Futures Data'!$B$5:$B$3471,E210)</f>
        <v>6649</v>
      </c>
      <c r="H210" s="13" t="n">
        <f aca="false">LN(D210/C210)</f>
        <v>-0.00388350002639763</v>
      </c>
      <c r="I210" s="13" t="n">
        <f aca="false">LN(G210/F210)</f>
        <v>0.00180641325652994</v>
      </c>
      <c r="J210" s="3" t="str">
        <f aca="false">IF(A210&lt;='Results &amp; Charts'!$C$5,"In-sample","Out-of-sample")</f>
        <v>In-sample</v>
      </c>
      <c r="K210" s="13" t="n">
        <f aca="false">H210-'Results &amp; Charts'!$C$9*I210</f>
        <v>-0.00499185627979436</v>
      </c>
      <c r="L210" s="13" t="n">
        <f aca="false">H210-I210</f>
        <v>-0.00568991328292757</v>
      </c>
      <c r="M210" s="15" t="n">
        <v>0.347428948005355</v>
      </c>
      <c r="N210" s="13" t="n">
        <f aca="false">H210-M210*I210</f>
        <v>-0.00451110028377676</v>
      </c>
      <c r="O210" s="16" t="n">
        <f aca="false">'Results &amp; Charts'!$C$9</f>
        <v>0.613567382430444</v>
      </c>
    </row>
    <row r="211" customFormat="false" ht="15" hidden="false" customHeight="false" outlineLevel="0" collapsed="false">
      <c r="A211" s="14" t="n">
        <f aca="false">'Roll Schedule'!A469</f>
        <v>45820</v>
      </c>
      <c r="B211" s="14" t="n">
        <f aca="false">'Roll Schedule'!A468</f>
        <v>45819</v>
      </c>
      <c r="C211" s="3" t="n">
        <f aca="false">SUMIFS('Spot Data'!$E$5:$E$651,'Spot Data'!$A$5:$A$651,B211,'Spot Data'!$H$5:$H$651,"YES")</f>
        <v>6425</v>
      </c>
      <c r="D211" s="3" t="n">
        <f aca="false">SUMIFS('Spot Data'!$E$5:$E$651,'Spot Data'!$A$5:$A$651,A211,'Spot Data'!$H$5:$H$651,"YES")</f>
        <v>6375</v>
      </c>
      <c r="E211" s="14" t="n">
        <f aca="false">'Roll Schedule'!B469</f>
        <v>45856</v>
      </c>
      <c r="F211" s="3" t="n">
        <f aca="false">SUMIFS('Futures Data'!$C$5:$C$3471,'Futures Data'!$A$5:$A$3471,B211,'Futures Data'!$B$5:$B$3471,E211)</f>
        <v>6649</v>
      </c>
      <c r="G211" s="3" t="n">
        <f aca="false">SUMIFS('Futures Data'!$C$5:$C$3471,'Futures Data'!$A$5:$A$3471,A211,'Futures Data'!$B$5:$B$3471,E211)</f>
        <v>6646</v>
      </c>
      <c r="H211" s="13" t="n">
        <f aca="false">LN(D211/C211)</f>
        <v>-0.00781253973679363</v>
      </c>
      <c r="I211" s="13" t="n">
        <f aca="false">LN(G211/F211)</f>
        <v>-0.000451297487915365</v>
      </c>
      <c r="J211" s="3" t="str">
        <f aca="false">IF(A211&lt;='Results &amp; Charts'!$C$5,"In-sample","Out-of-sample")</f>
        <v>In-sample</v>
      </c>
      <c r="K211" s="13" t="n">
        <f aca="false">H211-'Results &amp; Charts'!$C$9*I211</f>
        <v>-0.00753563831843596</v>
      </c>
      <c r="L211" s="13" t="n">
        <f aca="false">H211-I211</f>
        <v>-0.00736124224887826</v>
      </c>
      <c r="M211" s="15" t="n">
        <v>0.375883321051861</v>
      </c>
      <c r="N211" s="13" t="n">
        <f aca="false">H211-M211*I211</f>
        <v>-0.00764290453825364</v>
      </c>
      <c r="O211" s="16" t="n">
        <f aca="false">'Results &amp; Charts'!$C$9</f>
        <v>0.613567382430444</v>
      </c>
    </row>
    <row r="212" customFormat="false" ht="15" hidden="false" customHeight="false" outlineLevel="0" collapsed="false">
      <c r="A212" s="14" t="n">
        <f aca="false">'Roll Schedule'!A470</f>
        <v>45821</v>
      </c>
      <c r="B212" s="14" t="n">
        <f aca="false">'Roll Schedule'!A469</f>
        <v>45820</v>
      </c>
      <c r="C212" s="3" t="n">
        <f aca="false">SUMIFS('Spot Data'!$E$5:$E$651,'Spot Data'!$A$5:$A$651,B212,'Spot Data'!$H$5:$H$651,"YES")</f>
        <v>6375</v>
      </c>
      <c r="D212" s="3" t="n">
        <f aca="false">SUMIFS('Spot Data'!$E$5:$E$651,'Spot Data'!$A$5:$A$651,A212,'Spot Data'!$H$5:$H$651,"YES")</f>
        <v>6350</v>
      </c>
      <c r="E212" s="14" t="n">
        <f aca="false">'Roll Schedule'!B470</f>
        <v>45856</v>
      </c>
      <c r="F212" s="3" t="n">
        <f aca="false">SUMIFS('Futures Data'!$C$5:$C$3471,'Futures Data'!$A$5:$A$3471,B212,'Futures Data'!$B$5:$B$3471,E212)</f>
        <v>6646</v>
      </c>
      <c r="G212" s="3" t="n">
        <f aca="false">SUMIFS('Futures Data'!$C$5:$C$3471,'Futures Data'!$A$5:$A$3471,A212,'Futures Data'!$B$5:$B$3471,E212)</f>
        <v>6629</v>
      </c>
      <c r="H212" s="13" t="n">
        <f aca="false">LN(D212/C212)</f>
        <v>-0.00392927813988955</v>
      </c>
      <c r="I212" s="13" t="n">
        <f aca="false">LN(G212/F212)</f>
        <v>-0.00256120667314807</v>
      </c>
      <c r="J212" s="3" t="str">
        <f aca="false">IF(A212&lt;='Results &amp; Charts'!$C$5,"In-sample","Out-of-sample")</f>
        <v>In-sample</v>
      </c>
      <c r="K212" s="13" t="n">
        <f aca="false">H212-'Results &amp; Charts'!$C$9*I212</f>
        <v>-0.0023578052655827</v>
      </c>
      <c r="L212" s="13" t="n">
        <f aca="false">H212-I212</f>
        <v>-0.00136807146674148</v>
      </c>
      <c r="M212" s="15" t="n">
        <v>0.409196136400274</v>
      </c>
      <c r="N212" s="13" t="n">
        <f aca="false">H212-M212*I212</f>
        <v>-0.00288124226471476</v>
      </c>
      <c r="O212" s="16" t="n">
        <f aca="false">'Results &amp; Charts'!$C$9</f>
        <v>0.613567382430444</v>
      </c>
    </row>
    <row r="213" customFormat="false" ht="15" hidden="false" customHeight="false" outlineLevel="0" collapsed="false">
      <c r="A213" s="14" t="n">
        <f aca="false">'Roll Schedule'!A471</f>
        <v>45824</v>
      </c>
      <c r="B213" s="14" t="n">
        <f aca="false">'Roll Schedule'!A470</f>
        <v>45821</v>
      </c>
      <c r="C213" s="3" t="n">
        <f aca="false">SUMIFS('Spot Data'!$E$5:$E$651,'Spot Data'!$A$5:$A$651,B213,'Spot Data'!$H$5:$H$651,"YES")</f>
        <v>6350</v>
      </c>
      <c r="D213" s="3" t="n">
        <f aca="false">SUMIFS('Spot Data'!$E$5:$E$651,'Spot Data'!$A$5:$A$651,A213,'Spot Data'!$H$5:$H$651,"YES")</f>
        <v>6500</v>
      </c>
      <c r="E213" s="14" t="n">
        <f aca="false">'Roll Schedule'!B471</f>
        <v>45856</v>
      </c>
      <c r="F213" s="3" t="n">
        <f aca="false">SUMIFS('Futures Data'!$C$5:$C$3471,'Futures Data'!$A$5:$A$3471,B213,'Futures Data'!$B$5:$B$3471,E213)</f>
        <v>6629</v>
      </c>
      <c r="G213" s="3" t="n">
        <f aca="false">SUMIFS('Futures Data'!$C$5:$C$3471,'Futures Data'!$A$5:$A$3471,A213,'Futures Data'!$B$5:$B$3471,E213)</f>
        <v>6703</v>
      </c>
      <c r="H213" s="13" t="n">
        <f aca="false">LN(D213/C213)</f>
        <v>0.0233473639969911</v>
      </c>
      <c r="I213" s="13" t="n">
        <f aca="false">LN(G213/F213)</f>
        <v>0.0111012241165661</v>
      </c>
      <c r="J213" s="3" t="str">
        <f aca="false">IF(A213&lt;='Results &amp; Charts'!$C$5,"In-sample","Out-of-sample")</f>
        <v>In-sample</v>
      </c>
      <c r="K213" s="13" t="n">
        <f aca="false">H213-'Results &amp; Charts'!$C$9*I213</f>
        <v>0.0165360149740159</v>
      </c>
      <c r="L213" s="13" t="n">
        <f aca="false">H213-I213</f>
        <v>0.012246139880425</v>
      </c>
      <c r="M213" s="15" t="n">
        <v>0.440440976632415</v>
      </c>
      <c r="N213" s="13" t="n">
        <f aca="false">H213-M213*I213</f>
        <v>0.0184579300052754</v>
      </c>
      <c r="O213" s="16" t="n">
        <f aca="false">'Results &amp; Charts'!$C$9</f>
        <v>0.613567382430444</v>
      </c>
    </row>
    <row r="214" customFormat="false" ht="15" hidden="false" customHeight="false" outlineLevel="0" collapsed="false">
      <c r="A214" s="14" t="n">
        <f aca="false">'Roll Schedule'!A472</f>
        <v>45825</v>
      </c>
      <c r="B214" s="14" t="n">
        <f aca="false">'Roll Schedule'!A471</f>
        <v>45824</v>
      </c>
      <c r="C214" s="3" t="n">
        <f aca="false">SUMIFS('Spot Data'!$E$5:$E$651,'Spot Data'!$A$5:$A$651,B214,'Spot Data'!$H$5:$H$651,"YES")</f>
        <v>6500</v>
      </c>
      <c r="D214" s="3" t="n">
        <f aca="false">SUMIFS('Spot Data'!$E$5:$E$651,'Spot Data'!$A$5:$A$651,A214,'Spot Data'!$H$5:$H$651,"YES")</f>
        <v>6500</v>
      </c>
      <c r="E214" s="14" t="n">
        <f aca="false">'Roll Schedule'!B472</f>
        <v>45856</v>
      </c>
      <c r="F214" s="3" t="n">
        <f aca="false">SUMIFS('Futures Data'!$C$5:$C$3471,'Futures Data'!$A$5:$A$3471,B214,'Futures Data'!$B$5:$B$3471,E214)</f>
        <v>6703</v>
      </c>
      <c r="G214" s="3" t="n">
        <f aca="false">SUMIFS('Futures Data'!$C$5:$C$3471,'Futures Data'!$A$5:$A$3471,A214,'Futures Data'!$B$5:$B$3471,E214)</f>
        <v>6669</v>
      </c>
      <c r="H214" s="13" t="n">
        <f aca="false">LN(D214/C214)</f>
        <v>0</v>
      </c>
      <c r="I214" s="13" t="n">
        <f aca="false">LN(G214/F214)</f>
        <v>-0.00508526372565137</v>
      </c>
      <c r="J214" s="3" t="str">
        <f aca="false">IF(A214&lt;='Results &amp; Charts'!$C$5,"In-sample","Out-of-sample")</f>
        <v>In-sample</v>
      </c>
      <c r="K214" s="13" t="n">
        <f aca="false">H214-'Results &amp; Charts'!$C$9*I214</f>
        <v>0.0031201519531164</v>
      </c>
      <c r="L214" s="13" t="n">
        <f aca="false">H214-I214</f>
        <v>0.00508526372565137</v>
      </c>
      <c r="M214" s="15" t="n">
        <v>0.452109971223158</v>
      </c>
      <c r="N214" s="13" t="n">
        <f aca="false">H214-M214*I214</f>
        <v>0.00229909843666641</v>
      </c>
      <c r="O214" s="16" t="n">
        <f aca="false">'Results &amp; Charts'!$C$9</f>
        <v>0.613567382430444</v>
      </c>
    </row>
    <row r="215" customFormat="false" ht="15" hidden="false" customHeight="false" outlineLevel="0" collapsed="false">
      <c r="A215" s="14" t="n">
        <f aca="false">'Roll Schedule'!A473</f>
        <v>45826</v>
      </c>
      <c r="B215" s="14" t="n">
        <f aca="false">'Roll Schedule'!A472</f>
        <v>45825</v>
      </c>
      <c r="C215" s="3" t="n">
        <f aca="false">SUMIFS('Spot Data'!$E$5:$E$651,'Spot Data'!$A$5:$A$651,B215,'Spot Data'!$H$5:$H$651,"YES")</f>
        <v>6500</v>
      </c>
      <c r="D215" s="3" t="n">
        <f aca="false">SUMIFS('Spot Data'!$E$5:$E$651,'Spot Data'!$A$5:$A$651,A215,'Spot Data'!$H$5:$H$651,"YES")</f>
        <v>6500</v>
      </c>
      <c r="E215" s="14" t="n">
        <f aca="false">'Roll Schedule'!B473</f>
        <v>45856</v>
      </c>
      <c r="F215" s="3" t="n">
        <f aca="false">SUMIFS('Futures Data'!$C$5:$C$3471,'Futures Data'!$A$5:$A$3471,B215,'Futures Data'!$B$5:$B$3471,E215)</f>
        <v>6669</v>
      </c>
      <c r="G215" s="3" t="n">
        <f aca="false">SUMIFS('Futures Data'!$C$5:$C$3471,'Futures Data'!$A$5:$A$3471,A215,'Futures Data'!$B$5:$B$3471,E215)</f>
        <v>6677</v>
      </c>
      <c r="H215" s="13" t="n">
        <f aca="false">LN(D215/C215)</f>
        <v>0</v>
      </c>
      <c r="I215" s="13" t="n">
        <f aca="false">LN(G215/F215)</f>
        <v>0.00119886122556262</v>
      </c>
      <c r="J215" s="3" t="str">
        <f aca="false">IF(A215&lt;='Results &amp; Charts'!$C$5,"In-sample","Out-of-sample")</f>
        <v>In-sample</v>
      </c>
      <c r="K215" s="13" t="n">
        <f aca="false">H215-'Results &amp; Charts'!$C$9*I215</f>
        <v>-0.000735582144065812</v>
      </c>
      <c r="L215" s="13" t="n">
        <f aca="false">H215-I215</f>
        <v>-0.00119886122556262</v>
      </c>
      <c r="M215" s="15" t="n">
        <v>0.469909059181363</v>
      </c>
      <c r="N215" s="13" t="n">
        <f aca="false">H215-M215*I215</f>
        <v>-0.000563355750593147</v>
      </c>
      <c r="O215" s="16" t="n">
        <f aca="false">'Results &amp; Charts'!$C$9</f>
        <v>0.613567382430444</v>
      </c>
    </row>
    <row r="216" customFormat="false" ht="15" hidden="false" customHeight="false" outlineLevel="0" collapsed="false">
      <c r="A216" s="14" t="n">
        <f aca="false">'Roll Schedule'!A474</f>
        <v>45827</v>
      </c>
      <c r="B216" s="14" t="n">
        <f aca="false">'Roll Schedule'!A473</f>
        <v>45826</v>
      </c>
      <c r="C216" s="3" t="n">
        <f aca="false">SUMIFS('Spot Data'!$E$5:$E$651,'Spot Data'!$A$5:$A$651,B216,'Spot Data'!$H$5:$H$651,"YES")</f>
        <v>6500</v>
      </c>
      <c r="D216" s="3" t="n">
        <f aca="false">SUMIFS('Spot Data'!$E$5:$E$651,'Spot Data'!$A$5:$A$651,A216,'Spot Data'!$H$5:$H$651,"YES")</f>
        <v>6500</v>
      </c>
      <c r="E216" s="14" t="n">
        <f aca="false">'Roll Schedule'!B474</f>
        <v>45856</v>
      </c>
      <c r="F216" s="3" t="n">
        <f aca="false">SUMIFS('Futures Data'!$C$5:$C$3471,'Futures Data'!$A$5:$A$3471,B216,'Futures Data'!$B$5:$B$3471,E216)</f>
        <v>6677</v>
      </c>
      <c r="G216" s="3" t="n">
        <f aca="false">SUMIFS('Futures Data'!$C$5:$C$3471,'Futures Data'!$A$5:$A$3471,A216,'Futures Data'!$B$5:$B$3471,E216)</f>
        <v>6701</v>
      </c>
      <c r="H216" s="13" t="n">
        <f aca="false">LN(D216/C216)</f>
        <v>0</v>
      </c>
      <c r="I216" s="13" t="n">
        <f aca="false">LN(G216/F216)</f>
        <v>0.00358798411530199</v>
      </c>
      <c r="J216" s="3" t="str">
        <f aca="false">IF(A216&lt;='Results &amp; Charts'!$C$5,"In-sample","Out-of-sample")</f>
        <v>In-sample</v>
      </c>
      <c r="K216" s="13" t="n">
        <f aca="false">H216-'Results &amp; Charts'!$C$9*I216</f>
        <v>-0.00220147002182786</v>
      </c>
      <c r="L216" s="13" t="n">
        <f aca="false">H216-I216</f>
        <v>-0.00358798411530199</v>
      </c>
      <c r="M216" s="15" t="n">
        <v>0.504045882977002</v>
      </c>
      <c r="N216" s="13" t="n">
        <f aca="false">H216-M216*I216</f>
        <v>-0.00180850862150485</v>
      </c>
      <c r="O216" s="16" t="n">
        <f aca="false">'Results &amp; Charts'!$C$9</f>
        <v>0.613567382430444</v>
      </c>
    </row>
    <row r="217" customFormat="false" ht="15" hidden="false" customHeight="false" outlineLevel="0" collapsed="false">
      <c r="A217" s="14" t="n">
        <f aca="false">'Roll Schedule'!A475</f>
        <v>45828</v>
      </c>
      <c r="B217" s="14" t="n">
        <f aca="false">'Roll Schedule'!A474</f>
        <v>45827</v>
      </c>
      <c r="C217" s="3" t="n">
        <f aca="false">SUMIFS('Spot Data'!$E$5:$E$651,'Spot Data'!$A$5:$A$651,B217,'Spot Data'!$H$5:$H$651,"YES")</f>
        <v>6500</v>
      </c>
      <c r="D217" s="3" t="n">
        <f aca="false">SUMIFS('Spot Data'!$E$5:$E$651,'Spot Data'!$A$5:$A$651,A217,'Spot Data'!$H$5:$H$651,"YES")</f>
        <v>6550</v>
      </c>
      <c r="E217" s="14" t="n">
        <f aca="false">'Roll Schedule'!B475</f>
        <v>45856</v>
      </c>
      <c r="F217" s="3" t="n">
        <f aca="false">SUMIFS('Futures Data'!$C$5:$C$3471,'Futures Data'!$A$5:$A$3471,B217,'Futures Data'!$B$5:$B$3471,E217)</f>
        <v>6701</v>
      </c>
      <c r="G217" s="3" t="n">
        <f aca="false">SUMIFS('Futures Data'!$C$5:$C$3471,'Futures Data'!$A$5:$A$3471,A217,'Futures Data'!$B$5:$B$3471,E217)</f>
        <v>6692</v>
      </c>
      <c r="H217" s="13" t="n">
        <f aca="false">LN(D217/C217)</f>
        <v>0.0076628727455691</v>
      </c>
      <c r="I217" s="13" t="n">
        <f aca="false">LN(G217/F217)</f>
        <v>-0.00134398586645613</v>
      </c>
      <c r="J217" s="3" t="str">
        <f aca="false">IF(A217&lt;='Results &amp; Charts'!$C$5,"In-sample","Out-of-sample")</f>
        <v>In-sample</v>
      </c>
      <c r="K217" s="13" t="n">
        <f aca="false">H217-'Results &amp; Charts'!$C$9*I217</f>
        <v>0.0084874986356741</v>
      </c>
      <c r="L217" s="13" t="n">
        <f aca="false">H217-I217</f>
        <v>0.00900685861202523</v>
      </c>
      <c r="M217" s="15" t="n">
        <v>0.52301959792155</v>
      </c>
      <c r="N217" s="13" t="n">
        <f aca="false">H217-M217*I217</f>
        <v>0.00836580369305523</v>
      </c>
      <c r="O217" s="16" t="n">
        <f aca="false">'Results &amp; Charts'!$C$9</f>
        <v>0.613567382430444</v>
      </c>
    </row>
    <row r="218" customFormat="false" ht="15" hidden="false" customHeight="false" outlineLevel="0" collapsed="false">
      <c r="A218" s="14" t="n">
        <f aca="false">'Roll Schedule'!A476</f>
        <v>45831</v>
      </c>
      <c r="B218" s="14" t="n">
        <f aca="false">'Roll Schedule'!A475</f>
        <v>45828</v>
      </c>
      <c r="C218" s="3" t="n">
        <f aca="false">SUMIFS('Spot Data'!$E$5:$E$651,'Spot Data'!$A$5:$A$651,B218,'Spot Data'!$H$5:$H$651,"YES")</f>
        <v>6550</v>
      </c>
      <c r="D218" s="3" t="n">
        <f aca="false">SUMIFS('Spot Data'!$E$5:$E$651,'Spot Data'!$A$5:$A$651,A218,'Spot Data'!$H$5:$H$651,"YES")</f>
        <v>6600</v>
      </c>
      <c r="E218" s="14" t="n">
        <f aca="false">'Roll Schedule'!B476</f>
        <v>45856</v>
      </c>
      <c r="F218" s="3" t="n">
        <f aca="false">SUMIFS('Futures Data'!$C$5:$C$3471,'Futures Data'!$A$5:$A$3471,B218,'Futures Data'!$B$5:$B$3471,E218)</f>
        <v>6692</v>
      </c>
      <c r="G218" s="3" t="n">
        <f aca="false">SUMIFS('Futures Data'!$C$5:$C$3471,'Futures Data'!$A$5:$A$3471,A218,'Futures Data'!$B$5:$B$3471,E218)</f>
        <v>6724</v>
      </c>
      <c r="H218" s="13" t="n">
        <f aca="false">LN(D218/C218)</f>
        <v>0.00760459938521921</v>
      </c>
      <c r="I218" s="13" t="n">
        <f aca="false">LN(G218/F218)</f>
        <v>0.00477043242179171</v>
      </c>
      <c r="J218" s="3" t="str">
        <f aca="false">IF(A218&lt;='Results &amp; Charts'!$C$5,"In-sample","Out-of-sample")</f>
        <v>In-sample</v>
      </c>
      <c r="K218" s="13" t="n">
        <f aca="false">H218-'Results &amp; Charts'!$C$9*I218</f>
        <v>0.00467761765111915</v>
      </c>
      <c r="L218" s="13" t="n">
        <f aca="false">H218-I218</f>
        <v>0.0028341669634275</v>
      </c>
      <c r="M218" s="15" t="n">
        <v>0.552499096715447</v>
      </c>
      <c r="N218" s="13" t="n">
        <f aca="false">H218-M218*I218</f>
        <v>0.00496893978123721</v>
      </c>
      <c r="O218" s="16" t="n">
        <f aca="false">'Results &amp; Charts'!$C$9</f>
        <v>0.613567382430444</v>
      </c>
    </row>
    <row r="219" customFormat="false" ht="15" hidden="false" customHeight="false" outlineLevel="0" collapsed="false">
      <c r="A219" s="14" t="n">
        <f aca="false">'Roll Schedule'!A477</f>
        <v>45832</v>
      </c>
      <c r="B219" s="14" t="n">
        <f aca="false">'Roll Schedule'!A476</f>
        <v>45831</v>
      </c>
      <c r="C219" s="3" t="n">
        <f aca="false">SUMIFS('Spot Data'!$E$5:$E$651,'Spot Data'!$A$5:$A$651,B219,'Spot Data'!$H$5:$H$651,"YES")</f>
        <v>6600</v>
      </c>
      <c r="D219" s="3" t="n">
        <f aca="false">SUMIFS('Spot Data'!$E$5:$E$651,'Spot Data'!$A$5:$A$651,A219,'Spot Data'!$H$5:$H$651,"YES")</f>
        <v>6850</v>
      </c>
      <c r="E219" s="14" t="n">
        <f aca="false">'Roll Schedule'!B477</f>
        <v>45856</v>
      </c>
      <c r="F219" s="3" t="n">
        <f aca="false">SUMIFS('Futures Data'!$C$5:$C$3471,'Futures Data'!$A$5:$A$3471,B219,'Futures Data'!$B$5:$B$3471,E219)</f>
        <v>6724</v>
      </c>
      <c r="G219" s="3" t="n">
        <f aca="false">SUMIFS('Futures Data'!$C$5:$C$3471,'Futures Data'!$A$5:$A$3471,A219,'Futures Data'!$B$5:$B$3471,E219)</f>
        <v>6718</v>
      </c>
      <c r="H219" s="13" t="n">
        <f aca="false">LN(D219/C219)</f>
        <v>0.037179003241754</v>
      </c>
      <c r="I219" s="13" t="n">
        <f aca="false">LN(G219/F219)</f>
        <v>-0.000892724356268219</v>
      </c>
      <c r="J219" s="3" t="str">
        <f aca="false">IF(A219&lt;='Results &amp; Charts'!$C$5,"In-sample","Out-of-sample")</f>
        <v>In-sample</v>
      </c>
      <c r="K219" s="13" t="n">
        <f aca="false">H219-'Results &amp; Charts'!$C$9*I219</f>
        <v>0.0377267497882614</v>
      </c>
      <c r="L219" s="13" t="n">
        <f aca="false">H219-I219</f>
        <v>0.0380717275980223</v>
      </c>
      <c r="M219" s="15" t="n">
        <v>0.566697135962804</v>
      </c>
      <c r="N219" s="13" t="n">
        <f aca="false">H219-M219*I219</f>
        <v>0.0376849075776555</v>
      </c>
      <c r="O219" s="16" t="n">
        <f aca="false">'Results &amp; Charts'!$C$9</f>
        <v>0.613567382430444</v>
      </c>
    </row>
    <row r="220" customFormat="false" ht="15" hidden="false" customHeight="false" outlineLevel="0" collapsed="false">
      <c r="A220" s="14" t="n">
        <f aca="false">'Roll Schedule'!A478</f>
        <v>45833</v>
      </c>
      <c r="B220" s="14" t="n">
        <f aca="false">'Roll Schedule'!A477</f>
        <v>45832</v>
      </c>
      <c r="C220" s="3" t="n">
        <f aca="false">SUMIFS('Spot Data'!$E$5:$E$651,'Spot Data'!$A$5:$A$651,B220,'Spot Data'!$H$5:$H$651,"YES")</f>
        <v>6850</v>
      </c>
      <c r="D220" s="3" t="n">
        <f aca="false">SUMIFS('Spot Data'!$E$5:$E$651,'Spot Data'!$A$5:$A$651,A220,'Spot Data'!$H$5:$H$651,"YES")</f>
        <v>6750</v>
      </c>
      <c r="E220" s="14" t="n">
        <f aca="false">'Roll Schedule'!B478</f>
        <v>45856</v>
      </c>
      <c r="F220" s="3" t="n">
        <f aca="false">SUMIFS('Futures Data'!$C$5:$C$3471,'Futures Data'!$A$5:$A$3471,B220,'Futures Data'!$B$5:$B$3471,E220)</f>
        <v>6718</v>
      </c>
      <c r="G220" s="3" t="n">
        <f aca="false">SUMIFS('Futures Data'!$C$5:$C$3471,'Futures Data'!$A$5:$A$3471,A220,'Futures Data'!$B$5:$B$3471,E220)</f>
        <v>6710</v>
      </c>
      <c r="H220" s="13" t="n">
        <f aca="false">LN(D220/C220)</f>
        <v>-0.0147061473896954</v>
      </c>
      <c r="I220" s="13" t="n">
        <f aca="false">LN(G220/F220)</f>
        <v>-0.0011915402065106</v>
      </c>
      <c r="J220" s="3" t="str">
        <f aca="false">IF(A220&lt;='Results &amp; Charts'!$C$5,"In-sample","Out-of-sample")</f>
        <v>In-sample</v>
      </c>
      <c r="K220" s="13" t="n">
        <f aca="false">H220-'Results &amp; Charts'!$C$9*I220</f>
        <v>-0.0139750571841261</v>
      </c>
      <c r="L220" s="13" t="n">
        <f aca="false">H220-I220</f>
        <v>-0.0135146071831849</v>
      </c>
      <c r="M220" s="15" t="n">
        <v>0.589555251485018</v>
      </c>
      <c r="N220" s="13" t="n">
        <f aca="false">H220-M220*I220</f>
        <v>-0.0140036686035916</v>
      </c>
      <c r="O220" s="16" t="n">
        <f aca="false">'Results &amp; Charts'!$C$9</f>
        <v>0.613567382430444</v>
      </c>
    </row>
    <row r="221" customFormat="false" ht="15" hidden="false" customHeight="false" outlineLevel="0" collapsed="false">
      <c r="A221" s="14" t="n">
        <f aca="false">'Roll Schedule'!A479</f>
        <v>45834</v>
      </c>
      <c r="B221" s="14" t="n">
        <f aca="false">'Roll Schedule'!A478</f>
        <v>45833</v>
      </c>
      <c r="C221" s="3" t="n">
        <f aca="false">SUMIFS('Spot Data'!$E$5:$E$651,'Spot Data'!$A$5:$A$651,B221,'Spot Data'!$H$5:$H$651,"YES")</f>
        <v>6750</v>
      </c>
      <c r="D221" s="3" t="n">
        <f aca="false">SUMIFS('Spot Data'!$E$5:$E$651,'Spot Data'!$A$5:$A$651,A221,'Spot Data'!$H$5:$H$651,"YES")</f>
        <v>6550</v>
      </c>
      <c r="E221" s="14" t="n">
        <f aca="false">'Roll Schedule'!B479</f>
        <v>45856</v>
      </c>
      <c r="F221" s="3" t="n">
        <f aca="false">SUMIFS('Futures Data'!$C$5:$C$3471,'Futures Data'!$A$5:$A$3471,B221,'Futures Data'!$B$5:$B$3471,E221)</f>
        <v>6710</v>
      </c>
      <c r="G221" s="3" t="n">
        <f aca="false">SUMIFS('Futures Data'!$C$5:$C$3471,'Futures Data'!$A$5:$A$3471,A221,'Futures Data'!$B$5:$B$3471,E221)</f>
        <v>6747</v>
      </c>
      <c r="H221" s="13" t="n">
        <f aca="false">LN(D221/C221)</f>
        <v>-0.030077455237278</v>
      </c>
      <c r="I221" s="13" t="n">
        <f aca="false">LN(G221/F221)</f>
        <v>0.00549901066169787</v>
      </c>
      <c r="J221" s="3" t="str">
        <f aca="false">IF(A221&lt;='Results &amp; Charts'!$C$5,"In-sample","Out-of-sample")</f>
        <v>In-sample</v>
      </c>
      <c r="K221" s="13" t="n">
        <f aca="false">H221-'Results &amp; Charts'!$C$9*I221</f>
        <v>-0.033451468814933</v>
      </c>
      <c r="L221" s="13" t="n">
        <f aca="false">H221-I221</f>
        <v>-0.0355764658989758</v>
      </c>
      <c r="M221" s="15" t="n">
        <v>0.621468393169083</v>
      </c>
      <c r="N221" s="13" t="n">
        <f aca="false">H221-M221*I221</f>
        <v>-0.033494916557223</v>
      </c>
      <c r="O221" s="16" t="n">
        <f aca="false">'Results &amp; Charts'!$C$9</f>
        <v>0.613567382430444</v>
      </c>
    </row>
    <row r="222" customFormat="false" ht="15" hidden="false" customHeight="false" outlineLevel="0" collapsed="false">
      <c r="A222" s="14" t="n">
        <f aca="false">'Roll Schedule'!A480</f>
        <v>45835</v>
      </c>
      <c r="B222" s="14" t="n">
        <f aca="false">'Roll Schedule'!A479</f>
        <v>45834</v>
      </c>
      <c r="C222" s="3" t="n">
        <f aca="false">SUMIFS('Spot Data'!$E$5:$E$651,'Spot Data'!$A$5:$A$651,B222,'Spot Data'!$H$5:$H$651,"YES")</f>
        <v>6550</v>
      </c>
      <c r="D222" s="3" t="n">
        <f aca="false">SUMIFS('Spot Data'!$E$5:$E$651,'Spot Data'!$A$5:$A$651,A222,'Spot Data'!$H$5:$H$651,"YES")</f>
        <v>6750</v>
      </c>
      <c r="E222" s="14" t="n">
        <f aca="false">'Roll Schedule'!B480</f>
        <v>45856</v>
      </c>
      <c r="F222" s="3" t="n">
        <f aca="false">SUMIFS('Futures Data'!$C$5:$C$3471,'Futures Data'!$A$5:$A$3471,B222,'Futures Data'!$B$5:$B$3471,E222)</f>
        <v>6747</v>
      </c>
      <c r="G222" s="3" t="n">
        <f aca="false">SUMIFS('Futures Data'!$C$5:$C$3471,'Futures Data'!$A$5:$A$3471,A222,'Futures Data'!$B$5:$B$3471,E222)</f>
        <v>6806</v>
      </c>
      <c r="H222" s="13" t="n">
        <f aca="false">LN(D222/C222)</f>
        <v>0.030077455237278</v>
      </c>
      <c r="I222" s="13" t="n">
        <f aca="false">LN(G222/F222)</f>
        <v>0.00870661443342567</v>
      </c>
      <c r="J222" s="3" t="str">
        <f aca="false">IF(A222&lt;='Results &amp; Charts'!$C$5,"In-sample","Out-of-sample")</f>
        <v>In-sample</v>
      </c>
      <c r="K222" s="13" t="n">
        <f aca="false">H222-'Results &amp; Charts'!$C$9*I222</f>
        <v>0.0247353606095298</v>
      </c>
      <c r="L222" s="13" t="n">
        <f aca="false">H222-I222</f>
        <v>0.0213708408038523</v>
      </c>
      <c r="M222" s="15" t="n">
        <v>0.517828041848878</v>
      </c>
      <c r="N222" s="13" t="n">
        <f aca="false">H222-M222*I222</f>
        <v>0.025568926134084</v>
      </c>
      <c r="O222" s="16" t="n">
        <f aca="false">'Results &amp; Charts'!$C$9</f>
        <v>0.613567382430444</v>
      </c>
    </row>
    <row r="223" customFormat="false" ht="15" hidden="false" customHeight="false" outlineLevel="0" collapsed="false">
      <c r="A223" s="14" t="n">
        <f aca="false">'Roll Schedule'!A481</f>
        <v>45838</v>
      </c>
      <c r="B223" s="14" t="n">
        <f aca="false">'Roll Schedule'!A480</f>
        <v>45835</v>
      </c>
      <c r="C223" s="3" t="n">
        <f aca="false">SUMIFS('Spot Data'!$E$5:$E$651,'Spot Data'!$A$5:$A$651,B223,'Spot Data'!$H$5:$H$651,"YES")</f>
        <v>6750</v>
      </c>
      <c r="D223" s="3" t="n">
        <f aca="false">SUMIFS('Spot Data'!$E$5:$E$651,'Spot Data'!$A$5:$A$651,A223,'Spot Data'!$H$5:$H$651,"YES")</f>
        <v>6600</v>
      </c>
      <c r="E223" s="14" t="n">
        <f aca="false">'Roll Schedule'!B481</f>
        <v>45856</v>
      </c>
      <c r="F223" s="3" t="n">
        <f aca="false">SUMIFS('Futures Data'!$C$5:$C$3471,'Futures Data'!$A$5:$A$3471,B223,'Futures Data'!$B$5:$B$3471,E223)</f>
        <v>6806</v>
      </c>
      <c r="G223" s="3" t="n">
        <f aca="false">SUMIFS('Futures Data'!$C$5:$C$3471,'Futures Data'!$A$5:$A$3471,A223,'Futures Data'!$B$5:$B$3471,E223)</f>
        <v>6847</v>
      </c>
      <c r="H223" s="13" t="n">
        <f aca="false">LN(D223/C223)</f>
        <v>-0.0224728558520586</v>
      </c>
      <c r="I223" s="13" t="n">
        <f aca="false">LN(G223/F223)</f>
        <v>0.00600602406021195</v>
      </c>
      <c r="J223" s="3" t="str">
        <f aca="false">IF(A223&lt;='Results &amp; Charts'!$C$5,"In-sample","Out-of-sample")</f>
        <v>In-sample</v>
      </c>
      <c r="K223" s="13" t="n">
        <f aca="false">H223-'Results &amp; Charts'!$C$9*I223</f>
        <v>-0.0261579563134971</v>
      </c>
      <c r="L223" s="13" t="n">
        <f aca="false">H223-I223</f>
        <v>-0.0284788799122706</v>
      </c>
      <c r="M223" s="15" t="n">
        <v>0.554133449027548</v>
      </c>
      <c r="N223" s="13" t="n">
        <f aca="false">H223-M223*I223</f>
        <v>-0.0258009946794863</v>
      </c>
      <c r="O223" s="16" t="n">
        <f aca="false">'Results &amp; Charts'!$C$9</f>
        <v>0.613567382430444</v>
      </c>
    </row>
    <row r="224" customFormat="false" ht="15" hidden="false" customHeight="false" outlineLevel="0" collapsed="false">
      <c r="A224" s="14" t="n">
        <f aca="false">'Roll Schedule'!A482</f>
        <v>45839</v>
      </c>
      <c r="B224" s="14" t="n">
        <f aca="false">'Roll Schedule'!A481</f>
        <v>45838</v>
      </c>
      <c r="C224" s="3" t="n">
        <f aca="false">SUMIFS('Spot Data'!$E$5:$E$651,'Spot Data'!$A$5:$A$651,B224,'Spot Data'!$H$5:$H$651,"YES")</f>
        <v>6600</v>
      </c>
      <c r="D224" s="3" t="n">
        <f aca="false">SUMIFS('Spot Data'!$E$5:$E$651,'Spot Data'!$A$5:$A$651,A224,'Spot Data'!$H$5:$H$651,"YES")</f>
        <v>6600</v>
      </c>
      <c r="E224" s="14" t="n">
        <f aca="false">'Roll Schedule'!B482</f>
        <v>45856</v>
      </c>
      <c r="F224" s="3" t="n">
        <f aca="false">SUMIFS('Futures Data'!$C$5:$C$3471,'Futures Data'!$A$5:$A$3471,B224,'Futures Data'!$B$5:$B$3471,E224)</f>
        <v>6847</v>
      </c>
      <c r="G224" s="3" t="n">
        <f aca="false">SUMIFS('Futures Data'!$C$5:$C$3471,'Futures Data'!$A$5:$A$3471,A224,'Futures Data'!$B$5:$B$3471,E224)</f>
        <v>6859</v>
      </c>
      <c r="H224" s="13" t="n">
        <f aca="false">LN(D224/C224)</f>
        <v>0</v>
      </c>
      <c r="I224" s="13" t="n">
        <f aca="false">LN(G224/F224)</f>
        <v>0.00175105837825847</v>
      </c>
      <c r="J224" s="3" t="str">
        <f aca="false">IF(A224&lt;='Results &amp; Charts'!$C$5,"In-sample","Out-of-sample")</f>
        <v>In-sample</v>
      </c>
      <c r="K224" s="13" t="n">
        <f aca="false">H224-'Results &amp; Charts'!$C$9*I224</f>
        <v>-0.00107439230563095</v>
      </c>
      <c r="L224" s="13" t="n">
        <f aca="false">H224-I224</f>
        <v>-0.00175105837825847</v>
      </c>
      <c r="M224" s="15" t="n">
        <v>0.484036006578337</v>
      </c>
      <c r="N224" s="13" t="n">
        <f aca="false">H224-M224*I224</f>
        <v>-0.000847575304697767</v>
      </c>
      <c r="O224" s="16" t="n">
        <f aca="false">'Results &amp; Charts'!$C$9</f>
        <v>0.613567382430444</v>
      </c>
    </row>
    <row r="225" customFormat="false" ht="15" hidden="false" customHeight="false" outlineLevel="0" collapsed="false">
      <c r="A225" s="14" t="n">
        <f aca="false">'Roll Schedule'!A483</f>
        <v>45840</v>
      </c>
      <c r="B225" s="14" t="n">
        <f aca="false">'Roll Schedule'!A482</f>
        <v>45839</v>
      </c>
      <c r="C225" s="3" t="n">
        <f aca="false">SUMIFS('Spot Data'!$E$5:$E$651,'Spot Data'!$A$5:$A$651,B225,'Spot Data'!$H$5:$H$651,"YES")</f>
        <v>6600</v>
      </c>
      <c r="D225" s="3" t="n">
        <f aca="false">SUMIFS('Spot Data'!$E$5:$E$651,'Spot Data'!$A$5:$A$651,A225,'Spot Data'!$H$5:$H$651,"YES")</f>
        <v>6750</v>
      </c>
      <c r="E225" s="14" t="n">
        <f aca="false">'Roll Schedule'!B483</f>
        <v>45856</v>
      </c>
      <c r="F225" s="3" t="n">
        <f aca="false">SUMIFS('Futures Data'!$C$5:$C$3471,'Futures Data'!$A$5:$A$3471,B225,'Futures Data'!$B$5:$B$3471,E225)</f>
        <v>6859</v>
      </c>
      <c r="G225" s="3" t="n">
        <f aca="false">SUMIFS('Futures Data'!$C$5:$C$3471,'Futures Data'!$A$5:$A$3471,A225,'Futures Data'!$B$5:$B$3471,E225)</f>
        <v>6898</v>
      </c>
      <c r="H225" s="13" t="n">
        <f aca="false">LN(D225/C225)</f>
        <v>0.0224728558520586</v>
      </c>
      <c r="I225" s="13" t="n">
        <f aca="false">LN(G225/F225)</f>
        <v>0.00566985599746494</v>
      </c>
      <c r="J225" s="3" t="str">
        <f aca="false">IF(A225&lt;='Results &amp; Charts'!$C$5,"In-sample","Out-of-sample")</f>
        <v>In-sample</v>
      </c>
      <c r="K225" s="13" t="n">
        <f aca="false">H225-'Results &amp; Charts'!$C$9*I225</f>
        <v>0.0189940171489365</v>
      </c>
      <c r="L225" s="13" t="n">
        <f aca="false">H225-I225</f>
        <v>0.0168029998545936</v>
      </c>
      <c r="M225" s="15" t="n">
        <v>0.509281955314536</v>
      </c>
      <c r="N225" s="13" t="n">
        <f aca="false">H225-M225*I225</f>
        <v>0.0195853005033178</v>
      </c>
      <c r="O225" s="16" t="n">
        <f aca="false">'Results &amp; Charts'!$C$9</f>
        <v>0.613567382430444</v>
      </c>
    </row>
    <row r="226" customFormat="false" ht="15" hidden="false" customHeight="false" outlineLevel="0" collapsed="false">
      <c r="A226" s="14" t="n">
        <f aca="false">'Roll Schedule'!A484</f>
        <v>45841</v>
      </c>
      <c r="B226" s="14" t="n">
        <f aca="false">'Roll Schedule'!A483</f>
        <v>45840</v>
      </c>
      <c r="C226" s="3" t="n">
        <f aca="false">SUMIFS('Spot Data'!$E$5:$E$651,'Spot Data'!$A$5:$A$651,B226,'Spot Data'!$H$5:$H$651,"YES")</f>
        <v>6750</v>
      </c>
      <c r="D226" s="3" t="n">
        <f aca="false">SUMIFS('Spot Data'!$E$5:$E$651,'Spot Data'!$A$5:$A$651,A226,'Spot Data'!$H$5:$H$651,"YES")</f>
        <v>7050</v>
      </c>
      <c r="E226" s="14" t="n">
        <f aca="false">'Roll Schedule'!B484</f>
        <v>45889</v>
      </c>
      <c r="F226" s="3" t="n">
        <f aca="false">SUMIFS('Futures Data'!$C$5:$C$3471,'Futures Data'!$A$5:$A$3471,B226,'Futures Data'!$B$5:$B$3471,E226)</f>
        <v>6974</v>
      </c>
      <c r="G226" s="3" t="n">
        <f aca="false">SUMIFS('Futures Data'!$C$5:$C$3471,'Futures Data'!$A$5:$A$3471,A226,'Futures Data'!$B$5:$B$3471,E226)</f>
        <v>6926</v>
      </c>
      <c r="H226" s="13" t="n">
        <f aca="false">LN(D226/C226)</f>
        <v>0.0434851119397389</v>
      </c>
      <c r="I226" s="13" t="n">
        <f aca="false">LN(G226/F226)</f>
        <v>-0.00690650227322923</v>
      </c>
      <c r="J226" s="3" t="str">
        <f aca="false">IF(A226&lt;='Results &amp; Charts'!$C$5,"In-sample","Out-of-sample")</f>
        <v>In-sample</v>
      </c>
      <c r="K226" s="13" t="n">
        <f aca="false">H226-'Results &amp; Charts'!$C$9*I226</f>
        <v>0.0477227164612741</v>
      </c>
      <c r="L226" s="13" t="n">
        <f aca="false">H226-I226</f>
        <v>0.0503916142129681</v>
      </c>
      <c r="M226" s="15" t="n">
        <v>0.549423725259269</v>
      </c>
      <c r="N226" s="13" t="n">
        <f aca="false">H226-M226*I226</f>
        <v>0.0472797081472081</v>
      </c>
      <c r="O226" s="16" t="n">
        <f aca="false">'Results &amp; Charts'!$C$9</f>
        <v>0.613567382430444</v>
      </c>
    </row>
    <row r="227" customFormat="false" ht="15" hidden="false" customHeight="false" outlineLevel="0" collapsed="false">
      <c r="A227" s="14" t="n">
        <f aca="false">'Roll Schedule'!A485</f>
        <v>45842</v>
      </c>
      <c r="B227" s="14" t="n">
        <f aca="false">'Roll Schedule'!A484</f>
        <v>45841</v>
      </c>
      <c r="C227" s="3" t="n">
        <f aca="false">SUMIFS('Spot Data'!$E$5:$E$651,'Spot Data'!$A$5:$A$651,B227,'Spot Data'!$H$5:$H$651,"YES")</f>
        <v>7050</v>
      </c>
      <c r="D227" s="3" t="n">
        <f aca="false">SUMIFS('Spot Data'!$E$5:$E$651,'Spot Data'!$A$5:$A$651,A227,'Spot Data'!$H$5:$H$651,"YES")</f>
        <v>7000</v>
      </c>
      <c r="E227" s="14" t="n">
        <f aca="false">'Roll Schedule'!B485</f>
        <v>45889</v>
      </c>
      <c r="F227" s="3" t="n">
        <f aca="false">SUMIFS('Futures Data'!$C$5:$C$3471,'Futures Data'!$A$5:$A$3471,B227,'Futures Data'!$B$5:$B$3471,E227)</f>
        <v>6926</v>
      </c>
      <c r="G227" s="3" t="n">
        <f aca="false">SUMIFS('Futures Data'!$C$5:$C$3471,'Futures Data'!$A$5:$A$3471,A227,'Futures Data'!$B$5:$B$3471,E227)</f>
        <v>6907</v>
      </c>
      <c r="H227" s="13" t="n">
        <f aca="false">LN(D227/C227)</f>
        <v>-0.00711746776886399</v>
      </c>
      <c r="I227" s="13" t="n">
        <f aca="false">LN(G227/F227)</f>
        <v>-0.0027470558733944</v>
      </c>
      <c r="J227" s="3" t="str">
        <f aca="false">IF(A227&lt;='Results &amp; Charts'!$C$5,"In-sample","Out-of-sample")</f>
        <v>In-sample</v>
      </c>
      <c r="K227" s="13" t="n">
        <f aca="false">H227-'Results &amp; Charts'!$C$9*I227</f>
        <v>-0.00543196388723521</v>
      </c>
      <c r="L227" s="13" t="n">
        <f aca="false">H227-I227</f>
        <v>-0.00437041189546959</v>
      </c>
      <c r="M227" s="15" t="n">
        <v>0.416914263878731</v>
      </c>
      <c r="N227" s="13" t="n">
        <f aca="false">H227-M227*I227</f>
        <v>-0.00597218099157402</v>
      </c>
      <c r="O227" s="16" t="n">
        <f aca="false">'Results &amp; Charts'!$C$9</f>
        <v>0.613567382430444</v>
      </c>
    </row>
    <row r="228" customFormat="false" ht="15" hidden="false" customHeight="false" outlineLevel="0" collapsed="false">
      <c r="A228" s="14" t="n">
        <f aca="false">'Roll Schedule'!A486</f>
        <v>45845</v>
      </c>
      <c r="B228" s="14" t="n">
        <f aca="false">'Roll Schedule'!A485</f>
        <v>45842</v>
      </c>
      <c r="C228" s="3" t="n">
        <f aca="false">SUMIFS('Spot Data'!$E$5:$E$651,'Spot Data'!$A$5:$A$651,B228,'Spot Data'!$H$5:$H$651,"YES")</f>
        <v>7000</v>
      </c>
      <c r="D228" s="3" t="n">
        <f aca="false">SUMIFS('Spot Data'!$E$5:$E$651,'Spot Data'!$A$5:$A$651,A228,'Spot Data'!$H$5:$H$651,"YES")</f>
        <v>7100</v>
      </c>
      <c r="E228" s="14" t="n">
        <f aca="false">'Roll Schedule'!B486</f>
        <v>45889</v>
      </c>
      <c r="F228" s="3" t="n">
        <f aca="false">SUMIFS('Futures Data'!$C$5:$C$3471,'Futures Data'!$A$5:$A$3471,B228,'Futures Data'!$B$5:$B$3471,E228)</f>
        <v>6907</v>
      </c>
      <c r="G228" s="3" t="n">
        <f aca="false">SUMIFS('Futures Data'!$C$5:$C$3471,'Futures Data'!$A$5:$A$3471,A228,'Futures Data'!$B$5:$B$3471,E228)</f>
        <v>6868</v>
      </c>
      <c r="H228" s="13" t="n">
        <f aca="false">LN(D228/C228)</f>
        <v>0.0141846349919564</v>
      </c>
      <c r="I228" s="13" t="n">
        <f aca="false">LN(G228/F228)</f>
        <v>-0.00566244707160674</v>
      </c>
      <c r="J228" s="3" t="str">
        <f aca="false">IF(A228&lt;='Results &amp; Charts'!$C$5,"In-sample","Out-of-sample")</f>
        <v>In-sample</v>
      </c>
      <c r="K228" s="13" t="n">
        <f aca="false">H228-'Results &amp; Charts'!$C$9*I228</f>
        <v>0.0176589278198331</v>
      </c>
      <c r="L228" s="13" t="n">
        <f aca="false">H228-I228</f>
        <v>0.0198470820635631</v>
      </c>
      <c r="M228" s="15" t="n">
        <v>0.444196924970639</v>
      </c>
      <c r="N228" s="13" t="n">
        <f aca="false">H228-M228*I228</f>
        <v>0.0166998765689731</v>
      </c>
      <c r="O228" s="16" t="n">
        <f aca="false">'Results &amp; Charts'!$C$9</f>
        <v>0.613567382430444</v>
      </c>
    </row>
    <row r="229" customFormat="false" ht="15" hidden="false" customHeight="false" outlineLevel="0" collapsed="false">
      <c r="A229" s="14" t="n">
        <f aca="false">'Roll Schedule'!A487</f>
        <v>45846</v>
      </c>
      <c r="B229" s="14" t="n">
        <f aca="false">'Roll Schedule'!A486</f>
        <v>45845</v>
      </c>
      <c r="C229" s="3" t="n">
        <f aca="false">SUMIFS('Spot Data'!$E$5:$E$651,'Spot Data'!$A$5:$A$651,B229,'Spot Data'!$H$5:$H$651,"YES")</f>
        <v>7100</v>
      </c>
      <c r="D229" s="3" t="n">
        <f aca="false">SUMIFS('Spot Data'!$E$5:$E$651,'Spot Data'!$A$5:$A$651,A229,'Spot Data'!$H$5:$H$651,"YES")</f>
        <v>7100</v>
      </c>
      <c r="E229" s="14" t="n">
        <f aca="false">'Roll Schedule'!B487</f>
        <v>45889</v>
      </c>
      <c r="F229" s="3" t="n">
        <f aca="false">SUMIFS('Futures Data'!$C$5:$C$3471,'Futures Data'!$A$5:$A$3471,B229,'Futures Data'!$B$5:$B$3471,E229)</f>
        <v>6868</v>
      </c>
      <c r="G229" s="3" t="n">
        <f aca="false">SUMIFS('Futures Data'!$C$5:$C$3471,'Futures Data'!$A$5:$A$3471,A229,'Futures Data'!$B$5:$B$3471,E229)</f>
        <v>6909</v>
      </c>
      <c r="H229" s="13" t="n">
        <f aca="false">LN(D229/C229)</f>
        <v>0</v>
      </c>
      <c r="I229" s="13" t="n">
        <f aca="false">LN(G229/F229)</f>
        <v>0.00595196647142876</v>
      </c>
      <c r="J229" s="3" t="str">
        <f aca="false">IF(A229&lt;='Results &amp; Charts'!$C$5,"In-sample","Out-of-sample")</f>
        <v>In-sample</v>
      </c>
      <c r="K229" s="13" t="n">
        <f aca="false">H229-'Results &amp; Charts'!$C$9*I229</f>
        <v>-0.00365193248818831</v>
      </c>
      <c r="L229" s="13" t="n">
        <f aca="false">H229-I229</f>
        <v>-0.00595196647142876</v>
      </c>
      <c r="M229" s="15" t="n">
        <v>0.4081529249115</v>
      </c>
      <c r="N229" s="13" t="n">
        <f aca="false">H229-M229*I229</f>
        <v>-0.00242931252428883</v>
      </c>
      <c r="O229" s="16" t="n">
        <f aca="false">'Results &amp; Charts'!$C$9</f>
        <v>0.613567382430444</v>
      </c>
    </row>
    <row r="230" customFormat="false" ht="15" hidden="false" customHeight="false" outlineLevel="0" collapsed="false">
      <c r="A230" s="14" t="n">
        <f aca="false">'Roll Schedule'!A488</f>
        <v>45847</v>
      </c>
      <c r="B230" s="14" t="n">
        <f aca="false">'Roll Schedule'!A487</f>
        <v>45846</v>
      </c>
      <c r="C230" s="3" t="n">
        <f aca="false">SUMIFS('Spot Data'!$E$5:$E$651,'Spot Data'!$A$5:$A$651,B230,'Spot Data'!$H$5:$H$651,"YES")</f>
        <v>7100</v>
      </c>
      <c r="D230" s="3" t="n">
        <f aca="false">SUMIFS('Spot Data'!$E$5:$E$651,'Spot Data'!$A$5:$A$651,A230,'Spot Data'!$H$5:$H$651,"YES")</f>
        <v>7100</v>
      </c>
      <c r="E230" s="14" t="n">
        <f aca="false">'Roll Schedule'!B488</f>
        <v>45889</v>
      </c>
      <c r="F230" s="3" t="n">
        <f aca="false">SUMIFS('Futures Data'!$C$5:$C$3471,'Futures Data'!$A$5:$A$3471,B230,'Futures Data'!$B$5:$B$3471,E230)</f>
        <v>6909</v>
      </c>
      <c r="G230" s="3" t="n">
        <f aca="false">SUMIFS('Futures Data'!$C$5:$C$3471,'Futures Data'!$A$5:$A$3471,A230,'Futures Data'!$B$5:$B$3471,E230)</f>
        <v>6871</v>
      </c>
      <c r="H230" s="13" t="n">
        <f aca="false">LN(D230/C230)</f>
        <v>0</v>
      </c>
      <c r="I230" s="13" t="n">
        <f aca="false">LN(G230/F230)</f>
        <v>-0.00551525345771898</v>
      </c>
      <c r="J230" s="3" t="str">
        <f aca="false">IF(A230&lt;='Results &amp; Charts'!$C$5,"In-sample","Out-of-sample")</f>
        <v>In-sample</v>
      </c>
      <c r="K230" s="13" t="n">
        <f aca="false">H230-'Results &amp; Charts'!$C$9*I230</f>
        <v>0.00338397962749309</v>
      </c>
      <c r="L230" s="13" t="n">
        <f aca="false">H230-I230</f>
        <v>0.00551525345771898</v>
      </c>
      <c r="M230" s="15" t="n">
        <v>0.395685848803745</v>
      </c>
      <c r="N230" s="13" t="n">
        <f aca="false">H230-M230*I230</f>
        <v>0.00218230774578532</v>
      </c>
      <c r="O230" s="16" t="n">
        <f aca="false">'Results &amp; Charts'!$C$9</f>
        <v>0.613567382430444</v>
      </c>
    </row>
    <row r="231" customFormat="false" ht="15" hidden="false" customHeight="false" outlineLevel="0" collapsed="false">
      <c r="A231" s="14" t="n">
        <f aca="false">'Roll Schedule'!A489</f>
        <v>45848</v>
      </c>
      <c r="B231" s="14" t="n">
        <f aca="false">'Roll Schedule'!A488</f>
        <v>45847</v>
      </c>
      <c r="C231" s="3" t="n">
        <f aca="false">SUMIFS('Spot Data'!$E$5:$E$651,'Spot Data'!$A$5:$A$651,B231,'Spot Data'!$H$5:$H$651,"YES")</f>
        <v>7100</v>
      </c>
      <c r="D231" s="3" t="n">
        <f aca="false">SUMIFS('Spot Data'!$E$5:$E$651,'Spot Data'!$A$5:$A$651,A231,'Spot Data'!$H$5:$H$651,"YES")</f>
        <v>7100</v>
      </c>
      <c r="E231" s="14" t="n">
        <f aca="false">'Roll Schedule'!B489</f>
        <v>45889</v>
      </c>
      <c r="F231" s="3" t="n">
        <f aca="false">SUMIFS('Futures Data'!$C$5:$C$3471,'Futures Data'!$A$5:$A$3471,B231,'Futures Data'!$B$5:$B$3471,E231)</f>
        <v>6871</v>
      </c>
      <c r="G231" s="3" t="n">
        <f aca="false">SUMIFS('Futures Data'!$C$5:$C$3471,'Futures Data'!$A$5:$A$3471,A231,'Futures Data'!$B$5:$B$3471,E231)</f>
        <v>6829</v>
      </c>
      <c r="H231" s="13" t="n">
        <f aca="false">LN(D231/C231)</f>
        <v>0</v>
      </c>
      <c r="I231" s="13" t="n">
        <f aca="false">LN(G231/F231)</f>
        <v>-0.00613140606998666</v>
      </c>
      <c r="J231" s="3" t="str">
        <f aca="false">IF(A231&lt;='Results &amp; Charts'!$C$5,"In-sample","Out-of-sample")</f>
        <v>In-sample</v>
      </c>
      <c r="K231" s="13" t="n">
        <f aca="false">H231-'Results &amp; Charts'!$C$9*I231</f>
        <v>0.00376203077297986</v>
      </c>
      <c r="L231" s="13" t="n">
        <f aca="false">H231-I231</f>
        <v>0.00613140606998666</v>
      </c>
      <c r="M231" s="15" t="n">
        <v>0.394647129098137</v>
      </c>
      <c r="N231" s="13" t="n">
        <f aca="false">H231-M231*I231</f>
        <v>0.00241974180285513</v>
      </c>
      <c r="O231" s="16" t="n">
        <f aca="false">'Results &amp; Charts'!$C$9</f>
        <v>0.613567382430444</v>
      </c>
    </row>
    <row r="232" customFormat="false" ht="15" hidden="false" customHeight="false" outlineLevel="0" collapsed="false">
      <c r="A232" s="14" t="n">
        <f aca="false">'Roll Schedule'!A490</f>
        <v>45849</v>
      </c>
      <c r="B232" s="14" t="n">
        <f aca="false">'Roll Schedule'!A489</f>
        <v>45848</v>
      </c>
      <c r="C232" s="3" t="n">
        <f aca="false">SUMIFS('Spot Data'!$E$5:$E$651,'Spot Data'!$A$5:$A$651,B232,'Spot Data'!$H$5:$H$651,"YES")</f>
        <v>7100</v>
      </c>
      <c r="D232" s="3" t="n">
        <f aca="false">SUMIFS('Spot Data'!$E$5:$E$651,'Spot Data'!$A$5:$A$651,A232,'Spot Data'!$H$5:$H$651,"YES")</f>
        <v>7100</v>
      </c>
      <c r="E232" s="14" t="n">
        <f aca="false">'Roll Schedule'!B490</f>
        <v>45889</v>
      </c>
      <c r="F232" s="3" t="n">
        <f aca="false">SUMIFS('Futures Data'!$C$5:$C$3471,'Futures Data'!$A$5:$A$3471,B232,'Futures Data'!$B$5:$B$3471,E232)</f>
        <v>6829</v>
      </c>
      <c r="G232" s="3" t="n">
        <f aca="false">SUMIFS('Futures Data'!$C$5:$C$3471,'Futures Data'!$A$5:$A$3471,A232,'Futures Data'!$B$5:$B$3471,E232)</f>
        <v>6776</v>
      </c>
      <c r="H232" s="13" t="n">
        <f aca="false">LN(D232/C232)</f>
        <v>0</v>
      </c>
      <c r="I232" s="13" t="n">
        <f aca="false">LN(G232/F232)</f>
        <v>-0.00779129262919898</v>
      </c>
      <c r="J232" s="3" t="str">
        <f aca="false">IF(A232&lt;='Results &amp; Charts'!$C$5,"In-sample","Out-of-sample")</f>
        <v>In-sample</v>
      </c>
      <c r="K232" s="13" t="n">
        <f aca="false">H232-'Results &amp; Charts'!$C$9*I232</f>
        <v>0.00478048302424723</v>
      </c>
      <c r="L232" s="13" t="n">
        <f aca="false">H232-I232</f>
        <v>0.00779129262919898</v>
      </c>
      <c r="M232" s="15" t="n">
        <v>0.387184749002752</v>
      </c>
      <c r="N232" s="13" t="n">
        <f aca="false">H232-M232*I232</f>
        <v>0.0030166696810434</v>
      </c>
      <c r="O232" s="16" t="n">
        <f aca="false">'Results &amp; Charts'!$C$9</f>
        <v>0.613567382430444</v>
      </c>
    </row>
    <row r="233" customFormat="false" ht="15" hidden="false" customHeight="false" outlineLevel="0" collapsed="false">
      <c r="A233" s="14" t="n">
        <f aca="false">'Roll Schedule'!A491</f>
        <v>45852</v>
      </c>
      <c r="B233" s="14" t="n">
        <f aca="false">'Roll Schedule'!A490</f>
        <v>45849</v>
      </c>
      <c r="C233" s="3" t="n">
        <f aca="false">SUMIFS('Spot Data'!$E$5:$E$651,'Spot Data'!$A$5:$A$651,B233,'Spot Data'!$H$5:$H$651,"YES")</f>
        <v>7100</v>
      </c>
      <c r="D233" s="3" t="n">
        <f aca="false">SUMIFS('Spot Data'!$E$5:$E$651,'Spot Data'!$A$5:$A$651,A233,'Spot Data'!$H$5:$H$651,"YES")</f>
        <v>7150</v>
      </c>
      <c r="E233" s="14" t="n">
        <f aca="false">'Roll Schedule'!B491</f>
        <v>45889</v>
      </c>
      <c r="F233" s="3" t="n">
        <f aca="false">SUMIFS('Futures Data'!$C$5:$C$3471,'Futures Data'!$A$5:$A$3471,B233,'Futures Data'!$B$5:$B$3471,E233)</f>
        <v>6776</v>
      </c>
      <c r="G233" s="3" t="n">
        <f aca="false">SUMIFS('Futures Data'!$C$5:$C$3471,'Futures Data'!$A$5:$A$3471,A233,'Futures Data'!$B$5:$B$3471,E233)</f>
        <v>6811</v>
      </c>
      <c r="H233" s="13" t="n">
        <f aca="false">LN(D233/C233)</f>
        <v>0.00701757265864654</v>
      </c>
      <c r="I233" s="13" t="n">
        <f aca="false">LN(G233/F233)</f>
        <v>0.00515199490942811</v>
      </c>
      <c r="J233" s="3" t="str">
        <f aca="false">IF(A233&lt;='Results &amp; Charts'!$C$5,"In-sample","Out-of-sample")</f>
        <v>In-sample</v>
      </c>
      <c r="K233" s="13" t="n">
        <f aca="false">H233-'Results &amp; Charts'!$C$9*I233</f>
        <v>0.00385647662777376</v>
      </c>
      <c r="L233" s="13" t="n">
        <f aca="false">H233-I233</f>
        <v>0.00186557774921843</v>
      </c>
      <c r="M233" s="15" t="n">
        <v>0.362640707448036</v>
      </c>
      <c r="N233" s="13" t="n">
        <f aca="false">H233-M233*I233</f>
        <v>0.00514924957992285</v>
      </c>
      <c r="O233" s="16" t="n">
        <f aca="false">'Results &amp; Charts'!$C$9</f>
        <v>0.613567382430444</v>
      </c>
    </row>
    <row r="234" customFormat="false" ht="15" hidden="false" customHeight="false" outlineLevel="0" collapsed="false">
      <c r="A234" s="14" t="n">
        <f aca="false">'Roll Schedule'!A492</f>
        <v>45853</v>
      </c>
      <c r="B234" s="14" t="n">
        <f aca="false">'Roll Schedule'!A491</f>
        <v>45852</v>
      </c>
      <c r="C234" s="3" t="n">
        <f aca="false">SUMIFS('Spot Data'!$E$5:$E$651,'Spot Data'!$A$5:$A$651,B234,'Spot Data'!$H$5:$H$651,"YES")</f>
        <v>7150</v>
      </c>
      <c r="D234" s="3" t="n">
        <f aca="false">SUMIFS('Spot Data'!$E$5:$E$651,'Spot Data'!$A$5:$A$651,A234,'Spot Data'!$H$5:$H$651,"YES")</f>
        <v>7500</v>
      </c>
      <c r="E234" s="14" t="n">
        <f aca="false">'Roll Schedule'!B492</f>
        <v>45889</v>
      </c>
      <c r="F234" s="3" t="n">
        <f aca="false">SUMIFS('Futures Data'!$C$5:$C$3471,'Futures Data'!$A$5:$A$3471,B234,'Futures Data'!$B$5:$B$3471,E234)</f>
        <v>6811</v>
      </c>
      <c r="G234" s="3" t="n">
        <f aca="false">SUMIFS('Futures Data'!$C$5:$C$3471,'Futures Data'!$A$5:$A$3471,A234,'Futures Data'!$B$5:$B$3471,E234)</f>
        <v>6815</v>
      </c>
      <c r="H234" s="13" t="n">
        <f aca="false">LN(D234/C234)</f>
        <v>0.0477906638363485</v>
      </c>
      <c r="I234" s="13" t="n">
        <f aca="false">LN(G234/F234)</f>
        <v>0.000587112889314654</v>
      </c>
      <c r="J234" s="3" t="str">
        <f aca="false">IF(A234&lt;='Results &amp; Charts'!$C$5,"In-sample","Out-of-sample")</f>
        <v>In-sample</v>
      </c>
      <c r="K234" s="13" t="n">
        <f aca="false">H234-'Results &amp; Charts'!$C$9*I234</f>
        <v>0.0474304305176605</v>
      </c>
      <c r="L234" s="13" t="n">
        <f aca="false">H234-I234</f>
        <v>0.0472035509470338</v>
      </c>
      <c r="M234" s="15" t="n">
        <v>0.378867820021445</v>
      </c>
      <c r="N234" s="13" t="n">
        <f aca="false">H234-M234*I234</f>
        <v>0.0475682256558673</v>
      </c>
      <c r="O234" s="16" t="n">
        <f aca="false">'Results &amp; Charts'!$C$9</f>
        <v>0.613567382430444</v>
      </c>
    </row>
    <row r="235" customFormat="false" ht="15" hidden="false" customHeight="false" outlineLevel="0" collapsed="false">
      <c r="A235" s="14" t="n">
        <f aca="false">'Roll Schedule'!A493</f>
        <v>45854</v>
      </c>
      <c r="B235" s="14" t="n">
        <f aca="false">'Roll Schedule'!A492</f>
        <v>45853</v>
      </c>
      <c r="C235" s="3" t="n">
        <f aca="false">SUMIFS('Spot Data'!$E$5:$E$651,'Spot Data'!$A$5:$A$651,B235,'Spot Data'!$H$5:$H$651,"YES")</f>
        <v>7500</v>
      </c>
      <c r="D235" s="3" t="n">
        <f aca="false">SUMIFS('Spot Data'!$E$5:$E$651,'Spot Data'!$A$5:$A$651,A235,'Spot Data'!$H$5:$H$651,"YES")</f>
        <v>7500</v>
      </c>
      <c r="E235" s="14" t="n">
        <f aca="false">'Roll Schedule'!B493</f>
        <v>45889</v>
      </c>
      <c r="F235" s="3" t="n">
        <f aca="false">SUMIFS('Futures Data'!$C$5:$C$3471,'Futures Data'!$A$5:$A$3471,B235,'Futures Data'!$B$5:$B$3471,E235)</f>
        <v>6815</v>
      </c>
      <c r="G235" s="3" t="n">
        <f aca="false">SUMIFS('Futures Data'!$C$5:$C$3471,'Futures Data'!$A$5:$A$3471,A235,'Futures Data'!$B$5:$B$3471,E235)</f>
        <v>6770</v>
      </c>
      <c r="H235" s="13" t="n">
        <f aca="false">LN(D235/C235)</f>
        <v>0</v>
      </c>
      <c r="I235" s="13" t="n">
        <f aca="false">LN(G235/F235)</f>
        <v>-0.00662497822431228</v>
      </c>
      <c r="J235" s="3" t="str">
        <f aca="false">IF(A235&lt;='Results &amp; Charts'!$C$5,"In-sample","Out-of-sample")</f>
        <v>In-sample</v>
      </c>
      <c r="K235" s="13" t="n">
        <f aca="false">H235-'Results &amp; Charts'!$C$9*I235</f>
        <v>0.00406487054774998</v>
      </c>
      <c r="L235" s="13" t="n">
        <f aca="false">H235-I235</f>
        <v>0.00662497822431228</v>
      </c>
      <c r="M235" s="15" t="n">
        <v>0.423150809421122</v>
      </c>
      <c r="N235" s="13" t="n">
        <f aca="false">H235-M235*I235</f>
        <v>0.00280336489801505</v>
      </c>
      <c r="O235" s="16" t="n">
        <f aca="false">'Results &amp; Charts'!$C$9</f>
        <v>0.613567382430444</v>
      </c>
    </row>
    <row r="236" customFormat="false" ht="15" hidden="false" customHeight="false" outlineLevel="0" collapsed="false">
      <c r="A236" s="14" t="n">
        <f aca="false">'Roll Schedule'!A494</f>
        <v>45855</v>
      </c>
      <c r="B236" s="14" t="n">
        <f aca="false">'Roll Schedule'!A493</f>
        <v>45854</v>
      </c>
      <c r="C236" s="3" t="n">
        <f aca="false">SUMIFS('Spot Data'!$E$5:$E$651,'Spot Data'!$A$5:$A$651,B236,'Spot Data'!$H$5:$H$651,"YES")</f>
        <v>7500</v>
      </c>
      <c r="D236" s="3" t="n">
        <f aca="false">SUMIFS('Spot Data'!$E$5:$E$651,'Spot Data'!$A$5:$A$651,A236,'Spot Data'!$H$5:$H$651,"YES")</f>
        <v>7500</v>
      </c>
      <c r="E236" s="14" t="n">
        <f aca="false">'Roll Schedule'!B494</f>
        <v>45889</v>
      </c>
      <c r="F236" s="3" t="n">
        <f aca="false">SUMIFS('Futures Data'!$C$5:$C$3471,'Futures Data'!$A$5:$A$3471,B236,'Futures Data'!$B$5:$B$3471,E236)</f>
        <v>6770</v>
      </c>
      <c r="G236" s="3" t="n">
        <f aca="false">SUMIFS('Futures Data'!$C$5:$C$3471,'Futures Data'!$A$5:$A$3471,A236,'Futures Data'!$B$5:$B$3471,E236)</f>
        <v>6769</v>
      </c>
      <c r="H236" s="13" t="n">
        <f aca="false">LN(D236/C236)</f>
        <v>0</v>
      </c>
      <c r="I236" s="13" t="n">
        <f aca="false">LN(G236/F236)</f>
        <v>-0.000147721397713101</v>
      </c>
      <c r="J236" s="3" t="str">
        <f aca="false">IF(A236&lt;='Results &amp; Charts'!$C$5,"In-sample","Out-of-sample")</f>
        <v>In-sample</v>
      </c>
      <c r="K236" s="13" t="n">
        <f aca="false">H236-'Results &amp; Charts'!$C$9*I236</f>
        <v>9.06370313237941E-005</v>
      </c>
      <c r="L236" s="13" t="n">
        <f aca="false">H236-I236</f>
        <v>0.000147721397713101</v>
      </c>
      <c r="M236" s="15" t="n">
        <v>0.407643915124574</v>
      </c>
      <c r="N236" s="13" t="n">
        <f aca="false">H236-M236*I236</f>
        <v>6.02177289114428E-005</v>
      </c>
      <c r="O236" s="16" t="n">
        <f aca="false">'Results &amp; Charts'!$C$9</f>
        <v>0.613567382430444</v>
      </c>
    </row>
    <row r="237" customFormat="false" ht="15" hidden="false" customHeight="false" outlineLevel="0" collapsed="false">
      <c r="A237" s="14" t="n">
        <f aca="false">'Roll Schedule'!A495</f>
        <v>45856</v>
      </c>
      <c r="B237" s="14" t="n">
        <f aca="false">'Roll Schedule'!A494</f>
        <v>45855</v>
      </c>
      <c r="C237" s="3" t="n">
        <f aca="false">SUMIFS('Spot Data'!$E$5:$E$651,'Spot Data'!$A$5:$A$651,B237,'Spot Data'!$H$5:$H$651,"YES")</f>
        <v>7500</v>
      </c>
      <c r="D237" s="3" t="n">
        <f aca="false">SUMIFS('Spot Data'!$E$5:$E$651,'Spot Data'!$A$5:$A$651,A237,'Spot Data'!$H$5:$H$651,"YES")</f>
        <v>7550</v>
      </c>
      <c r="E237" s="14" t="n">
        <f aca="false">'Roll Schedule'!B495</f>
        <v>45889</v>
      </c>
      <c r="F237" s="3" t="n">
        <f aca="false">SUMIFS('Futures Data'!$C$5:$C$3471,'Futures Data'!$A$5:$A$3471,B237,'Futures Data'!$B$5:$B$3471,E237)</f>
        <v>6769</v>
      </c>
      <c r="G237" s="3" t="n">
        <f aca="false">SUMIFS('Futures Data'!$C$5:$C$3471,'Futures Data'!$A$5:$A$3471,A237,'Futures Data'!$B$5:$B$3471,E237)</f>
        <v>6758</v>
      </c>
      <c r="H237" s="13" t="n">
        <f aca="false">LN(D237/C237)</f>
        <v>0.00664454271866851</v>
      </c>
      <c r="I237" s="13" t="n">
        <f aca="false">LN(G237/F237)</f>
        <v>-0.00162637723437236</v>
      </c>
      <c r="J237" s="3" t="str">
        <f aca="false">IF(A237&lt;='Results &amp; Charts'!$C$5,"In-sample","Out-of-sample")</f>
        <v>In-sample</v>
      </c>
      <c r="K237" s="13" t="n">
        <f aca="false">H237-'Results &amp; Charts'!$C$9*I237</f>
        <v>0.00764243474120683</v>
      </c>
      <c r="L237" s="13" t="n">
        <f aca="false">H237-I237</f>
        <v>0.00827091995304087</v>
      </c>
      <c r="M237" s="15" t="n">
        <v>0.432649540028109</v>
      </c>
      <c r="N237" s="13" t="n">
        <f aca="false">H237-M237*I237</f>
        <v>0.0073481940810319</v>
      </c>
      <c r="O237" s="16" t="n">
        <f aca="false">'Results &amp; Charts'!$C$9</f>
        <v>0.613567382430444</v>
      </c>
    </row>
    <row r="238" customFormat="false" ht="15" hidden="false" customHeight="false" outlineLevel="0" collapsed="false">
      <c r="A238" s="14" t="n">
        <f aca="false">'Roll Schedule'!A496</f>
        <v>45859</v>
      </c>
      <c r="B238" s="14" t="n">
        <f aca="false">'Roll Schedule'!A495</f>
        <v>45856</v>
      </c>
      <c r="C238" s="3" t="n">
        <f aca="false">SUMIFS('Spot Data'!$E$5:$E$651,'Spot Data'!$A$5:$A$651,B238,'Spot Data'!$H$5:$H$651,"YES")</f>
        <v>7550</v>
      </c>
      <c r="D238" s="3" t="n">
        <f aca="false">SUMIFS('Spot Data'!$E$5:$E$651,'Spot Data'!$A$5:$A$651,A238,'Spot Data'!$H$5:$H$651,"YES")</f>
        <v>7550</v>
      </c>
      <c r="E238" s="14" t="n">
        <f aca="false">'Roll Schedule'!B496</f>
        <v>45889</v>
      </c>
      <c r="F238" s="3" t="n">
        <f aca="false">SUMIFS('Futures Data'!$C$5:$C$3471,'Futures Data'!$A$5:$A$3471,B238,'Futures Data'!$B$5:$B$3471,E238)</f>
        <v>6758</v>
      </c>
      <c r="G238" s="3" t="n">
        <f aca="false">SUMIFS('Futures Data'!$C$5:$C$3471,'Futures Data'!$A$5:$A$3471,A238,'Futures Data'!$B$5:$B$3471,E238)</f>
        <v>6682</v>
      </c>
      <c r="H238" s="13" t="n">
        <f aca="false">LN(D238/C238)</f>
        <v>0</v>
      </c>
      <c r="I238" s="13" t="n">
        <f aca="false">LN(G238/F238)</f>
        <v>-0.0113096443575334</v>
      </c>
      <c r="J238" s="3" t="str">
        <f aca="false">IF(A238&lt;='Results &amp; Charts'!$C$5,"In-sample","Out-of-sample")</f>
        <v>In-sample</v>
      </c>
      <c r="K238" s="13" t="n">
        <f aca="false">H238-'Results &amp; Charts'!$C$9*I238</f>
        <v>0.00693922888467103</v>
      </c>
      <c r="L238" s="13" t="n">
        <f aca="false">H238-I238</f>
        <v>0.0113096443575334</v>
      </c>
      <c r="M238" s="15" t="n">
        <v>0.450081204473596</v>
      </c>
      <c r="N238" s="13" t="n">
        <f aca="false">H238-M238*I238</f>
        <v>0.00509025835460665</v>
      </c>
      <c r="O238" s="16" t="n">
        <f aca="false">'Results &amp; Charts'!$C$9</f>
        <v>0.613567382430444</v>
      </c>
    </row>
    <row r="239" customFormat="false" ht="15" hidden="false" customHeight="false" outlineLevel="0" collapsed="false">
      <c r="A239" s="14" t="n">
        <f aca="false">'Roll Schedule'!A497</f>
        <v>45860</v>
      </c>
      <c r="B239" s="14" t="n">
        <f aca="false">'Roll Schedule'!A496</f>
        <v>45859</v>
      </c>
      <c r="C239" s="3" t="n">
        <f aca="false">SUMIFS('Spot Data'!$E$5:$E$651,'Spot Data'!$A$5:$A$651,B239,'Spot Data'!$H$5:$H$651,"YES")</f>
        <v>7550</v>
      </c>
      <c r="D239" s="3" t="n">
        <f aca="false">SUMIFS('Spot Data'!$E$5:$E$651,'Spot Data'!$A$5:$A$651,A239,'Spot Data'!$H$5:$H$651,"YES")</f>
        <v>7550</v>
      </c>
      <c r="E239" s="14" t="n">
        <f aca="false">'Roll Schedule'!B497</f>
        <v>45889</v>
      </c>
      <c r="F239" s="3" t="n">
        <f aca="false">SUMIFS('Futures Data'!$C$5:$C$3471,'Futures Data'!$A$5:$A$3471,B239,'Futures Data'!$B$5:$B$3471,E239)</f>
        <v>6682</v>
      </c>
      <c r="G239" s="3" t="n">
        <f aca="false">SUMIFS('Futures Data'!$C$5:$C$3471,'Futures Data'!$A$5:$A$3471,A239,'Futures Data'!$B$5:$B$3471,E239)</f>
        <v>6698</v>
      </c>
      <c r="H239" s="13" t="n">
        <f aca="false">LN(D239/C239)</f>
        <v>0</v>
      </c>
      <c r="I239" s="13" t="n">
        <f aca="false">LN(G239/F239)</f>
        <v>0.00239163043744804</v>
      </c>
      <c r="J239" s="3" t="str">
        <f aca="false">IF(A239&lt;='Results &amp; Charts'!$C$5,"In-sample","Out-of-sample")</f>
        <v>In-sample</v>
      </c>
      <c r="K239" s="13" t="n">
        <f aca="false">H239-'Results &amp; Charts'!$C$9*I239</f>
        <v>-0.00146742642724598</v>
      </c>
      <c r="L239" s="13" t="n">
        <f aca="false">H239-I239</f>
        <v>-0.00239163043744804</v>
      </c>
      <c r="M239" s="15" t="n">
        <v>0.355449234858571</v>
      </c>
      <c r="N239" s="13" t="n">
        <f aca="false">H239-M239*I239</f>
        <v>-0.000850103209055376</v>
      </c>
      <c r="O239" s="16" t="n">
        <f aca="false">'Results &amp; Charts'!$C$9</f>
        <v>0.613567382430444</v>
      </c>
    </row>
    <row r="240" customFormat="false" ht="15" hidden="false" customHeight="false" outlineLevel="0" collapsed="false">
      <c r="A240" s="14" t="n">
        <f aca="false">'Roll Schedule'!A498</f>
        <v>45861</v>
      </c>
      <c r="B240" s="14" t="n">
        <f aca="false">'Roll Schedule'!A497</f>
        <v>45860</v>
      </c>
      <c r="C240" s="3" t="n">
        <f aca="false">SUMIFS('Spot Data'!$E$5:$E$651,'Spot Data'!$A$5:$A$651,B240,'Spot Data'!$H$5:$H$651,"YES")</f>
        <v>7550</v>
      </c>
      <c r="D240" s="3" t="n">
        <f aca="false">SUMIFS('Spot Data'!$E$5:$E$651,'Spot Data'!$A$5:$A$651,A240,'Spot Data'!$H$5:$H$651,"YES")</f>
        <v>7650</v>
      </c>
      <c r="E240" s="14" t="n">
        <f aca="false">'Roll Schedule'!B498</f>
        <v>45889</v>
      </c>
      <c r="F240" s="3" t="n">
        <f aca="false">SUMIFS('Futures Data'!$C$5:$C$3471,'Futures Data'!$A$5:$A$3471,B240,'Futures Data'!$B$5:$B$3471,E240)</f>
        <v>6698</v>
      </c>
      <c r="G240" s="3" t="n">
        <f aca="false">SUMIFS('Futures Data'!$C$5:$C$3471,'Futures Data'!$A$5:$A$3471,A240,'Futures Data'!$B$5:$B$3471,E240)</f>
        <v>6686</v>
      </c>
      <c r="H240" s="13" t="n">
        <f aca="false">LN(D240/C240)</f>
        <v>0.0131580845775112</v>
      </c>
      <c r="I240" s="13" t="n">
        <f aca="false">LN(G240/F240)</f>
        <v>-0.001793186374106</v>
      </c>
      <c r="J240" s="3" t="str">
        <f aca="false">IF(A240&lt;='Results &amp; Charts'!$C$5,"In-sample","Out-of-sample")</f>
        <v>In-sample</v>
      </c>
      <c r="K240" s="13" t="n">
        <f aca="false">H240-'Results &amp; Charts'!$C$9*I240</f>
        <v>0.0142583252472814</v>
      </c>
      <c r="L240" s="13" t="n">
        <f aca="false">H240-I240</f>
        <v>0.0149512709516172</v>
      </c>
      <c r="M240" s="15" t="n">
        <v>0.375725313987183</v>
      </c>
      <c r="N240" s="13" t="n">
        <f aca="false">H240-M240*I240</f>
        <v>0.0138318300909597</v>
      </c>
      <c r="O240" s="16" t="n">
        <f aca="false">'Results &amp; Charts'!$C$9</f>
        <v>0.613567382430444</v>
      </c>
    </row>
    <row r="241" customFormat="false" ht="15" hidden="false" customHeight="false" outlineLevel="0" collapsed="false">
      <c r="A241" s="14" t="n">
        <f aca="false">'Roll Schedule'!A499</f>
        <v>45862</v>
      </c>
      <c r="B241" s="14" t="n">
        <f aca="false">'Roll Schedule'!A498</f>
        <v>45861</v>
      </c>
      <c r="C241" s="3" t="n">
        <f aca="false">SUMIFS('Spot Data'!$E$5:$E$651,'Spot Data'!$A$5:$A$651,B241,'Spot Data'!$H$5:$H$651,"YES")</f>
        <v>7650</v>
      </c>
      <c r="D241" s="3" t="n">
        <f aca="false">SUMIFS('Spot Data'!$E$5:$E$651,'Spot Data'!$A$5:$A$651,A241,'Spot Data'!$H$5:$H$651,"YES")</f>
        <v>7700</v>
      </c>
      <c r="E241" s="14" t="n">
        <f aca="false">'Roll Schedule'!B499</f>
        <v>45889</v>
      </c>
      <c r="F241" s="3" t="n">
        <f aca="false">SUMIFS('Futures Data'!$C$5:$C$3471,'Futures Data'!$A$5:$A$3471,B241,'Futures Data'!$B$5:$B$3471,E241)</f>
        <v>6686</v>
      </c>
      <c r="G241" s="3" t="n">
        <f aca="false">SUMIFS('Futures Data'!$C$5:$C$3471,'Futures Data'!$A$5:$A$3471,A241,'Futures Data'!$B$5:$B$3471,E241)</f>
        <v>6728</v>
      </c>
      <c r="H241" s="13" t="n">
        <f aca="false">LN(D241/C241)</f>
        <v>0.00651468102119367</v>
      </c>
      <c r="I241" s="13" t="n">
        <f aca="false">LN(G241/F241)</f>
        <v>0.0062621346727401</v>
      </c>
      <c r="J241" s="3" t="str">
        <f aca="false">IF(A241&lt;='Results &amp; Charts'!$C$5,"In-sample","Out-of-sample")</f>
        <v>In-sample</v>
      </c>
      <c r="K241" s="13" t="n">
        <f aca="false">H241-'Results &amp; Charts'!$C$9*I241</f>
        <v>0.0026724394416136</v>
      </c>
      <c r="L241" s="13" t="n">
        <f aca="false">H241-I241</f>
        <v>0.000252546348453572</v>
      </c>
      <c r="M241" s="15" t="n">
        <v>0.39097004924678</v>
      </c>
      <c r="N241" s="13" t="n">
        <f aca="false">H241-M241*I241</f>
        <v>0.00406637391980251</v>
      </c>
      <c r="O241" s="16" t="n">
        <f aca="false">'Results &amp; Charts'!$C$9</f>
        <v>0.613567382430444</v>
      </c>
    </row>
    <row r="242" customFormat="false" ht="15" hidden="false" customHeight="false" outlineLevel="0" collapsed="false">
      <c r="A242" s="14" t="n">
        <f aca="false">'Roll Schedule'!A500</f>
        <v>45863</v>
      </c>
      <c r="B242" s="14" t="n">
        <f aca="false">'Roll Schedule'!A499</f>
        <v>45862</v>
      </c>
      <c r="C242" s="3" t="n">
        <f aca="false">SUMIFS('Spot Data'!$E$5:$E$651,'Spot Data'!$A$5:$A$651,B242,'Spot Data'!$H$5:$H$651,"YES")</f>
        <v>7700</v>
      </c>
      <c r="D242" s="3" t="n">
        <f aca="false">SUMIFS('Spot Data'!$E$5:$E$651,'Spot Data'!$A$5:$A$651,A242,'Spot Data'!$H$5:$H$651,"YES")</f>
        <v>7700</v>
      </c>
      <c r="E242" s="14" t="n">
        <f aca="false">'Roll Schedule'!B500</f>
        <v>45889</v>
      </c>
      <c r="F242" s="3" t="n">
        <f aca="false">SUMIFS('Futures Data'!$C$5:$C$3471,'Futures Data'!$A$5:$A$3471,B242,'Futures Data'!$B$5:$B$3471,E242)</f>
        <v>6728</v>
      </c>
      <c r="G242" s="3" t="n">
        <f aca="false">SUMIFS('Futures Data'!$C$5:$C$3471,'Futures Data'!$A$5:$A$3471,A242,'Futures Data'!$B$5:$B$3471,E242)</f>
        <v>6709</v>
      </c>
      <c r="H242" s="13" t="n">
        <f aca="false">LN(D242/C242)</f>
        <v>0</v>
      </c>
      <c r="I242" s="13" t="n">
        <f aca="false">LN(G242/F242)</f>
        <v>-0.00282801408989597</v>
      </c>
      <c r="J242" s="3" t="str">
        <f aca="false">IF(A242&lt;='Results &amp; Charts'!$C$5,"In-sample","Out-of-sample")</f>
        <v>In-sample</v>
      </c>
      <c r="K242" s="13" t="n">
        <f aca="false">H242-'Results &amp; Charts'!$C$9*I242</f>
        <v>0.00173517720261389</v>
      </c>
      <c r="L242" s="13" t="n">
        <f aca="false">H242-I242</f>
        <v>0.00282801408989597</v>
      </c>
      <c r="M242" s="15" t="n">
        <v>0.392820012853152</v>
      </c>
      <c r="N242" s="13" t="n">
        <f aca="false">H242-M242*I242</f>
        <v>0.00111090053114183</v>
      </c>
      <c r="O242" s="16" t="n">
        <f aca="false">'Results &amp; Charts'!$C$9</f>
        <v>0.613567382430444</v>
      </c>
    </row>
    <row r="243" customFormat="false" ht="15" hidden="false" customHeight="false" outlineLevel="0" collapsed="false">
      <c r="A243" s="14" t="n">
        <f aca="false">'Roll Schedule'!A501</f>
        <v>45866</v>
      </c>
      <c r="B243" s="14" t="n">
        <f aca="false">'Roll Schedule'!A500</f>
        <v>45863</v>
      </c>
      <c r="C243" s="3" t="n">
        <f aca="false">SUMIFS('Spot Data'!$E$5:$E$651,'Spot Data'!$A$5:$A$651,B243,'Spot Data'!$H$5:$H$651,"YES")</f>
        <v>7700</v>
      </c>
      <c r="D243" s="3" t="n">
        <f aca="false">SUMIFS('Spot Data'!$E$5:$E$651,'Spot Data'!$A$5:$A$651,A243,'Spot Data'!$H$5:$H$651,"YES")</f>
        <v>7700</v>
      </c>
      <c r="E243" s="14" t="n">
        <f aca="false">'Roll Schedule'!B501</f>
        <v>45889</v>
      </c>
      <c r="F243" s="3" t="n">
        <f aca="false">SUMIFS('Futures Data'!$C$5:$C$3471,'Futures Data'!$A$5:$A$3471,B243,'Futures Data'!$B$5:$B$3471,E243)</f>
        <v>6709</v>
      </c>
      <c r="G243" s="3" t="n">
        <f aca="false">SUMIFS('Futures Data'!$C$5:$C$3471,'Futures Data'!$A$5:$A$3471,A243,'Futures Data'!$B$5:$B$3471,E243)</f>
        <v>6626</v>
      </c>
      <c r="H243" s="13" t="n">
        <f aca="false">LN(D243/C243)</f>
        <v>0</v>
      </c>
      <c r="I243" s="13" t="n">
        <f aca="false">LN(G243/F243)</f>
        <v>-0.0124486047030469</v>
      </c>
      <c r="J243" s="3" t="str">
        <f aca="false">IF(A243&lt;='Results &amp; Charts'!$C$5,"In-sample","Out-of-sample")</f>
        <v>In-sample</v>
      </c>
      <c r="K243" s="13" t="n">
        <f aca="false">H243-'Results &amp; Charts'!$C$9*I243</f>
        <v>0.00763805780255979</v>
      </c>
      <c r="L243" s="13" t="n">
        <f aca="false">H243-I243</f>
        <v>0.0124486047030469</v>
      </c>
      <c r="M243" s="15" t="n">
        <v>0.411045711159192</v>
      </c>
      <c r="N243" s="13" t="n">
        <f aca="false">H243-M243*I243</f>
        <v>0.00511694557310356</v>
      </c>
      <c r="O243" s="16" t="n">
        <f aca="false">'Results &amp; Charts'!$C$9</f>
        <v>0.613567382430444</v>
      </c>
    </row>
    <row r="244" customFormat="false" ht="15" hidden="false" customHeight="false" outlineLevel="0" collapsed="false">
      <c r="A244" s="14" t="n">
        <f aca="false">'Roll Schedule'!A502</f>
        <v>45867</v>
      </c>
      <c r="B244" s="14" t="n">
        <f aca="false">'Roll Schedule'!A501</f>
        <v>45866</v>
      </c>
      <c r="C244" s="3" t="n">
        <f aca="false">SUMIFS('Spot Data'!$E$5:$E$651,'Spot Data'!$A$5:$A$651,B244,'Spot Data'!$H$5:$H$651,"YES")</f>
        <v>7700</v>
      </c>
      <c r="D244" s="3" t="n">
        <f aca="false">SUMIFS('Spot Data'!$E$5:$E$651,'Spot Data'!$A$5:$A$651,A244,'Spot Data'!$H$5:$H$651,"YES")</f>
        <v>7550</v>
      </c>
      <c r="E244" s="14" t="n">
        <f aca="false">'Roll Schedule'!B502</f>
        <v>45889</v>
      </c>
      <c r="F244" s="3" t="n">
        <f aca="false">SUMIFS('Futures Data'!$C$5:$C$3471,'Futures Data'!$A$5:$A$3471,B244,'Futures Data'!$B$5:$B$3471,E244)</f>
        <v>6626</v>
      </c>
      <c r="G244" s="3" t="n">
        <f aca="false">SUMIFS('Futures Data'!$C$5:$C$3471,'Futures Data'!$A$5:$A$3471,A244,'Futures Data'!$B$5:$B$3471,E244)</f>
        <v>6602</v>
      </c>
      <c r="H244" s="13" t="n">
        <f aca="false">LN(D244/C244)</f>
        <v>-0.0196727655987048</v>
      </c>
      <c r="I244" s="13" t="n">
        <f aca="false">LN(G244/F244)</f>
        <v>-0.00362867044670283</v>
      </c>
      <c r="J244" s="3" t="str">
        <f aca="false">IF(A244&lt;='Results &amp; Charts'!$C$5,"In-sample","Out-of-sample")</f>
        <v>In-sample</v>
      </c>
      <c r="K244" s="13" t="n">
        <f aca="false">H244-'Results &amp; Charts'!$C$9*I244</f>
        <v>-0.0174463317710186</v>
      </c>
      <c r="L244" s="13" t="n">
        <f aca="false">H244-I244</f>
        <v>-0.0160440951520019</v>
      </c>
      <c r="M244" s="15" t="n">
        <v>0.31641369444283</v>
      </c>
      <c r="N244" s="13" t="n">
        <f aca="false">H244-M244*I244</f>
        <v>-0.018524604576748</v>
      </c>
      <c r="O244" s="16" t="n">
        <f aca="false">'Results &amp; Charts'!$C$9</f>
        <v>0.613567382430444</v>
      </c>
    </row>
    <row r="245" customFormat="false" ht="15" hidden="false" customHeight="false" outlineLevel="0" collapsed="false">
      <c r="A245" s="14" t="n">
        <f aca="false">'Roll Schedule'!A503</f>
        <v>45868</v>
      </c>
      <c r="B245" s="14" t="n">
        <f aca="false">'Roll Schedule'!A502</f>
        <v>45867</v>
      </c>
      <c r="C245" s="3" t="n">
        <f aca="false">SUMIFS('Spot Data'!$E$5:$E$651,'Spot Data'!$A$5:$A$651,B245,'Spot Data'!$H$5:$H$651,"YES")</f>
        <v>7550</v>
      </c>
      <c r="D245" s="3" t="n">
        <f aca="false">SUMIFS('Spot Data'!$E$5:$E$651,'Spot Data'!$A$5:$A$651,A245,'Spot Data'!$H$5:$H$651,"YES")</f>
        <v>7600</v>
      </c>
      <c r="E245" s="14" t="n">
        <f aca="false">'Roll Schedule'!B503</f>
        <v>45889</v>
      </c>
      <c r="F245" s="3" t="n">
        <f aca="false">SUMIFS('Futures Data'!$C$5:$C$3471,'Futures Data'!$A$5:$A$3471,B245,'Futures Data'!$B$5:$B$3471,E245)</f>
        <v>6602</v>
      </c>
      <c r="G245" s="3" t="n">
        <f aca="false">SUMIFS('Futures Data'!$C$5:$C$3471,'Futures Data'!$A$5:$A$3471,A245,'Futures Data'!$B$5:$B$3471,E245)</f>
        <v>6604</v>
      </c>
      <c r="H245" s="13" t="n">
        <f aca="false">LN(D245/C245)</f>
        <v>0.00660068403135209</v>
      </c>
      <c r="I245" s="13" t="n">
        <f aca="false">LN(G245/F245)</f>
        <v>0.000302892626880353</v>
      </c>
      <c r="J245" s="3" t="str">
        <f aca="false">IF(A245&lt;='Results &amp; Charts'!$C$5,"In-sample","Out-of-sample")</f>
        <v>In-sample</v>
      </c>
      <c r="K245" s="13" t="n">
        <f aca="false">H245-'Results &amp; Charts'!$C$9*I245</f>
        <v>0.00641483899511963</v>
      </c>
      <c r="L245" s="13" t="n">
        <f aca="false">H245-I245</f>
        <v>0.00629779140447174</v>
      </c>
      <c r="M245" s="15" t="n">
        <v>0.35749613152185</v>
      </c>
      <c r="N245" s="13" t="n">
        <f aca="false">H245-M245*I245</f>
        <v>0.00649240108897588</v>
      </c>
      <c r="O245" s="16" t="n">
        <f aca="false">'Results &amp; Charts'!$C$9</f>
        <v>0.613567382430444</v>
      </c>
    </row>
    <row r="246" customFormat="false" ht="15" hidden="false" customHeight="false" outlineLevel="0" collapsed="false">
      <c r="A246" s="14" t="n">
        <f aca="false">'Roll Schedule'!A504</f>
        <v>45869</v>
      </c>
      <c r="B246" s="14" t="n">
        <f aca="false">'Roll Schedule'!A503</f>
        <v>45868</v>
      </c>
      <c r="C246" s="3" t="n">
        <f aca="false">SUMIFS('Spot Data'!$E$5:$E$651,'Spot Data'!$A$5:$A$651,B246,'Spot Data'!$H$5:$H$651,"YES")</f>
        <v>7600</v>
      </c>
      <c r="D246" s="3" t="n">
        <f aca="false">SUMIFS('Spot Data'!$E$5:$E$651,'Spot Data'!$A$5:$A$651,A246,'Spot Data'!$H$5:$H$651,"YES")</f>
        <v>7600</v>
      </c>
      <c r="E246" s="14" t="n">
        <f aca="false">'Roll Schedule'!B504</f>
        <v>45889</v>
      </c>
      <c r="F246" s="3" t="n">
        <f aca="false">SUMIFS('Futures Data'!$C$5:$C$3471,'Futures Data'!$A$5:$A$3471,B246,'Futures Data'!$B$5:$B$3471,E246)</f>
        <v>6604</v>
      </c>
      <c r="G246" s="3" t="n">
        <f aca="false">SUMIFS('Futures Data'!$C$5:$C$3471,'Futures Data'!$A$5:$A$3471,A246,'Futures Data'!$B$5:$B$3471,E246)</f>
        <v>6641</v>
      </c>
      <c r="H246" s="13" t="n">
        <f aca="false">LN(D246/C246)</f>
        <v>0</v>
      </c>
      <c r="I246" s="13" t="n">
        <f aca="false">LN(G246/F246)</f>
        <v>0.00558702850069509</v>
      </c>
      <c r="J246" s="3" t="str">
        <f aca="false">IF(A246&lt;='Results &amp; Charts'!$C$5,"In-sample","Out-of-sample")</f>
        <v>In-sample</v>
      </c>
      <c r="K246" s="13" t="n">
        <f aca="false">H246-'Results &amp; Charts'!$C$9*I246</f>
        <v>-0.00342801845273578</v>
      </c>
      <c r="L246" s="13" t="n">
        <f aca="false">H246-I246</f>
        <v>-0.00558702850069509</v>
      </c>
      <c r="M246" s="15" t="n">
        <v>0.385850931040873</v>
      </c>
      <c r="N246" s="13" t="n">
        <f aca="false">H246-M246*I246</f>
        <v>-0.00215576014874509</v>
      </c>
      <c r="O246" s="16" t="n">
        <f aca="false">'Results &amp; Charts'!$C$9</f>
        <v>0.613567382430444</v>
      </c>
    </row>
    <row r="247" customFormat="false" ht="15" hidden="false" customHeight="false" outlineLevel="0" collapsed="false">
      <c r="A247" s="14" t="n">
        <f aca="false">'Roll Schedule'!A505</f>
        <v>45870</v>
      </c>
      <c r="B247" s="14" t="n">
        <f aca="false">'Roll Schedule'!A504</f>
        <v>45869</v>
      </c>
      <c r="C247" s="3" t="n">
        <f aca="false">SUMIFS('Spot Data'!$E$5:$E$651,'Spot Data'!$A$5:$A$651,B247,'Spot Data'!$H$5:$H$651,"YES")</f>
        <v>7600</v>
      </c>
      <c r="D247" s="3" t="n">
        <f aca="false">SUMIFS('Spot Data'!$E$5:$E$651,'Spot Data'!$A$5:$A$651,A247,'Spot Data'!$H$5:$H$651,"YES")</f>
        <v>7550</v>
      </c>
      <c r="E247" s="14" t="n">
        <f aca="false">'Roll Schedule'!B505</f>
        <v>45889</v>
      </c>
      <c r="F247" s="3" t="n">
        <f aca="false">SUMIFS('Futures Data'!$C$5:$C$3471,'Futures Data'!$A$5:$A$3471,B247,'Futures Data'!$B$5:$B$3471,E247)</f>
        <v>6641</v>
      </c>
      <c r="G247" s="3" t="n">
        <f aca="false">SUMIFS('Futures Data'!$C$5:$C$3471,'Futures Data'!$A$5:$A$3471,A247,'Futures Data'!$B$5:$B$3471,E247)</f>
        <v>6619</v>
      </c>
      <c r="H247" s="13" t="n">
        <f aca="false">LN(D247/C247)</f>
        <v>-0.00660068403135202</v>
      </c>
      <c r="I247" s="13" t="n">
        <f aca="false">LN(G247/F247)</f>
        <v>-0.00331825342179086</v>
      </c>
      <c r="J247" s="3" t="str">
        <f aca="false">IF(A247&lt;='Results &amp; Charts'!$C$5,"In-sample","Out-of-sample")</f>
        <v>In-sample</v>
      </c>
      <c r="K247" s="13" t="n">
        <f aca="false">H247-'Results &amp; Charts'!$C$9*I247</f>
        <v>-0.00456471196510294</v>
      </c>
      <c r="L247" s="13" t="n">
        <f aca="false">H247-I247</f>
        <v>-0.00328243060956116</v>
      </c>
      <c r="M247" s="15" t="n">
        <v>0.381985089350367</v>
      </c>
      <c r="N247" s="13" t="n">
        <f aca="false">H247-M247*I247</f>
        <v>-0.00533316070154208</v>
      </c>
      <c r="O247" s="16" t="n">
        <f aca="false">'Results &amp; Charts'!$C$9</f>
        <v>0.613567382430444</v>
      </c>
    </row>
    <row r="248" customFormat="false" ht="15" hidden="false" customHeight="false" outlineLevel="0" collapsed="false">
      <c r="A248" s="14" t="n">
        <f aca="false">'Roll Schedule'!A506</f>
        <v>45873</v>
      </c>
      <c r="B248" s="14" t="n">
        <f aca="false">'Roll Schedule'!A505</f>
        <v>45870</v>
      </c>
      <c r="C248" s="3" t="n">
        <f aca="false">SUMIFS('Spot Data'!$E$5:$E$651,'Spot Data'!$A$5:$A$651,B248,'Spot Data'!$H$5:$H$651,"YES")</f>
        <v>7550</v>
      </c>
      <c r="D248" s="3" t="n">
        <f aca="false">SUMIFS('Spot Data'!$E$5:$E$651,'Spot Data'!$A$5:$A$651,A248,'Spot Data'!$H$5:$H$651,"YES")</f>
        <v>7550</v>
      </c>
      <c r="E248" s="14" t="n">
        <f aca="false">'Roll Schedule'!B506</f>
        <v>45889</v>
      </c>
      <c r="F248" s="3" t="n">
        <f aca="false">SUMIFS('Futures Data'!$C$5:$C$3471,'Futures Data'!$A$5:$A$3471,B248,'Futures Data'!$B$5:$B$3471,E248)</f>
        <v>6619</v>
      </c>
      <c r="G248" s="3" t="n">
        <f aca="false">SUMIFS('Futures Data'!$C$5:$C$3471,'Futures Data'!$A$5:$A$3471,A248,'Futures Data'!$B$5:$B$3471,E248)</f>
        <v>6595</v>
      </c>
      <c r="H248" s="13" t="n">
        <f aca="false">LN(D248/C248)</f>
        <v>0</v>
      </c>
      <c r="I248" s="13" t="n">
        <f aca="false">LN(G248/F248)</f>
        <v>-0.0036325149675078</v>
      </c>
      <c r="J248" s="3" t="str">
        <f aca="false">IF(A248&lt;='Results &amp; Charts'!$C$5,"In-sample","Out-of-sample")</f>
        <v>In-sample</v>
      </c>
      <c r="K248" s="13" t="n">
        <f aca="false">H248-'Results &amp; Charts'!$C$9*I248</f>
        <v>0.00222879270025317</v>
      </c>
      <c r="L248" s="13" t="n">
        <f aca="false">H248-I248</f>
        <v>0.0036325149675078</v>
      </c>
      <c r="M248" s="15" t="n">
        <v>0.406938700322424</v>
      </c>
      <c r="N248" s="13" t="n">
        <f aca="false">H248-M248*I248</f>
        <v>0.00147821091977937</v>
      </c>
      <c r="O248" s="16" t="n">
        <f aca="false">'Results &amp; Charts'!$C$9</f>
        <v>0.613567382430444</v>
      </c>
    </row>
    <row r="249" customFormat="false" ht="15" hidden="false" customHeight="false" outlineLevel="0" collapsed="false">
      <c r="A249" s="14" t="n">
        <f aca="false">'Roll Schedule'!A507</f>
        <v>45874</v>
      </c>
      <c r="B249" s="14" t="n">
        <f aca="false">'Roll Schedule'!A506</f>
        <v>45873</v>
      </c>
      <c r="C249" s="3" t="n">
        <f aca="false">SUMIFS('Spot Data'!$E$5:$E$651,'Spot Data'!$A$5:$A$651,B249,'Spot Data'!$H$5:$H$651,"YES")</f>
        <v>7550</v>
      </c>
      <c r="D249" s="3" t="n">
        <f aca="false">SUMIFS('Spot Data'!$E$5:$E$651,'Spot Data'!$A$5:$A$651,A249,'Spot Data'!$H$5:$H$651,"YES")</f>
        <v>7550</v>
      </c>
      <c r="E249" s="14" t="n">
        <f aca="false">'Roll Schedule'!B507</f>
        <v>45889</v>
      </c>
      <c r="F249" s="3" t="n">
        <f aca="false">SUMIFS('Futures Data'!$C$5:$C$3471,'Futures Data'!$A$5:$A$3471,B249,'Futures Data'!$B$5:$B$3471,E249)</f>
        <v>6595</v>
      </c>
      <c r="G249" s="3" t="n">
        <f aca="false">SUMIFS('Futures Data'!$C$5:$C$3471,'Futures Data'!$A$5:$A$3471,A249,'Futures Data'!$B$5:$B$3471,E249)</f>
        <v>6594</v>
      </c>
      <c r="H249" s="13" t="n">
        <f aca="false">LN(D249/C249)</f>
        <v>0</v>
      </c>
      <c r="I249" s="13" t="n">
        <f aca="false">LN(G249/F249)</f>
        <v>-0.000151641519738649</v>
      </c>
      <c r="J249" s="3" t="str">
        <f aca="false">IF(A249&lt;='Results &amp; Charts'!$C$5,"In-sample","Out-of-sample")</f>
        <v>In-sample</v>
      </c>
      <c r="K249" s="13" t="n">
        <f aca="false">H249-'Results &amp; Charts'!$C$9*I249</f>
        <v>9.30422903338172E-005</v>
      </c>
      <c r="L249" s="13" t="n">
        <f aca="false">H249-I249</f>
        <v>0.000151641519738649</v>
      </c>
      <c r="M249" s="15" t="n">
        <v>0.420359172000284</v>
      </c>
      <c r="N249" s="13" t="n">
        <f aca="false">H249-M249*I249</f>
        <v>6.3743903678203E-005</v>
      </c>
      <c r="O249" s="16" t="n">
        <f aca="false">'Results &amp; Charts'!$C$9</f>
        <v>0.613567382430444</v>
      </c>
    </row>
    <row r="250" customFormat="false" ht="15" hidden="false" customHeight="false" outlineLevel="0" collapsed="false">
      <c r="A250" s="14" t="n">
        <f aca="false">'Roll Schedule'!A508</f>
        <v>45875</v>
      </c>
      <c r="B250" s="14" t="n">
        <f aca="false">'Roll Schedule'!A507</f>
        <v>45874</v>
      </c>
      <c r="C250" s="3" t="n">
        <f aca="false">SUMIFS('Spot Data'!$E$5:$E$651,'Spot Data'!$A$5:$A$651,B250,'Spot Data'!$H$5:$H$651,"YES")</f>
        <v>7550</v>
      </c>
      <c r="D250" s="3" t="n">
        <f aca="false">SUMIFS('Spot Data'!$E$5:$E$651,'Spot Data'!$A$5:$A$651,A250,'Spot Data'!$H$5:$H$651,"YES")</f>
        <v>7550</v>
      </c>
      <c r="E250" s="14" t="n">
        <f aca="false">'Roll Schedule'!B508</f>
        <v>45889</v>
      </c>
      <c r="F250" s="3" t="n">
        <f aca="false">SUMIFS('Futures Data'!$C$5:$C$3471,'Futures Data'!$A$5:$A$3471,B250,'Futures Data'!$B$5:$B$3471,E250)</f>
        <v>6594</v>
      </c>
      <c r="G250" s="3" t="n">
        <f aca="false">SUMIFS('Futures Data'!$C$5:$C$3471,'Futures Data'!$A$5:$A$3471,A250,'Futures Data'!$B$5:$B$3471,E250)</f>
        <v>6632</v>
      </c>
      <c r="H250" s="13" t="n">
        <f aca="false">LN(D250/C250)</f>
        <v>0</v>
      </c>
      <c r="I250" s="13" t="n">
        <f aca="false">LN(G250/F250)</f>
        <v>0.00574627318345457</v>
      </c>
      <c r="J250" s="3" t="str">
        <f aca="false">IF(A250&lt;='Results &amp; Charts'!$C$5,"In-sample","Out-of-sample")</f>
        <v>In-sample</v>
      </c>
      <c r="K250" s="13" t="n">
        <f aca="false">H250-'Results &amp; Charts'!$C$9*I250</f>
        <v>-0.00352572579590248</v>
      </c>
      <c r="L250" s="13" t="n">
        <f aca="false">H250-I250</f>
        <v>-0.00574627318345457</v>
      </c>
      <c r="M250" s="15" t="n">
        <v>0.44405545147642</v>
      </c>
      <c r="N250" s="13" t="n">
        <f aca="false">H250-M250*I250</f>
        <v>-0.00255166393278576</v>
      </c>
      <c r="O250" s="16" t="n">
        <f aca="false">'Results &amp; Charts'!$C$9</f>
        <v>0.613567382430444</v>
      </c>
    </row>
    <row r="251" customFormat="false" ht="15" hidden="false" customHeight="false" outlineLevel="0" collapsed="false">
      <c r="A251" s="14" t="n">
        <f aca="false">'Roll Schedule'!A509</f>
        <v>45876</v>
      </c>
      <c r="B251" s="14" t="n">
        <f aca="false">'Roll Schedule'!A508</f>
        <v>45875</v>
      </c>
      <c r="C251" s="3" t="n">
        <f aca="false">SUMIFS('Spot Data'!$E$5:$E$651,'Spot Data'!$A$5:$A$651,B251,'Spot Data'!$H$5:$H$651,"YES")</f>
        <v>7550</v>
      </c>
      <c r="D251" s="3" t="n">
        <f aca="false">SUMIFS('Spot Data'!$E$5:$E$651,'Spot Data'!$A$5:$A$651,A251,'Spot Data'!$H$5:$H$651,"YES")</f>
        <v>7550</v>
      </c>
      <c r="E251" s="14" t="n">
        <f aca="false">'Roll Schedule'!B509</f>
        <v>45889</v>
      </c>
      <c r="F251" s="3" t="n">
        <f aca="false">SUMIFS('Futures Data'!$C$5:$C$3471,'Futures Data'!$A$5:$A$3471,B251,'Futures Data'!$B$5:$B$3471,E251)</f>
        <v>6632</v>
      </c>
      <c r="G251" s="3" t="n">
        <f aca="false">SUMIFS('Futures Data'!$C$5:$C$3471,'Futures Data'!$A$5:$A$3471,A251,'Futures Data'!$B$5:$B$3471,E251)</f>
        <v>6638</v>
      </c>
      <c r="H251" s="13" t="n">
        <f aca="false">LN(D251/C251)</f>
        <v>0</v>
      </c>
      <c r="I251" s="13" t="n">
        <f aca="false">LN(G251/F251)</f>
        <v>0.000904295464789006</v>
      </c>
      <c r="J251" s="3" t="str">
        <f aca="false">IF(A251&lt;='Results &amp; Charts'!$C$5,"In-sample","Out-of-sample")</f>
        <v>In-sample</v>
      </c>
      <c r="K251" s="13" t="n">
        <f aca="false">H251-'Results &amp; Charts'!$C$9*I251</f>
        <v>-0.000554846201274312</v>
      </c>
      <c r="L251" s="13" t="n">
        <f aca="false">H251-I251</f>
        <v>-0.000904295464789006</v>
      </c>
      <c r="M251" s="15" t="n">
        <v>0.425593666310663</v>
      </c>
      <c r="N251" s="13" t="n">
        <f aca="false">H251-M251*I251</f>
        <v>-0.000384862422287658</v>
      </c>
      <c r="O251" s="16" t="n">
        <f aca="false">'Results &amp; Charts'!$C$9</f>
        <v>0.613567382430444</v>
      </c>
    </row>
    <row r="252" customFormat="false" ht="15" hidden="false" customHeight="false" outlineLevel="0" collapsed="false">
      <c r="A252" s="14" t="n">
        <f aca="false">'Roll Schedule'!A510</f>
        <v>45877</v>
      </c>
      <c r="B252" s="14" t="n">
        <f aca="false">'Roll Schedule'!A509</f>
        <v>45876</v>
      </c>
      <c r="C252" s="3" t="n">
        <f aca="false">SUMIFS('Spot Data'!$E$5:$E$651,'Spot Data'!$A$5:$A$651,B252,'Spot Data'!$H$5:$H$651,"YES")</f>
        <v>7550</v>
      </c>
      <c r="D252" s="3" t="n">
        <f aca="false">SUMIFS('Spot Data'!$E$5:$E$651,'Spot Data'!$A$5:$A$651,A252,'Spot Data'!$H$5:$H$651,"YES")</f>
        <v>7650</v>
      </c>
      <c r="E252" s="14" t="n">
        <f aca="false">'Roll Schedule'!B510</f>
        <v>45919</v>
      </c>
      <c r="F252" s="3" t="n">
        <f aca="false">SUMIFS('Futures Data'!$C$5:$C$3471,'Futures Data'!$A$5:$A$3471,B252,'Futures Data'!$B$5:$B$3471,E252)</f>
        <v>6704</v>
      </c>
      <c r="G252" s="3" t="n">
        <f aca="false">SUMIFS('Futures Data'!$C$5:$C$3471,'Futures Data'!$A$5:$A$3471,A252,'Futures Data'!$B$5:$B$3471,E252)</f>
        <v>6684</v>
      </c>
      <c r="H252" s="13" t="n">
        <f aca="false">LN(D252/C252)</f>
        <v>0.0131580845775112</v>
      </c>
      <c r="I252" s="13" t="n">
        <f aca="false">LN(G252/F252)</f>
        <v>-0.00298775244663467</v>
      </c>
      <c r="J252" s="3" t="str">
        <f aca="false">IF(A252&lt;='Results &amp; Charts'!$C$5,"In-sample","Out-of-sample")</f>
        <v>In-sample</v>
      </c>
      <c r="K252" s="13" t="n">
        <f aca="false">H252-'Results &amp; Charts'!$C$9*I252</f>
        <v>0.014991272025543</v>
      </c>
      <c r="L252" s="13" t="n">
        <f aca="false">H252-I252</f>
        <v>0.0161458370241459</v>
      </c>
      <c r="M252" s="15" t="n">
        <v>0.446959720098628</v>
      </c>
      <c r="N252" s="13" t="n">
        <f aca="false">H252-M252*I252</f>
        <v>0.014493489574783</v>
      </c>
      <c r="O252" s="16" t="n">
        <f aca="false">'Results &amp; Charts'!$C$9</f>
        <v>0.613567382430444</v>
      </c>
    </row>
    <row r="253" customFormat="false" ht="15" hidden="false" customHeight="false" outlineLevel="0" collapsed="false">
      <c r="A253" s="14" t="n">
        <f aca="false">'Roll Schedule'!A511</f>
        <v>45880</v>
      </c>
      <c r="B253" s="14" t="n">
        <f aca="false">'Roll Schedule'!A510</f>
        <v>45877</v>
      </c>
      <c r="C253" s="3" t="n">
        <f aca="false">SUMIFS('Spot Data'!$E$5:$E$651,'Spot Data'!$A$5:$A$651,B253,'Spot Data'!$H$5:$H$651,"YES")</f>
        <v>7650</v>
      </c>
      <c r="D253" s="3" t="n">
        <f aca="false">SUMIFS('Spot Data'!$E$5:$E$651,'Spot Data'!$A$5:$A$651,A253,'Spot Data'!$H$5:$H$651,"YES")</f>
        <v>7750</v>
      </c>
      <c r="E253" s="14" t="n">
        <f aca="false">'Roll Schedule'!B511</f>
        <v>45919</v>
      </c>
      <c r="F253" s="3" t="n">
        <f aca="false">SUMIFS('Futures Data'!$C$5:$C$3471,'Futures Data'!$A$5:$A$3471,B253,'Futures Data'!$B$5:$B$3471,E253)</f>
        <v>6684</v>
      </c>
      <c r="G253" s="3" t="n">
        <f aca="false">SUMIFS('Futures Data'!$C$5:$C$3471,'Futures Data'!$A$5:$A$3471,A253,'Futures Data'!$B$5:$B$3471,E253)</f>
        <v>6655</v>
      </c>
      <c r="H253" s="13" t="n">
        <f aca="false">LN(D253/C253)</f>
        <v>0.0129871955268111</v>
      </c>
      <c r="I253" s="13" t="n">
        <f aca="false">LN(G253/F253)</f>
        <v>-0.00434815888607238</v>
      </c>
      <c r="J253" s="3" t="str">
        <f aca="false">IF(A253&lt;='Results &amp; Charts'!$C$5,"In-sample","Out-of-sample")</f>
        <v>In-sample</v>
      </c>
      <c r="K253" s="13" t="n">
        <f aca="false">H253-'Results &amp; Charts'!$C$9*I253</f>
        <v>0.0156550839929302</v>
      </c>
      <c r="L253" s="13" t="n">
        <f aca="false">H253-I253</f>
        <v>0.0173353544128835</v>
      </c>
      <c r="M253" s="15" t="n">
        <v>0.442919138374851</v>
      </c>
      <c r="N253" s="13" t="n">
        <f aca="false">H253-M253*I253</f>
        <v>0.0149130783141472</v>
      </c>
      <c r="O253" s="16" t="n">
        <f aca="false">'Results &amp; Charts'!$C$9</f>
        <v>0.613567382430444</v>
      </c>
    </row>
    <row r="254" customFormat="false" ht="15" hidden="false" customHeight="false" outlineLevel="0" collapsed="false">
      <c r="A254" s="14" t="n">
        <f aca="false">'Roll Schedule'!A512</f>
        <v>45881</v>
      </c>
      <c r="B254" s="14" t="n">
        <f aca="false">'Roll Schedule'!A511</f>
        <v>45880</v>
      </c>
      <c r="C254" s="3" t="n">
        <f aca="false">SUMIFS('Spot Data'!$E$5:$E$651,'Spot Data'!$A$5:$A$651,B254,'Spot Data'!$H$5:$H$651,"YES")</f>
        <v>7750</v>
      </c>
      <c r="D254" s="3" t="n">
        <f aca="false">SUMIFS('Spot Data'!$E$5:$E$651,'Spot Data'!$A$5:$A$651,A254,'Spot Data'!$H$5:$H$651,"YES")</f>
        <v>7650</v>
      </c>
      <c r="E254" s="14" t="n">
        <f aca="false">'Roll Schedule'!B512</f>
        <v>45919</v>
      </c>
      <c r="F254" s="3" t="n">
        <f aca="false">SUMIFS('Futures Data'!$C$5:$C$3471,'Futures Data'!$A$5:$A$3471,B254,'Futures Data'!$B$5:$B$3471,E254)</f>
        <v>6655</v>
      </c>
      <c r="G254" s="3" t="n">
        <f aca="false">SUMIFS('Futures Data'!$C$5:$C$3471,'Futures Data'!$A$5:$A$3471,A254,'Futures Data'!$B$5:$B$3471,E254)</f>
        <v>6617</v>
      </c>
      <c r="H254" s="13" t="n">
        <f aca="false">LN(D254/C254)</f>
        <v>-0.0129871955268112</v>
      </c>
      <c r="I254" s="13" t="n">
        <f aca="false">LN(G254/F254)</f>
        <v>-0.00572635681715254</v>
      </c>
      <c r="J254" s="3" t="str">
        <f aca="false">IF(A254&lt;='Results &amp; Charts'!$C$5,"In-sample","Out-of-sample")</f>
        <v>In-sample</v>
      </c>
      <c r="K254" s="13" t="n">
        <f aca="false">H254-'Results &amp; Charts'!$C$9*I254</f>
        <v>-0.00947368976364818</v>
      </c>
      <c r="L254" s="13" t="n">
        <f aca="false">H254-I254</f>
        <v>-0.00726083870965865</v>
      </c>
      <c r="M254" s="15" t="n">
        <v>0.417741064736798</v>
      </c>
      <c r="N254" s="13" t="n">
        <f aca="false">H254-M254*I254</f>
        <v>-0.0105950611329511</v>
      </c>
      <c r="O254" s="16" t="n">
        <f aca="false">'Results &amp; Charts'!$C$9</f>
        <v>0.613567382430444</v>
      </c>
    </row>
    <row r="255" customFormat="false" ht="15" hidden="false" customHeight="false" outlineLevel="0" collapsed="false">
      <c r="A255" s="14" t="n">
        <f aca="false">'Roll Schedule'!A513</f>
        <v>45882</v>
      </c>
      <c r="B255" s="14" t="n">
        <f aca="false">'Roll Schedule'!A512</f>
        <v>45881</v>
      </c>
      <c r="C255" s="3" t="n">
        <f aca="false">SUMIFS('Spot Data'!$E$5:$E$651,'Spot Data'!$A$5:$A$651,B255,'Spot Data'!$H$5:$H$651,"YES")</f>
        <v>7650</v>
      </c>
      <c r="D255" s="3" t="n">
        <f aca="false">SUMIFS('Spot Data'!$E$5:$E$651,'Spot Data'!$A$5:$A$651,A255,'Spot Data'!$H$5:$H$651,"YES")</f>
        <v>7625</v>
      </c>
      <c r="E255" s="14" t="n">
        <f aca="false">'Roll Schedule'!B513</f>
        <v>45919</v>
      </c>
      <c r="F255" s="3" t="n">
        <f aca="false">SUMIFS('Futures Data'!$C$5:$C$3471,'Futures Data'!$A$5:$A$3471,B255,'Futures Data'!$B$5:$B$3471,E255)</f>
        <v>6617</v>
      </c>
      <c r="G255" s="3" t="n">
        <f aca="false">SUMIFS('Futures Data'!$C$5:$C$3471,'Futures Data'!$A$5:$A$3471,A255,'Futures Data'!$B$5:$B$3471,E255)</f>
        <v>6605</v>
      </c>
      <c r="H255" s="13" t="n">
        <f aca="false">LN(D255/C255)</f>
        <v>-0.00327332534496914</v>
      </c>
      <c r="I255" s="13" t="n">
        <f aca="false">LN(G255/F255)</f>
        <v>-0.00181515705563376</v>
      </c>
      <c r="J255" s="3" t="str">
        <f aca="false">IF(A255&lt;='Results &amp; Charts'!$C$5,"In-sample","Out-of-sample")</f>
        <v>In-sample</v>
      </c>
      <c r="K255" s="13" t="n">
        <f aca="false">H255-'Results &amp; Charts'!$C$9*I255</f>
        <v>-0.00215960418164378</v>
      </c>
      <c r="L255" s="13" t="n">
        <f aca="false">H255-I255</f>
        <v>-0.00145816828933537</v>
      </c>
      <c r="M255" s="15" t="n">
        <v>0.435333870317398</v>
      </c>
      <c r="N255" s="13" t="n">
        <f aca="false">H255-M255*I255</f>
        <v>-0.00248312599870616</v>
      </c>
      <c r="O255" s="16" t="n">
        <f aca="false">'Results &amp; Charts'!$C$9</f>
        <v>0.613567382430444</v>
      </c>
    </row>
    <row r="256" customFormat="false" ht="15" hidden="false" customHeight="false" outlineLevel="0" collapsed="false">
      <c r="A256" s="14" t="n">
        <f aca="false">'Roll Schedule'!A514</f>
        <v>45883</v>
      </c>
      <c r="B256" s="14" t="n">
        <f aca="false">'Roll Schedule'!A513</f>
        <v>45882</v>
      </c>
      <c r="C256" s="3" t="n">
        <f aca="false">SUMIFS('Spot Data'!$E$5:$E$651,'Spot Data'!$A$5:$A$651,B256,'Spot Data'!$H$5:$H$651,"YES")</f>
        <v>7625</v>
      </c>
      <c r="D256" s="3" t="n">
        <f aca="false">SUMIFS('Spot Data'!$E$5:$E$651,'Spot Data'!$A$5:$A$651,A256,'Spot Data'!$H$5:$H$651,"YES")</f>
        <v>7700</v>
      </c>
      <c r="E256" s="14" t="n">
        <f aca="false">'Roll Schedule'!B514</f>
        <v>45919</v>
      </c>
      <c r="F256" s="3" t="n">
        <f aca="false">SUMIFS('Futures Data'!$C$5:$C$3471,'Futures Data'!$A$5:$A$3471,B256,'Futures Data'!$B$5:$B$3471,E256)</f>
        <v>6605</v>
      </c>
      <c r="G256" s="3" t="n">
        <f aca="false">SUMIFS('Futures Data'!$C$5:$C$3471,'Futures Data'!$A$5:$A$3471,A256,'Futures Data'!$B$5:$B$3471,E256)</f>
        <v>6606</v>
      </c>
      <c r="H256" s="13" t="n">
        <f aca="false">LN(D256/C256)</f>
        <v>0.00978800636616294</v>
      </c>
      <c r="I256" s="13" t="n">
        <f aca="false">LN(G256/F256)</f>
        <v>0.000151388994309275</v>
      </c>
      <c r="J256" s="3" t="str">
        <f aca="false">IF(A256&lt;='Results &amp; Charts'!$C$5,"In-sample","Out-of-sample")</f>
        <v>In-sample</v>
      </c>
      <c r="K256" s="13" t="n">
        <f aca="false">H256-'Results &amp; Charts'!$C$9*I256</f>
        <v>0.00969511901719583</v>
      </c>
      <c r="L256" s="13" t="n">
        <f aca="false">H256-I256</f>
        <v>0.00963661737185367</v>
      </c>
      <c r="M256" s="15" t="n">
        <v>0.454898460746088</v>
      </c>
      <c r="N256" s="13" t="n">
        <f aca="false">H256-M256*I256</f>
        <v>0.00971913974567776</v>
      </c>
      <c r="O256" s="16" t="n">
        <f aca="false">'Results &amp; Charts'!$C$9</f>
        <v>0.613567382430444</v>
      </c>
    </row>
    <row r="257" customFormat="false" ht="15" hidden="false" customHeight="false" outlineLevel="0" collapsed="false">
      <c r="A257" s="14" t="n">
        <f aca="false">'Roll Schedule'!A515</f>
        <v>45887</v>
      </c>
      <c r="B257" s="14" t="n">
        <f aca="false">'Roll Schedule'!A514</f>
        <v>45883</v>
      </c>
      <c r="C257" s="3" t="n">
        <f aca="false">SUMIFS('Spot Data'!$E$5:$E$651,'Spot Data'!$A$5:$A$651,B257,'Spot Data'!$H$5:$H$651,"YES")</f>
        <v>7700</v>
      </c>
      <c r="D257" s="3" t="n">
        <f aca="false">SUMIFS('Spot Data'!$E$5:$E$651,'Spot Data'!$A$5:$A$651,A257,'Spot Data'!$H$5:$H$651,"YES")</f>
        <v>8000</v>
      </c>
      <c r="E257" s="14" t="n">
        <f aca="false">'Roll Schedule'!B515</f>
        <v>45919</v>
      </c>
      <c r="F257" s="3" t="n">
        <f aca="false">SUMIFS('Futures Data'!$C$5:$C$3471,'Futures Data'!$A$5:$A$3471,B257,'Futures Data'!$B$5:$B$3471,E257)</f>
        <v>6606</v>
      </c>
      <c r="G257" s="3" t="n">
        <f aca="false">SUMIFS('Futures Data'!$C$5:$C$3471,'Futures Data'!$A$5:$A$3471,A257,'Futures Data'!$B$5:$B$3471,E257)</f>
        <v>6643</v>
      </c>
      <c r="H257" s="13" t="n">
        <f aca="false">LN(D257/C257)</f>
        <v>0.0382212128201977</v>
      </c>
      <c r="I257" s="13" t="n">
        <f aca="false">LN(G257/F257)</f>
        <v>0.00558534171450627</v>
      </c>
      <c r="J257" s="3" t="str">
        <f aca="false">IF(A257&lt;='Results &amp; Charts'!$C$5,"In-sample","Out-of-sample")</f>
        <v>In-sample</v>
      </c>
      <c r="K257" s="13" t="n">
        <f aca="false">H257-'Results &amp; Charts'!$C$9*I257</f>
        <v>0.0347942293244485</v>
      </c>
      <c r="L257" s="13" t="n">
        <f aca="false">H257-I257</f>
        <v>0.0326358711056914</v>
      </c>
      <c r="M257" s="15" t="n">
        <v>0.47587763166548</v>
      </c>
      <c r="N257" s="13" t="n">
        <f aca="false">H257-M257*I257</f>
        <v>0.035563273633056</v>
      </c>
      <c r="O257" s="16" t="n">
        <f aca="false">'Results &amp; Charts'!$C$9</f>
        <v>0.613567382430444</v>
      </c>
    </row>
    <row r="258" customFormat="false" ht="15" hidden="false" customHeight="false" outlineLevel="0" collapsed="false">
      <c r="A258" s="14" t="n">
        <f aca="false">'Roll Schedule'!A518</f>
        <v>45890</v>
      </c>
      <c r="B258" s="14" t="n">
        <f aca="false">'Roll Schedule'!A517</f>
        <v>45889</v>
      </c>
      <c r="C258" s="3" t="n">
        <f aca="false">SUMIFS('Spot Data'!$E$5:$E$651,'Spot Data'!$A$5:$A$651,B258,'Spot Data'!$H$5:$H$651,"YES")</f>
        <v>8150</v>
      </c>
      <c r="D258" s="3" t="n">
        <f aca="false">SUMIFS('Spot Data'!$E$5:$E$651,'Spot Data'!$A$5:$A$651,A258,'Spot Data'!$H$5:$H$651,"YES")</f>
        <v>8150</v>
      </c>
      <c r="E258" s="14" t="n">
        <f aca="false">'Roll Schedule'!B518</f>
        <v>45919</v>
      </c>
      <c r="F258" s="3" t="n">
        <f aca="false">SUMIFS('Futures Data'!$C$5:$C$3471,'Futures Data'!$A$5:$A$3471,B258,'Futures Data'!$B$5:$B$3471,E258)</f>
        <v>6695</v>
      </c>
      <c r="G258" s="3" t="n">
        <f aca="false">SUMIFS('Futures Data'!$C$5:$C$3471,'Futures Data'!$A$5:$A$3471,A258,'Futures Data'!$B$5:$B$3471,E258)</f>
        <v>6698</v>
      </c>
      <c r="H258" s="13" t="n">
        <f aca="false">LN(D258/C258)</f>
        <v>0</v>
      </c>
      <c r="I258" s="13" t="n">
        <f aca="false">LN(G258/F258)</f>
        <v>0.000447995228877069</v>
      </c>
      <c r="J258" s="3" t="str">
        <f aca="false">IF(A258&lt;='Results &amp; Charts'!$C$5,"In-sample","Out-of-sample")</f>
        <v>In-sample</v>
      </c>
      <c r="K258" s="13" t="n">
        <f aca="false">H258-'Results &amp; Charts'!$C$9*I258</f>
        <v>-0.000274875259923431</v>
      </c>
      <c r="L258" s="13" t="n">
        <f aca="false">H258-I258</f>
        <v>-0.000447995228877069</v>
      </c>
      <c r="M258" s="15" t="n">
        <v>0.557031608311506</v>
      </c>
      <c r="N258" s="13" t="n">
        <f aca="false">H258-M258*I258</f>
        <v>-0.000249547502857275</v>
      </c>
      <c r="O258" s="16" t="n">
        <f aca="false">'Results &amp; Charts'!$C$9</f>
        <v>0.613567382430444</v>
      </c>
    </row>
    <row r="259" customFormat="false" ht="15" hidden="false" customHeight="false" outlineLevel="0" collapsed="false">
      <c r="A259" s="14" t="n">
        <f aca="false">'Roll Schedule'!A519</f>
        <v>45891</v>
      </c>
      <c r="B259" s="14" t="n">
        <f aca="false">'Roll Schedule'!A518</f>
        <v>45890</v>
      </c>
      <c r="C259" s="3" t="n">
        <f aca="false">SUMIFS('Spot Data'!$E$5:$E$651,'Spot Data'!$A$5:$A$651,B259,'Spot Data'!$H$5:$H$651,"YES")</f>
        <v>8150</v>
      </c>
      <c r="D259" s="3" t="n">
        <f aca="false">SUMIFS('Spot Data'!$E$5:$E$651,'Spot Data'!$A$5:$A$651,A259,'Spot Data'!$H$5:$H$651,"YES")</f>
        <v>8150</v>
      </c>
      <c r="E259" s="14" t="n">
        <f aca="false">'Roll Schedule'!B519</f>
        <v>45919</v>
      </c>
      <c r="F259" s="3" t="n">
        <f aca="false">SUMIFS('Futures Data'!$C$5:$C$3471,'Futures Data'!$A$5:$A$3471,B259,'Futures Data'!$B$5:$B$3471,E259)</f>
        <v>6698</v>
      </c>
      <c r="G259" s="3" t="n">
        <f aca="false">SUMIFS('Futures Data'!$C$5:$C$3471,'Futures Data'!$A$5:$A$3471,A259,'Futures Data'!$B$5:$B$3471,E259)</f>
        <v>6728</v>
      </c>
      <c r="H259" s="13" t="n">
        <f aca="false">LN(D259/C259)</f>
        <v>0</v>
      </c>
      <c r="I259" s="13" t="n">
        <f aca="false">LN(G259/F259)</f>
        <v>0.00446894829863413</v>
      </c>
      <c r="J259" s="3" t="str">
        <f aca="false">IF(A259&lt;='Results &amp; Charts'!$C$5,"In-sample","Out-of-sample")</f>
        <v>In-sample</v>
      </c>
      <c r="K259" s="13" t="n">
        <f aca="false">H259-'Results &amp; Charts'!$C$9*I259</f>
        <v>-0.00274200090980993</v>
      </c>
      <c r="L259" s="13" t="n">
        <f aca="false">H259-I259</f>
        <v>-0.00446894829863413</v>
      </c>
      <c r="M259" s="15" t="n">
        <v>0.575961971473809</v>
      </c>
      <c r="N259" s="13" t="n">
        <f aca="false">H259-M259*I259</f>
        <v>-0.00257394427249584</v>
      </c>
      <c r="O259" s="16" t="n">
        <f aca="false">'Results &amp; Charts'!$C$9</f>
        <v>0.613567382430444</v>
      </c>
    </row>
    <row r="260" customFormat="false" ht="15" hidden="false" customHeight="false" outlineLevel="0" collapsed="false">
      <c r="A260" s="14" t="n">
        <f aca="false">'Roll Schedule'!A520</f>
        <v>45894</v>
      </c>
      <c r="B260" s="14" t="n">
        <f aca="false">'Roll Schedule'!A519</f>
        <v>45891</v>
      </c>
      <c r="C260" s="3" t="n">
        <f aca="false">SUMIFS('Spot Data'!$E$5:$E$651,'Spot Data'!$A$5:$A$651,B260,'Spot Data'!$H$5:$H$651,"YES")</f>
        <v>8150</v>
      </c>
      <c r="D260" s="3" t="n">
        <f aca="false">SUMIFS('Spot Data'!$E$5:$E$651,'Spot Data'!$A$5:$A$651,A260,'Spot Data'!$H$5:$H$651,"YES")</f>
        <v>8300</v>
      </c>
      <c r="E260" s="14" t="n">
        <f aca="false">'Roll Schedule'!B520</f>
        <v>45919</v>
      </c>
      <c r="F260" s="3" t="n">
        <f aca="false">SUMIFS('Futures Data'!$C$5:$C$3471,'Futures Data'!$A$5:$A$3471,B260,'Futures Data'!$B$5:$B$3471,E260)</f>
        <v>6728</v>
      </c>
      <c r="G260" s="3" t="n">
        <f aca="false">SUMIFS('Futures Data'!$C$5:$C$3471,'Futures Data'!$A$5:$A$3471,A260,'Futures Data'!$B$5:$B$3471,E260)</f>
        <v>6694</v>
      </c>
      <c r="H260" s="13" t="n">
        <f aca="false">LN(D260/C260)</f>
        <v>0.0182375875497808</v>
      </c>
      <c r="I260" s="13" t="n">
        <f aca="false">LN(G260/F260)</f>
        <v>-0.00506631988151201</v>
      </c>
      <c r="J260" s="3" t="str">
        <f aca="false">IF(A260&lt;='Results &amp; Charts'!$C$5,"In-sample","Out-of-sample")</f>
        <v>In-sample</v>
      </c>
      <c r="K260" s="13" t="n">
        <f aca="false">H260-'Results &amp; Charts'!$C$9*I260</f>
        <v>0.0213461161780354</v>
      </c>
      <c r="L260" s="13" t="n">
        <f aca="false">H260-I260</f>
        <v>0.0233039074312928</v>
      </c>
      <c r="M260" s="15" t="n">
        <v>0.556580764251683</v>
      </c>
      <c r="N260" s="13" t="n">
        <f aca="false">H260-M260*I260</f>
        <v>0.0210574037413762</v>
      </c>
      <c r="O260" s="16" t="n">
        <f aca="false">'Results &amp; Charts'!$C$9</f>
        <v>0.613567382430444</v>
      </c>
    </row>
    <row r="261" customFormat="false" ht="15" hidden="false" customHeight="false" outlineLevel="0" collapsed="false">
      <c r="A261" s="14" t="n">
        <f aca="false">'Roll Schedule'!A521</f>
        <v>45895</v>
      </c>
      <c r="B261" s="14" t="n">
        <f aca="false">'Roll Schedule'!A520</f>
        <v>45894</v>
      </c>
      <c r="C261" s="3" t="n">
        <f aca="false">SUMIFS('Spot Data'!$E$5:$E$651,'Spot Data'!$A$5:$A$651,B261,'Spot Data'!$H$5:$H$651,"YES")</f>
        <v>8300</v>
      </c>
      <c r="D261" s="3" t="n">
        <f aca="false">SUMIFS('Spot Data'!$E$5:$E$651,'Spot Data'!$A$5:$A$651,A261,'Spot Data'!$H$5:$H$651,"YES")</f>
        <v>8250</v>
      </c>
      <c r="E261" s="14" t="n">
        <f aca="false">'Roll Schedule'!B521</f>
        <v>45919</v>
      </c>
      <c r="F261" s="3" t="n">
        <f aca="false">SUMIFS('Futures Data'!$C$5:$C$3471,'Futures Data'!$A$5:$A$3471,B261,'Futures Data'!$B$5:$B$3471,E261)</f>
        <v>6694</v>
      </c>
      <c r="G261" s="3" t="n">
        <f aca="false">SUMIFS('Futures Data'!$C$5:$C$3471,'Futures Data'!$A$5:$A$3471,A261,'Futures Data'!$B$5:$B$3471,E261)</f>
        <v>6671</v>
      </c>
      <c r="H261" s="13" t="n">
        <f aca="false">LN(D261/C261)</f>
        <v>-0.00604231445596259</v>
      </c>
      <c r="I261" s="13" t="n">
        <f aca="false">LN(G261/F261)</f>
        <v>-0.00344182906175655</v>
      </c>
      <c r="J261" s="3" t="str">
        <f aca="false">IF(A261&lt;='Results &amp; Charts'!$C$5,"In-sample","Out-of-sample")</f>
        <v>In-sample</v>
      </c>
      <c r="K261" s="13" t="n">
        <f aca="false">H261-'Results &amp; Charts'!$C$9*I261</f>
        <v>-0.00393052040776759</v>
      </c>
      <c r="L261" s="13" t="n">
        <f aca="false">H261-I261</f>
        <v>-0.00260048539420604</v>
      </c>
      <c r="M261" s="15" t="n">
        <v>0.499064442457824</v>
      </c>
      <c r="N261" s="13" t="n">
        <f aca="false">H261-M261*I261</f>
        <v>-0.00432461995422192</v>
      </c>
      <c r="O261" s="16" t="n">
        <f aca="false">'Results &amp; Charts'!$C$9</f>
        <v>0.613567382430444</v>
      </c>
    </row>
    <row r="262" customFormat="false" ht="15" hidden="false" customHeight="false" outlineLevel="0" collapsed="false">
      <c r="A262" s="14" t="n">
        <f aca="false">'Roll Schedule'!A522</f>
        <v>45897</v>
      </c>
      <c r="B262" s="14" t="n">
        <f aca="false">'Roll Schedule'!A521</f>
        <v>45895</v>
      </c>
      <c r="C262" s="3" t="n">
        <f aca="false">SUMIFS('Spot Data'!$E$5:$E$651,'Spot Data'!$A$5:$A$651,B262,'Spot Data'!$H$5:$H$651,"YES")</f>
        <v>8250</v>
      </c>
      <c r="D262" s="3" t="n">
        <f aca="false">SUMIFS('Spot Data'!$E$5:$E$651,'Spot Data'!$A$5:$A$651,A262,'Spot Data'!$H$5:$H$651,"YES")</f>
        <v>8250</v>
      </c>
      <c r="E262" s="14" t="n">
        <f aca="false">'Roll Schedule'!B522</f>
        <v>45919</v>
      </c>
      <c r="F262" s="3" t="n">
        <f aca="false">SUMIFS('Futures Data'!$C$5:$C$3471,'Futures Data'!$A$5:$A$3471,B262,'Futures Data'!$B$5:$B$3471,E262)</f>
        <v>6671</v>
      </c>
      <c r="G262" s="3" t="n">
        <f aca="false">SUMIFS('Futures Data'!$C$5:$C$3471,'Futures Data'!$A$5:$A$3471,A262,'Futures Data'!$B$5:$B$3471,E262)</f>
        <v>6631</v>
      </c>
      <c r="H262" s="13" t="n">
        <f aca="false">LN(D262/C262)</f>
        <v>0</v>
      </c>
      <c r="I262" s="13" t="n">
        <f aca="false">LN(G262/F262)</f>
        <v>-0.00601415134064784</v>
      </c>
      <c r="J262" s="3" t="str">
        <f aca="false">IF(A262&lt;='Results &amp; Charts'!$C$5,"In-sample","Out-of-sample")</f>
        <v>In-sample</v>
      </c>
      <c r="K262" s="13" t="n">
        <f aca="false">H262-'Results &amp; Charts'!$C$9*I262</f>
        <v>0.00369008709562184</v>
      </c>
      <c r="L262" s="13" t="n">
        <f aca="false">H262-I262</f>
        <v>0.00601415134064784</v>
      </c>
      <c r="M262" s="15" t="n">
        <v>0.513047179469601</v>
      </c>
      <c r="N262" s="13" t="n">
        <f aca="false">H262-M262*I262</f>
        <v>0.00308554338222269</v>
      </c>
      <c r="O262" s="16" t="n">
        <f aca="false">'Results &amp; Charts'!$C$9</f>
        <v>0.613567382430444</v>
      </c>
    </row>
    <row r="263" customFormat="false" ht="15" hidden="false" customHeight="false" outlineLevel="0" collapsed="false">
      <c r="A263" s="14" t="n">
        <f aca="false">'Roll Schedule'!A523</f>
        <v>45898</v>
      </c>
      <c r="B263" s="14" t="n">
        <f aca="false">'Roll Schedule'!A522</f>
        <v>45897</v>
      </c>
      <c r="C263" s="3" t="n">
        <f aca="false">SUMIFS('Spot Data'!$E$5:$E$651,'Spot Data'!$A$5:$A$651,B263,'Spot Data'!$H$5:$H$651,"YES")</f>
        <v>8250</v>
      </c>
      <c r="D263" s="3" t="n">
        <f aca="false">SUMIFS('Spot Data'!$E$5:$E$651,'Spot Data'!$A$5:$A$651,A263,'Spot Data'!$H$5:$H$651,"YES")</f>
        <v>8500</v>
      </c>
      <c r="E263" s="14" t="n">
        <f aca="false">'Roll Schedule'!B523</f>
        <v>45919</v>
      </c>
      <c r="F263" s="3" t="n">
        <f aca="false">SUMIFS('Futures Data'!$C$5:$C$3471,'Futures Data'!$A$5:$A$3471,B263,'Futures Data'!$B$5:$B$3471,E263)</f>
        <v>6631</v>
      </c>
      <c r="G263" s="3" t="n">
        <f aca="false">SUMIFS('Futures Data'!$C$5:$C$3471,'Futures Data'!$A$5:$A$3471,A263,'Futures Data'!$B$5:$B$3471,E263)</f>
        <v>6625</v>
      </c>
      <c r="H263" s="13" t="n">
        <f aca="false">LN(D263/C263)</f>
        <v>0.0298529631496811</v>
      </c>
      <c r="I263" s="13" t="n">
        <f aca="false">LN(G263/F263)</f>
        <v>-0.00090525051444464</v>
      </c>
      <c r="J263" s="3" t="str">
        <f aca="false">IF(A263&lt;='Results &amp; Charts'!$C$5,"In-sample","Out-of-sample")</f>
        <v>In-sample</v>
      </c>
      <c r="K263" s="13" t="n">
        <f aca="false">H263-'Results &amp; Charts'!$C$9*I263</f>
        <v>0.0304083953382727</v>
      </c>
      <c r="L263" s="13" t="n">
        <f aca="false">H263-I263</f>
        <v>0.0307582136641258</v>
      </c>
      <c r="M263" s="15" t="n">
        <v>0.485396810606501</v>
      </c>
      <c r="N263" s="13" t="n">
        <f aca="false">H263-M263*I263</f>
        <v>0.0302923688621925</v>
      </c>
      <c r="O263" s="16" t="n">
        <f aca="false">'Results &amp; Charts'!$C$9</f>
        <v>0.613567382430444</v>
      </c>
    </row>
    <row r="264" customFormat="false" ht="15" hidden="false" customHeight="false" outlineLevel="0" collapsed="false">
      <c r="A264" s="14" t="n">
        <f aca="false">'Roll Schedule'!A524</f>
        <v>45901</v>
      </c>
      <c r="B264" s="14" t="n">
        <f aca="false">'Roll Schedule'!A523</f>
        <v>45898</v>
      </c>
      <c r="C264" s="3" t="n">
        <f aca="false">SUMIFS('Spot Data'!$E$5:$E$651,'Spot Data'!$A$5:$A$651,B264,'Spot Data'!$H$5:$H$651,"YES")</f>
        <v>8500</v>
      </c>
      <c r="D264" s="3" t="n">
        <f aca="false">SUMIFS('Spot Data'!$E$5:$E$651,'Spot Data'!$A$5:$A$651,A264,'Spot Data'!$H$5:$H$651,"YES")</f>
        <v>8650</v>
      </c>
      <c r="E264" s="14" t="n">
        <f aca="false">'Roll Schedule'!B524</f>
        <v>45919</v>
      </c>
      <c r="F264" s="3" t="n">
        <f aca="false">SUMIFS('Futures Data'!$C$5:$C$3471,'Futures Data'!$A$5:$A$3471,B264,'Futures Data'!$B$5:$B$3471,E264)</f>
        <v>6625</v>
      </c>
      <c r="G264" s="3" t="n">
        <f aca="false">SUMIFS('Futures Data'!$C$5:$C$3471,'Futures Data'!$A$5:$A$3471,A264,'Futures Data'!$B$5:$B$3471,E264)</f>
        <v>6570</v>
      </c>
      <c r="H264" s="13" t="n">
        <f aca="false">LN(D264/C264)</f>
        <v>0.0174931574475171</v>
      </c>
      <c r="I264" s="13" t="n">
        <f aca="false">LN(G264/F264)</f>
        <v>-0.00833653937576674</v>
      </c>
      <c r="J264" s="3" t="str">
        <f aca="false">IF(A264&lt;='Results &amp; Charts'!$C$5,"In-sample","Out-of-sample")</f>
        <v>In-sample</v>
      </c>
      <c r="K264" s="13" t="n">
        <f aca="false">H264-'Results &amp; Charts'!$C$9*I264</f>
        <v>0.0226081860908346</v>
      </c>
      <c r="L264" s="13" t="n">
        <f aca="false">H264-I264</f>
        <v>0.0258296968232839</v>
      </c>
      <c r="M264" s="15" t="n">
        <v>0.497273199670433</v>
      </c>
      <c r="N264" s="13" t="n">
        <f aca="false">H264-M264*I264</f>
        <v>0.0216386950570832</v>
      </c>
      <c r="O264" s="16" t="n">
        <f aca="false">'Results &amp; Charts'!$C$9</f>
        <v>0.613567382430444</v>
      </c>
    </row>
    <row r="265" customFormat="false" ht="15" hidden="false" customHeight="false" outlineLevel="0" collapsed="false">
      <c r="A265" s="14" t="n">
        <f aca="false">'Roll Schedule'!A525</f>
        <v>45902</v>
      </c>
      <c r="B265" s="14" t="n">
        <f aca="false">'Roll Schedule'!A524</f>
        <v>45901</v>
      </c>
      <c r="C265" s="3" t="n">
        <f aca="false">SUMIFS('Spot Data'!$E$5:$E$651,'Spot Data'!$A$5:$A$651,B265,'Spot Data'!$H$5:$H$651,"YES")</f>
        <v>8650</v>
      </c>
      <c r="D265" s="3" t="n">
        <f aca="false">SUMIFS('Spot Data'!$E$5:$E$651,'Spot Data'!$A$5:$A$651,A265,'Spot Data'!$H$5:$H$651,"YES")</f>
        <v>8650</v>
      </c>
      <c r="E265" s="14" t="n">
        <f aca="false">'Roll Schedule'!B525</f>
        <v>45919</v>
      </c>
      <c r="F265" s="3" t="n">
        <f aca="false">SUMIFS('Futures Data'!$C$5:$C$3471,'Futures Data'!$A$5:$A$3471,B265,'Futures Data'!$B$5:$B$3471,E265)</f>
        <v>6570</v>
      </c>
      <c r="G265" s="3" t="n">
        <f aca="false">SUMIFS('Futures Data'!$C$5:$C$3471,'Futures Data'!$A$5:$A$3471,A265,'Futures Data'!$B$5:$B$3471,E265)</f>
        <v>6576</v>
      </c>
      <c r="H265" s="13" t="n">
        <f aca="false">LN(D265/C265)</f>
        <v>0</v>
      </c>
      <c r="I265" s="13" t="n">
        <f aca="false">LN(G265/F265)</f>
        <v>0.000912825257359682</v>
      </c>
      <c r="J265" s="3" t="str">
        <f aca="false">IF(A265&lt;='Results &amp; Charts'!$C$5,"In-sample","Out-of-sample")</f>
        <v>In-sample</v>
      </c>
      <c r="K265" s="13" t="n">
        <f aca="false">H265-'Results &amp; Charts'!$C$9*I265</f>
        <v>-0.000560079803774577</v>
      </c>
      <c r="L265" s="13" t="n">
        <f aca="false">H265-I265</f>
        <v>-0.000912825257359682</v>
      </c>
      <c r="M265" s="15" t="n">
        <v>0.372561061434791</v>
      </c>
      <c r="N265" s="13" t="n">
        <f aca="false">H265-M265*I265</f>
        <v>-0.00034008314678641</v>
      </c>
      <c r="O265" s="16" t="n">
        <f aca="false">'Results &amp; Charts'!$C$9</f>
        <v>0.613567382430444</v>
      </c>
    </row>
    <row r="266" customFormat="false" ht="15" hidden="false" customHeight="false" outlineLevel="0" collapsed="false">
      <c r="A266" s="14" t="n">
        <f aca="false">'Roll Schedule'!A526</f>
        <v>45903</v>
      </c>
      <c r="B266" s="14" t="n">
        <f aca="false">'Roll Schedule'!A525</f>
        <v>45902</v>
      </c>
      <c r="C266" s="3" t="n">
        <f aca="false">SUMIFS('Spot Data'!$E$5:$E$651,'Spot Data'!$A$5:$A$651,B266,'Spot Data'!$H$5:$H$651,"YES")</f>
        <v>8650</v>
      </c>
      <c r="D266" s="3" t="n">
        <f aca="false">SUMIFS('Spot Data'!$E$5:$E$651,'Spot Data'!$A$5:$A$651,A266,'Spot Data'!$H$5:$H$651,"YES")</f>
        <v>8650</v>
      </c>
      <c r="E266" s="14" t="n">
        <f aca="false">'Roll Schedule'!B526</f>
        <v>45919</v>
      </c>
      <c r="F266" s="3" t="n">
        <f aca="false">SUMIFS('Futures Data'!$C$5:$C$3471,'Futures Data'!$A$5:$A$3471,B266,'Futures Data'!$B$5:$B$3471,E266)</f>
        <v>6576</v>
      </c>
      <c r="G266" s="3" t="n">
        <f aca="false">SUMIFS('Futures Data'!$C$5:$C$3471,'Futures Data'!$A$5:$A$3471,A266,'Futures Data'!$B$5:$B$3471,E266)</f>
        <v>6619</v>
      </c>
      <c r="H266" s="13" t="n">
        <f aca="false">LN(D266/C266)</f>
        <v>0</v>
      </c>
      <c r="I266" s="13" t="n">
        <f aca="false">LN(G266/F266)</f>
        <v>0.00651764338290691</v>
      </c>
      <c r="J266" s="3" t="str">
        <f aca="false">IF(A266&lt;='Results &amp; Charts'!$C$5,"In-sample","Out-of-sample")</f>
        <v>In-sample</v>
      </c>
      <c r="K266" s="13" t="n">
        <f aca="false">H266-'Results &amp; Charts'!$C$9*I266</f>
        <v>-0.0039990133900653</v>
      </c>
      <c r="L266" s="13" t="n">
        <f aca="false">H266-I266</f>
        <v>-0.00651764338290691</v>
      </c>
      <c r="M266" s="15" t="n">
        <v>0.392442727985992</v>
      </c>
      <c r="N266" s="13" t="n">
        <f aca="false">H266-M266*I266</f>
        <v>-0.00255780174922784</v>
      </c>
      <c r="O266" s="16" t="n">
        <f aca="false">'Results &amp; Charts'!$C$9</f>
        <v>0.613567382430444</v>
      </c>
    </row>
    <row r="267" customFormat="false" ht="15" hidden="false" customHeight="false" outlineLevel="0" collapsed="false">
      <c r="A267" s="14" t="n">
        <f aca="false">'Roll Schedule'!A527</f>
        <v>45904</v>
      </c>
      <c r="B267" s="14" t="n">
        <f aca="false">'Roll Schedule'!A526</f>
        <v>45903</v>
      </c>
      <c r="C267" s="3" t="n">
        <f aca="false">SUMIFS('Spot Data'!$E$5:$E$651,'Spot Data'!$A$5:$A$651,B267,'Spot Data'!$H$5:$H$651,"YES")</f>
        <v>8650</v>
      </c>
      <c r="D267" s="3" t="n">
        <f aca="false">SUMIFS('Spot Data'!$E$5:$E$651,'Spot Data'!$A$5:$A$651,A267,'Spot Data'!$H$5:$H$651,"YES")</f>
        <v>8650</v>
      </c>
      <c r="E267" s="14" t="n">
        <f aca="false">'Roll Schedule'!B527</f>
        <v>45919</v>
      </c>
      <c r="F267" s="3" t="n">
        <f aca="false">SUMIFS('Futures Data'!$C$5:$C$3471,'Futures Data'!$A$5:$A$3471,B267,'Futures Data'!$B$5:$B$3471,E267)</f>
        <v>6619</v>
      </c>
      <c r="G267" s="3" t="n">
        <f aca="false">SUMIFS('Futures Data'!$C$5:$C$3471,'Futures Data'!$A$5:$A$3471,A267,'Futures Data'!$B$5:$B$3471,E267)</f>
        <v>6622</v>
      </c>
      <c r="H267" s="13" t="n">
        <f aca="false">LN(D267/C267)</f>
        <v>0</v>
      </c>
      <c r="I267" s="13" t="n">
        <f aca="false">LN(G267/F267)</f>
        <v>0.000453137988268813</v>
      </c>
      <c r="J267" s="3" t="str">
        <f aca="false">IF(A267&lt;='Results &amp; Charts'!$C$5,"In-sample","Out-of-sample")</f>
        <v>In-sample</v>
      </c>
      <c r="K267" s="13" t="n">
        <f aca="false">H267-'Results &amp; Charts'!$C$9*I267</f>
        <v>-0.000278030689341893</v>
      </c>
      <c r="L267" s="13" t="n">
        <f aca="false">H267-I267</f>
        <v>-0.000453137988268813</v>
      </c>
      <c r="M267" s="15" t="n">
        <v>0.366904340858131</v>
      </c>
      <c r="N267" s="13" t="n">
        <f aca="false">H267-M267*I267</f>
        <v>-0.000166258294903548</v>
      </c>
      <c r="O267" s="16" t="n">
        <f aca="false">'Results &amp; Charts'!$C$9</f>
        <v>0.613567382430444</v>
      </c>
    </row>
    <row r="268" customFormat="false" ht="15" hidden="false" customHeight="false" outlineLevel="0" collapsed="false">
      <c r="A268" s="14" t="n">
        <f aca="false">'Roll Schedule'!A530</f>
        <v>45909</v>
      </c>
      <c r="B268" s="14" t="n">
        <f aca="false">'Roll Schedule'!A529</f>
        <v>45908</v>
      </c>
      <c r="C268" s="3" t="n">
        <f aca="false">SUMIFS('Spot Data'!$E$5:$E$651,'Spot Data'!$A$5:$A$651,B268,'Spot Data'!$H$5:$H$651,"YES")</f>
        <v>9050</v>
      </c>
      <c r="D268" s="3" t="n">
        <f aca="false">SUMIFS('Spot Data'!$E$5:$E$651,'Spot Data'!$A$5:$A$651,A268,'Spot Data'!$H$5:$H$651,"YES")</f>
        <v>9050</v>
      </c>
      <c r="E268" s="14" t="n">
        <f aca="false">'Roll Schedule'!B530</f>
        <v>45950</v>
      </c>
      <c r="F268" s="3" t="n">
        <f aca="false">SUMIFS('Futures Data'!$C$5:$C$3471,'Futures Data'!$A$5:$A$3471,B268,'Futures Data'!$B$5:$B$3471,E268)</f>
        <v>6676</v>
      </c>
      <c r="G268" s="3" t="n">
        <f aca="false">SUMIFS('Futures Data'!$C$5:$C$3471,'Futures Data'!$A$5:$A$3471,A268,'Futures Data'!$B$5:$B$3471,E268)</f>
        <v>6678</v>
      </c>
      <c r="H268" s="13" t="n">
        <f aca="false">LN(D268/C268)</f>
        <v>0</v>
      </c>
      <c r="I268" s="13" t="n">
        <f aca="false">LN(G268/F268)</f>
        <v>0.000299535721874124</v>
      </c>
      <c r="J268" s="3" t="str">
        <f aca="false">IF(A268&lt;='Results &amp; Charts'!$C$5,"In-sample","Out-of-sample")</f>
        <v>In-sample</v>
      </c>
      <c r="K268" s="13" t="n">
        <f aca="false">H268-'Results &amp; Charts'!$C$9*I268</f>
        <v>-0.00018378534881472</v>
      </c>
      <c r="L268" s="13" t="n">
        <f aca="false">H268-I268</f>
        <v>-0.000299535721874124</v>
      </c>
      <c r="M268" s="15" t="n">
        <v>0.388034964496694</v>
      </c>
      <c r="N268" s="13" t="n">
        <f aca="false">H268-M268*I268</f>
        <v>-0.000116230333202918</v>
      </c>
      <c r="O268" s="16" t="n">
        <f aca="false">'Results &amp; Charts'!$C$9</f>
        <v>0.613567382430444</v>
      </c>
    </row>
    <row r="269" customFormat="false" ht="15" hidden="false" customHeight="false" outlineLevel="0" collapsed="false">
      <c r="A269" s="14" t="n">
        <f aca="false">'Roll Schedule'!A531</f>
        <v>45910</v>
      </c>
      <c r="B269" s="14" t="n">
        <f aca="false">'Roll Schedule'!A530</f>
        <v>45909</v>
      </c>
      <c r="C269" s="3" t="n">
        <f aca="false">SUMIFS('Spot Data'!$E$5:$E$651,'Spot Data'!$A$5:$A$651,B269,'Spot Data'!$H$5:$H$651,"YES")</f>
        <v>9050</v>
      </c>
      <c r="D269" s="3" t="n">
        <f aca="false">SUMIFS('Spot Data'!$E$5:$E$651,'Spot Data'!$A$5:$A$651,A269,'Spot Data'!$H$5:$H$651,"YES")</f>
        <v>9050</v>
      </c>
      <c r="E269" s="14" t="n">
        <f aca="false">'Roll Schedule'!B531</f>
        <v>45950</v>
      </c>
      <c r="F269" s="3" t="n">
        <f aca="false">SUMIFS('Futures Data'!$C$5:$C$3471,'Futures Data'!$A$5:$A$3471,B269,'Futures Data'!$B$5:$B$3471,E269)</f>
        <v>6678</v>
      </c>
      <c r="G269" s="3" t="n">
        <f aca="false">SUMIFS('Futures Data'!$C$5:$C$3471,'Futures Data'!$A$5:$A$3471,A269,'Futures Data'!$B$5:$B$3471,E269)</f>
        <v>6680</v>
      </c>
      <c r="H269" s="13" t="n">
        <f aca="false">LN(D269/C269)</f>
        <v>0</v>
      </c>
      <c r="I269" s="13" t="n">
        <f aca="false">LN(G269/F269)</f>
        <v>0.000299446027091473</v>
      </c>
      <c r="J269" s="3" t="str">
        <f aca="false">IF(A269&lt;='Results &amp; Charts'!$C$5,"In-sample","Out-of-sample")</f>
        <v>In-sample</v>
      </c>
      <c r="K269" s="13" t="n">
        <f aca="false">H269-'Results &amp; Charts'!$C$9*I269</f>
        <v>-0.000183730315021711</v>
      </c>
      <c r="L269" s="13" t="n">
        <f aca="false">H269-I269</f>
        <v>-0.000299446027091473</v>
      </c>
      <c r="M269" s="15" t="n">
        <v>0.40780280614026</v>
      </c>
      <c r="N269" s="13" t="n">
        <f aca="false">H269-M269*I269</f>
        <v>-0.000122114930135455</v>
      </c>
      <c r="O269" s="16" t="n">
        <f aca="false">'Results &amp; Charts'!$C$9</f>
        <v>0.613567382430444</v>
      </c>
    </row>
    <row r="270" customFormat="false" ht="15" hidden="false" customHeight="false" outlineLevel="0" collapsed="false">
      <c r="A270" s="14" t="n">
        <f aca="false">'Roll Schedule'!A532</f>
        <v>45911</v>
      </c>
      <c r="B270" s="14" t="n">
        <f aca="false">'Roll Schedule'!A531</f>
        <v>45910</v>
      </c>
      <c r="C270" s="3" t="n">
        <f aca="false">SUMIFS('Spot Data'!$E$5:$E$651,'Spot Data'!$A$5:$A$651,B270,'Spot Data'!$H$5:$H$651,"YES")</f>
        <v>9050</v>
      </c>
      <c r="D270" s="3" t="n">
        <f aca="false">SUMIFS('Spot Data'!$E$5:$E$651,'Spot Data'!$A$5:$A$651,A270,'Spot Data'!$H$5:$H$651,"YES")</f>
        <v>8950</v>
      </c>
      <c r="E270" s="14" t="n">
        <f aca="false">'Roll Schedule'!B532</f>
        <v>45950</v>
      </c>
      <c r="F270" s="3" t="n">
        <f aca="false">SUMIFS('Futures Data'!$C$5:$C$3471,'Futures Data'!$A$5:$A$3471,B270,'Futures Data'!$B$5:$B$3471,E270)</f>
        <v>6680</v>
      </c>
      <c r="G270" s="3" t="n">
        <f aca="false">SUMIFS('Futures Data'!$C$5:$C$3471,'Futures Data'!$A$5:$A$3471,A270,'Futures Data'!$B$5:$B$3471,E270)</f>
        <v>6681</v>
      </c>
      <c r="H270" s="13" t="n">
        <f aca="false">LN(D270/C270)</f>
        <v>-0.0111112254250707</v>
      </c>
      <c r="I270" s="13" t="n">
        <f aca="false">LN(G270/F270)</f>
        <v>0.000149689394785993</v>
      </c>
      <c r="J270" s="3" t="str">
        <f aca="false">IF(A270&lt;='Results &amp; Charts'!$C$5,"In-sample","Out-of-sample")</f>
        <v>In-sample</v>
      </c>
      <c r="K270" s="13" t="n">
        <f aca="false">H270-'Results &amp; Charts'!$C$9*I270</f>
        <v>-0.0112030699552072</v>
      </c>
      <c r="L270" s="13" t="n">
        <f aca="false">H270-I270</f>
        <v>-0.0112609148198567</v>
      </c>
      <c r="M270" s="15" t="n">
        <v>0.425862182190115</v>
      </c>
      <c r="N270" s="13" t="n">
        <f aca="false">H270-M270*I270</f>
        <v>-0.011174972477385</v>
      </c>
      <c r="O270" s="16" t="n">
        <f aca="false">'Results &amp; Charts'!$C$9</f>
        <v>0.613567382430444</v>
      </c>
    </row>
    <row r="271" customFormat="false" ht="15" hidden="false" customHeight="false" outlineLevel="0" collapsed="false">
      <c r="A271" s="14" t="n">
        <f aca="false">'Roll Schedule'!A533</f>
        <v>45912</v>
      </c>
      <c r="B271" s="14" t="n">
        <f aca="false">'Roll Schedule'!A532</f>
        <v>45911</v>
      </c>
      <c r="C271" s="3" t="n">
        <f aca="false">SUMIFS('Spot Data'!$E$5:$E$651,'Spot Data'!$A$5:$A$651,B271,'Spot Data'!$H$5:$H$651,"YES")</f>
        <v>8950</v>
      </c>
      <c r="D271" s="3" t="n">
        <f aca="false">SUMIFS('Spot Data'!$E$5:$E$651,'Spot Data'!$A$5:$A$651,A271,'Spot Data'!$H$5:$H$651,"YES")</f>
        <v>8900</v>
      </c>
      <c r="E271" s="14" t="n">
        <f aca="false">'Roll Schedule'!B533</f>
        <v>45950</v>
      </c>
      <c r="F271" s="3" t="n">
        <f aca="false">SUMIFS('Futures Data'!$C$5:$C$3471,'Futures Data'!$A$5:$A$3471,B271,'Futures Data'!$B$5:$B$3471,E271)</f>
        <v>6681</v>
      </c>
      <c r="G271" s="3" t="n">
        <f aca="false">SUMIFS('Futures Data'!$C$5:$C$3471,'Futures Data'!$A$5:$A$3471,A271,'Futures Data'!$B$5:$B$3471,E271)</f>
        <v>6672</v>
      </c>
      <c r="H271" s="13" t="n">
        <f aca="false">LN(D271/C271)</f>
        <v>-0.0056022555486699</v>
      </c>
      <c r="I271" s="13" t="n">
        <f aca="false">LN(G271/F271)</f>
        <v>-0.00134801188689464</v>
      </c>
      <c r="J271" s="3" t="str">
        <f aca="false">IF(A271&lt;='Results &amp; Charts'!$C$5,"In-sample","Out-of-sample")</f>
        <v>In-sample</v>
      </c>
      <c r="K271" s="13" t="n">
        <f aca="false">H271-'Results &amp; Charts'!$C$9*I271</f>
        <v>-0.00477515942374283</v>
      </c>
      <c r="L271" s="13" t="n">
        <f aca="false">H271-I271</f>
        <v>-0.00425424366177526</v>
      </c>
      <c r="M271" s="15" t="n">
        <v>0.439112565613927</v>
      </c>
      <c r="N271" s="13" t="n">
        <f aca="false">H271-M271*I271</f>
        <v>-0.00501032659053752</v>
      </c>
      <c r="O271" s="16" t="n">
        <f aca="false">'Results &amp; Charts'!$C$9</f>
        <v>0.613567382430444</v>
      </c>
    </row>
    <row r="272" customFormat="false" ht="15" hidden="false" customHeight="false" outlineLevel="0" collapsed="false">
      <c r="A272" s="14" t="n">
        <f aca="false">'Roll Schedule'!A534</f>
        <v>45915</v>
      </c>
      <c r="B272" s="14" t="n">
        <f aca="false">'Roll Schedule'!A533</f>
        <v>45912</v>
      </c>
      <c r="C272" s="3" t="n">
        <f aca="false">SUMIFS('Spot Data'!$E$5:$E$651,'Spot Data'!$A$5:$A$651,B272,'Spot Data'!$H$5:$H$651,"YES")</f>
        <v>8900</v>
      </c>
      <c r="D272" s="3" t="n">
        <f aca="false">SUMIFS('Spot Data'!$E$5:$E$651,'Spot Data'!$A$5:$A$651,A272,'Spot Data'!$H$5:$H$651,"YES")</f>
        <v>8800</v>
      </c>
      <c r="E272" s="14" t="n">
        <f aca="false">'Roll Schedule'!B534</f>
        <v>45950</v>
      </c>
      <c r="F272" s="3" t="n">
        <f aca="false">SUMIFS('Futures Data'!$C$5:$C$3471,'Futures Data'!$A$5:$A$3471,B272,'Futures Data'!$B$5:$B$3471,E272)</f>
        <v>6672</v>
      </c>
      <c r="G272" s="3" t="n">
        <f aca="false">SUMIFS('Futures Data'!$C$5:$C$3471,'Futures Data'!$A$5:$A$3471,A272,'Futures Data'!$B$5:$B$3471,E272)</f>
        <v>6676</v>
      </c>
      <c r="H272" s="13" t="n">
        <f aca="false">LN(D272/C272)</f>
        <v>-0.0112995552539334</v>
      </c>
      <c r="I272" s="13" t="n">
        <f aca="false">LN(G272/F272)</f>
        <v>0.000599340743143005</v>
      </c>
      <c r="J272" s="3" t="str">
        <f aca="false">IF(A272&lt;='Results &amp; Charts'!$C$5,"In-sample","Out-of-sample")</f>
        <v>In-sample</v>
      </c>
      <c r="K272" s="13" t="n">
        <f aca="false">H272-'Results &amp; Charts'!$C$9*I272</f>
        <v>-0.0116672911848876</v>
      </c>
      <c r="L272" s="13" t="n">
        <f aca="false">H272-I272</f>
        <v>-0.0118988959970764</v>
      </c>
      <c r="M272" s="15" t="n">
        <v>0.455340443663192</v>
      </c>
      <c r="N272" s="13" t="n">
        <f aca="false">H272-M272*I272</f>
        <v>-0.0115724593338216</v>
      </c>
      <c r="O272" s="16" t="n">
        <f aca="false">'Results &amp; Charts'!$C$9</f>
        <v>0.613567382430444</v>
      </c>
    </row>
    <row r="273" customFormat="false" ht="15" hidden="false" customHeight="false" outlineLevel="0" collapsed="false">
      <c r="A273" s="14" t="n">
        <f aca="false">'Roll Schedule'!A535</f>
        <v>45916</v>
      </c>
      <c r="B273" s="14" t="n">
        <f aca="false">'Roll Schedule'!A534</f>
        <v>45915</v>
      </c>
      <c r="C273" s="3" t="n">
        <f aca="false">SUMIFS('Spot Data'!$E$5:$E$651,'Spot Data'!$A$5:$A$651,B273,'Spot Data'!$H$5:$H$651,"YES")</f>
        <v>8800</v>
      </c>
      <c r="D273" s="3" t="n">
        <f aca="false">SUMIFS('Spot Data'!$E$5:$E$651,'Spot Data'!$A$5:$A$651,A273,'Spot Data'!$H$5:$H$651,"YES")</f>
        <v>8775</v>
      </c>
      <c r="E273" s="14" t="n">
        <f aca="false">'Roll Schedule'!B535</f>
        <v>45950</v>
      </c>
      <c r="F273" s="3" t="n">
        <f aca="false">SUMIFS('Futures Data'!$C$5:$C$3471,'Futures Data'!$A$5:$A$3471,B273,'Futures Data'!$B$5:$B$3471,E273)</f>
        <v>6676</v>
      </c>
      <c r="G273" s="3" t="n">
        <f aca="false">SUMIFS('Futures Data'!$C$5:$C$3471,'Futures Data'!$A$5:$A$3471,A273,'Futures Data'!$B$5:$B$3471,E273)</f>
        <v>6672</v>
      </c>
      <c r="H273" s="13" t="n">
        <f aca="false">LN(D273/C273)</f>
        <v>-0.00284495213223125</v>
      </c>
      <c r="I273" s="13" t="n">
        <f aca="false">LN(G273/F273)</f>
        <v>-0.000599340743142985</v>
      </c>
      <c r="J273" s="3" t="str">
        <f aca="false">IF(A273&lt;='Results &amp; Charts'!$C$5,"In-sample","Out-of-sample")</f>
        <v>In-sample</v>
      </c>
      <c r="K273" s="13" t="n">
        <f aca="false">H273-'Results &amp; Charts'!$C$9*I273</f>
        <v>-0.00247721620127709</v>
      </c>
      <c r="L273" s="13" t="n">
        <f aca="false">H273-I273</f>
        <v>-0.00224561138908827</v>
      </c>
      <c r="M273" s="15" t="n">
        <v>0.461209364526004</v>
      </c>
      <c r="N273" s="13" t="n">
        <f aca="false">H273-M273*I273</f>
        <v>-0.00256853056895173</v>
      </c>
      <c r="O273" s="16" t="n">
        <f aca="false">'Results &amp; Charts'!$C$9</f>
        <v>0.613567382430444</v>
      </c>
    </row>
    <row r="274" customFormat="false" ht="15" hidden="false" customHeight="false" outlineLevel="0" collapsed="false">
      <c r="A274" s="14" t="n">
        <f aca="false">'Roll Schedule'!A536</f>
        <v>45917</v>
      </c>
      <c r="B274" s="14" t="n">
        <f aca="false">'Roll Schedule'!A535</f>
        <v>45916</v>
      </c>
      <c r="C274" s="3" t="n">
        <f aca="false">SUMIFS('Spot Data'!$E$5:$E$651,'Spot Data'!$A$5:$A$651,B274,'Spot Data'!$H$5:$H$651,"YES")</f>
        <v>8775</v>
      </c>
      <c r="D274" s="3" t="n">
        <f aca="false">SUMIFS('Spot Data'!$E$5:$E$651,'Spot Data'!$A$5:$A$651,A274,'Spot Data'!$H$5:$H$651,"YES")</f>
        <v>8800</v>
      </c>
      <c r="E274" s="14" t="n">
        <f aca="false">'Roll Schedule'!B536</f>
        <v>45950</v>
      </c>
      <c r="F274" s="3" t="n">
        <f aca="false">SUMIFS('Futures Data'!$C$5:$C$3471,'Futures Data'!$A$5:$A$3471,B274,'Futures Data'!$B$5:$B$3471,E274)</f>
        <v>6672</v>
      </c>
      <c r="G274" s="3" t="n">
        <f aca="false">SUMIFS('Futures Data'!$C$5:$C$3471,'Futures Data'!$A$5:$A$3471,A274,'Futures Data'!$B$5:$B$3471,E274)</f>
        <v>6658</v>
      </c>
      <c r="H274" s="13" t="n">
        <f aca="false">LN(D274/C274)</f>
        <v>0.00284495213223134</v>
      </c>
      <c r="I274" s="13" t="n">
        <f aca="false">LN(G274/F274)</f>
        <v>-0.00210052590361242</v>
      </c>
      <c r="J274" s="3" t="str">
        <f aca="false">IF(A274&lt;='Results &amp; Charts'!$C$5,"In-sample","Out-of-sample")</f>
        <v>In-sample</v>
      </c>
      <c r="K274" s="13" t="n">
        <f aca="false">H274-'Results &amp; Charts'!$C$9*I274</f>
        <v>0.00413376631263816</v>
      </c>
      <c r="L274" s="13" t="n">
        <f aca="false">H274-I274</f>
        <v>0.00494547803584377</v>
      </c>
      <c r="M274" s="15" t="n">
        <v>0.47323928022945</v>
      </c>
      <c r="N274" s="13" t="n">
        <f aca="false">H274-M274*I274</f>
        <v>0.0038390034989602</v>
      </c>
      <c r="O274" s="16" t="n">
        <f aca="false">'Results &amp; Charts'!$C$9</f>
        <v>0.613567382430444</v>
      </c>
    </row>
    <row r="275" customFormat="false" ht="15" hidden="false" customHeight="false" outlineLevel="0" collapsed="false">
      <c r="A275" s="14" t="n">
        <f aca="false">'Roll Schedule'!A537</f>
        <v>45918</v>
      </c>
      <c r="B275" s="14" t="n">
        <f aca="false">'Roll Schedule'!A536</f>
        <v>45917</v>
      </c>
      <c r="C275" s="3" t="n">
        <f aca="false">SUMIFS('Spot Data'!$E$5:$E$651,'Spot Data'!$A$5:$A$651,B275,'Spot Data'!$H$5:$H$651,"YES")</f>
        <v>8800</v>
      </c>
      <c r="D275" s="3" t="n">
        <f aca="false">SUMIFS('Spot Data'!$E$5:$E$651,'Spot Data'!$A$5:$A$651,A275,'Spot Data'!$H$5:$H$651,"YES")</f>
        <v>8750</v>
      </c>
      <c r="E275" s="14" t="n">
        <f aca="false">'Roll Schedule'!B537</f>
        <v>45950</v>
      </c>
      <c r="F275" s="3" t="n">
        <f aca="false">SUMIFS('Futures Data'!$C$5:$C$3471,'Futures Data'!$A$5:$A$3471,B275,'Futures Data'!$B$5:$B$3471,E275)</f>
        <v>6658</v>
      </c>
      <c r="G275" s="3" t="n">
        <f aca="false">SUMIFS('Futures Data'!$C$5:$C$3471,'Futures Data'!$A$5:$A$3471,A275,'Futures Data'!$B$5:$B$3471,E275)</f>
        <v>6620</v>
      </c>
      <c r="H275" s="13" t="n">
        <f aca="false">LN(D275/C275)</f>
        <v>-0.00569802111463778</v>
      </c>
      <c r="I275" s="13" t="n">
        <f aca="false">LN(G275/F275)</f>
        <v>-0.00572376920391638</v>
      </c>
      <c r="J275" s="3" t="str">
        <f aca="false">IF(A275&lt;='Results &amp; Charts'!$C$5,"In-sample","Out-of-sample")</f>
        <v>In-sample</v>
      </c>
      <c r="K275" s="13" t="n">
        <f aca="false">H275-'Results &amp; Charts'!$C$9*I275</f>
        <v>-0.00218610302655482</v>
      </c>
      <c r="L275" s="13" t="n">
        <f aca="false">H275-I275</f>
        <v>2.57480892786035E-005</v>
      </c>
      <c r="M275" s="15" t="n">
        <v>0.475508255138953</v>
      </c>
      <c r="N275" s="13" t="n">
        <f aca="false">H275-M275*I275</f>
        <v>-0.00297632160766543</v>
      </c>
      <c r="O275" s="16" t="n">
        <f aca="false">'Results &amp; Charts'!$C$9</f>
        <v>0.613567382430444</v>
      </c>
    </row>
    <row r="276" customFormat="false" ht="15" hidden="false" customHeight="false" outlineLevel="0" collapsed="false">
      <c r="A276" s="14" t="n">
        <f aca="false">'Roll Schedule'!A538</f>
        <v>45919</v>
      </c>
      <c r="B276" s="14" t="n">
        <f aca="false">'Roll Schedule'!A537</f>
        <v>45918</v>
      </c>
      <c r="C276" s="3" t="n">
        <f aca="false">SUMIFS('Spot Data'!$E$5:$E$651,'Spot Data'!$A$5:$A$651,B276,'Spot Data'!$H$5:$H$651,"YES")</f>
        <v>8750</v>
      </c>
      <c r="D276" s="3" t="n">
        <f aca="false">SUMIFS('Spot Data'!$E$5:$E$651,'Spot Data'!$A$5:$A$651,A276,'Spot Data'!$H$5:$H$651,"YES")</f>
        <v>8700</v>
      </c>
      <c r="E276" s="14" t="n">
        <f aca="false">'Roll Schedule'!B538</f>
        <v>45950</v>
      </c>
      <c r="F276" s="3" t="n">
        <f aca="false">SUMIFS('Futures Data'!$C$5:$C$3471,'Futures Data'!$A$5:$A$3471,B276,'Futures Data'!$B$5:$B$3471,E276)</f>
        <v>6620</v>
      </c>
      <c r="G276" s="3" t="n">
        <f aca="false">SUMIFS('Futures Data'!$C$5:$C$3471,'Futures Data'!$A$5:$A$3471,A276,'Futures Data'!$B$5:$B$3471,E276)</f>
        <v>6584</v>
      </c>
      <c r="H276" s="13" t="n">
        <f aca="false">LN(D276/C276)</f>
        <v>-0.00573067470898498</v>
      </c>
      <c r="I276" s="13" t="n">
        <f aca="false">LN(G276/F276)</f>
        <v>-0.00545290657414815</v>
      </c>
      <c r="J276" s="3" t="str">
        <f aca="false">IF(A276&lt;='Results &amp; Charts'!$C$5,"In-sample","Out-of-sample")</f>
        <v>In-sample</v>
      </c>
      <c r="K276" s="13" t="n">
        <f aca="false">H276-'Results &amp; Charts'!$C$9*I276</f>
        <v>-0.00238494909564714</v>
      </c>
      <c r="L276" s="13" t="n">
        <f aca="false">H276-I276</f>
        <v>-0.00027776813483683</v>
      </c>
      <c r="M276" s="15" t="n">
        <v>0.458071374128657</v>
      </c>
      <c r="N276" s="13" t="n">
        <f aca="false">H276-M276*I276</f>
        <v>-0.00323285430156975</v>
      </c>
      <c r="O276" s="16" t="n">
        <f aca="false">'Results &amp; Charts'!$C$9</f>
        <v>0.613567382430444</v>
      </c>
    </row>
    <row r="277" customFormat="false" ht="15" hidden="false" customHeight="false" outlineLevel="0" collapsed="false">
      <c r="A277" s="14" t="n">
        <f aca="false">'Roll Schedule'!A539</f>
        <v>45922</v>
      </c>
      <c r="B277" s="14" t="n">
        <f aca="false">'Roll Schedule'!A538</f>
        <v>45919</v>
      </c>
      <c r="C277" s="3" t="n">
        <f aca="false">SUMIFS('Spot Data'!$E$5:$E$651,'Spot Data'!$A$5:$A$651,B277,'Spot Data'!$H$5:$H$651,"YES")</f>
        <v>8700</v>
      </c>
      <c r="D277" s="3" t="n">
        <f aca="false">SUMIFS('Spot Data'!$E$5:$E$651,'Spot Data'!$A$5:$A$651,A277,'Spot Data'!$H$5:$H$651,"YES")</f>
        <v>8650</v>
      </c>
      <c r="E277" s="14" t="n">
        <f aca="false">'Roll Schedule'!B539</f>
        <v>45950</v>
      </c>
      <c r="F277" s="3" t="n">
        <f aca="false">SUMIFS('Futures Data'!$C$5:$C$3471,'Futures Data'!$A$5:$A$3471,B277,'Futures Data'!$B$5:$B$3471,E277)</f>
        <v>6584</v>
      </c>
      <c r="G277" s="3" t="n">
        <f aca="false">SUMIFS('Futures Data'!$C$5:$C$3471,'Futures Data'!$A$5:$A$3471,A277,'Futures Data'!$B$5:$B$3471,E277)</f>
        <v>6543</v>
      </c>
      <c r="H277" s="13" t="n">
        <f aca="false">LN(D277/C277)</f>
        <v>-0.00576370471675013</v>
      </c>
      <c r="I277" s="13" t="n">
        <f aca="false">LN(G277/F277)</f>
        <v>-0.00624668748716697</v>
      </c>
      <c r="J277" s="3" t="str">
        <f aca="false">IF(A277&lt;='Results &amp; Charts'!$C$5,"In-sample","Out-of-sample")</f>
        <v>In-sample</v>
      </c>
      <c r="K277" s="13" t="n">
        <f aca="false">H277-'Results &amp; Charts'!$C$9*I277</f>
        <v>-0.00193094102638808</v>
      </c>
      <c r="L277" s="13" t="n">
        <f aca="false">H277-I277</f>
        <v>0.00048298277041684</v>
      </c>
      <c r="M277" s="15" t="n">
        <v>0.449837880707959</v>
      </c>
      <c r="N277" s="13" t="n">
        <f aca="false">H277-M277*I277</f>
        <v>-0.00295370805607801</v>
      </c>
      <c r="O277" s="16" t="n">
        <f aca="false">'Results &amp; Charts'!$C$9</f>
        <v>0.613567382430444</v>
      </c>
    </row>
    <row r="278" customFormat="false" ht="15" hidden="false" customHeight="false" outlineLevel="0" collapsed="false">
      <c r="A278" s="14" t="n">
        <f aca="false">'Roll Schedule'!A540</f>
        <v>45923</v>
      </c>
      <c r="B278" s="14" t="n">
        <f aca="false">'Roll Schedule'!A539</f>
        <v>45922</v>
      </c>
      <c r="C278" s="3" t="n">
        <f aca="false">SUMIFS('Spot Data'!$E$5:$E$651,'Spot Data'!$A$5:$A$651,B278,'Spot Data'!$H$5:$H$651,"YES")</f>
        <v>8650</v>
      </c>
      <c r="D278" s="3" t="n">
        <f aca="false">SUMIFS('Spot Data'!$E$5:$E$651,'Spot Data'!$A$5:$A$651,A278,'Spot Data'!$H$5:$H$651,"YES")</f>
        <v>8600</v>
      </c>
      <c r="E278" s="14" t="n">
        <f aca="false">'Roll Schedule'!B540</f>
        <v>45950</v>
      </c>
      <c r="F278" s="3" t="n">
        <f aca="false">SUMIFS('Futures Data'!$C$5:$C$3471,'Futures Data'!$A$5:$A$3471,B278,'Futures Data'!$B$5:$B$3471,E278)</f>
        <v>6543</v>
      </c>
      <c r="G278" s="3" t="n">
        <f aca="false">SUMIFS('Futures Data'!$C$5:$C$3471,'Futures Data'!$A$5:$A$3471,A278,'Futures Data'!$B$5:$B$3471,E278)</f>
        <v>6504</v>
      </c>
      <c r="H278" s="13" t="n">
        <f aca="false">LN(D278/C278)</f>
        <v>-0.00579711768432596</v>
      </c>
      <c r="I278" s="13" t="n">
        <f aca="false">LN(G278/F278)</f>
        <v>-0.0059784036420922</v>
      </c>
      <c r="J278" s="3" t="str">
        <f aca="false">IF(A278&lt;='Results &amp; Charts'!$C$5,"In-sample","Out-of-sample")</f>
        <v>In-sample</v>
      </c>
      <c r="K278" s="13" t="n">
        <f aca="false">H278-'Results &amp; Charts'!$C$9*I278</f>
        <v>-0.00212896421053481</v>
      </c>
      <c r="L278" s="13" t="n">
        <f aca="false">H278-I278</f>
        <v>0.000181285957766245</v>
      </c>
      <c r="M278" s="15" t="n">
        <v>0.43657027066929</v>
      </c>
      <c r="N278" s="13" t="n">
        <f aca="false">H278-M278*I278</f>
        <v>-0.0031871243881275</v>
      </c>
      <c r="O278" s="16" t="n">
        <f aca="false">'Results &amp; Charts'!$C$9</f>
        <v>0.613567382430444</v>
      </c>
    </row>
    <row r="279" customFormat="false" ht="15" hidden="false" customHeight="false" outlineLevel="0" collapsed="false">
      <c r="A279" s="14" t="n">
        <f aca="false">'Roll Schedule'!A543</f>
        <v>45926</v>
      </c>
      <c r="B279" s="14" t="n">
        <f aca="false">'Roll Schedule'!A542</f>
        <v>45925</v>
      </c>
      <c r="C279" s="3" t="n">
        <f aca="false">SUMIFS('Spot Data'!$E$5:$E$651,'Spot Data'!$A$5:$A$651,B279,'Spot Data'!$H$5:$H$651,"YES")</f>
        <v>8475</v>
      </c>
      <c r="D279" s="3" t="n">
        <f aca="false">SUMIFS('Spot Data'!$E$5:$E$651,'Spot Data'!$A$5:$A$651,A279,'Spot Data'!$H$5:$H$651,"YES")</f>
        <v>8475</v>
      </c>
      <c r="E279" s="14" t="n">
        <f aca="false">'Roll Schedule'!B543</f>
        <v>45950</v>
      </c>
      <c r="F279" s="3" t="n">
        <f aca="false">SUMIFS('Futures Data'!$C$5:$C$3471,'Futures Data'!$A$5:$A$3471,B279,'Futures Data'!$B$5:$B$3471,E279)</f>
        <v>6432</v>
      </c>
      <c r="G279" s="3" t="n">
        <f aca="false">SUMIFS('Futures Data'!$C$5:$C$3471,'Futures Data'!$A$5:$A$3471,A279,'Futures Data'!$B$5:$B$3471,E279)</f>
        <v>6419</v>
      </c>
      <c r="H279" s="13" t="n">
        <f aca="false">LN(D279/C279)</f>
        <v>0</v>
      </c>
      <c r="I279" s="13" t="n">
        <f aca="false">LN(G279/F279)</f>
        <v>-0.00202318954702418</v>
      </c>
      <c r="J279" s="3" t="str">
        <f aca="false">IF(A279&lt;='Results &amp; Charts'!$C$5,"In-sample","Out-of-sample")</f>
        <v>In-sample</v>
      </c>
      <c r="K279" s="13" t="n">
        <f aca="false">H279-'Results &amp; Charts'!$C$9*I279</f>
        <v>0.00124136311452826</v>
      </c>
      <c r="L279" s="13" t="n">
        <f aca="false">H279-I279</f>
        <v>0.00202318954702418</v>
      </c>
      <c r="M279" s="15" t="n">
        <v>0.431057785032382</v>
      </c>
      <c r="N279" s="13" t="n">
        <f aca="false">H279-M279*I279</f>
        <v>0.000872111604840912</v>
      </c>
      <c r="O279" s="16" t="n">
        <f aca="false">'Results &amp; Charts'!$C$9</f>
        <v>0.613567382430444</v>
      </c>
    </row>
    <row r="280" customFormat="false" ht="15" hidden="false" customHeight="false" outlineLevel="0" collapsed="false">
      <c r="A280" s="14" t="n">
        <f aca="false">'Roll Schedule'!A546</f>
        <v>45931</v>
      </c>
      <c r="B280" s="14" t="n">
        <f aca="false">'Roll Schedule'!A545</f>
        <v>45930</v>
      </c>
      <c r="C280" s="3" t="n">
        <f aca="false">SUMIFS('Spot Data'!$E$5:$E$651,'Spot Data'!$A$5:$A$651,B280,'Spot Data'!$H$5:$H$651,"YES")</f>
        <v>8450</v>
      </c>
      <c r="D280" s="3" t="n">
        <f aca="false">SUMIFS('Spot Data'!$E$5:$E$651,'Spot Data'!$A$5:$A$651,A280,'Spot Data'!$H$5:$H$651,"YES")</f>
        <v>8450</v>
      </c>
      <c r="E280" s="14" t="n">
        <f aca="false">'Roll Schedule'!B546</f>
        <v>45950</v>
      </c>
      <c r="F280" s="3" t="n">
        <f aca="false">SUMIFS('Futures Data'!$C$5:$C$3471,'Futures Data'!$A$5:$A$3471,B280,'Futures Data'!$B$5:$B$3471,E280)</f>
        <v>6531</v>
      </c>
      <c r="G280" s="3" t="n">
        <f aca="false">SUMIFS('Futures Data'!$C$5:$C$3471,'Futures Data'!$A$5:$A$3471,A280,'Futures Data'!$B$5:$B$3471,E280)</f>
        <v>6549</v>
      </c>
      <c r="H280" s="13" t="n">
        <f aca="false">LN(D280/C280)</f>
        <v>0</v>
      </c>
      <c r="I280" s="13" t="n">
        <f aca="false">LN(G280/F280)</f>
        <v>0.00275229531539649</v>
      </c>
      <c r="J280" s="3" t="str">
        <f aca="false">IF(A280&lt;='Results &amp; Charts'!$C$5,"In-sample","Out-of-sample")</f>
        <v>Out-of-sample</v>
      </c>
      <c r="K280" s="13" t="n">
        <f aca="false">H280-'Results &amp; Charts'!$C$9*I280</f>
        <v>-0.0016887186323434</v>
      </c>
      <c r="L280" s="13" t="n">
        <f aca="false">H280-I280</f>
        <v>-0.00275229531539649</v>
      </c>
      <c r="M280" s="15" t="n">
        <v>0.446817235108711</v>
      </c>
      <c r="N280" s="13" t="n">
        <f aca="false">H280-M280*I280</f>
        <v>-0.00122977298302812</v>
      </c>
      <c r="O280" s="16" t="n">
        <f aca="false">'Results &amp; Charts'!$C$9</f>
        <v>0.613567382430444</v>
      </c>
    </row>
    <row r="281" customFormat="false" ht="15" hidden="false" customHeight="false" outlineLevel="0" collapsed="false">
      <c r="A281" s="14" t="n">
        <f aca="false">'Roll Schedule'!A547</f>
        <v>45933</v>
      </c>
      <c r="B281" s="14" t="n">
        <f aca="false">'Roll Schedule'!A546</f>
        <v>45931</v>
      </c>
      <c r="C281" s="3" t="n">
        <f aca="false">SUMIFS('Spot Data'!$E$5:$E$651,'Spot Data'!$A$5:$A$651,B281,'Spot Data'!$H$5:$H$651,"YES")</f>
        <v>8450</v>
      </c>
      <c r="D281" s="3" t="n">
        <f aca="false">SUMIFS('Spot Data'!$E$5:$E$651,'Spot Data'!$A$5:$A$651,A281,'Spot Data'!$H$5:$H$651,"YES")</f>
        <v>8450</v>
      </c>
      <c r="E281" s="14" t="n">
        <f aca="false">'Roll Schedule'!B547</f>
        <v>45950</v>
      </c>
      <c r="F281" s="3" t="n">
        <f aca="false">SUMIFS('Futures Data'!$C$5:$C$3471,'Futures Data'!$A$5:$A$3471,B281,'Futures Data'!$B$5:$B$3471,E281)</f>
        <v>6549</v>
      </c>
      <c r="G281" s="3" t="n">
        <f aca="false">SUMIFS('Futures Data'!$C$5:$C$3471,'Futures Data'!$A$5:$A$3471,A281,'Futures Data'!$B$5:$B$3471,E281)</f>
        <v>6466</v>
      </c>
      <c r="H281" s="13" t="n">
        <f aca="false">LN(D281/C281)</f>
        <v>0</v>
      </c>
      <c r="I281" s="13" t="n">
        <f aca="false">LN(G281/F281)</f>
        <v>-0.0127546869326751</v>
      </c>
      <c r="J281" s="3" t="str">
        <f aca="false">IF(A281&lt;='Results &amp; Charts'!$C$5,"In-sample","Out-of-sample")</f>
        <v>Out-of-sample</v>
      </c>
      <c r="K281" s="13" t="n">
        <f aca="false">H281-'Results &amp; Charts'!$C$9*I281</f>
        <v>0.00782585987500128</v>
      </c>
      <c r="L281" s="13" t="n">
        <f aca="false">H281-I281</f>
        <v>0.0127546869326751</v>
      </c>
      <c r="M281" s="15" t="n">
        <v>0.452923605803254</v>
      </c>
      <c r="N281" s="13" t="n">
        <f aca="false">H281-M281*I281</f>
        <v>0.00577689879643887</v>
      </c>
      <c r="O281" s="16" t="n">
        <f aca="false">'Results &amp; Charts'!$C$9</f>
        <v>0.613567382430444</v>
      </c>
    </row>
    <row r="282" customFormat="false" ht="15" hidden="false" customHeight="false" outlineLevel="0" collapsed="false">
      <c r="A282" s="14" t="n">
        <f aca="false">'Roll Schedule'!A548</f>
        <v>45936</v>
      </c>
      <c r="B282" s="14" t="n">
        <f aca="false">'Roll Schedule'!A547</f>
        <v>45933</v>
      </c>
      <c r="C282" s="3" t="n">
        <f aca="false">SUMIFS('Spot Data'!$E$5:$E$651,'Spot Data'!$A$5:$A$651,B282,'Spot Data'!$H$5:$H$651,"YES")</f>
        <v>8450</v>
      </c>
      <c r="D282" s="3" t="n">
        <f aca="false">SUMIFS('Spot Data'!$E$5:$E$651,'Spot Data'!$A$5:$A$651,A282,'Spot Data'!$H$5:$H$651,"YES")</f>
        <v>8500</v>
      </c>
      <c r="E282" s="14" t="n">
        <f aca="false">'Roll Schedule'!B548</f>
        <v>45981</v>
      </c>
      <c r="F282" s="3" t="n">
        <f aca="false">SUMIFS('Futures Data'!$C$5:$C$3471,'Futures Data'!$A$5:$A$3471,B282,'Futures Data'!$B$5:$B$3471,E282)</f>
        <v>6542</v>
      </c>
      <c r="G282" s="3" t="n">
        <f aca="false">SUMIFS('Futures Data'!$C$5:$C$3471,'Futures Data'!$A$5:$A$3471,A282,'Futures Data'!$B$5:$B$3471,E282)</f>
        <v>6544</v>
      </c>
      <c r="H282" s="13" t="n">
        <f aca="false">LN(D282/C282)</f>
        <v>0.00589972212718832</v>
      </c>
      <c r="I282" s="13" t="n">
        <f aca="false">LN(G282/F282)</f>
        <v>0.000305670184253747</v>
      </c>
      <c r="J282" s="3" t="str">
        <f aca="false">IF(A282&lt;='Results &amp; Charts'!$C$5,"In-sample","Out-of-sample")</f>
        <v>Out-of-sample</v>
      </c>
      <c r="K282" s="13" t="n">
        <f aca="false">H282-'Results &amp; Charts'!$C$9*I282</f>
        <v>0.00571217287234872</v>
      </c>
      <c r="L282" s="13" t="n">
        <f aca="false">H282-I282</f>
        <v>0.00559405194293458</v>
      </c>
      <c r="M282" s="15" t="n">
        <v>0.323025020317464</v>
      </c>
      <c r="N282" s="13" t="n">
        <f aca="false">H282-M282*I282</f>
        <v>0.00580098300970931</v>
      </c>
      <c r="O282" s="16" t="n">
        <f aca="false">'Results &amp; Charts'!$C$9</f>
        <v>0.613567382430444</v>
      </c>
    </row>
    <row r="283" customFormat="false" ht="15" hidden="false" customHeight="false" outlineLevel="0" collapsed="false">
      <c r="A283" s="14" t="n">
        <f aca="false">'Roll Schedule'!A549</f>
        <v>45937</v>
      </c>
      <c r="B283" s="14" t="n">
        <f aca="false">'Roll Schedule'!A548</f>
        <v>45936</v>
      </c>
      <c r="C283" s="3" t="n">
        <f aca="false">SUMIFS('Spot Data'!$E$5:$E$651,'Spot Data'!$A$5:$A$651,B283,'Spot Data'!$H$5:$H$651,"YES")</f>
        <v>8500</v>
      </c>
      <c r="D283" s="3" t="n">
        <f aca="false">SUMIFS('Spot Data'!$E$5:$E$651,'Spot Data'!$A$5:$A$651,A283,'Spot Data'!$H$5:$H$651,"YES")</f>
        <v>8500</v>
      </c>
      <c r="E283" s="14" t="n">
        <f aca="false">'Roll Schedule'!B549</f>
        <v>45981</v>
      </c>
      <c r="F283" s="3" t="n">
        <f aca="false">SUMIFS('Futures Data'!$C$5:$C$3471,'Futures Data'!$A$5:$A$3471,B283,'Futures Data'!$B$5:$B$3471,E283)</f>
        <v>6544</v>
      </c>
      <c r="G283" s="3" t="n">
        <f aca="false">SUMIFS('Futures Data'!$C$5:$C$3471,'Futures Data'!$A$5:$A$3471,A283,'Futures Data'!$B$5:$B$3471,E283)</f>
        <v>6579</v>
      </c>
      <c r="H283" s="13" t="n">
        <f aca="false">LN(D283/C283)</f>
        <v>0</v>
      </c>
      <c r="I283" s="13" t="n">
        <f aca="false">LN(G283/F283)</f>
        <v>0.00533415880341492</v>
      </c>
      <c r="J283" s="3" t="str">
        <f aca="false">IF(A283&lt;='Results &amp; Charts'!$C$5,"In-sample","Out-of-sample")</f>
        <v>Out-of-sample</v>
      </c>
      <c r="K283" s="13" t="n">
        <f aca="false">H283-'Results &amp; Charts'!$C$9*I283</f>
        <v>-0.00327286585447961</v>
      </c>
      <c r="L283" s="13" t="n">
        <f aca="false">H283-I283</f>
        <v>-0.00533415880341492</v>
      </c>
      <c r="M283" s="15" t="n">
        <v>0.349278320471536</v>
      </c>
      <c r="N283" s="13" t="n">
        <f aca="false">H283-M283*I283</f>
        <v>-0.00186310602798522</v>
      </c>
      <c r="O283" s="16" t="n">
        <f aca="false">'Results &amp; Charts'!$C$9</f>
        <v>0.613567382430444</v>
      </c>
    </row>
    <row r="284" customFormat="false" ht="15" hidden="false" customHeight="false" outlineLevel="0" collapsed="false">
      <c r="A284" s="14" t="n">
        <f aca="false">'Roll Schedule'!A550</f>
        <v>45938</v>
      </c>
      <c r="B284" s="14" t="n">
        <f aca="false">'Roll Schedule'!A549</f>
        <v>45937</v>
      </c>
      <c r="C284" s="3" t="n">
        <f aca="false">SUMIFS('Spot Data'!$E$5:$E$651,'Spot Data'!$A$5:$A$651,B284,'Spot Data'!$H$5:$H$651,"YES")</f>
        <v>8500</v>
      </c>
      <c r="D284" s="3" t="n">
        <f aca="false">SUMIFS('Spot Data'!$E$5:$E$651,'Spot Data'!$A$5:$A$651,A284,'Spot Data'!$H$5:$H$651,"YES")</f>
        <v>8500</v>
      </c>
      <c r="E284" s="14" t="n">
        <f aca="false">'Roll Schedule'!B550</f>
        <v>45981</v>
      </c>
      <c r="F284" s="3" t="n">
        <f aca="false">SUMIFS('Futures Data'!$C$5:$C$3471,'Futures Data'!$A$5:$A$3471,B284,'Futures Data'!$B$5:$B$3471,E284)</f>
        <v>6579</v>
      </c>
      <c r="G284" s="3" t="n">
        <f aca="false">SUMIFS('Futures Data'!$C$5:$C$3471,'Futures Data'!$A$5:$A$3471,A284,'Futures Data'!$B$5:$B$3471,E284)</f>
        <v>6581</v>
      </c>
      <c r="H284" s="13" t="n">
        <f aca="false">LN(D284/C284)</f>
        <v>0</v>
      </c>
      <c r="I284" s="13" t="n">
        <f aca="false">LN(G284/F284)</f>
        <v>0.000303951370121246</v>
      </c>
      <c r="J284" s="3" t="str">
        <f aca="false">IF(A284&lt;='Results &amp; Charts'!$C$5,"In-sample","Out-of-sample")</f>
        <v>Out-of-sample</v>
      </c>
      <c r="K284" s="13" t="n">
        <f aca="false">H284-'Results &amp; Charts'!$C$9*I284</f>
        <v>-0.00018649464655144</v>
      </c>
      <c r="L284" s="13" t="n">
        <f aca="false">H284-I284</f>
        <v>-0.000303951370121246</v>
      </c>
      <c r="M284" s="15" t="n">
        <v>0.348114711348183</v>
      </c>
      <c r="N284" s="13" t="n">
        <f aca="false">H284-M284*I284</f>
        <v>-0.000105809943473642</v>
      </c>
      <c r="O284" s="16" t="n">
        <f aca="false">'Results &amp; Charts'!$C$9</f>
        <v>0.613567382430444</v>
      </c>
    </row>
    <row r="285" customFormat="false" ht="15" hidden="false" customHeight="false" outlineLevel="0" collapsed="false">
      <c r="A285" s="14" t="n">
        <f aca="false">'Roll Schedule'!A551</f>
        <v>45939</v>
      </c>
      <c r="B285" s="14" t="n">
        <f aca="false">'Roll Schedule'!A550</f>
        <v>45938</v>
      </c>
      <c r="C285" s="3" t="n">
        <f aca="false">SUMIFS('Spot Data'!$E$5:$E$651,'Spot Data'!$A$5:$A$651,B285,'Spot Data'!$H$5:$H$651,"YES")</f>
        <v>8500</v>
      </c>
      <c r="D285" s="3" t="n">
        <f aca="false">SUMIFS('Spot Data'!$E$5:$E$651,'Spot Data'!$A$5:$A$651,A285,'Spot Data'!$H$5:$H$651,"YES")</f>
        <v>8450</v>
      </c>
      <c r="E285" s="14" t="n">
        <f aca="false">'Roll Schedule'!B551</f>
        <v>45981</v>
      </c>
      <c r="F285" s="3" t="n">
        <f aca="false">SUMIFS('Futures Data'!$C$5:$C$3471,'Futures Data'!$A$5:$A$3471,B285,'Futures Data'!$B$5:$B$3471,E285)</f>
        <v>6581</v>
      </c>
      <c r="G285" s="3" t="n">
        <f aca="false">SUMIFS('Futures Data'!$C$5:$C$3471,'Futures Data'!$A$5:$A$3471,A285,'Futures Data'!$B$5:$B$3471,E285)</f>
        <v>6576</v>
      </c>
      <c r="H285" s="13" t="n">
        <f aca="false">LN(D285/C285)</f>
        <v>-0.00589972212718827</v>
      </c>
      <c r="I285" s="13" t="n">
        <f aca="false">LN(G285/F285)</f>
        <v>-0.000760051720103324</v>
      </c>
      <c r="J285" s="3" t="str">
        <f aca="false">IF(A285&lt;='Results &amp; Charts'!$C$5,"In-sample","Out-of-sample")</f>
        <v>Out-of-sample</v>
      </c>
      <c r="K285" s="13" t="n">
        <f aca="false">H285-'Results &amp; Charts'!$C$9*I285</f>
        <v>-0.00543337918277272</v>
      </c>
      <c r="L285" s="13" t="n">
        <f aca="false">H285-I285</f>
        <v>-0.00513967040708495</v>
      </c>
      <c r="M285" s="15" t="n">
        <v>0.371812373607424</v>
      </c>
      <c r="N285" s="13" t="n">
        <f aca="false">H285-M285*I285</f>
        <v>-0.00561712549307225</v>
      </c>
      <c r="O285" s="16" t="n">
        <f aca="false">'Results &amp; Charts'!$C$9</f>
        <v>0.613567382430444</v>
      </c>
    </row>
    <row r="286" customFormat="false" ht="15" hidden="false" customHeight="false" outlineLevel="0" collapsed="false">
      <c r="A286" s="14" t="n">
        <f aca="false">'Roll Schedule'!A552</f>
        <v>45940</v>
      </c>
      <c r="B286" s="14" t="n">
        <f aca="false">'Roll Schedule'!A551</f>
        <v>45939</v>
      </c>
      <c r="C286" s="3" t="n">
        <f aca="false">SUMIFS('Spot Data'!$E$5:$E$651,'Spot Data'!$A$5:$A$651,B286,'Spot Data'!$H$5:$H$651,"YES")</f>
        <v>8450</v>
      </c>
      <c r="D286" s="3" t="n">
        <f aca="false">SUMIFS('Spot Data'!$E$5:$E$651,'Spot Data'!$A$5:$A$651,A286,'Spot Data'!$H$5:$H$651,"YES")</f>
        <v>8000</v>
      </c>
      <c r="E286" s="14" t="n">
        <f aca="false">'Roll Schedule'!B552</f>
        <v>45981</v>
      </c>
      <c r="F286" s="3" t="n">
        <f aca="false">SUMIFS('Futures Data'!$C$5:$C$3471,'Futures Data'!$A$5:$A$3471,B286,'Futures Data'!$B$5:$B$3471,E286)</f>
        <v>6576</v>
      </c>
      <c r="G286" s="3" t="n">
        <f aca="false">SUMIFS('Futures Data'!$C$5:$C$3471,'Futures Data'!$A$5:$A$3471,A286,'Futures Data'!$B$5:$B$3471,E286)</f>
        <v>6596</v>
      </c>
      <c r="H286" s="13" t="n">
        <f aca="false">LN(D286/C286)</f>
        <v>-0.0547248996892466</v>
      </c>
      <c r="I286" s="13" t="n">
        <f aca="false">LN(G286/F286)</f>
        <v>0.00303674694347359</v>
      </c>
      <c r="J286" s="3" t="str">
        <f aca="false">IF(A286&lt;='Results &amp; Charts'!$C$5,"In-sample","Out-of-sample")</f>
        <v>Out-of-sample</v>
      </c>
      <c r="K286" s="13" t="n">
        <f aca="false">H286-'Results &amp; Charts'!$C$9*I286</f>
        <v>-0.0565881485624574</v>
      </c>
      <c r="L286" s="13" t="n">
        <f aca="false">H286-I286</f>
        <v>-0.0577616466327202</v>
      </c>
      <c r="M286" s="15" t="n">
        <v>0.395165318075333</v>
      </c>
      <c r="N286" s="13" t="n">
        <f aca="false">H286-M286*I286</f>
        <v>-0.0559249167610786</v>
      </c>
      <c r="O286" s="16" t="n">
        <f aca="false">'Results &amp; Charts'!$C$9</f>
        <v>0.613567382430444</v>
      </c>
    </row>
    <row r="287" customFormat="false" ht="15" hidden="false" customHeight="false" outlineLevel="0" collapsed="false">
      <c r="A287" s="14" t="n">
        <f aca="false">'Roll Schedule'!A553</f>
        <v>45943</v>
      </c>
      <c r="B287" s="14" t="n">
        <f aca="false">'Roll Schedule'!A552</f>
        <v>45940</v>
      </c>
      <c r="C287" s="3" t="n">
        <f aca="false">SUMIFS('Spot Data'!$E$5:$E$651,'Spot Data'!$A$5:$A$651,B287,'Spot Data'!$H$5:$H$651,"YES")</f>
        <v>8000</v>
      </c>
      <c r="D287" s="3" t="n">
        <f aca="false">SUMIFS('Spot Data'!$E$5:$E$651,'Spot Data'!$A$5:$A$651,A287,'Spot Data'!$H$5:$H$651,"YES")</f>
        <v>8350</v>
      </c>
      <c r="E287" s="14" t="n">
        <f aca="false">'Roll Schedule'!B553</f>
        <v>45981</v>
      </c>
      <c r="F287" s="3" t="n">
        <f aca="false">SUMIFS('Futures Data'!$C$5:$C$3471,'Futures Data'!$A$5:$A$3471,B287,'Futures Data'!$B$5:$B$3471,E287)</f>
        <v>6596</v>
      </c>
      <c r="G287" s="3" t="n">
        <f aca="false">SUMIFS('Futures Data'!$C$5:$C$3471,'Futures Data'!$A$5:$A$3471,A287,'Futures Data'!$B$5:$B$3471,E287)</f>
        <v>6715</v>
      </c>
      <c r="H287" s="13" t="n">
        <f aca="false">LN(D287/C287)</f>
        <v>0.0428199971829281</v>
      </c>
      <c r="I287" s="13" t="n">
        <f aca="false">LN(G287/F287)</f>
        <v>0.0178804252778484</v>
      </c>
      <c r="J287" s="3" t="str">
        <f aca="false">IF(A287&lt;='Results &amp; Charts'!$C$5,"In-sample","Out-of-sample")</f>
        <v>Out-of-sample</v>
      </c>
      <c r="K287" s="13" t="n">
        <f aca="false">H287-'Results &amp; Charts'!$C$9*I287</f>
        <v>0.0318491514484556</v>
      </c>
      <c r="L287" s="13" t="n">
        <f aca="false">H287-I287</f>
        <v>0.0249395719050798</v>
      </c>
      <c r="M287" s="15" t="n">
        <v>0.318592271512717</v>
      </c>
      <c r="N287" s="13" t="n">
        <f aca="false">H287-M287*I287</f>
        <v>0.037123431878045</v>
      </c>
      <c r="O287" s="16" t="n">
        <f aca="false">'Results &amp; Charts'!$C$9</f>
        <v>0.613567382430444</v>
      </c>
    </row>
    <row r="288" customFormat="false" ht="15" hidden="false" customHeight="false" outlineLevel="0" collapsed="false">
      <c r="A288" s="14" t="n">
        <f aca="false">'Roll Schedule'!A554</f>
        <v>45944</v>
      </c>
      <c r="B288" s="14" t="n">
        <f aca="false">'Roll Schedule'!A553</f>
        <v>45943</v>
      </c>
      <c r="C288" s="3" t="n">
        <f aca="false">SUMIFS('Spot Data'!$E$5:$E$651,'Spot Data'!$A$5:$A$651,B288,'Spot Data'!$H$5:$H$651,"YES")</f>
        <v>8350</v>
      </c>
      <c r="D288" s="3" t="n">
        <f aca="false">SUMIFS('Spot Data'!$E$5:$E$651,'Spot Data'!$A$5:$A$651,A288,'Spot Data'!$H$5:$H$651,"YES")</f>
        <v>8450</v>
      </c>
      <c r="E288" s="14" t="n">
        <f aca="false">'Roll Schedule'!B554</f>
        <v>45981</v>
      </c>
      <c r="F288" s="3" t="n">
        <f aca="false">SUMIFS('Futures Data'!$C$5:$C$3471,'Futures Data'!$A$5:$A$3471,B288,'Futures Data'!$B$5:$B$3471,E288)</f>
        <v>6715</v>
      </c>
      <c r="G288" s="3" t="n">
        <f aca="false">SUMIFS('Futures Data'!$C$5:$C$3471,'Futures Data'!$A$5:$A$3471,A288,'Futures Data'!$B$5:$B$3471,E288)</f>
        <v>6667</v>
      </c>
      <c r="H288" s="13" t="n">
        <f aca="false">LN(D288/C288)</f>
        <v>0.0119049025063185</v>
      </c>
      <c r="I288" s="13" t="n">
        <f aca="false">LN(G288/F288)</f>
        <v>-0.00717384633927792</v>
      </c>
      <c r="J288" s="3" t="str">
        <f aca="false">IF(A288&lt;='Results &amp; Charts'!$C$5,"In-sample","Out-of-sample")</f>
        <v>Out-of-sample</v>
      </c>
      <c r="K288" s="13" t="n">
        <f aca="false">H288-'Results &amp; Charts'!$C$9*I288</f>
        <v>0.0163065406266674</v>
      </c>
      <c r="L288" s="13" t="n">
        <f aca="false">H288-I288</f>
        <v>0.0190787488455964</v>
      </c>
      <c r="M288" s="15" t="n">
        <v>0.381040282758473</v>
      </c>
      <c r="N288" s="13" t="n">
        <f aca="false">H288-M288*I288</f>
        <v>0.0146384269439027</v>
      </c>
      <c r="O288" s="16" t="n">
        <f aca="false">'Results &amp; Charts'!$C$9</f>
        <v>0.613567382430444</v>
      </c>
    </row>
    <row r="289" customFormat="false" ht="15" hidden="false" customHeight="false" outlineLevel="0" collapsed="false">
      <c r="A289" s="14" t="n">
        <f aca="false">'Roll Schedule'!A555</f>
        <v>45945</v>
      </c>
      <c r="B289" s="14" t="n">
        <f aca="false">'Roll Schedule'!A554</f>
        <v>45944</v>
      </c>
      <c r="C289" s="3" t="n">
        <f aca="false">SUMIFS('Spot Data'!$E$5:$E$651,'Spot Data'!$A$5:$A$651,B289,'Spot Data'!$H$5:$H$651,"YES")</f>
        <v>8450</v>
      </c>
      <c r="D289" s="3" t="n">
        <f aca="false">SUMIFS('Spot Data'!$E$5:$E$651,'Spot Data'!$A$5:$A$651,A289,'Spot Data'!$H$5:$H$651,"YES")</f>
        <v>8200</v>
      </c>
      <c r="E289" s="14" t="n">
        <f aca="false">'Roll Schedule'!B555</f>
        <v>45981</v>
      </c>
      <c r="F289" s="3" t="n">
        <f aca="false">SUMIFS('Futures Data'!$C$5:$C$3471,'Futures Data'!$A$5:$A$3471,B289,'Futures Data'!$B$5:$B$3471,E289)</f>
        <v>6667</v>
      </c>
      <c r="G289" s="3" t="n">
        <f aca="false">SUMIFS('Futures Data'!$C$5:$C$3471,'Futures Data'!$A$5:$A$3471,A289,'Futures Data'!$B$5:$B$3471,E289)</f>
        <v>6650</v>
      </c>
      <c r="H289" s="13" t="n">
        <f aca="false">LN(D289/C289)</f>
        <v>-0.0300322870988751</v>
      </c>
      <c r="I289" s="13" t="n">
        <f aca="false">LN(G289/F289)</f>
        <v>-0.00255312896816024</v>
      </c>
      <c r="J289" s="3" t="str">
        <f aca="false">IF(A289&lt;='Results &amp; Charts'!$C$5,"In-sample","Out-of-sample")</f>
        <v>Out-of-sample</v>
      </c>
      <c r="K289" s="13" t="n">
        <f aca="false">H289-'Results &amp; Charts'!$C$9*I289</f>
        <v>-0.0284657704408737</v>
      </c>
      <c r="L289" s="13" t="n">
        <f aca="false">H289-I289</f>
        <v>-0.0274791581307148</v>
      </c>
      <c r="M289" s="15" t="n">
        <v>0.365782218016078</v>
      </c>
      <c r="N289" s="13" t="n">
        <f aca="false">H289-M289*I289</f>
        <v>-0.0290983979220203</v>
      </c>
      <c r="O289" s="16" t="n">
        <f aca="false">'Results &amp; Charts'!$C$9</f>
        <v>0.613567382430444</v>
      </c>
    </row>
    <row r="290" customFormat="false" ht="15" hidden="false" customHeight="false" outlineLevel="0" collapsed="false">
      <c r="A290" s="14" t="n">
        <f aca="false">'Roll Schedule'!A556</f>
        <v>45946</v>
      </c>
      <c r="B290" s="14" t="n">
        <f aca="false">'Roll Schedule'!A555</f>
        <v>45945</v>
      </c>
      <c r="C290" s="3" t="n">
        <f aca="false">SUMIFS('Spot Data'!$E$5:$E$651,'Spot Data'!$A$5:$A$651,B290,'Spot Data'!$H$5:$H$651,"YES")</f>
        <v>8200</v>
      </c>
      <c r="D290" s="3" t="n">
        <f aca="false">SUMIFS('Spot Data'!$E$5:$E$651,'Spot Data'!$A$5:$A$651,A290,'Spot Data'!$H$5:$H$651,"YES")</f>
        <v>8400</v>
      </c>
      <c r="E290" s="14" t="n">
        <f aca="false">'Roll Schedule'!B556</f>
        <v>45981</v>
      </c>
      <c r="F290" s="3" t="n">
        <f aca="false">SUMIFS('Futures Data'!$C$5:$C$3471,'Futures Data'!$A$5:$A$3471,B290,'Futures Data'!$B$5:$B$3471,E290)</f>
        <v>6650</v>
      </c>
      <c r="G290" s="3" t="n">
        <f aca="false">SUMIFS('Futures Data'!$C$5:$C$3471,'Futures Data'!$A$5:$A$3471,A290,'Futures Data'!$B$5:$B$3471,E290)</f>
        <v>6758</v>
      </c>
      <c r="H290" s="13" t="n">
        <f aca="false">LN(D290/C290)</f>
        <v>0.0240975515790605</v>
      </c>
      <c r="I290" s="13" t="n">
        <f aca="false">LN(G290/F290)</f>
        <v>0.0161101336243355</v>
      </c>
      <c r="J290" s="3" t="str">
        <f aca="false">IF(A290&lt;='Results &amp; Charts'!$C$5,"In-sample","Out-of-sample")</f>
        <v>Out-of-sample</v>
      </c>
      <c r="K290" s="13" t="n">
        <f aca="false">H290-'Results &amp; Charts'!$C$9*I290</f>
        <v>0.0142128990605723</v>
      </c>
      <c r="L290" s="13" t="n">
        <f aca="false">H290-I290</f>
        <v>0.00798741795472499</v>
      </c>
      <c r="M290" s="15" t="n">
        <v>0.414827788762612</v>
      </c>
      <c r="N290" s="13" t="n">
        <f aca="false">H290-M290*I290</f>
        <v>0.0174146204710072</v>
      </c>
      <c r="O290" s="16" t="n">
        <f aca="false">'Results &amp; Charts'!$C$9</f>
        <v>0.613567382430444</v>
      </c>
    </row>
    <row r="291" customFormat="false" ht="15" hidden="false" customHeight="false" outlineLevel="0" collapsed="false">
      <c r="A291" s="14" t="n">
        <f aca="false">'Roll Schedule'!A557</f>
        <v>45947</v>
      </c>
      <c r="B291" s="14" t="n">
        <f aca="false">'Roll Schedule'!A556</f>
        <v>45946</v>
      </c>
      <c r="C291" s="3" t="n">
        <f aca="false">SUMIFS('Spot Data'!$E$5:$E$651,'Spot Data'!$A$5:$A$651,B291,'Spot Data'!$H$5:$H$651,"YES")</f>
        <v>8400</v>
      </c>
      <c r="D291" s="3" t="n">
        <f aca="false">SUMIFS('Spot Data'!$E$5:$E$651,'Spot Data'!$A$5:$A$651,A291,'Spot Data'!$H$5:$H$651,"YES")</f>
        <v>8550</v>
      </c>
      <c r="E291" s="14" t="n">
        <f aca="false">'Roll Schedule'!B557</f>
        <v>45981</v>
      </c>
      <c r="F291" s="3" t="n">
        <f aca="false">SUMIFS('Futures Data'!$C$5:$C$3471,'Futures Data'!$A$5:$A$3471,B291,'Futures Data'!$B$5:$B$3471,E291)</f>
        <v>6758</v>
      </c>
      <c r="G291" s="3" t="n">
        <f aca="false">SUMIFS('Futures Data'!$C$5:$C$3471,'Futures Data'!$A$5:$A$3471,A291,'Futures Data'!$B$5:$B$3471,E291)</f>
        <v>6759</v>
      </c>
      <c r="H291" s="13" t="n">
        <f aca="false">LN(D291/C291)</f>
        <v>0.0176995770994009</v>
      </c>
      <c r="I291" s="13" t="n">
        <f aca="false">LN(G291/F291)</f>
        <v>0.000147961826118924</v>
      </c>
      <c r="J291" s="3" t="str">
        <f aca="false">IF(A291&lt;='Results &amp; Charts'!$C$5,"In-sample","Out-of-sample")</f>
        <v>Out-of-sample</v>
      </c>
      <c r="K291" s="13" t="n">
        <f aca="false">H291-'Results &amp; Charts'!$C$9*I291</f>
        <v>0.0176087925490494</v>
      </c>
      <c r="L291" s="13" t="n">
        <f aca="false">H291-I291</f>
        <v>0.0175516152732819</v>
      </c>
      <c r="M291" s="15" t="n">
        <v>0.390786712650721</v>
      </c>
      <c r="N291" s="13" t="n">
        <f aca="false">H291-M291*I291</f>
        <v>0.017641755583774</v>
      </c>
      <c r="O291" s="16" t="n">
        <f aca="false">'Results &amp; Charts'!$C$9</f>
        <v>0.613567382430444</v>
      </c>
    </row>
    <row r="292" customFormat="false" ht="15" hidden="false" customHeight="false" outlineLevel="0" collapsed="false">
      <c r="A292" s="14" t="n">
        <f aca="false">'Roll Schedule'!A563</f>
        <v>45958</v>
      </c>
      <c r="B292" s="14" t="n">
        <f aca="false">'Roll Schedule'!A562</f>
        <v>45957</v>
      </c>
      <c r="C292" s="3" t="n">
        <f aca="false">SUMIFS('Spot Data'!$E$5:$E$651,'Spot Data'!$A$5:$A$651,B292,'Spot Data'!$H$5:$H$651,"YES")</f>
        <v>8500</v>
      </c>
      <c r="D292" s="3" t="n">
        <f aca="false">SUMIFS('Spot Data'!$E$5:$E$651,'Spot Data'!$A$5:$A$651,A292,'Spot Data'!$H$5:$H$651,"YES")</f>
        <v>8450</v>
      </c>
      <c r="E292" s="14" t="n">
        <f aca="false">'Roll Schedule'!B563</f>
        <v>45981</v>
      </c>
      <c r="F292" s="3" t="n">
        <f aca="false">SUMIFS('Futures Data'!$C$5:$C$3471,'Futures Data'!$A$5:$A$3471,B292,'Futures Data'!$B$5:$B$3471,E292)</f>
        <v>6692</v>
      </c>
      <c r="G292" s="3" t="n">
        <f aca="false">SUMIFS('Futures Data'!$C$5:$C$3471,'Futures Data'!$A$5:$A$3471,A292,'Futures Data'!$B$5:$B$3471,E292)</f>
        <v>6719</v>
      </c>
      <c r="H292" s="13" t="n">
        <f aca="false">LN(D292/C292)</f>
        <v>-0.00589972212718827</v>
      </c>
      <c r="I292" s="13" t="n">
        <f aca="false">LN(G292/F292)</f>
        <v>0.0040265508134353</v>
      </c>
      <c r="J292" s="3" t="str">
        <f aca="false">IF(A292&lt;='Results &amp; Charts'!$C$5,"In-sample","Out-of-sample")</f>
        <v>Out-of-sample</v>
      </c>
      <c r="K292" s="13" t="n">
        <f aca="false">H292-'Results &amp; Charts'!$C$9*I292</f>
        <v>-0.00837028237001095</v>
      </c>
      <c r="L292" s="13" t="n">
        <f aca="false">H292-I292</f>
        <v>-0.00992627294062357</v>
      </c>
      <c r="M292" s="15" t="n">
        <v>0.432335093836228</v>
      </c>
      <c r="N292" s="13" t="n">
        <f aca="false">H292-M292*I292</f>
        <v>-0.00764054135095116</v>
      </c>
      <c r="O292" s="16" t="n">
        <f aca="false">'Results &amp; Charts'!$C$9</f>
        <v>0.613567382430444</v>
      </c>
    </row>
    <row r="293" customFormat="false" ht="15" hidden="false" customHeight="false" outlineLevel="0" collapsed="false">
      <c r="A293" s="14" t="n">
        <f aca="false">'Roll Schedule'!A564</f>
        <v>45959</v>
      </c>
      <c r="B293" s="14" t="n">
        <f aca="false">'Roll Schedule'!A563</f>
        <v>45958</v>
      </c>
      <c r="C293" s="3" t="n">
        <f aca="false">SUMIFS('Spot Data'!$E$5:$E$651,'Spot Data'!$A$5:$A$651,B293,'Spot Data'!$H$5:$H$651,"YES")</f>
        <v>8450</v>
      </c>
      <c r="D293" s="3" t="n">
        <f aca="false">SUMIFS('Spot Data'!$E$5:$E$651,'Spot Data'!$A$5:$A$651,A293,'Spot Data'!$H$5:$H$651,"YES")</f>
        <v>8450</v>
      </c>
      <c r="E293" s="14" t="n">
        <f aca="false">'Roll Schedule'!B564</f>
        <v>45981</v>
      </c>
      <c r="F293" s="3" t="n">
        <f aca="false">SUMIFS('Futures Data'!$C$5:$C$3471,'Futures Data'!$A$5:$A$3471,B293,'Futures Data'!$B$5:$B$3471,E293)</f>
        <v>6719</v>
      </c>
      <c r="G293" s="3" t="n">
        <f aca="false">SUMIFS('Futures Data'!$C$5:$C$3471,'Futures Data'!$A$5:$A$3471,A293,'Futures Data'!$B$5:$B$3471,E293)</f>
        <v>6732</v>
      </c>
      <c r="H293" s="13" t="n">
        <f aca="false">LN(D293/C293)</f>
        <v>0</v>
      </c>
      <c r="I293" s="13" t="n">
        <f aca="false">LN(G293/F293)</f>
        <v>0.00193294239054659</v>
      </c>
      <c r="J293" s="3" t="str">
        <f aca="false">IF(A293&lt;='Results &amp; Charts'!$C$5,"In-sample","Out-of-sample")</f>
        <v>Out-of-sample</v>
      </c>
      <c r="K293" s="13" t="n">
        <f aca="false">H293-'Results &amp; Charts'!$C$9*I293</f>
        <v>-0.00118599040295652</v>
      </c>
      <c r="L293" s="13" t="n">
        <f aca="false">H293-I293</f>
        <v>-0.00193294239054659</v>
      </c>
      <c r="M293" s="15" t="n">
        <v>0.452623869131959</v>
      </c>
      <c r="N293" s="13" t="n">
        <f aca="false">H293-M293*I293</f>
        <v>-0.000874895863618377</v>
      </c>
      <c r="O293" s="16" t="n">
        <f aca="false">'Results &amp; Charts'!$C$9</f>
        <v>0.613567382430444</v>
      </c>
    </row>
    <row r="294" customFormat="false" ht="15" hidden="false" customHeight="false" outlineLevel="0" collapsed="false">
      <c r="A294" s="14" t="n">
        <f aca="false">'Roll Schedule'!A565</f>
        <v>45960</v>
      </c>
      <c r="B294" s="14" t="n">
        <f aca="false">'Roll Schedule'!A564</f>
        <v>45959</v>
      </c>
      <c r="C294" s="3" t="n">
        <f aca="false">SUMIFS('Spot Data'!$E$5:$E$651,'Spot Data'!$A$5:$A$651,B294,'Spot Data'!$H$5:$H$651,"YES")</f>
        <v>8450</v>
      </c>
      <c r="D294" s="3" t="n">
        <f aca="false">SUMIFS('Spot Data'!$E$5:$E$651,'Spot Data'!$A$5:$A$651,A294,'Spot Data'!$H$5:$H$651,"YES")</f>
        <v>8450</v>
      </c>
      <c r="E294" s="14" t="n">
        <f aca="false">'Roll Schedule'!B565</f>
        <v>45981</v>
      </c>
      <c r="F294" s="3" t="n">
        <f aca="false">SUMIFS('Futures Data'!$C$5:$C$3471,'Futures Data'!$A$5:$A$3471,B294,'Futures Data'!$B$5:$B$3471,E294)</f>
        <v>6732</v>
      </c>
      <c r="G294" s="3" t="n">
        <f aca="false">SUMIFS('Futures Data'!$C$5:$C$3471,'Futures Data'!$A$5:$A$3471,A294,'Futures Data'!$B$5:$B$3471,E294)</f>
        <v>6803</v>
      </c>
      <c r="H294" s="13" t="n">
        <f aca="false">LN(D294/C294)</f>
        <v>0</v>
      </c>
      <c r="I294" s="13" t="n">
        <f aca="false">LN(G294/F294)</f>
        <v>0.0104914150343643</v>
      </c>
      <c r="J294" s="3" t="str">
        <f aca="false">IF(A294&lt;='Results &amp; Charts'!$C$5,"In-sample","Out-of-sample")</f>
        <v>Out-of-sample</v>
      </c>
      <c r="K294" s="13" t="n">
        <f aca="false">H294-'Results &amp; Charts'!$C$9*I294</f>
        <v>-0.00643719006062629</v>
      </c>
      <c r="L294" s="13" t="n">
        <f aca="false">H294-I294</f>
        <v>-0.0104914150343643</v>
      </c>
      <c r="M294" s="15" t="n">
        <v>0.488128158956975</v>
      </c>
      <c r="N294" s="13" t="n">
        <f aca="false">H294-M294*I294</f>
        <v>-0.00512115510557775</v>
      </c>
      <c r="O294" s="16" t="n">
        <f aca="false">'Results &amp; Charts'!$C$9</f>
        <v>0.613567382430444</v>
      </c>
    </row>
    <row r="295" customFormat="false" ht="15" hidden="false" customHeight="false" outlineLevel="0" collapsed="false">
      <c r="A295" s="14" t="n">
        <f aca="false">'Roll Schedule'!A566</f>
        <v>45961</v>
      </c>
      <c r="B295" s="14" t="n">
        <f aca="false">'Roll Schedule'!A565</f>
        <v>45960</v>
      </c>
      <c r="C295" s="3" t="n">
        <f aca="false">SUMIFS('Spot Data'!$E$5:$E$651,'Spot Data'!$A$5:$A$651,B295,'Spot Data'!$H$5:$H$651,"YES")</f>
        <v>8450</v>
      </c>
      <c r="D295" s="3" t="n">
        <f aca="false">SUMIFS('Spot Data'!$E$5:$E$651,'Spot Data'!$A$5:$A$651,A295,'Spot Data'!$H$5:$H$651,"YES")</f>
        <v>8500</v>
      </c>
      <c r="E295" s="14" t="n">
        <f aca="false">'Roll Schedule'!B566</f>
        <v>45981</v>
      </c>
      <c r="F295" s="3" t="n">
        <f aca="false">SUMIFS('Futures Data'!$C$5:$C$3471,'Futures Data'!$A$5:$A$3471,B295,'Futures Data'!$B$5:$B$3471,E295)</f>
        <v>6803</v>
      </c>
      <c r="G295" s="3" t="n">
        <f aca="false">SUMIFS('Futures Data'!$C$5:$C$3471,'Futures Data'!$A$5:$A$3471,A295,'Futures Data'!$B$5:$B$3471,E295)</f>
        <v>6803</v>
      </c>
      <c r="H295" s="13" t="n">
        <f aca="false">LN(D295/C295)</f>
        <v>0.00589972212718832</v>
      </c>
      <c r="I295" s="13" t="n">
        <f aca="false">LN(G295/F295)</f>
        <v>0</v>
      </c>
      <c r="J295" s="3" t="str">
        <f aca="false">IF(A295&lt;='Results &amp; Charts'!$C$5,"In-sample","Out-of-sample")</f>
        <v>Out-of-sample</v>
      </c>
      <c r="K295" s="13" t="n">
        <f aca="false">H295-'Results &amp; Charts'!$C$9*I295</f>
        <v>0.00589972212718832</v>
      </c>
      <c r="L295" s="13" t="n">
        <f aca="false">H295-I295</f>
        <v>0.00589972212718832</v>
      </c>
      <c r="M295" s="15" t="n">
        <v>0.436874256364279</v>
      </c>
      <c r="N295" s="13" t="n">
        <f aca="false">H295-M295*I295</f>
        <v>0.00589972212718832</v>
      </c>
      <c r="O295" s="16" t="n">
        <f aca="false">'Results &amp; Charts'!$C$9</f>
        <v>0.613567382430444</v>
      </c>
    </row>
    <row r="296" customFormat="false" ht="15" hidden="false" customHeight="false" outlineLevel="0" collapsed="false">
      <c r="A296" s="14" t="n">
        <f aca="false">'Roll Schedule'!A567</f>
        <v>45964</v>
      </c>
      <c r="B296" s="14" t="n">
        <f aca="false">'Roll Schedule'!A566</f>
        <v>45961</v>
      </c>
      <c r="C296" s="3" t="n">
        <f aca="false">SUMIFS('Spot Data'!$E$5:$E$651,'Spot Data'!$A$5:$A$651,B296,'Spot Data'!$H$5:$H$651,"YES")</f>
        <v>8500</v>
      </c>
      <c r="D296" s="3" t="n">
        <f aca="false">SUMIFS('Spot Data'!$E$5:$E$651,'Spot Data'!$A$5:$A$651,A296,'Spot Data'!$H$5:$H$651,"YES")</f>
        <v>8500</v>
      </c>
      <c r="E296" s="14" t="n">
        <f aca="false">'Roll Schedule'!B567</f>
        <v>45981</v>
      </c>
      <c r="F296" s="3" t="n">
        <f aca="false">SUMIFS('Futures Data'!$C$5:$C$3471,'Futures Data'!$A$5:$A$3471,B296,'Futures Data'!$B$5:$B$3471,E296)</f>
        <v>6803</v>
      </c>
      <c r="G296" s="3" t="n">
        <f aca="false">SUMIFS('Futures Data'!$C$5:$C$3471,'Futures Data'!$A$5:$A$3471,A296,'Futures Data'!$B$5:$B$3471,E296)</f>
        <v>6764</v>
      </c>
      <c r="H296" s="13" t="n">
        <f aca="false">LN(D296/C296)</f>
        <v>0</v>
      </c>
      <c r="I296" s="13" t="n">
        <f aca="false">LN(G296/F296)</f>
        <v>-0.00574926032658985</v>
      </c>
      <c r="J296" s="3" t="str">
        <f aca="false">IF(A296&lt;='Results &amp; Charts'!$C$5,"In-sample","Out-of-sample")</f>
        <v>Out-of-sample</v>
      </c>
      <c r="K296" s="13" t="n">
        <f aca="false">H296-'Results &amp; Charts'!$C$9*I296</f>
        <v>0.00352755860949694</v>
      </c>
      <c r="L296" s="13" t="n">
        <f aca="false">H296-I296</f>
        <v>0.00574926032658985</v>
      </c>
      <c r="M296" s="15" t="n">
        <v>0.475785570961835</v>
      </c>
      <c r="N296" s="13" t="n">
        <f aca="false">H296-M296*I296</f>
        <v>0.00273541510709478</v>
      </c>
      <c r="O296" s="16" t="n">
        <f aca="false">'Results &amp; Charts'!$C$9</f>
        <v>0.613567382430444</v>
      </c>
    </row>
    <row r="297" customFormat="false" ht="15" hidden="false" customHeight="false" outlineLevel="0" collapsed="false">
      <c r="A297" s="14" t="n">
        <f aca="false">'Roll Schedule'!A568</f>
        <v>45965</v>
      </c>
      <c r="B297" s="14" t="n">
        <f aca="false">'Roll Schedule'!A567</f>
        <v>45964</v>
      </c>
      <c r="C297" s="3" t="n">
        <f aca="false">SUMIFS('Spot Data'!$E$5:$E$651,'Spot Data'!$A$5:$A$651,B297,'Spot Data'!$H$5:$H$651,"YES")</f>
        <v>8500</v>
      </c>
      <c r="D297" s="3" t="n">
        <f aca="false">SUMIFS('Spot Data'!$E$5:$E$651,'Spot Data'!$A$5:$A$651,A297,'Spot Data'!$H$5:$H$651,"YES")</f>
        <v>8550</v>
      </c>
      <c r="E297" s="14" t="n">
        <f aca="false">'Roll Schedule'!B568</f>
        <v>45981</v>
      </c>
      <c r="F297" s="3" t="n">
        <f aca="false">SUMIFS('Futures Data'!$C$5:$C$3471,'Futures Data'!$A$5:$A$3471,B297,'Futures Data'!$B$5:$B$3471,E297)</f>
        <v>6764</v>
      </c>
      <c r="G297" s="3" t="n">
        <f aca="false">SUMIFS('Futures Data'!$C$5:$C$3471,'Futures Data'!$A$5:$A$3471,A297,'Futures Data'!$B$5:$B$3471,E297)</f>
        <v>6721</v>
      </c>
      <c r="H297" s="13" t="n">
        <f aca="false">LN(D297/C297)</f>
        <v>0.00586511945239806</v>
      </c>
      <c r="I297" s="13" t="n">
        <f aca="false">LN(G297/F297)</f>
        <v>-0.00637747804850509</v>
      </c>
      <c r="J297" s="3" t="str">
        <f aca="false">IF(A297&lt;='Results &amp; Charts'!$C$5,"In-sample","Out-of-sample")</f>
        <v>Out-of-sample</v>
      </c>
      <c r="K297" s="13" t="n">
        <f aca="false">H297-'Results &amp; Charts'!$C$9*I297</f>
        <v>0.00977813196512694</v>
      </c>
      <c r="L297" s="13" t="n">
        <f aca="false">H297-I297</f>
        <v>0.0122425975009031</v>
      </c>
      <c r="M297" s="15" t="n">
        <v>0.487235973768989</v>
      </c>
      <c r="N297" s="13" t="n">
        <f aca="false">H297-M297*I297</f>
        <v>0.00897245617955179</v>
      </c>
      <c r="O297" s="16" t="n">
        <f aca="false">'Results &amp; Charts'!$C$9</f>
        <v>0.613567382430444</v>
      </c>
    </row>
    <row r="298" customFormat="false" ht="15" hidden="false" customHeight="false" outlineLevel="0" collapsed="false">
      <c r="A298" s="14" t="n">
        <f aca="false">'Roll Schedule'!A569</f>
        <v>45967</v>
      </c>
      <c r="B298" s="14" t="n">
        <f aca="false">'Roll Schedule'!A568</f>
        <v>45965</v>
      </c>
      <c r="C298" s="3" t="n">
        <f aca="false">SUMIFS('Spot Data'!$E$5:$E$651,'Spot Data'!$A$5:$A$651,B298,'Spot Data'!$H$5:$H$651,"YES")</f>
        <v>8550</v>
      </c>
      <c r="D298" s="3" t="n">
        <f aca="false">SUMIFS('Spot Data'!$E$5:$E$651,'Spot Data'!$A$5:$A$651,A298,'Spot Data'!$H$5:$H$651,"YES")</f>
        <v>8650</v>
      </c>
      <c r="E298" s="14" t="n">
        <f aca="false">'Roll Schedule'!B569</f>
        <v>45981</v>
      </c>
      <c r="F298" s="3" t="n">
        <f aca="false">SUMIFS('Futures Data'!$C$5:$C$3471,'Futures Data'!$A$5:$A$3471,B298,'Futures Data'!$B$5:$B$3471,E298)</f>
        <v>6721</v>
      </c>
      <c r="G298" s="3" t="n">
        <f aca="false">SUMIFS('Futures Data'!$C$5:$C$3471,'Futures Data'!$A$5:$A$3471,A298,'Futures Data'!$B$5:$B$3471,E298)</f>
        <v>6789</v>
      </c>
      <c r="H298" s="13" t="n">
        <f aca="false">LN(D298/C298)</f>
        <v>0.0116280379951192</v>
      </c>
      <c r="I298" s="13" t="n">
        <f aca="false">LN(G298/F298)</f>
        <v>0.0100667023316813</v>
      </c>
      <c r="J298" s="3" t="str">
        <f aca="false">IF(A298&lt;='Results &amp; Charts'!$C$5,"In-sample","Out-of-sample")</f>
        <v>Out-of-sample</v>
      </c>
      <c r="K298" s="13" t="n">
        <f aca="false">H298-'Results &amp; Charts'!$C$9*I298</f>
        <v>0.00545143779576307</v>
      </c>
      <c r="L298" s="13" t="n">
        <f aca="false">H298-I298</f>
        <v>0.00156133566343791</v>
      </c>
      <c r="M298" s="15" t="n">
        <v>0.478678583147944</v>
      </c>
      <c r="N298" s="13" t="n">
        <f aca="false">H298-M298*I298</f>
        <v>0.0068093231860179</v>
      </c>
      <c r="O298" s="16" t="n">
        <f aca="false">'Results &amp; Charts'!$C$9</f>
        <v>0.613567382430444</v>
      </c>
    </row>
    <row r="299" customFormat="false" ht="15" hidden="false" customHeight="false" outlineLevel="0" collapsed="false">
      <c r="A299" s="14" t="n">
        <f aca="false">'Roll Schedule'!A570</f>
        <v>45968</v>
      </c>
      <c r="B299" s="14" t="n">
        <f aca="false">'Roll Schedule'!A569</f>
        <v>45967</v>
      </c>
      <c r="C299" s="3" t="n">
        <f aca="false">SUMIFS('Spot Data'!$E$5:$E$651,'Spot Data'!$A$5:$A$651,B299,'Spot Data'!$H$5:$H$651,"YES")</f>
        <v>8650</v>
      </c>
      <c r="D299" s="3" t="n">
        <f aca="false">SUMIFS('Spot Data'!$E$5:$E$651,'Spot Data'!$A$5:$A$651,A299,'Spot Data'!$H$5:$H$651,"YES")</f>
        <v>8600</v>
      </c>
      <c r="E299" s="14" t="n">
        <f aca="false">'Roll Schedule'!B570</f>
        <v>45981</v>
      </c>
      <c r="F299" s="3" t="n">
        <f aca="false">SUMIFS('Futures Data'!$C$5:$C$3471,'Futures Data'!$A$5:$A$3471,B299,'Futures Data'!$B$5:$B$3471,E299)</f>
        <v>6789</v>
      </c>
      <c r="G299" s="3" t="n">
        <f aca="false">SUMIFS('Futures Data'!$C$5:$C$3471,'Futures Data'!$A$5:$A$3471,A299,'Futures Data'!$B$5:$B$3471,E299)</f>
        <v>6758</v>
      </c>
      <c r="H299" s="13" t="n">
        <f aca="false">LN(D299/C299)</f>
        <v>-0.00579711768432596</v>
      </c>
      <c r="I299" s="13" t="n">
        <f aca="false">LN(G299/F299)</f>
        <v>-0.00457666702741187</v>
      </c>
      <c r="J299" s="3" t="str">
        <f aca="false">IF(A299&lt;='Results &amp; Charts'!$C$5,"In-sample","Out-of-sample")</f>
        <v>Out-of-sample</v>
      </c>
      <c r="K299" s="13" t="n">
        <f aca="false">H299-'Results &amp; Charts'!$C$9*I299</f>
        <v>-0.00298902407606114</v>
      </c>
      <c r="L299" s="13" t="n">
        <f aca="false">H299-I299</f>
        <v>-0.00122045065691409</v>
      </c>
      <c r="M299" s="15" t="n">
        <v>0.46141565271546</v>
      </c>
      <c r="N299" s="13" t="n">
        <f aca="false">H299-M299*I299</f>
        <v>-0.00368537188061139</v>
      </c>
      <c r="O299" s="16" t="n">
        <f aca="false">'Results &amp; Charts'!$C$9</f>
        <v>0.613567382430444</v>
      </c>
    </row>
    <row r="300" customFormat="false" ht="15" hidden="false" customHeight="false" outlineLevel="0" collapsed="false">
      <c r="A300" s="14" t="n">
        <f aca="false">'Roll Schedule'!A571</f>
        <v>45971</v>
      </c>
      <c r="B300" s="14" t="n">
        <f aca="false">'Roll Schedule'!A570</f>
        <v>45968</v>
      </c>
      <c r="C300" s="3" t="n">
        <f aca="false">SUMIFS('Spot Data'!$E$5:$E$651,'Spot Data'!$A$5:$A$651,B300,'Spot Data'!$H$5:$H$651,"YES")</f>
        <v>8600</v>
      </c>
      <c r="D300" s="3" t="n">
        <f aca="false">SUMIFS('Spot Data'!$E$5:$E$651,'Spot Data'!$A$5:$A$651,A300,'Spot Data'!$H$5:$H$651,"YES")</f>
        <v>8650</v>
      </c>
      <c r="E300" s="14" t="n">
        <f aca="false">'Roll Schedule'!B571</f>
        <v>46010</v>
      </c>
      <c r="F300" s="3" t="n">
        <f aca="false">SUMIFS('Futures Data'!$C$5:$C$3471,'Futures Data'!$A$5:$A$3471,B300,'Futures Data'!$B$5:$B$3471,E300)</f>
        <v>6829</v>
      </c>
      <c r="G300" s="3" t="n">
        <f aca="false">SUMIFS('Futures Data'!$C$5:$C$3471,'Futures Data'!$A$5:$A$3471,A300,'Futures Data'!$B$5:$B$3471,E300)</f>
        <v>6855</v>
      </c>
      <c r="H300" s="13" t="n">
        <f aca="false">LN(D300/C300)</f>
        <v>0.00579711768432592</v>
      </c>
      <c r="I300" s="13" t="n">
        <f aca="false">LN(G300/F300)</f>
        <v>0.00380006303532559</v>
      </c>
      <c r="J300" s="3" t="str">
        <f aca="false">IF(A300&lt;='Results &amp; Charts'!$C$5,"In-sample","Out-of-sample")</f>
        <v>Out-of-sample</v>
      </c>
      <c r="K300" s="13" t="n">
        <f aca="false">H300-'Results &amp; Charts'!$C$9*I300</f>
        <v>0.0034655229546705</v>
      </c>
      <c r="L300" s="13" t="n">
        <f aca="false">H300-I300</f>
        <v>0.00199705464900032</v>
      </c>
      <c r="M300" s="15" t="n">
        <v>0.490804115894772</v>
      </c>
      <c r="N300" s="13" t="n">
        <f aca="false">H300-M300*I300</f>
        <v>0.00393203110592853</v>
      </c>
      <c r="O300" s="16" t="n">
        <f aca="false">'Results &amp; Charts'!$C$9</f>
        <v>0.613567382430444</v>
      </c>
    </row>
    <row r="301" customFormat="false" ht="15" hidden="false" customHeight="false" outlineLevel="0" collapsed="false">
      <c r="A301" s="14" t="n">
        <f aca="false">'Roll Schedule'!A572</f>
        <v>45972</v>
      </c>
      <c r="B301" s="14" t="n">
        <f aca="false">'Roll Schedule'!A571</f>
        <v>45971</v>
      </c>
      <c r="C301" s="3" t="n">
        <f aca="false">SUMIFS('Spot Data'!$E$5:$E$651,'Spot Data'!$A$5:$A$651,B301,'Spot Data'!$H$5:$H$651,"YES")</f>
        <v>8650</v>
      </c>
      <c r="D301" s="3" t="n">
        <f aca="false">SUMIFS('Spot Data'!$E$5:$E$651,'Spot Data'!$A$5:$A$651,A301,'Spot Data'!$H$5:$H$651,"YES")</f>
        <v>8700</v>
      </c>
      <c r="E301" s="14" t="n">
        <f aca="false">'Roll Schedule'!B572</f>
        <v>46010</v>
      </c>
      <c r="F301" s="3" t="n">
        <f aca="false">SUMIFS('Futures Data'!$C$5:$C$3471,'Futures Data'!$A$5:$A$3471,B301,'Futures Data'!$B$5:$B$3471,E301)</f>
        <v>6855</v>
      </c>
      <c r="G301" s="3" t="n">
        <f aca="false">SUMIFS('Futures Data'!$C$5:$C$3471,'Futures Data'!$A$5:$A$3471,A301,'Futures Data'!$B$5:$B$3471,E301)</f>
        <v>6904</v>
      </c>
      <c r="H301" s="13" t="n">
        <f aca="false">LN(D301/C301)</f>
        <v>0.00576370471675013</v>
      </c>
      <c r="I301" s="13" t="n">
        <f aca="false">LN(G301/F301)</f>
        <v>0.00712264076684906</v>
      </c>
      <c r="J301" s="3" t="str">
        <f aca="false">IF(A301&lt;='Results &amp; Charts'!$C$5,"In-sample","Out-of-sample")</f>
        <v>Out-of-sample</v>
      </c>
      <c r="K301" s="13" t="n">
        <f aca="false">H301-'Results &amp; Charts'!$C$9*I301</f>
        <v>0.00139348466544218</v>
      </c>
      <c r="L301" s="13" t="n">
        <f aca="false">H301-I301</f>
        <v>-0.00135893605009893</v>
      </c>
      <c r="M301" s="15" t="n">
        <v>0.519963729728287</v>
      </c>
      <c r="N301" s="13" t="n">
        <f aca="false">H301-M301*I301</f>
        <v>0.00206018985810455</v>
      </c>
      <c r="O301" s="16" t="n">
        <f aca="false">'Results &amp; Charts'!$C$9</f>
        <v>0.613567382430444</v>
      </c>
    </row>
    <row r="302" customFormat="false" ht="15" hidden="false" customHeight="false" outlineLevel="0" collapsed="false">
      <c r="A302" s="14" t="n">
        <f aca="false">'Roll Schedule'!A573</f>
        <v>45973</v>
      </c>
      <c r="B302" s="14" t="n">
        <f aca="false">'Roll Schedule'!A572</f>
        <v>45972</v>
      </c>
      <c r="C302" s="3" t="n">
        <f aca="false">SUMIFS('Spot Data'!$E$5:$E$651,'Spot Data'!$A$5:$A$651,B302,'Spot Data'!$H$5:$H$651,"YES")</f>
        <v>8700</v>
      </c>
      <c r="D302" s="3" t="n">
        <f aca="false">SUMIFS('Spot Data'!$E$5:$E$651,'Spot Data'!$A$5:$A$651,A302,'Spot Data'!$H$5:$H$651,"YES")</f>
        <v>9000</v>
      </c>
      <c r="E302" s="14" t="n">
        <f aca="false">'Roll Schedule'!B573</f>
        <v>46010</v>
      </c>
      <c r="F302" s="3" t="n">
        <f aca="false">SUMIFS('Futures Data'!$C$5:$C$3471,'Futures Data'!$A$5:$A$3471,B302,'Futures Data'!$B$5:$B$3471,E302)</f>
        <v>6904</v>
      </c>
      <c r="G302" s="3" t="n">
        <f aca="false">SUMIFS('Futures Data'!$C$5:$C$3471,'Futures Data'!$A$5:$A$3471,A302,'Futures Data'!$B$5:$B$3471,E302)</f>
        <v>6937</v>
      </c>
      <c r="H302" s="13" t="n">
        <f aca="false">LN(D302/C302)</f>
        <v>0.0339015516756814</v>
      </c>
      <c r="I302" s="13" t="n">
        <f aca="false">LN(G302/F302)</f>
        <v>0.0047684506220375</v>
      </c>
      <c r="J302" s="3" t="str">
        <f aca="false">IF(A302&lt;='Results &amp; Charts'!$C$5,"In-sample","Out-of-sample")</f>
        <v>Out-of-sample</v>
      </c>
      <c r="K302" s="13" t="n">
        <f aca="false">H302-'Results &amp; Charts'!$C$9*I302</f>
        <v>0.030975785909269</v>
      </c>
      <c r="L302" s="13" t="n">
        <f aca="false">H302-I302</f>
        <v>0.0291331010536439</v>
      </c>
      <c r="M302" s="15" t="n">
        <v>0.515895723247994</v>
      </c>
      <c r="N302" s="13" t="n">
        <f aca="false">H302-M302*I302</f>
        <v>0.031441528393253</v>
      </c>
      <c r="O302" s="16" t="n">
        <f aca="false">'Results &amp; Charts'!$C$9</f>
        <v>0.613567382430444</v>
      </c>
    </row>
    <row r="303" customFormat="false" ht="15" hidden="false" customHeight="false" outlineLevel="0" collapsed="false">
      <c r="A303" s="14" t="n">
        <f aca="false">'Roll Schedule'!A574</f>
        <v>45974</v>
      </c>
      <c r="B303" s="14" t="n">
        <f aca="false">'Roll Schedule'!A573</f>
        <v>45973</v>
      </c>
      <c r="C303" s="3" t="n">
        <f aca="false">SUMIFS('Spot Data'!$E$5:$E$651,'Spot Data'!$A$5:$A$651,B303,'Spot Data'!$H$5:$H$651,"YES")</f>
        <v>9000</v>
      </c>
      <c r="D303" s="3" t="n">
        <f aca="false">SUMIFS('Spot Data'!$E$5:$E$651,'Spot Data'!$A$5:$A$651,A303,'Spot Data'!$H$5:$H$651,"YES")</f>
        <v>9000</v>
      </c>
      <c r="E303" s="14" t="n">
        <f aca="false">'Roll Schedule'!B574</f>
        <v>46010</v>
      </c>
      <c r="F303" s="3" t="n">
        <f aca="false">SUMIFS('Futures Data'!$C$5:$C$3471,'Futures Data'!$A$5:$A$3471,B303,'Futures Data'!$B$5:$B$3471,E303)</f>
        <v>6937</v>
      </c>
      <c r="G303" s="3" t="n">
        <f aca="false">SUMIFS('Futures Data'!$C$5:$C$3471,'Futures Data'!$A$5:$A$3471,A303,'Futures Data'!$B$5:$B$3471,E303)</f>
        <v>6922</v>
      </c>
      <c r="H303" s="13" t="n">
        <f aca="false">LN(D303/C303)</f>
        <v>0</v>
      </c>
      <c r="I303" s="13" t="n">
        <f aca="false">LN(G303/F303)</f>
        <v>-0.00216465919001178</v>
      </c>
      <c r="J303" s="3" t="str">
        <f aca="false">IF(A303&lt;='Results &amp; Charts'!$C$5,"In-sample","Out-of-sample")</f>
        <v>Out-of-sample</v>
      </c>
      <c r="K303" s="13" t="n">
        <f aca="false">H303-'Results &amp; Charts'!$C$9*I303</f>
        <v>0.00132816427306953</v>
      </c>
      <c r="L303" s="13" t="n">
        <f aca="false">H303-I303</f>
        <v>0.00216465919001178</v>
      </c>
      <c r="M303" s="15" t="n">
        <v>0.585234052164455</v>
      </c>
      <c r="N303" s="13" t="n">
        <f aca="false">H303-M303*I303</f>
        <v>0.00126683226932562</v>
      </c>
      <c r="O303" s="16" t="n">
        <f aca="false">'Results &amp; Charts'!$C$9</f>
        <v>0.613567382430444</v>
      </c>
    </row>
    <row r="304" customFormat="false" ht="15" hidden="false" customHeight="false" outlineLevel="0" collapsed="false">
      <c r="A304" s="14" t="n">
        <f aca="false">'Roll Schedule'!A575</f>
        <v>45975</v>
      </c>
      <c r="B304" s="14" t="n">
        <f aca="false">'Roll Schedule'!A574</f>
        <v>45974</v>
      </c>
      <c r="C304" s="3" t="n">
        <f aca="false">SUMIFS('Spot Data'!$E$5:$E$651,'Spot Data'!$A$5:$A$651,B304,'Spot Data'!$H$5:$H$651,"YES")</f>
        <v>9000</v>
      </c>
      <c r="D304" s="3" t="n">
        <f aca="false">SUMIFS('Spot Data'!$E$5:$E$651,'Spot Data'!$A$5:$A$651,A304,'Spot Data'!$H$5:$H$651,"YES")</f>
        <v>8650</v>
      </c>
      <c r="E304" s="14" t="n">
        <f aca="false">'Roll Schedule'!B575</f>
        <v>46010</v>
      </c>
      <c r="F304" s="3" t="n">
        <f aca="false">SUMIFS('Futures Data'!$C$5:$C$3471,'Futures Data'!$A$5:$A$3471,B304,'Futures Data'!$B$5:$B$3471,E304)</f>
        <v>6922</v>
      </c>
      <c r="G304" s="3" t="n">
        <f aca="false">SUMIFS('Futures Data'!$C$5:$C$3471,'Futures Data'!$A$5:$A$3471,A304,'Futures Data'!$B$5:$B$3471,E304)</f>
        <v>6859</v>
      </c>
      <c r="H304" s="13" t="n">
        <f aca="false">LN(D304/C304)</f>
        <v>-0.0396652563924314</v>
      </c>
      <c r="I304" s="13" t="n">
        <f aca="false">LN(G304/F304)</f>
        <v>-0.00914308669596822</v>
      </c>
      <c r="J304" s="3" t="str">
        <f aca="false">IF(A304&lt;='Results &amp; Charts'!$C$5,"In-sample","Out-of-sample")</f>
        <v>Out-of-sample</v>
      </c>
      <c r="K304" s="13" t="n">
        <f aca="false">H304-'Results &amp; Charts'!$C$9*I304</f>
        <v>-0.0340553566210516</v>
      </c>
      <c r="L304" s="13" t="n">
        <f aca="false">H304-I304</f>
        <v>-0.0305221696964632</v>
      </c>
      <c r="M304" s="15" t="n">
        <v>0.619619973392887</v>
      </c>
      <c r="N304" s="13" t="n">
        <f aca="false">H304-M304*I304</f>
        <v>-0.0340000172571467</v>
      </c>
      <c r="O304" s="16" t="n">
        <f aca="false">'Results &amp; Charts'!$C$9</f>
        <v>0.613567382430444</v>
      </c>
    </row>
    <row r="305" customFormat="false" ht="15" hidden="false" customHeight="false" outlineLevel="0" collapsed="false">
      <c r="A305" s="14" t="n">
        <f aca="false">'Roll Schedule'!A576</f>
        <v>45978</v>
      </c>
      <c r="B305" s="14" t="n">
        <f aca="false">'Roll Schedule'!A575</f>
        <v>45975</v>
      </c>
      <c r="C305" s="3" t="n">
        <f aca="false">SUMIFS('Spot Data'!$E$5:$E$651,'Spot Data'!$A$5:$A$651,B305,'Spot Data'!$H$5:$H$651,"YES")</f>
        <v>8650</v>
      </c>
      <c r="D305" s="3" t="n">
        <f aca="false">SUMIFS('Spot Data'!$E$5:$E$651,'Spot Data'!$A$5:$A$651,A305,'Spot Data'!$H$5:$H$651,"YES")</f>
        <v>8550</v>
      </c>
      <c r="E305" s="14" t="n">
        <f aca="false">'Roll Schedule'!B576</f>
        <v>46010</v>
      </c>
      <c r="F305" s="3" t="n">
        <f aca="false">SUMIFS('Futures Data'!$C$5:$C$3471,'Futures Data'!$A$5:$A$3471,B305,'Futures Data'!$B$5:$B$3471,E305)</f>
        <v>6859</v>
      </c>
      <c r="G305" s="3" t="n">
        <f aca="false">SUMIFS('Futures Data'!$C$5:$C$3471,'Futures Data'!$A$5:$A$3471,A305,'Futures Data'!$B$5:$B$3471,E305)</f>
        <v>6893</v>
      </c>
      <c r="H305" s="13" t="n">
        <f aca="false">LN(D305/C305)</f>
        <v>-0.0116280379951191</v>
      </c>
      <c r="I305" s="13" t="n">
        <f aca="false">LN(G305/F305)</f>
        <v>0.0049447453863304</v>
      </c>
      <c r="J305" s="3" t="str">
        <f aca="false">IF(A305&lt;='Results &amp; Charts'!$C$5,"In-sample","Out-of-sample")</f>
        <v>Out-of-sample</v>
      </c>
      <c r="K305" s="13" t="n">
        <f aca="false">H305-'Results &amp; Charts'!$C$9*I305</f>
        <v>-0.0146619724785949</v>
      </c>
      <c r="L305" s="13" t="n">
        <f aca="false">H305-I305</f>
        <v>-0.0165727833814495</v>
      </c>
      <c r="M305" s="15" t="n">
        <v>0.677159054969734</v>
      </c>
      <c r="N305" s="13" t="n">
        <f aca="false">H305-M305*I305</f>
        <v>-0.0149764171079925</v>
      </c>
      <c r="O305" s="16" t="n">
        <f aca="false">'Results &amp; Charts'!$C$9</f>
        <v>0.613567382430444</v>
      </c>
    </row>
    <row r="306" customFormat="false" ht="15" hidden="false" customHeight="false" outlineLevel="0" collapsed="false">
      <c r="A306" s="14" t="n">
        <f aca="false">'Roll Schedule'!A577</f>
        <v>45979</v>
      </c>
      <c r="B306" s="14" t="n">
        <f aca="false">'Roll Schedule'!A576</f>
        <v>45978</v>
      </c>
      <c r="C306" s="3" t="n">
        <f aca="false">SUMIFS('Spot Data'!$E$5:$E$651,'Spot Data'!$A$5:$A$651,B306,'Spot Data'!$H$5:$H$651,"YES")</f>
        <v>8550</v>
      </c>
      <c r="D306" s="3" t="n">
        <f aca="false">SUMIFS('Spot Data'!$E$5:$E$651,'Spot Data'!$A$5:$A$651,A306,'Spot Data'!$H$5:$H$651,"YES")</f>
        <v>8550</v>
      </c>
      <c r="E306" s="14" t="n">
        <f aca="false">'Roll Schedule'!B577</f>
        <v>46010</v>
      </c>
      <c r="F306" s="3" t="n">
        <f aca="false">SUMIFS('Futures Data'!$C$5:$C$3471,'Futures Data'!$A$5:$A$3471,B306,'Futures Data'!$B$5:$B$3471,E306)</f>
        <v>6893</v>
      </c>
      <c r="G306" s="3" t="n">
        <f aca="false">SUMIFS('Futures Data'!$C$5:$C$3471,'Futures Data'!$A$5:$A$3471,A306,'Futures Data'!$B$5:$B$3471,E306)</f>
        <v>6946</v>
      </c>
      <c r="H306" s="13" t="n">
        <f aca="false">LN(D306/C306)</f>
        <v>0</v>
      </c>
      <c r="I306" s="13" t="n">
        <f aca="false">LN(G306/F306)</f>
        <v>0.00765955041836754</v>
      </c>
      <c r="J306" s="3" t="str">
        <f aca="false">IF(A306&lt;='Results &amp; Charts'!$C$5,"In-sample","Out-of-sample")</f>
        <v>Out-of-sample</v>
      </c>
      <c r="K306" s="13" t="n">
        <f aca="false">H306-'Results &amp; Charts'!$C$9*I306</f>
        <v>-0.00469965030079179</v>
      </c>
      <c r="L306" s="13" t="n">
        <f aca="false">H306-I306</f>
        <v>-0.00765955041836754</v>
      </c>
      <c r="M306" s="15" t="n">
        <v>0.660109420431042</v>
      </c>
      <c r="N306" s="13" t="n">
        <f aca="false">H306-M306*I306</f>
        <v>-0.00505614138743094</v>
      </c>
      <c r="O306" s="16" t="n">
        <f aca="false">'Results &amp; Charts'!$C$9</f>
        <v>0.613567382430444</v>
      </c>
    </row>
    <row r="307" customFormat="false" ht="15" hidden="false" customHeight="false" outlineLevel="0" collapsed="false">
      <c r="A307" s="14" t="n">
        <f aca="false">'Roll Schedule'!A578</f>
        <v>45980</v>
      </c>
      <c r="B307" s="14" t="n">
        <f aca="false">'Roll Schedule'!A577</f>
        <v>45979</v>
      </c>
      <c r="C307" s="3" t="n">
        <f aca="false">SUMIFS('Spot Data'!$E$5:$E$651,'Spot Data'!$A$5:$A$651,B307,'Spot Data'!$H$5:$H$651,"YES")</f>
        <v>8550</v>
      </c>
      <c r="D307" s="3" t="n">
        <f aca="false">SUMIFS('Spot Data'!$E$5:$E$651,'Spot Data'!$A$5:$A$651,A307,'Spot Data'!$H$5:$H$651,"YES")</f>
        <v>8600</v>
      </c>
      <c r="E307" s="14" t="n">
        <f aca="false">'Roll Schedule'!B578</f>
        <v>46010</v>
      </c>
      <c r="F307" s="3" t="n">
        <f aca="false">SUMIFS('Futures Data'!$C$5:$C$3471,'Futures Data'!$A$5:$A$3471,B307,'Futures Data'!$B$5:$B$3471,E307)</f>
        <v>6946</v>
      </c>
      <c r="G307" s="3" t="n">
        <f aca="false">SUMIFS('Futures Data'!$C$5:$C$3471,'Futures Data'!$A$5:$A$3471,A307,'Futures Data'!$B$5:$B$3471,E307)</f>
        <v>6932</v>
      </c>
      <c r="H307" s="13" t="n">
        <f aca="false">LN(D307/C307)</f>
        <v>0.00583092031079314</v>
      </c>
      <c r="I307" s="13" t="n">
        <f aca="false">LN(G307/F307)</f>
        <v>-0.00201758246852262</v>
      </c>
      <c r="J307" s="3" t="str">
        <f aca="false">IF(A307&lt;='Results &amp; Charts'!$C$5,"In-sample","Out-of-sample")</f>
        <v>Out-of-sample</v>
      </c>
      <c r="K307" s="13" t="n">
        <f aca="false">H307-'Results &amp; Charts'!$C$9*I307</f>
        <v>0.00706884310484212</v>
      </c>
      <c r="L307" s="13" t="n">
        <f aca="false">H307-I307</f>
        <v>0.00784850277931576</v>
      </c>
      <c r="M307" s="15" t="n">
        <v>0.618677994595527</v>
      </c>
      <c r="N307" s="13" t="n">
        <f aca="false">H307-M307*I307</f>
        <v>0.00707915418634981</v>
      </c>
      <c r="O307" s="16" t="n">
        <f aca="false">'Results &amp; Charts'!$C$9</f>
        <v>0.613567382430444</v>
      </c>
    </row>
    <row r="308" customFormat="false" ht="15" hidden="false" customHeight="false" outlineLevel="0" collapsed="false">
      <c r="A308" s="14" t="n">
        <f aca="false">'Roll Schedule'!A579</f>
        <v>45981</v>
      </c>
      <c r="B308" s="14" t="n">
        <f aca="false">'Roll Schedule'!A578</f>
        <v>45980</v>
      </c>
      <c r="C308" s="3" t="n">
        <f aca="false">SUMIFS('Spot Data'!$E$5:$E$651,'Spot Data'!$A$5:$A$651,B308,'Spot Data'!$H$5:$H$651,"YES")</f>
        <v>8600</v>
      </c>
      <c r="D308" s="3" t="n">
        <f aca="false">SUMIFS('Spot Data'!$E$5:$E$651,'Spot Data'!$A$5:$A$651,A308,'Spot Data'!$H$5:$H$651,"YES")</f>
        <v>8650</v>
      </c>
      <c r="E308" s="14" t="n">
        <f aca="false">'Roll Schedule'!B579</f>
        <v>46010</v>
      </c>
      <c r="F308" s="3" t="n">
        <f aca="false">SUMIFS('Futures Data'!$C$5:$C$3471,'Futures Data'!$A$5:$A$3471,B308,'Futures Data'!$B$5:$B$3471,E308)</f>
        <v>6932</v>
      </c>
      <c r="G308" s="3" t="n">
        <f aca="false">SUMIFS('Futures Data'!$C$5:$C$3471,'Futures Data'!$A$5:$A$3471,A308,'Futures Data'!$B$5:$B$3471,E308)</f>
        <v>6921</v>
      </c>
      <c r="H308" s="13" t="n">
        <f aca="false">LN(D308/C308)</f>
        <v>0.00579711768432592</v>
      </c>
      <c r="I308" s="13" t="n">
        <f aca="false">LN(G308/F308)</f>
        <v>-0.00158810399363335</v>
      </c>
      <c r="J308" s="3" t="str">
        <f aca="false">IF(A308&lt;='Results &amp; Charts'!$C$5,"In-sample","Out-of-sample")</f>
        <v>Out-of-sample</v>
      </c>
      <c r="K308" s="13" t="n">
        <f aca="false">H308-'Results &amp; Charts'!$C$9*I308</f>
        <v>0.00677152649472687</v>
      </c>
      <c r="L308" s="13" t="n">
        <f aca="false">H308-I308</f>
        <v>0.00738522167795927</v>
      </c>
      <c r="M308" s="15" t="n">
        <v>0.652150189314696</v>
      </c>
      <c r="N308" s="13" t="n">
        <f aca="false">H308-M308*I308</f>
        <v>0.00683280000442533</v>
      </c>
      <c r="O308" s="16" t="n">
        <f aca="false">'Results &amp; Charts'!$C$9</f>
        <v>0.613567382430444</v>
      </c>
    </row>
    <row r="309" customFormat="false" ht="15" hidden="false" customHeight="false" outlineLevel="0" collapsed="false">
      <c r="A309" s="14" t="n">
        <f aca="false">'Roll Schedule'!A580</f>
        <v>45982</v>
      </c>
      <c r="B309" s="14" t="n">
        <f aca="false">'Roll Schedule'!A579</f>
        <v>45981</v>
      </c>
      <c r="C309" s="3" t="n">
        <f aca="false">SUMIFS('Spot Data'!$E$5:$E$651,'Spot Data'!$A$5:$A$651,B309,'Spot Data'!$H$5:$H$651,"YES")</f>
        <v>8650</v>
      </c>
      <c r="D309" s="3" t="n">
        <f aca="false">SUMIFS('Spot Data'!$E$5:$E$651,'Spot Data'!$A$5:$A$651,A309,'Spot Data'!$H$5:$H$651,"YES")</f>
        <v>8600</v>
      </c>
      <c r="E309" s="14" t="n">
        <f aca="false">'Roll Schedule'!B580</f>
        <v>46010</v>
      </c>
      <c r="F309" s="3" t="n">
        <f aca="false">SUMIFS('Futures Data'!$C$5:$C$3471,'Futures Data'!$A$5:$A$3471,B309,'Futures Data'!$B$5:$B$3471,E309)</f>
        <v>6921</v>
      </c>
      <c r="G309" s="3" t="n">
        <f aca="false">SUMIFS('Futures Data'!$C$5:$C$3471,'Futures Data'!$A$5:$A$3471,A309,'Futures Data'!$B$5:$B$3471,E309)</f>
        <v>6876</v>
      </c>
      <c r="H309" s="13" t="n">
        <f aca="false">LN(D309/C309)</f>
        <v>-0.00579711768432596</v>
      </c>
      <c r="I309" s="13" t="n">
        <f aca="false">LN(G309/F309)</f>
        <v>-0.00652318033912348</v>
      </c>
      <c r="J309" s="3" t="str">
        <f aca="false">IF(A309&lt;='Results &amp; Charts'!$C$5,"In-sample","Out-of-sample")</f>
        <v>Out-of-sample</v>
      </c>
      <c r="K309" s="13" t="n">
        <f aca="false">H309-'Results &amp; Charts'!$C$9*I309</f>
        <v>-0.00179470699852822</v>
      </c>
      <c r="L309" s="13" t="n">
        <f aca="false">H309-I309</f>
        <v>0.000726062654797526</v>
      </c>
      <c r="M309" s="15" t="n">
        <v>0.685044668427397</v>
      </c>
      <c r="N309" s="13" t="n">
        <f aca="false">H309-M309*I309</f>
        <v>-0.001328447771819</v>
      </c>
      <c r="O309" s="16" t="n">
        <f aca="false">'Results &amp; Charts'!$C$9</f>
        <v>0.613567382430444</v>
      </c>
    </row>
    <row r="310" customFormat="false" ht="15" hidden="false" customHeight="false" outlineLevel="0" collapsed="false">
      <c r="A310" s="14" t="n">
        <f aca="false">'Roll Schedule'!A581</f>
        <v>45985</v>
      </c>
      <c r="B310" s="14" t="n">
        <f aca="false">'Roll Schedule'!A580</f>
        <v>45982</v>
      </c>
      <c r="C310" s="3" t="n">
        <f aca="false">SUMIFS('Spot Data'!$E$5:$E$651,'Spot Data'!$A$5:$A$651,B310,'Spot Data'!$H$5:$H$651,"YES")</f>
        <v>8600</v>
      </c>
      <c r="D310" s="3" t="n">
        <f aca="false">SUMIFS('Spot Data'!$E$5:$E$651,'Spot Data'!$A$5:$A$651,A310,'Spot Data'!$H$5:$H$651,"YES")</f>
        <v>8800</v>
      </c>
      <c r="E310" s="14" t="n">
        <f aca="false">'Roll Schedule'!B581</f>
        <v>46010</v>
      </c>
      <c r="F310" s="3" t="n">
        <f aca="false">SUMIFS('Futures Data'!$C$5:$C$3471,'Futures Data'!$A$5:$A$3471,B310,'Futures Data'!$B$5:$B$3471,E310)</f>
        <v>6876</v>
      </c>
      <c r="G310" s="3" t="n">
        <f aca="false">SUMIFS('Futures Data'!$C$5:$C$3471,'Futures Data'!$A$5:$A$3471,A310,'Futures Data'!$B$5:$B$3471,E310)</f>
        <v>6889</v>
      </c>
      <c r="H310" s="13" t="n">
        <f aca="false">LN(D310/C310)</f>
        <v>0.0229895182246988</v>
      </c>
      <c r="I310" s="13" t="n">
        <f aca="false">LN(G310/F310)</f>
        <v>0.00188884909045601</v>
      </c>
      <c r="J310" s="3" t="str">
        <f aca="false">IF(A310&lt;='Results &amp; Charts'!$C$5,"In-sample","Out-of-sample")</f>
        <v>Out-of-sample</v>
      </c>
      <c r="K310" s="13" t="n">
        <f aca="false">H310-'Results &amp; Charts'!$C$9*I310</f>
        <v>0.0218305820324616</v>
      </c>
      <c r="L310" s="13" t="n">
        <f aca="false">H310-I310</f>
        <v>0.0211006691342428</v>
      </c>
      <c r="M310" s="15" t="n">
        <v>0.674394201443021</v>
      </c>
      <c r="N310" s="13" t="n">
        <f aca="false">H310-M310*I310</f>
        <v>0.0217156893506943</v>
      </c>
      <c r="O310" s="16" t="n">
        <f aca="false">'Results &amp; Charts'!$C$9</f>
        <v>0.613567382430444</v>
      </c>
    </row>
    <row r="311" customFormat="false" ht="15" hidden="false" customHeight="false" outlineLevel="0" collapsed="false">
      <c r="A311" s="14" t="n">
        <f aca="false">'Roll Schedule'!A582</f>
        <v>45986</v>
      </c>
      <c r="B311" s="14" t="n">
        <f aca="false">'Roll Schedule'!A581</f>
        <v>45985</v>
      </c>
      <c r="C311" s="3" t="n">
        <f aca="false">SUMIFS('Spot Data'!$E$5:$E$651,'Spot Data'!$A$5:$A$651,B311,'Spot Data'!$H$5:$H$651,"YES")</f>
        <v>8800</v>
      </c>
      <c r="D311" s="3" t="n">
        <f aca="false">SUMIFS('Spot Data'!$E$5:$E$651,'Spot Data'!$A$5:$A$651,A311,'Spot Data'!$H$5:$H$651,"YES")</f>
        <v>8650</v>
      </c>
      <c r="E311" s="14" t="n">
        <f aca="false">'Roll Schedule'!B582</f>
        <v>46010</v>
      </c>
      <c r="F311" s="3" t="n">
        <f aca="false">SUMIFS('Futures Data'!$C$5:$C$3471,'Futures Data'!$A$5:$A$3471,B311,'Futures Data'!$B$5:$B$3471,E311)</f>
        <v>6889</v>
      </c>
      <c r="G311" s="3" t="n">
        <f aca="false">SUMIFS('Futures Data'!$C$5:$C$3471,'Futures Data'!$A$5:$A$3471,A311,'Futures Data'!$B$5:$B$3471,E311)</f>
        <v>6886</v>
      </c>
      <c r="H311" s="13" t="n">
        <f aca="false">LN(D311/C311)</f>
        <v>-0.0171924005403729</v>
      </c>
      <c r="I311" s="13" t="n">
        <f aca="false">LN(G311/F311)</f>
        <v>-0.00043557169472677</v>
      </c>
      <c r="J311" s="3" t="str">
        <f aca="false">IF(A311&lt;='Results &amp; Charts'!$C$5,"In-sample","Out-of-sample")</f>
        <v>Out-of-sample</v>
      </c>
      <c r="K311" s="13" t="n">
        <f aca="false">H311-'Results &amp; Charts'!$C$9*I311</f>
        <v>-0.0169251479557786</v>
      </c>
      <c r="L311" s="13" t="n">
        <f aca="false">H311-I311</f>
        <v>-0.0167568288456461</v>
      </c>
      <c r="M311" s="15" t="n">
        <v>0.723154799321873</v>
      </c>
      <c r="N311" s="13" t="n">
        <f aca="false">H311-M311*I311</f>
        <v>-0.0168774147788825</v>
      </c>
      <c r="O311" s="16" t="n">
        <f aca="false">'Results &amp; Charts'!$C$9</f>
        <v>0.613567382430444</v>
      </c>
    </row>
    <row r="312" customFormat="false" ht="15" hidden="false" customHeight="false" outlineLevel="0" collapsed="false">
      <c r="A312" s="14" t="n">
        <f aca="false">'Roll Schedule'!A583</f>
        <v>45987</v>
      </c>
      <c r="B312" s="14" t="n">
        <f aca="false">'Roll Schedule'!A582</f>
        <v>45986</v>
      </c>
      <c r="C312" s="3" t="n">
        <f aca="false">SUMIFS('Spot Data'!$E$5:$E$651,'Spot Data'!$A$5:$A$651,B312,'Spot Data'!$H$5:$H$651,"YES")</f>
        <v>8650</v>
      </c>
      <c r="D312" s="3" t="n">
        <f aca="false">SUMIFS('Spot Data'!$E$5:$E$651,'Spot Data'!$A$5:$A$651,A312,'Spot Data'!$H$5:$H$651,"YES")</f>
        <v>8650</v>
      </c>
      <c r="E312" s="14" t="n">
        <f aca="false">'Roll Schedule'!B583</f>
        <v>46010</v>
      </c>
      <c r="F312" s="3" t="n">
        <f aca="false">SUMIFS('Futures Data'!$C$5:$C$3471,'Futures Data'!$A$5:$A$3471,B312,'Futures Data'!$B$5:$B$3471,E312)</f>
        <v>6886</v>
      </c>
      <c r="G312" s="3" t="n">
        <f aca="false">SUMIFS('Futures Data'!$C$5:$C$3471,'Futures Data'!$A$5:$A$3471,A312,'Futures Data'!$B$5:$B$3471,E312)</f>
        <v>6905</v>
      </c>
      <c r="H312" s="13" t="n">
        <f aca="false">LN(D312/C312)</f>
        <v>0</v>
      </c>
      <c r="I312" s="13" t="n">
        <f aca="false">LN(G312/F312)</f>
        <v>0.0027554219449235</v>
      </c>
      <c r="J312" s="3" t="str">
        <f aca="false">IF(A312&lt;='Results &amp; Charts'!$C$5,"In-sample","Out-of-sample")</f>
        <v>Out-of-sample</v>
      </c>
      <c r="K312" s="13" t="n">
        <f aca="false">H312-'Results &amp; Charts'!$C$9*I312</f>
        <v>-0.00169063703023812</v>
      </c>
      <c r="L312" s="13" t="n">
        <f aca="false">H312-I312</f>
        <v>-0.0027554219449235</v>
      </c>
      <c r="M312" s="15" t="n">
        <v>0.755998350266258</v>
      </c>
      <c r="N312" s="13" t="n">
        <f aca="false">H312-M312*I312</f>
        <v>-0.00208309444464961</v>
      </c>
      <c r="O312" s="16" t="n">
        <f aca="false">'Results &amp; Charts'!$C$9</f>
        <v>0.613567382430444</v>
      </c>
    </row>
    <row r="313" customFormat="false" ht="15" hidden="false" customHeight="false" outlineLevel="0" collapsed="false">
      <c r="A313" s="14" t="n">
        <f aca="false">'Roll Schedule'!A584</f>
        <v>45988</v>
      </c>
      <c r="B313" s="14" t="n">
        <f aca="false">'Roll Schedule'!A583</f>
        <v>45987</v>
      </c>
      <c r="C313" s="3" t="n">
        <f aca="false">SUMIFS('Spot Data'!$E$5:$E$651,'Spot Data'!$A$5:$A$651,B313,'Spot Data'!$H$5:$H$651,"YES")</f>
        <v>8650</v>
      </c>
      <c r="D313" s="3" t="n">
        <f aca="false">SUMIFS('Spot Data'!$E$5:$E$651,'Spot Data'!$A$5:$A$651,A313,'Spot Data'!$H$5:$H$651,"YES")</f>
        <v>8650</v>
      </c>
      <c r="E313" s="14" t="n">
        <f aca="false">'Roll Schedule'!B584</f>
        <v>46010</v>
      </c>
      <c r="F313" s="3" t="n">
        <f aca="false">SUMIFS('Futures Data'!$C$5:$C$3471,'Futures Data'!$A$5:$A$3471,B313,'Futures Data'!$B$5:$B$3471,E313)</f>
        <v>6905</v>
      </c>
      <c r="G313" s="3" t="n">
        <f aca="false">SUMIFS('Futures Data'!$C$5:$C$3471,'Futures Data'!$A$5:$A$3471,A313,'Futures Data'!$B$5:$B$3471,E313)</f>
        <v>6924</v>
      </c>
      <c r="H313" s="13" t="n">
        <f aca="false">LN(D313/C313)</f>
        <v>0</v>
      </c>
      <c r="I313" s="13" t="n">
        <f aca="false">LN(G313/F313)</f>
        <v>0.00274785045270734</v>
      </c>
      <c r="J313" s="3" t="str">
        <f aca="false">IF(A313&lt;='Results &amp; Charts'!$C$5,"In-sample","Out-of-sample")</f>
        <v>Out-of-sample</v>
      </c>
      <c r="K313" s="13" t="n">
        <f aca="false">H313-'Results &amp; Charts'!$C$9*I313</f>
        <v>-0.00168599140957796</v>
      </c>
      <c r="L313" s="13" t="n">
        <f aca="false">H313-I313</f>
        <v>-0.00274785045270734</v>
      </c>
      <c r="M313" s="15" t="n">
        <v>0.765953266743733</v>
      </c>
      <c r="N313" s="13" t="n">
        <f aca="false">H313-M313*I313</f>
        <v>-0.00210472503077443</v>
      </c>
      <c r="O313" s="16" t="n">
        <f aca="false">'Results &amp; Charts'!$C$9</f>
        <v>0.613567382430444</v>
      </c>
    </row>
    <row r="314" customFormat="false" ht="15" hidden="false" customHeight="false" outlineLevel="0" collapsed="false">
      <c r="A314" s="14" t="n">
        <f aca="false">'Roll Schedule'!A585</f>
        <v>45989</v>
      </c>
      <c r="B314" s="14" t="n">
        <f aca="false">'Roll Schedule'!A584</f>
        <v>45988</v>
      </c>
      <c r="C314" s="3" t="n">
        <f aca="false">SUMIFS('Spot Data'!$E$5:$E$651,'Spot Data'!$A$5:$A$651,B314,'Spot Data'!$H$5:$H$651,"YES")</f>
        <v>8650</v>
      </c>
      <c r="D314" s="3" t="n">
        <f aca="false">SUMIFS('Spot Data'!$E$5:$E$651,'Spot Data'!$A$5:$A$651,A314,'Spot Data'!$H$5:$H$651,"YES")</f>
        <v>8700</v>
      </c>
      <c r="E314" s="14" t="n">
        <f aca="false">'Roll Schedule'!B585</f>
        <v>46010</v>
      </c>
      <c r="F314" s="3" t="n">
        <f aca="false">SUMIFS('Futures Data'!$C$5:$C$3471,'Futures Data'!$A$5:$A$3471,B314,'Futures Data'!$B$5:$B$3471,E314)</f>
        <v>6924</v>
      </c>
      <c r="G314" s="3" t="n">
        <f aca="false">SUMIFS('Futures Data'!$C$5:$C$3471,'Futures Data'!$A$5:$A$3471,A314,'Futures Data'!$B$5:$B$3471,E314)</f>
        <v>6937</v>
      </c>
      <c r="H314" s="13" t="n">
        <f aca="false">LN(D314/C314)</f>
        <v>0.00576370471675013</v>
      </c>
      <c r="I314" s="13" t="n">
        <f aca="false">LN(G314/F314)</f>
        <v>0.00187576708920137</v>
      </c>
      <c r="J314" s="3" t="str">
        <f aca="false">IF(A314&lt;='Results &amp; Charts'!$C$5,"In-sample","Out-of-sample")</f>
        <v>Out-of-sample</v>
      </c>
      <c r="K314" s="13" t="n">
        <f aca="false">H314-'Results &amp; Charts'!$C$9*I314</f>
        <v>0.00461279521377968</v>
      </c>
      <c r="L314" s="13" t="n">
        <f aca="false">H314-I314</f>
        <v>0.00388793762754876</v>
      </c>
      <c r="M314" s="15" t="n">
        <v>0.772800818959499</v>
      </c>
      <c r="N314" s="13" t="n">
        <f aca="false">H314-M314*I314</f>
        <v>0.00431411037403804</v>
      </c>
      <c r="O314" s="16" t="n">
        <f aca="false">'Results &amp; Charts'!$C$9</f>
        <v>0.613567382430444</v>
      </c>
    </row>
    <row r="315" customFormat="false" ht="15" hidden="false" customHeight="false" outlineLevel="0" collapsed="false">
      <c r="A315" s="14" t="n">
        <f aca="false">'Roll Schedule'!A586</f>
        <v>45992</v>
      </c>
      <c r="B315" s="14" t="n">
        <f aca="false">'Roll Schedule'!A585</f>
        <v>45989</v>
      </c>
      <c r="C315" s="3" t="n">
        <f aca="false">SUMIFS('Spot Data'!$E$5:$E$651,'Spot Data'!$A$5:$A$651,B315,'Spot Data'!$H$5:$H$651,"YES")</f>
        <v>8700</v>
      </c>
      <c r="D315" s="3" t="n">
        <f aca="false">SUMIFS('Spot Data'!$E$5:$E$651,'Spot Data'!$A$5:$A$651,A315,'Spot Data'!$H$5:$H$651,"YES")</f>
        <v>8750</v>
      </c>
      <c r="E315" s="14" t="n">
        <f aca="false">'Roll Schedule'!B586</f>
        <v>46010</v>
      </c>
      <c r="F315" s="3" t="n">
        <f aca="false">SUMIFS('Futures Data'!$C$5:$C$3471,'Futures Data'!$A$5:$A$3471,B315,'Futures Data'!$B$5:$B$3471,E315)</f>
        <v>6937</v>
      </c>
      <c r="G315" s="3" t="n">
        <f aca="false">SUMIFS('Futures Data'!$C$5:$C$3471,'Futures Data'!$A$5:$A$3471,A315,'Futures Data'!$B$5:$B$3471,E315)</f>
        <v>6956</v>
      </c>
      <c r="H315" s="13" t="n">
        <f aca="false">LN(D315/C315)</f>
        <v>0.00573067470898507</v>
      </c>
      <c r="I315" s="13" t="n">
        <f aca="false">LN(G315/F315)</f>
        <v>0.00273519208887234</v>
      </c>
      <c r="J315" s="3" t="str">
        <f aca="false">IF(A315&lt;='Results &amp; Charts'!$C$5,"In-sample","Out-of-sample")</f>
        <v>Out-of-sample</v>
      </c>
      <c r="K315" s="13" t="n">
        <f aca="false">H315-'Results &amp; Charts'!$C$9*I315</f>
        <v>0.00405245005857122</v>
      </c>
      <c r="L315" s="13" t="n">
        <f aca="false">H315-I315</f>
        <v>0.00299548262011274</v>
      </c>
      <c r="M315" s="15" t="n">
        <v>0.792664605515054</v>
      </c>
      <c r="N315" s="13" t="n">
        <f aca="false">H315-M315*I315</f>
        <v>0.00356258475085119</v>
      </c>
      <c r="O315" s="16" t="n">
        <f aca="false">'Results &amp; Charts'!$C$9</f>
        <v>0.613567382430444</v>
      </c>
    </row>
    <row r="316" customFormat="false" ht="15" hidden="false" customHeight="false" outlineLevel="0" collapsed="false">
      <c r="A316" s="14" t="n">
        <f aca="false">'Roll Schedule'!A587</f>
        <v>45993</v>
      </c>
      <c r="B316" s="14" t="n">
        <f aca="false">'Roll Schedule'!A586</f>
        <v>45992</v>
      </c>
      <c r="C316" s="3" t="n">
        <f aca="false">SUMIFS('Spot Data'!$E$5:$E$651,'Spot Data'!$A$5:$A$651,B316,'Spot Data'!$H$5:$H$651,"YES")</f>
        <v>8750</v>
      </c>
      <c r="D316" s="3" t="n">
        <f aca="false">SUMIFS('Spot Data'!$E$5:$E$651,'Spot Data'!$A$5:$A$651,A316,'Spot Data'!$H$5:$H$651,"YES")</f>
        <v>8800</v>
      </c>
      <c r="E316" s="14" t="n">
        <f aca="false">'Roll Schedule'!B587</f>
        <v>46010</v>
      </c>
      <c r="F316" s="3" t="n">
        <f aca="false">SUMIFS('Futures Data'!$C$5:$C$3471,'Futures Data'!$A$5:$A$3471,B316,'Futures Data'!$B$5:$B$3471,E316)</f>
        <v>6956</v>
      </c>
      <c r="G316" s="3" t="n">
        <f aca="false">SUMIFS('Futures Data'!$C$5:$C$3471,'Futures Data'!$A$5:$A$3471,A316,'Futures Data'!$B$5:$B$3471,E316)</f>
        <v>7023</v>
      </c>
      <c r="H316" s="13" t="n">
        <f aca="false">LN(D316/C316)</f>
        <v>0.0056980211146378</v>
      </c>
      <c r="I316" s="13" t="n">
        <f aca="false">LN(G316/F316)</f>
        <v>0.00958588068484686</v>
      </c>
      <c r="J316" s="3" t="str">
        <f aca="false">IF(A316&lt;='Results &amp; Charts'!$C$5,"In-sample","Out-of-sample")</f>
        <v>Out-of-sample</v>
      </c>
      <c r="K316" s="13" t="n">
        <f aca="false">H316-'Results &amp; Charts'!$C$9*I316</f>
        <v>-0.000183562605454248</v>
      </c>
      <c r="L316" s="13" t="n">
        <f aca="false">H316-I316</f>
        <v>-0.00388785957020907</v>
      </c>
      <c r="M316" s="15" t="n">
        <v>0.80156084130901</v>
      </c>
      <c r="N316" s="13" t="n">
        <f aca="false">H316-M316*I316</f>
        <v>-0.00198564547179584</v>
      </c>
      <c r="O316" s="16" t="n">
        <f aca="false">'Results &amp; Charts'!$C$9</f>
        <v>0.613567382430444</v>
      </c>
    </row>
    <row r="317" customFormat="false" ht="15" hidden="false" customHeight="false" outlineLevel="0" collapsed="false">
      <c r="A317" s="14" t="n">
        <f aca="false">'Roll Schedule'!A588</f>
        <v>45994</v>
      </c>
      <c r="B317" s="14" t="n">
        <f aca="false">'Roll Schedule'!A587</f>
        <v>45993</v>
      </c>
      <c r="C317" s="3" t="n">
        <f aca="false">SUMIFS('Spot Data'!$E$5:$E$651,'Spot Data'!$A$5:$A$651,B317,'Spot Data'!$H$5:$H$651,"YES")</f>
        <v>8800</v>
      </c>
      <c r="D317" s="3" t="n">
        <f aca="false">SUMIFS('Spot Data'!$E$5:$E$651,'Spot Data'!$A$5:$A$651,A317,'Spot Data'!$H$5:$H$651,"YES")</f>
        <v>8750</v>
      </c>
      <c r="E317" s="14" t="n">
        <f aca="false">'Roll Schedule'!B588</f>
        <v>46010</v>
      </c>
      <c r="F317" s="3" t="n">
        <f aca="false">SUMIFS('Futures Data'!$C$5:$C$3471,'Futures Data'!$A$5:$A$3471,B317,'Futures Data'!$B$5:$B$3471,E317)</f>
        <v>7023</v>
      </c>
      <c r="G317" s="3" t="n">
        <f aca="false">SUMIFS('Futures Data'!$C$5:$C$3471,'Futures Data'!$A$5:$A$3471,A317,'Futures Data'!$B$5:$B$3471,E317)</f>
        <v>7035</v>
      </c>
      <c r="H317" s="13" t="n">
        <f aca="false">LN(D317/C317)</f>
        <v>-0.00569802111463778</v>
      </c>
      <c r="I317" s="13" t="n">
        <f aca="false">LN(G317/F317)</f>
        <v>0.00170721338946903</v>
      </c>
      <c r="J317" s="3" t="str">
        <f aca="false">IF(A317&lt;='Results &amp; Charts'!$C$5,"In-sample","Out-of-sample")</f>
        <v>Out-of-sample</v>
      </c>
      <c r="K317" s="13" t="n">
        <f aca="false">H317-'Results &amp; Charts'!$C$9*I317</f>
        <v>-0.0067455115652645</v>
      </c>
      <c r="L317" s="13" t="n">
        <f aca="false">H317-I317</f>
        <v>-0.00740523450410681</v>
      </c>
      <c r="M317" s="15" t="n">
        <v>0.664322257421655</v>
      </c>
      <c r="N317" s="13" t="n">
        <f aca="false">H317-M317*I317</f>
        <v>-0.00683216096743032</v>
      </c>
      <c r="O317" s="16" t="n">
        <f aca="false">'Results &amp; Charts'!$C$9</f>
        <v>0.613567382430444</v>
      </c>
    </row>
    <row r="318" customFormat="false" ht="15" hidden="false" customHeight="false" outlineLevel="0" collapsed="false">
      <c r="A318" s="14" t="n">
        <f aca="false">'Roll Schedule'!A589</f>
        <v>45995</v>
      </c>
      <c r="B318" s="14" t="n">
        <f aca="false">'Roll Schedule'!A588</f>
        <v>45994</v>
      </c>
      <c r="C318" s="3" t="n">
        <f aca="false">SUMIFS('Spot Data'!$E$5:$E$651,'Spot Data'!$A$5:$A$651,B318,'Spot Data'!$H$5:$H$651,"YES")</f>
        <v>8750</v>
      </c>
      <c r="D318" s="3" t="n">
        <f aca="false">SUMIFS('Spot Data'!$E$5:$E$651,'Spot Data'!$A$5:$A$651,A318,'Spot Data'!$H$5:$H$651,"YES")</f>
        <v>8750</v>
      </c>
      <c r="E318" s="14" t="n">
        <f aca="false">'Roll Schedule'!B589</f>
        <v>46010</v>
      </c>
      <c r="F318" s="3" t="n">
        <f aca="false">SUMIFS('Futures Data'!$C$5:$C$3471,'Futures Data'!$A$5:$A$3471,B318,'Futures Data'!$B$5:$B$3471,E318)</f>
        <v>7035</v>
      </c>
      <c r="G318" s="3" t="n">
        <f aca="false">SUMIFS('Futures Data'!$C$5:$C$3471,'Futures Data'!$A$5:$A$3471,A318,'Futures Data'!$B$5:$B$3471,E318)</f>
        <v>7022</v>
      </c>
      <c r="H318" s="13" t="n">
        <f aca="false">LN(D318/C318)</f>
        <v>0</v>
      </c>
      <c r="I318" s="13" t="n">
        <f aca="false">LN(G318/F318)</f>
        <v>-0.00184961282011183</v>
      </c>
      <c r="J318" s="3" t="str">
        <f aca="false">IF(A318&lt;='Results &amp; Charts'!$C$5,"In-sample","Out-of-sample")</f>
        <v>Out-of-sample</v>
      </c>
      <c r="K318" s="13" t="n">
        <f aca="false">H318-'Results &amp; Charts'!$C$9*I318</f>
        <v>0.00113486209654581</v>
      </c>
      <c r="L318" s="13" t="n">
        <f aca="false">H318-I318</f>
        <v>0.00184961282011183</v>
      </c>
      <c r="M318" s="15" t="n">
        <v>0.684683315639663</v>
      </c>
      <c r="N318" s="13" t="n">
        <f aca="false">H318-M318*I318</f>
        <v>0.00126639903832379</v>
      </c>
      <c r="O318" s="16" t="n">
        <f aca="false">'Results &amp; Charts'!$C$9</f>
        <v>0.613567382430444</v>
      </c>
    </row>
    <row r="319" customFormat="false" ht="15" hidden="false" customHeight="false" outlineLevel="0" collapsed="false">
      <c r="A319" s="14" t="n">
        <f aca="false">'Roll Schedule'!A590</f>
        <v>45996</v>
      </c>
      <c r="B319" s="14" t="n">
        <f aca="false">'Roll Schedule'!A589</f>
        <v>45995</v>
      </c>
      <c r="C319" s="3" t="n">
        <f aca="false">SUMIFS('Spot Data'!$E$5:$E$651,'Spot Data'!$A$5:$A$651,B319,'Spot Data'!$H$5:$H$651,"YES")</f>
        <v>8750</v>
      </c>
      <c r="D319" s="3" t="n">
        <f aca="false">SUMIFS('Spot Data'!$E$5:$E$651,'Spot Data'!$A$5:$A$651,A319,'Spot Data'!$H$5:$H$651,"YES")</f>
        <v>8750</v>
      </c>
      <c r="E319" s="14" t="n">
        <f aca="false">'Roll Schedule'!B590</f>
        <v>46010</v>
      </c>
      <c r="F319" s="3" t="n">
        <f aca="false">SUMIFS('Futures Data'!$C$5:$C$3471,'Futures Data'!$A$5:$A$3471,B319,'Futures Data'!$B$5:$B$3471,E319)</f>
        <v>7022</v>
      </c>
      <c r="G319" s="3" t="n">
        <f aca="false">SUMIFS('Futures Data'!$C$5:$C$3471,'Futures Data'!$A$5:$A$3471,A319,'Futures Data'!$B$5:$B$3471,E319)</f>
        <v>7007</v>
      </c>
      <c r="H319" s="13" t="n">
        <f aca="false">LN(D319/C319)</f>
        <v>0</v>
      </c>
      <c r="I319" s="13" t="n">
        <f aca="false">LN(G319/F319)</f>
        <v>-0.00213842835784368</v>
      </c>
      <c r="J319" s="3" t="str">
        <f aca="false">IF(A319&lt;='Results &amp; Charts'!$C$5,"In-sample","Out-of-sample")</f>
        <v>Out-of-sample</v>
      </c>
      <c r="K319" s="13" t="n">
        <f aca="false">H319-'Results &amp; Charts'!$C$9*I319</f>
        <v>0.00131206989003718</v>
      </c>
      <c r="L319" s="13" t="n">
        <f aca="false">H319-I319</f>
        <v>0.00213842835784368</v>
      </c>
      <c r="M319" s="15" t="n">
        <v>0.709504822592913</v>
      </c>
      <c r="N319" s="13" t="n">
        <f aca="false">H319-M319*I319</f>
        <v>0.00151722523265954</v>
      </c>
      <c r="O319" s="16" t="n">
        <f aca="false">'Results &amp; Charts'!$C$9</f>
        <v>0.613567382430444</v>
      </c>
    </row>
    <row r="320" customFormat="false" ht="15" hidden="false" customHeight="false" outlineLevel="0" collapsed="false">
      <c r="A320" s="14" t="n">
        <f aca="false">'Roll Schedule'!A591</f>
        <v>45999</v>
      </c>
      <c r="B320" s="14" t="n">
        <f aca="false">'Roll Schedule'!A590</f>
        <v>45996</v>
      </c>
      <c r="C320" s="3" t="n">
        <f aca="false">SUMIFS('Spot Data'!$E$5:$E$651,'Spot Data'!$A$5:$A$651,B320,'Spot Data'!$H$5:$H$651,"YES")</f>
        <v>8750</v>
      </c>
      <c r="D320" s="3" t="n">
        <f aca="false">SUMIFS('Spot Data'!$E$5:$E$651,'Spot Data'!$A$5:$A$651,A320,'Spot Data'!$H$5:$H$651,"YES")</f>
        <v>8750</v>
      </c>
      <c r="E320" s="14" t="n">
        <f aca="false">'Roll Schedule'!B591</f>
        <v>46010</v>
      </c>
      <c r="F320" s="3" t="n">
        <f aca="false">SUMIFS('Futures Data'!$C$5:$C$3471,'Futures Data'!$A$5:$A$3471,B320,'Futures Data'!$B$5:$B$3471,E320)</f>
        <v>7007</v>
      </c>
      <c r="G320" s="3" t="n">
        <f aca="false">SUMIFS('Futures Data'!$C$5:$C$3471,'Futures Data'!$A$5:$A$3471,A320,'Futures Data'!$B$5:$B$3471,E320)</f>
        <v>6958</v>
      </c>
      <c r="H320" s="13" t="n">
        <f aca="false">LN(D320/C320)</f>
        <v>0</v>
      </c>
      <c r="I320" s="13" t="n">
        <f aca="false">LN(G320/F320)</f>
        <v>-0.00701757265864654</v>
      </c>
      <c r="J320" s="3" t="str">
        <f aca="false">IF(A320&lt;='Results &amp; Charts'!$C$5,"In-sample","Out-of-sample")</f>
        <v>Out-of-sample</v>
      </c>
      <c r="K320" s="13" t="n">
        <f aca="false">H320-'Results &amp; Charts'!$C$9*I320</f>
        <v>0.00430575368718121</v>
      </c>
      <c r="L320" s="13" t="n">
        <f aca="false">H320-I320</f>
        <v>0.00701757265864654</v>
      </c>
      <c r="M320" s="15" t="n">
        <v>0.728684990876951</v>
      </c>
      <c r="N320" s="13" t="n">
        <f aca="false">H320-M320*I320</f>
        <v>0.00511359986874419</v>
      </c>
      <c r="O320" s="16" t="n">
        <f aca="false">'Results &amp; Charts'!$C$9</f>
        <v>0.613567382430444</v>
      </c>
    </row>
    <row r="321" customFormat="false" ht="15" hidden="false" customHeight="false" outlineLevel="0" collapsed="false">
      <c r="A321" s="14" t="n">
        <f aca="false">'Roll Schedule'!A592</f>
        <v>46000</v>
      </c>
      <c r="B321" s="14" t="n">
        <f aca="false">'Roll Schedule'!A591</f>
        <v>45999</v>
      </c>
      <c r="C321" s="3" t="n">
        <f aca="false">SUMIFS('Spot Data'!$E$5:$E$651,'Spot Data'!$A$5:$A$651,B321,'Spot Data'!$H$5:$H$651,"YES")</f>
        <v>8750</v>
      </c>
      <c r="D321" s="3" t="n">
        <f aca="false">SUMIFS('Spot Data'!$E$5:$E$651,'Spot Data'!$A$5:$A$651,A321,'Spot Data'!$H$5:$H$651,"YES")</f>
        <v>8777</v>
      </c>
      <c r="E321" s="14" t="n">
        <f aca="false">'Roll Schedule'!B592</f>
        <v>46042</v>
      </c>
      <c r="F321" s="3" t="n">
        <f aca="false">SUMIFS('Futures Data'!$C$5:$C$3471,'Futures Data'!$A$5:$A$3471,B321,'Futures Data'!$B$5:$B$3471,E321)</f>
        <v>6984</v>
      </c>
      <c r="G321" s="3" t="n">
        <f aca="false">SUMIFS('Futures Data'!$C$5:$C$3471,'Futures Data'!$A$5:$A$3471,A321,'Futures Data'!$B$5:$B$3471,E321)</f>
        <v>6994</v>
      </c>
      <c r="H321" s="13" t="n">
        <f aca="false">LN(D321/C321)</f>
        <v>0.00308096324045756</v>
      </c>
      <c r="I321" s="13" t="n">
        <f aca="false">LN(G321/F321)</f>
        <v>0.00143082010388301</v>
      </c>
      <c r="J321" s="3" t="str">
        <f aca="false">IF(A321&lt;='Results &amp; Charts'!$C$5,"In-sample","Out-of-sample")</f>
        <v>Out-of-sample</v>
      </c>
      <c r="K321" s="13" t="n">
        <f aca="false">H321-'Results &amp; Charts'!$C$9*I321</f>
        <v>0.00220305869458921</v>
      </c>
      <c r="L321" s="13" t="n">
        <f aca="false">H321-I321</f>
        <v>0.00165014313657455</v>
      </c>
      <c r="M321" s="15" t="n">
        <v>0.668251022888047</v>
      </c>
      <c r="N321" s="13" t="n">
        <f aca="false">H321-M321*I321</f>
        <v>0.00212481624246896</v>
      </c>
      <c r="O321" s="16" t="n">
        <f aca="false">'Results &amp; Charts'!$C$9</f>
        <v>0.613567382430444</v>
      </c>
    </row>
    <row r="322" customFormat="false" ht="15" hidden="false" customHeight="false" outlineLevel="0" collapsed="false">
      <c r="A322" s="14" t="n">
        <f aca="false">'Roll Schedule'!A593</f>
        <v>46001</v>
      </c>
      <c r="B322" s="14" t="n">
        <f aca="false">'Roll Schedule'!A592</f>
        <v>46000</v>
      </c>
      <c r="C322" s="3" t="n">
        <f aca="false">SUMIFS('Spot Data'!$E$5:$E$651,'Spot Data'!$A$5:$A$651,B322,'Spot Data'!$H$5:$H$651,"YES")</f>
        <v>8777</v>
      </c>
      <c r="D322" s="3" t="n">
        <f aca="false">SUMIFS('Spot Data'!$E$5:$E$651,'Spot Data'!$A$5:$A$651,A322,'Spot Data'!$H$5:$H$651,"YES")</f>
        <v>8800</v>
      </c>
      <c r="E322" s="14" t="n">
        <f aca="false">'Roll Schedule'!B593</f>
        <v>46042</v>
      </c>
      <c r="F322" s="3" t="n">
        <f aca="false">SUMIFS('Futures Data'!$C$5:$C$3471,'Futures Data'!$A$5:$A$3471,B322,'Futures Data'!$B$5:$B$3471,E322)</f>
        <v>6994</v>
      </c>
      <c r="G322" s="3" t="n">
        <f aca="false">SUMIFS('Futures Data'!$C$5:$C$3471,'Futures Data'!$A$5:$A$3471,A322,'Futures Data'!$B$5:$B$3471,E322)</f>
        <v>6965</v>
      </c>
      <c r="H322" s="13" t="n">
        <f aca="false">LN(D322/C322)</f>
        <v>0.00261705787418025</v>
      </c>
      <c r="I322" s="13" t="n">
        <f aca="false">LN(G322/F322)</f>
        <v>-0.00415503140941508</v>
      </c>
      <c r="J322" s="3" t="str">
        <f aca="false">IF(A322&lt;='Results &amp; Charts'!$C$5,"In-sample","Out-of-sample")</f>
        <v>Out-of-sample</v>
      </c>
      <c r="K322" s="13" t="n">
        <f aca="false">H322-'Results &amp; Charts'!$C$9*I322</f>
        <v>0.00516644961997134</v>
      </c>
      <c r="L322" s="13" t="n">
        <f aca="false">H322-I322</f>
        <v>0.00677208928359533</v>
      </c>
      <c r="M322" s="15" t="n">
        <v>0.691414559532409</v>
      </c>
      <c r="N322" s="13" t="n">
        <f aca="false">H322-M322*I322</f>
        <v>0.0054899070859643</v>
      </c>
      <c r="O322" s="16" t="n">
        <f aca="false">'Results &amp; Charts'!$C$9</f>
        <v>0.613567382430444</v>
      </c>
    </row>
    <row r="323" customFormat="false" ht="15" hidden="false" customHeight="false" outlineLevel="0" collapsed="false">
      <c r="A323" s="14" t="n">
        <f aca="false">'Roll Schedule'!A594</f>
        <v>46002</v>
      </c>
      <c r="B323" s="14" t="n">
        <f aca="false">'Roll Schedule'!A593</f>
        <v>46001</v>
      </c>
      <c r="C323" s="3" t="n">
        <f aca="false">SUMIFS('Spot Data'!$E$5:$E$651,'Spot Data'!$A$5:$A$651,B323,'Spot Data'!$H$5:$H$651,"YES")</f>
        <v>8800</v>
      </c>
      <c r="D323" s="3" t="n">
        <f aca="false">SUMIFS('Spot Data'!$E$5:$E$651,'Spot Data'!$A$5:$A$651,A323,'Spot Data'!$H$5:$H$651,"YES")</f>
        <v>8750</v>
      </c>
      <c r="E323" s="14" t="n">
        <f aca="false">'Roll Schedule'!B594</f>
        <v>46042</v>
      </c>
      <c r="F323" s="3" t="n">
        <f aca="false">SUMIFS('Futures Data'!$C$5:$C$3471,'Futures Data'!$A$5:$A$3471,B323,'Futures Data'!$B$5:$B$3471,E323)</f>
        <v>6965</v>
      </c>
      <c r="G323" s="3" t="n">
        <f aca="false">SUMIFS('Futures Data'!$C$5:$C$3471,'Futures Data'!$A$5:$A$3471,A323,'Futures Data'!$B$5:$B$3471,E323)</f>
        <v>6964</v>
      </c>
      <c r="H323" s="13" t="n">
        <f aca="false">LN(D323/C323)</f>
        <v>-0.00569802111463778</v>
      </c>
      <c r="I323" s="13" t="n">
        <f aca="false">LN(G323/F323)</f>
        <v>-0.000143585325826466</v>
      </c>
      <c r="J323" s="3" t="str">
        <f aca="false">IF(A323&lt;='Results &amp; Charts'!$C$5,"In-sample","Out-of-sample")</f>
        <v>Out-of-sample</v>
      </c>
      <c r="K323" s="13" t="n">
        <f aca="false">H323-'Results &amp; Charts'!$C$9*I323</f>
        <v>-0.00560992184211501</v>
      </c>
      <c r="L323" s="13" t="n">
        <f aca="false">H323-I323</f>
        <v>-0.00555443578881131</v>
      </c>
      <c r="M323" s="15" t="n">
        <v>0.682206398648285</v>
      </c>
      <c r="N323" s="13" t="n">
        <f aca="false">H323-M323*I323</f>
        <v>-0.00560006628660697</v>
      </c>
      <c r="O323" s="16" t="n">
        <f aca="false">'Results &amp; Charts'!$C$9</f>
        <v>0.613567382430444</v>
      </c>
    </row>
    <row r="324" customFormat="false" ht="15" hidden="false" customHeight="false" outlineLevel="0" collapsed="false">
      <c r="A324" s="14" t="n">
        <f aca="false">'Roll Schedule'!A595</f>
        <v>46003</v>
      </c>
      <c r="B324" s="14" t="n">
        <f aca="false">'Roll Schedule'!A594</f>
        <v>46002</v>
      </c>
      <c r="C324" s="3" t="n">
        <f aca="false">SUMIFS('Spot Data'!$E$5:$E$651,'Spot Data'!$A$5:$A$651,B324,'Spot Data'!$H$5:$H$651,"YES")</f>
        <v>8750</v>
      </c>
      <c r="D324" s="3" t="n">
        <f aca="false">SUMIFS('Spot Data'!$E$5:$E$651,'Spot Data'!$A$5:$A$651,A324,'Spot Data'!$H$5:$H$651,"YES")</f>
        <v>8700</v>
      </c>
      <c r="E324" s="14" t="n">
        <f aca="false">'Roll Schedule'!B595</f>
        <v>46042</v>
      </c>
      <c r="F324" s="3" t="n">
        <f aca="false">SUMIFS('Futures Data'!$C$5:$C$3471,'Futures Data'!$A$5:$A$3471,B324,'Futures Data'!$B$5:$B$3471,E324)</f>
        <v>6964</v>
      </c>
      <c r="G324" s="3" t="n">
        <f aca="false">SUMIFS('Futures Data'!$C$5:$C$3471,'Futures Data'!$A$5:$A$3471,A324,'Futures Data'!$B$5:$B$3471,E324)</f>
        <v>6947</v>
      </c>
      <c r="H324" s="13" t="n">
        <f aca="false">LN(D324/C324)</f>
        <v>-0.00573067470898498</v>
      </c>
      <c r="I324" s="13" t="n">
        <f aca="false">LN(G324/F324)</f>
        <v>-0.00244411019519871</v>
      </c>
      <c r="J324" s="3" t="str">
        <f aca="false">IF(A324&lt;='Results &amp; Charts'!$C$5,"In-sample","Out-of-sample")</f>
        <v>Out-of-sample</v>
      </c>
      <c r="K324" s="13" t="n">
        <f aca="false">H324-'Results &amp; Charts'!$C$9*I324</f>
        <v>-0.00423104841414535</v>
      </c>
      <c r="L324" s="13" t="n">
        <f aca="false">H324-I324</f>
        <v>-0.00328656451378627</v>
      </c>
      <c r="M324" s="15" t="n">
        <v>0.703271913780122</v>
      </c>
      <c r="N324" s="13" t="n">
        <f aca="false">H324-M324*I324</f>
        <v>-0.00401180065451807</v>
      </c>
      <c r="O324" s="16" t="n">
        <f aca="false">'Results &amp; Charts'!$C$9</f>
        <v>0.613567382430444</v>
      </c>
    </row>
    <row r="325" customFormat="false" ht="15" hidden="false" customHeight="false" outlineLevel="0" collapsed="false">
      <c r="A325" s="14" t="n">
        <f aca="false">'Roll Schedule'!A596</f>
        <v>46006</v>
      </c>
      <c r="B325" s="14" t="n">
        <f aca="false">'Roll Schedule'!A595</f>
        <v>46003</v>
      </c>
      <c r="C325" s="3" t="n">
        <f aca="false">SUMIFS('Spot Data'!$E$5:$E$651,'Spot Data'!$A$5:$A$651,B325,'Spot Data'!$H$5:$H$651,"YES")</f>
        <v>8700</v>
      </c>
      <c r="D325" s="3" t="n">
        <f aca="false">SUMIFS('Spot Data'!$E$5:$E$651,'Spot Data'!$A$5:$A$651,A325,'Spot Data'!$H$5:$H$651,"YES")</f>
        <v>8650</v>
      </c>
      <c r="E325" s="14" t="n">
        <f aca="false">'Roll Schedule'!B596</f>
        <v>46042</v>
      </c>
      <c r="F325" s="3" t="n">
        <f aca="false">SUMIFS('Futures Data'!$C$5:$C$3471,'Futures Data'!$A$5:$A$3471,B325,'Futures Data'!$B$5:$B$3471,E325)</f>
        <v>6947</v>
      </c>
      <c r="G325" s="3" t="n">
        <f aca="false">SUMIFS('Futures Data'!$C$5:$C$3471,'Futures Data'!$A$5:$A$3471,A325,'Futures Data'!$B$5:$B$3471,E325)</f>
        <v>6922</v>
      </c>
      <c r="H325" s="13" t="n">
        <f aca="false">LN(D325/C325)</f>
        <v>-0.00576370471675013</v>
      </c>
      <c r="I325" s="13" t="n">
        <f aca="false">LN(G325/F325)</f>
        <v>-0.00360516649759136</v>
      </c>
      <c r="J325" s="3" t="str">
        <f aca="false">IF(A325&lt;='Results &amp; Charts'!$C$5,"In-sample","Out-of-sample")</f>
        <v>Out-of-sample</v>
      </c>
      <c r="K325" s="13" t="n">
        <f aca="false">H325-'Results &amp; Charts'!$C$9*I325</f>
        <v>-0.00355169214559707</v>
      </c>
      <c r="L325" s="13" t="n">
        <f aca="false">H325-I325</f>
        <v>-0.00215853821915877</v>
      </c>
      <c r="M325" s="15" t="n">
        <v>0.718312504611998</v>
      </c>
      <c r="N325" s="13" t="n">
        <f aca="false">H325-M325*I325</f>
        <v>-0.00317406854032202</v>
      </c>
      <c r="O325" s="16" t="n">
        <f aca="false">'Results &amp; Charts'!$C$9</f>
        <v>0.613567382430444</v>
      </c>
    </row>
    <row r="326" customFormat="false" ht="15" hidden="false" customHeight="false" outlineLevel="0" collapsed="false">
      <c r="A326" s="14" t="n">
        <f aca="false">'Roll Schedule'!A597</f>
        <v>46007</v>
      </c>
      <c r="B326" s="14" t="n">
        <f aca="false">'Roll Schedule'!A596</f>
        <v>46006</v>
      </c>
      <c r="C326" s="3" t="n">
        <f aca="false">SUMIFS('Spot Data'!$E$5:$E$651,'Spot Data'!$A$5:$A$651,B326,'Spot Data'!$H$5:$H$651,"YES")</f>
        <v>8650</v>
      </c>
      <c r="D326" s="3" t="n">
        <f aca="false">SUMIFS('Spot Data'!$E$5:$E$651,'Spot Data'!$A$5:$A$651,A326,'Spot Data'!$H$5:$H$651,"YES")</f>
        <v>8600</v>
      </c>
      <c r="E326" s="14" t="n">
        <f aca="false">'Roll Schedule'!B597</f>
        <v>46042</v>
      </c>
      <c r="F326" s="3" t="n">
        <f aca="false">SUMIFS('Futures Data'!$C$5:$C$3471,'Futures Data'!$A$5:$A$3471,B326,'Futures Data'!$B$5:$B$3471,E326)</f>
        <v>6922</v>
      </c>
      <c r="G326" s="3" t="n">
        <f aca="false">SUMIFS('Futures Data'!$C$5:$C$3471,'Futures Data'!$A$5:$A$3471,A326,'Futures Data'!$B$5:$B$3471,E326)</f>
        <v>6883</v>
      </c>
      <c r="H326" s="13" t="n">
        <f aca="false">LN(D326/C326)</f>
        <v>-0.00579711768432596</v>
      </c>
      <c r="I326" s="13" t="n">
        <f aca="false">LN(G326/F326)</f>
        <v>-0.0056501417969254</v>
      </c>
      <c r="J326" s="3" t="str">
        <f aca="false">IF(A326&lt;='Results &amp; Charts'!$C$5,"In-sample","Out-of-sample")</f>
        <v>Out-of-sample</v>
      </c>
      <c r="K326" s="13" t="n">
        <f aca="false">H326-'Results &amp; Charts'!$C$9*I326</f>
        <v>-0.00233037497162559</v>
      </c>
      <c r="L326" s="13" t="n">
        <f aca="false">H326-I326</f>
        <v>-0.000146975887400557</v>
      </c>
      <c r="M326" s="15" t="n">
        <v>0.720967906535806</v>
      </c>
      <c r="N326" s="13" t="n">
        <f aca="false">H326-M326*I326</f>
        <v>-0.00172354678136619</v>
      </c>
      <c r="O326" s="16" t="n">
        <f aca="false">'Results &amp; Charts'!$C$9</f>
        <v>0.613567382430444</v>
      </c>
    </row>
    <row r="327" customFormat="false" ht="15" hidden="false" customHeight="false" outlineLevel="0" collapsed="false">
      <c r="A327" s="14" t="n">
        <f aca="false">'Roll Schedule'!A598</f>
        <v>46008</v>
      </c>
      <c r="B327" s="14" t="n">
        <f aca="false">'Roll Schedule'!A597</f>
        <v>46007</v>
      </c>
      <c r="C327" s="3" t="n">
        <f aca="false">SUMIFS('Spot Data'!$E$5:$E$651,'Spot Data'!$A$5:$A$651,B327,'Spot Data'!$H$5:$H$651,"YES")</f>
        <v>8600</v>
      </c>
      <c r="D327" s="3" t="n">
        <f aca="false">SUMIFS('Spot Data'!$E$5:$E$651,'Spot Data'!$A$5:$A$651,A327,'Spot Data'!$H$5:$H$651,"YES")</f>
        <v>8300</v>
      </c>
      <c r="E327" s="14" t="n">
        <f aca="false">'Roll Schedule'!B598</f>
        <v>46042</v>
      </c>
      <c r="F327" s="3" t="n">
        <f aca="false">SUMIFS('Futures Data'!$C$5:$C$3471,'Futures Data'!$A$5:$A$3471,B327,'Futures Data'!$B$5:$B$3471,E327)</f>
        <v>6883</v>
      </c>
      <c r="G327" s="3" t="n">
        <f aca="false">SUMIFS('Futures Data'!$C$5:$C$3471,'Futures Data'!$A$5:$A$3471,A327,'Futures Data'!$B$5:$B$3471,E327)</f>
        <v>6901</v>
      </c>
      <c r="H327" s="13" t="n">
        <f aca="false">LN(D327/C327)</f>
        <v>-0.0355066884569098</v>
      </c>
      <c r="I327" s="13" t="n">
        <f aca="false">LN(G327/F327)</f>
        <v>0.00261172522223772</v>
      </c>
      <c r="J327" s="3" t="str">
        <f aca="false">IF(A327&lt;='Results &amp; Charts'!$C$5,"In-sample","Out-of-sample")</f>
        <v>Out-of-sample</v>
      </c>
      <c r="K327" s="13" t="n">
        <f aca="false">H327-'Results &amp; Charts'!$C$9*I327</f>
        <v>-0.0371091578651457</v>
      </c>
      <c r="L327" s="13" t="n">
        <f aca="false">H327-I327</f>
        <v>-0.0381184136791475</v>
      </c>
      <c r="M327" s="15" t="n">
        <v>0.693547075775475</v>
      </c>
      <c r="N327" s="13" t="n">
        <f aca="false">H327-M327*I327</f>
        <v>-0.0373180428475218</v>
      </c>
      <c r="O327" s="16" t="n">
        <f aca="false">'Results &amp; Charts'!$C$9</f>
        <v>0.613567382430444</v>
      </c>
    </row>
    <row r="328" customFormat="false" ht="15" hidden="false" customHeight="false" outlineLevel="0" collapsed="false">
      <c r="A328" s="14" t="n">
        <f aca="false">'Roll Schedule'!A599</f>
        <v>46009</v>
      </c>
      <c r="B328" s="14" t="n">
        <f aca="false">'Roll Schedule'!A598</f>
        <v>46008</v>
      </c>
      <c r="C328" s="3" t="n">
        <f aca="false">SUMIFS('Spot Data'!$E$5:$E$651,'Spot Data'!$A$5:$A$651,B328,'Spot Data'!$H$5:$H$651,"YES")</f>
        <v>8300</v>
      </c>
      <c r="D328" s="3" t="n">
        <f aca="false">SUMIFS('Spot Data'!$E$5:$E$651,'Spot Data'!$A$5:$A$651,A328,'Spot Data'!$H$5:$H$651,"YES")</f>
        <v>8400</v>
      </c>
      <c r="E328" s="14" t="n">
        <f aca="false">'Roll Schedule'!B599</f>
        <v>46042</v>
      </c>
      <c r="F328" s="3" t="n">
        <f aca="false">SUMIFS('Futures Data'!$C$5:$C$3471,'Futures Data'!$A$5:$A$3471,B328,'Futures Data'!$B$5:$B$3471,E328)</f>
        <v>6901</v>
      </c>
      <c r="G328" s="3" t="n">
        <f aca="false">SUMIFS('Futures Data'!$C$5:$C$3471,'Futures Data'!$A$5:$A$3471,A328,'Futures Data'!$B$5:$B$3471,E328)</f>
        <v>6953</v>
      </c>
      <c r="H328" s="13" t="n">
        <f aca="false">LN(D328/C328)</f>
        <v>0.0119761910467156</v>
      </c>
      <c r="I328" s="13" t="n">
        <f aca="false">LN(G328/F328)</f>
        <v>0.00750689247841592</v>
      </c>
      <c r="J328" s="3" t="str">
        <f aca="false">IF(A328&lt;='Results &amp; Charts'!$C$5,"In-sample","Out-of-sample")</f>
        <v>Out-of-sample</v>
      </c>
      <c r="K328" s="13" t="n">
        <f aca="false">H328-'Results &amp; Charts'!$C$9*I328</f>
        <v>0.00737020667854718</v>
      </c>
      <c r="L328" s="13" t="n">
        <f aca="false">H328-I328</f>
        <v>0.0044692985682997</v>
      </c>
      <c r="M328" s="15" t="n">
        <v>0.640583905362392</v>
      </c>
      <c r="N328" s="13" t="n">
        <f aca="false">H328-M328*I328</f>
        <v>0.00716739654575639</v>
      </c>
      <c r="O328" s="16" t="n">
        <f aca="false">'Results &amp; Charts'!$C$9</f>
        <v>0.613567382430444</v>
      </c>
    </row>
    <row r="329" customFormat="false" ht="15" hidden="false" customHeight="false" outlineLevel="0" collapsed="false">
      <c r="A329" s="14" t="n">
        <f aca="false">'Roll Schedule'!A600</f>
        <v>46010</v>
      </c>
      <c r="B329" s="14" t="n">
        <f aca="false">'Roll Schedule'!A599</f>
        <v>46009</v>
      </c>
      <c r="C329" s="3" t="n">
        <f aca="false">SUMIFS('Spot Data'!$E$5:$E$651,'Spot Data'!$A$5:$A$651,B329,'Spot Data'!$H$5:$H$651,"YES")</f>
        <v>8400</v>
      </c>
      <c r="D329" s="3" t="n">
        <f aca="false">SUMIFS('Spot Data'!$E$5:$E$651,'Spot Data'!$A$5:$A$651,A329,'Spot Data'!$H$5:$H$651,"YES")</f>
        <v>8750</v>
      </c>
      <c r="E329" s="14" t="n">
        <f aca="false">'Roll Schedule'!B600</f>
        <v>46042</v>
      </c>
      <c r="F329" s="3" t="n">
        <f aca="false">SUMIFS('Futures Data'!$C$5:$C$3471,'Futures Data'!$A$5:$A$3471,B329,'Futures Data'!$B$5:$B$3471,E329)</f>
        <v>6953</v>
      </c>
      <c r="G329" s="3" t="n">
        <f aca="false">SUMIFS('Futures Data'!$C$5:$C$3471,'Futures Data'!$A$5:$A$3471,A329,'Futures Data'!$B$5:$B$3471,E329)</f>
        <v>6933</v>
      </c>
      <c r="H329" s="13" t="n">
        <f aca="false">LN(D329/C329)</f>
        <v>0.0408219945202552</v>
      </c>
      <c r="I329" s="13" t="n">
        <f aca="false">LN(G329/F329)</f>
        <v>-0.00288060115652737</v>
      </c>
      <c r="J329" s="3" t="str">
        <f aca="false">IF(A329&lt;='Results &amp; Charts'!$C$5,"In-sample","Out-of-sample")</f>
        <v>Out-of-sample</v>
      </c>
      <c r="K329" s="13" t="n">
        <f aca="false">H329-'Results &amp; Charts'!$C$9*I329</f>
        <v>0.0425894374316918</v>
      </c>
      <c r="L329" s="13" t="n">
        <f aca="false">H329-I329</f>
        <v>0.0437025956767826</v>
      </c>
      <c r="M329" s="15" t="n">
        <v>0.600459021346754</v>
      </c>
      <c r="N329" s="13" t="n">
        <f aca="false">H329-M329*I329</f>
        <v>0.042551677471594</v>
      </c>
      <c r="O329" s="16" t="n">
        <f aca="false">'Results &amp; Charts'!$C$9</f>
        <v>0.613567382430444</v>
      </c>
    </row>
    <row r="330" customFormat="false" ht="15" hidden="false" customHeight="false" outlineLevel="0" collapsed="false">
      <c r="A330" s="14" t="n">
        <f aca="false">'Roll Schedule'!A601</f>
        <v>46013</v>
      </c>
      <c r="B330" s="14" t="n">
        <f aca="false">'Roll Schedule'!A600</f>
        <v>46010</v>
      </c>
      <c r="C330" s="3" t="n">
        <f aca="false">SUMIFS('Spot Data'!$E$5:$E$651,'Spot Data'!$A$5:$A$651,B330,'Spot Data'!$H$5:$H$651,"YES")</f>
        <v>8750</v>
      </c>
      <c r="D330" s="3" t="n">
        <f aca="false">SUMIFS('Spot Data'!$E$5:$E$651,'Spot Data'!$A$5:$A$651,A330,'Spot Data'!$H$5:$H$651,"YES")</f>
        <v>8250</v>
      </c>
      <c r="E330" s="14" t="n">
        <f aca="false">'Roll Schedule'!B601</f>
        <v>46042</v>
      </c>
      <c r="F330" s="3" t="n">
        <f aca="false">SUMIFS('Futures Data'!$C$5:$C$3471,'Futures Data'!$A$5:$A$3471,B330,'Futures Data'!$B$5:$B$3471,E330)</f>
        <v>6933</v>
      </c>
      <c r="G330" s="3" t="n">
        <f aca="false">SUMIFS('Futures Data'!$C$5:$C$3471,'Futures Data'!$A$5:$A$3471,A330,'Futures Data'!$B$5:$B$3471,E330)</f>
        <v>6886</v>
      </c>
      <c r="H330" s="13" t="n">
        <f aca="false">LN(D330/C330)</f>
        <v>-0.0588405000229335</v>
      </c>
      <c r="I330" s="13" t="n">
        <f aca="false">LN(G330/F330)</f>
        <v>-0.00680225504402133</v>
      </c>
      <c r="J330" s="3" t="str">
        <f aca="false">IF(A330&lt;='Results &amp; Charts'!$C$5,"In-sample","Out-of-sample")</f>
        <v>Out-of-sample</v>
      </c>
      <c r="K330" s="13" t="n">
        <f aca="false">H330-'Results &amp; Charts'!$C$9*I330</f>
        <v>-0.054666858200949</v>
      </c>
      <c r="L330" s="13" t="n">
        <f aca="false">H330-I330</f>
        <v>-0.0520382449789121</v>
      </c>
      <c r="M330" s="15" t="n">
        <v>0.567302442907465</v>
      </c>
      <c r="N330" s="13" t="n">
        <f aca="false">H330-M330*I330</f>
        <v>-0.0549815641191805</v>
      </c>
      <c r="O330" s="16" t="n">
        <f aca="false">'Results &amp; Charts'!$C$9</f>
        <v>0.613567382430444</v>
      </c>
    </row>
    <row r="331" customFormat="false" ht="15" hidden="false" customHeight="false" outlineLevel="0" collapsed="false">
      <c r="A331" s="14" t="n">
        <f aca="false">'Roll Schedule'!A602</f>
        <v>46014</v>
      </c>
      <c r="B331" s="14" t="n">
        <f aca="false">'Roll Schedule'!A601</f>
        <v>46013</v>
      </c>
      <c r="C331" s="3" t="n">
        <f aca="false">SUMIFS('Spot Data'!$E$5:$E$651,'Spot Data'!$A$5:$A$651,B331,'Spot Data'!$H$5:$H$651,"YES")</f>
        <v>8250</v>
      </c>
      <c r="D331" s="3" t="n">
        <f aca="false">SUMIFS('Spot Data'!$E$5:$E$651,'Spot Data'!$A$5:$A$651,A331,'Spot Data'!$H$5:$H$651,"YES")</f>
        <v>8250</v>
      </c>
      <c r="E331" s="14" t="n">
        <f aca="false">'Roll Schedule'!B602</f>
        <v>46042</v>
      </c>
      <c r="F331" s="3" t="n">
        <f aca="false">SUMIFS('Futures Data'!$C$5:$C$3471,'Futures Data'!$A$5:$A$3471,B331,'Futures Data'!$B$5:$B$3471,E331)</f>
        <v>6886</v>
      </c>
      <c r="G331" s="3" t="n">
        <f aca="false">SUMIFS('Futures Data'!$C$5:$C$3471,'Futures Data'!$A$5:$A$3471,A331,'Futures Data'!$B$5:$B$3471,E331)</f>
        <v>6853</v>
      </c>
      <c r="H331" s="13" t="n">
        <f aca="false">LN(D331/C331)</f>
        <v>0</v>
      </c>
      <c r="I331" s="13" t="n">
        <f aca="false">LN(G331/F331)</f>
        <v>-0.00480385231264539</v>
      </c>
      <c r="J331" s="3" t="str">
        <f aca="false">IF(A331&lt;='Results &amp; Charts'!$C$5,"In-sample","Out-of-sample")</f>
        <v>Out-of-sample</v>
      </c>
      <c r="K331" s="13" t="n">
        <f aca="false">H331-'Results &amp; Charts'!$C$9*I331</f>
        <v>0.00294748708905227</v>
      </c>
      <c r="L331" s="13" t="n">
        <f aca="false">H331-I331</f>
        <v>0.00480385231264539</v>
      </c>
      <c r="M331" s="15" t="n">
        <v>0.69400066381773</v>
      </c>
      <c r="N331" s="13" t="n">
        <f aca="false">H331-M331*I331</f>
        <v>0.00333387669385824</v>
      </c>
      <c r="O331" s="16" t="n">
        <f aca="false">'Results &amp; Charts'!$C$9</f>
        <v>0.613567382430444</v>
      </c>
    </row>
    <row r="332" customFormat="false" ht="15" hidden="false" customHeight="false" outlineLevel="0" collapsed="false">
      <c r="A332" s="14" t="n">
        <f aca="false">'Roll Schedule'!A603</f>
        <v>46015</v>
      </c>
      <c r="B332" s="14" t="n">
        <f aca="false">'Roll Schedule'!A602</f>
        <v>46014</v>
      </c>
      <c r="C332" s="3" t="n">
        <f aca="false">SUMIFS('Spot Data'!$E$5:$E$651,'Spot Data'!$A$5:$A$651,B332,'Spot Data'!$H$5:$H$651,"YES")</f>
        <v>8250</v>
      </c>
      <c r="D332" s="3" t="n">
        <f aca="false">SUMIFS('Spot Data'!$E$5:$E$651,'Spot Data'!$A$5:$A$651,A332,'Spot Data'!$H$5:$H$651,"YES")</f>
        <v>8000</v>
      </c>
      <c r="E332" s="14" t="n">
        <f aca="false">'Roll Schedule'!B603</f>
        <v>46042</v>
      </c>
      <c r="F332" s="3" t="n">
        <f aca="false">SUMIFS('Futures Data'!$C$5:$C$3471,'Futures Data'!$A$5:$A$3471,B332,'Futures Data'!$B$5:$B$3471,E332)</f>
        <v>6853</v>
      </c>
      <c r="G332" s="3" t="n">
        <f aca="false">SUMIFS('Futures Data'!$C$5:$C$3471,'Futures Data'!$A$5:$A$3471,A332,'Futures Data'!$B$5:$B$3471,E332)</f>
        <v>6844</v>
      </c>
      <c r="H332" s="13" t="n">
        <f aca="false">LN(D332/C332)</f>
        <v>-0.0307716586667537</v>
      </c>
      <c r="I332" s="13" t="n">
        <f aca="false">LN(G332/F332)</f>
        <v>-0.0013141565737396</v>
      </c>
      <c r="J332" s="3" t="str">
        <f aca="false">IF(A332&lt;='Results &amp; Charts'!$C$5,"In-sample","Out-of-sample")</f>
        <v>Out-of-sample</v>
      </c>
      <c r="K332" s="13" t="n">
        <f aca="false">H332-'Results &amp; Charts'!$C$9*I332</f>
        <v>-0.0299653350577005</v>
      </c>
      <c r="L332" s="13" t="n">
        <f aca="false">H332-I332</f>
        <v>-0.0294575020930141</v>
      </c>
      <c r="M332" s="15" t="n">
        <v>0.68512717149947</v>
      </c>
      <c r="N332" s="13" t="n">
        <f aca="false">H332-M332*I332</f>
        <v>-0.02987129429048</v>
      </c>
      <c r="O332" s="16" t="n">
        <f aca="false">'Results &amp; Charts'!$C$9</f>
        <v>0.613567382430444</v>
      </c>
    </row>
    <row r="333" customFormat="false" ht="15" hidden="false" customHeight="false" outlineLevel="0" collapsed="false">
      <c r="A333" s="14" t="n">
        <f aca="false">'Roll Schedule'!A604</f>
        <v>46017</v>
      </c>
      <c r="B333" s="14" t="n">
        <f aca="false">'Roll Schedule'!A603</f>
        <v>46015</v>
      </c>
      <c r="C333" s="3" t="n">
        <f aca="false">SUMIFS('Spot Data'!$E$5:$E$651,'Spot Data'!$A$5:$A$651,B333,'Spot Data'!$H$5:$H$651,"YES")</f>
        <v>8000</v>
      </c>
      <c r="D333" s="3" t="n">
        <f aca="false">SUMIFS('Spot Data'!$E$5:$E$651,'Spot Data'!$A$5:$A$651,A333,'Spot Data'!$H$5:$H$651,"YES")</f>
        <v>7950</v>
      </c>
      <c r="E333" s="14" t="n">
        <f aca="false">'Roll Schedule'!B604</f>
        <v>46042</v>
      </c>
      <c r="F333" s="3" t="n">
        <f aca="false">SUMIFS('Futures Data'!$C$5:$C$3471,'Futures Data'!$A$5:$A$3471,B333,'Futures Data'!$B$5:$B$3471,E333)</f>
        <v>6844</v>
      </c>
      <c r="G333" s="3" t="n">
        <f aca="false">SUMIFS('Futures Data'!$C$5:$C$3471,'Futures Data'!$A$5:$A$3471,A333,'Futures Data'!$B$5:$B$3471,E333)</f>
        <v>6835</v>
      </c>
      <c r="H333" s="13" t="n">
        <f aca="false">LN(D333/C333)</f>
        <v>-0.00626961301359537</v>
      </c>
      <c r="I333" s="13" t="n">
        <f aca="false">LN(G333/F333)</f>
        <v>-0.00131588585403413</v>
      </c>
      <c r="J333" s="3" t="str">
        <f aca="false">IF(A333&lt;='Results &amp; Charts'!$C$5,"In-sample","Out-of-sample")</f>
        <v>Out-of-sample</v>
      </c>
      <c r="K333" s="13" t="n">
        <f aca="false">H333-'Results &amp; Charts'!$C$9*I333</f>
        <v>-0.0054622283745584</v>
      </c>
      <c r="L333" s="13" t="n">
        <f aca="false">H333-I333</f>
        <v>-0.00495372715956124</v>
      </c>
      <c r="M333" s="15" t="n">
        <v>0.72253671326795</v>
      </c>
      <c r="N333" s="13" t="n">
        <f aca="false">H333-M333*I333</f>
        <v>-0.00531883717358576</v>
      </c>
      <c r="O333" s="16" t="n">
        <f aca="false">'Results &amp; Charts'!$C$9</f>
        <v>0.613567382430444</v>
      </c>
    </row>
    <row r="334" customFormat="false" ht="15" hidden="false" customHeight="false" outlineLevel="0" collapsed="false">
      <c r="A334" s="14" t="n">
        <f aca="false">'Roll Schedule'!A605</f>
        <v>46020</v>
      </c>
      <c r="B334" s="14" t="n">
        <f aca="false">'Roll Schedule'!A604</f>
        <v>46017</v>
      </c>
      <c r="C334" s="3" t="n">
        <f aca="false">SUMIFS('Spot Data'!$E$5:$E$651,'Spot Data'!$A$5:$A$651,B334,'Spot Data'!$H$5:$H$651,"YES")</f>
        <v>7950</v>
      </c>
      <c r="D334" s="3" t="n">
        <f aca="false">SUMIFS('Spot Data'!$E$5:$E$651,'Spot Data'!$A$5:$A$651,A334,'Spot Data'!$H$5:$H$651,"YES")</f>
        <v>7800</v>
      </c>
      <c r="E334" s="14" t="n">
        <f aca="false">'Roll Schedule'!B605</f>
        <v>46042</v>
      </c>
      <c r="F334" s="3" t="n">
        <f aca="false">SUMIFS('Futures Data'!$C$5:$C$3471,'Futures Data'!$A$5:$A$3471,B334,'Futures Data'!$B$5:$B$3471,E334)</f>
        <v>6835</v>
      </c>
      <c r="G334" s="3" t="n">
        <f aca="false">SUMIFS('Futures Data'!$C$5:$C$3471,'Futures Data'!$A$5:$A$3471,A334,'Futures Data'!$B$5:$B$3471,E334)</f>
        <v>6700</v>
      </c>
      <c r="H334" s="13" t="n">
        <f aca="false">LN(D334/C334)</f>
        <v>-0.0190481949706945</v>
      </c>
      <c r="I334" s="13" t="n">
        <f aca="false">LN(G334/F334)</f>
        <v>-0.0199489437789925</v>
      </c>
      <c r="J334" s="3" t="str">
        <f aca="false">IF(A334&lt;='Results &amp; Charts'!$C$5,"In-sample","Out-of-sample")</f>
        <v>Out-of-sample</v>
      </c>
      <c r="K334" s="13" t="n">
        <f aca="false">H334-'Results &amp; Charts'!$C$9*I334</f>
        <v>-0.00680817375396594</v>
      </c>
      <c r="L334" s="13" t="n">
        <f aca="false">H334-I334</f>
        <v>0.000900748808298033</v>
      </c>
      <c r="M334" s="15" t="n">
        <v>0.745948408585411</v>
      </c>
      <c r="N334" s="13" t="n">
        <f aca="false">H334-M334*I334</f>
        <v>-0.00416731210579517</v>
      </c>
      <c r="O334" s="16" t="n">
        <f aca="false">'Results &amp; Charts'!$C$9</f>
        <v>0.613567382430444</v>
      </c>
    </row>
    <row r="335" customFormat="false" ht="15" hidden="false" customHeight="false" outlineLevel="0" collapsed="false">
      <c r="A335" s="14" t="n">
        <f aca="false">'Roll Schedule'!A606</f>
        <v>46021</v>
      </c>
      <c r="B335" s="14" t="n">
        <f aca="false">'Roll Schedule'!A605</f>
        <v>46020</v>
      </c>
      <c r="C335" s="3" t="n">
        <f aca="false">SUMIFS('Spot Data'!$E$5:$E$651,'Spot Data'!$A$5:$A$651,B335,'Spot Data'!$H$5:$H$651,"YES")</f>
        <v>7800</v>
      </c>
      <c r="D335" s="3" t="n">
        <f aca="false">SUMIFS('Spot Data'!$E$5:$E$651,'Spot Data'!$A$5:$A$651,A335,'Spot Data'!$H$5:$H$651,"YES")</f>
        <v>7850</v>
      </c>
      <c r="E335" s="14" t="n">
        <f aca="false">'Roll Schedule'!B606</f>
        <v>46042</v>
      </c>
      <c r="F335" s="3" t="n">
        <f aca="false">SUMIFS('Futures Data'!$C$5:$C$3471,'Futures Data'!$A$5:$A$3471,B335,'Futures Data'!$B$5:$B$3471,E335)</f>
        <v>6700</v>
      </c>
      <c r="G335" s="3" t="n">
        <f aca="false">SUMIFS('Futures Data'!$C$5:$C$3471,'Futures Data'!$A$5:$A$3471,A335,'Futures Data'!$B$5:$B$3471,E335)</f>
        <v>6742</v>
      </c>
      <c r="H335" s="13" t="n">
        <f aca="false">LN(D335/C335)</f>
        <v>0.00638979809877099</v>
      </c>
      <c r="I335" s="13" t="n">
        <f aca="false">LN(G335/F335)</f>
        <v>0.00624909041494855</v>
      </c>
      <c r="J335" s="3" t="str">
        <f aca="false">IF(A335&lt;='Results &amp; Charts'!$C$5,"In-sample","Out-of-sample")</f>
        <v>Out-of-sample</v>
      </c>
      <c r="K335" s="13" t="n">
        <f aca="false">H335-'Results &amp; Charts'!$C$9*I335</f>
        <v>0.00255556005029983</v>
      </c>
      <c r="L335" s="13" t="n">
        <f aca="false">H335-I335</f>
        <v>0.000140707683822437</v>
      </c>
      <c r="M335" s="15" t="n">
        <v>0.454330173485407</v>
      </c>
      <c r="N335" s="13" t="n">
        <f aca="false">H335-M335*I335</f>
        <v>0.00355064776642142</v>
      </c>
      <c r="O335" s="16" t="n">
        <f aca="false">'Results &amp; Charts'!$C$9</f>
        <v>0.613567382430444</v>
      </c>
    </row>
    <row r="336" customFormat="false" ht="15" hidden="false" customHeight="false" outlineLevel="0" collapsed="false">
      <c r="A336" s="14" t="n">
        <f aca="false">'Roll Schedule'!A607</f>
        <v>46022</v>
      </c>
      <c r="B336" s="14" t="n">
        <f aca="false">'Roll Schedule'!A606</f>
        <v>46021</v>
      </c>
      <c r="C336" s="3" t="n">
        <f aca="false">SUMIFS('Spot Data'!$E$5:$E$651,'Spot Data'!$A$5:$A$651,B336,'Spot Data'!$H$5:$H$651,"YES")</f>
        <v>7850</v>
      </c>
      <c r="D336" s="3" t="n">
        <f aca="false">SUMIFS('Spot Data'!$E$5:$E$651,'Spot Data'!$A$5:$A$651,A336,'Spot Data'!$H$5:$H$651,"YES")</f>
        <v>7800</v>
      </c>
      <c r="E336" s="14" t="n">
        <f aca="false">'Roll Schedule'!B607</f>
        <v>46042</v>
      </c>
      <c r="F336" s="3" t="n">
        <f aca="false">SUMIFS('Futures Data'!$C$5:$C$3471,'Futures Data'!$A$5:$A$3471,B336,'Futures Data'!$B$5:$B$3471,E336)</f>
        <v>6742</v>
      </c>
      <c r="G336" s="3" t="n">
        <f aca="false">SUMIFS('Futures Data'!$C$5:$C$3471,'Futures Data'!$A$5:$A$3471,A336,'Futures Data'!$B$5:$B$3471,E336)</f>
        <v>6697</v>
      </c>
      <c r="H336" s="13" t="n">
        <f aca="false">LN(D336/C336)</f>
        <v>-0.00638979809877101</v>
      </c>
      <c r="I336" s="13" t="n">
        <f aca="false">LN(G336/F336)</f>
        <v>-0.00669695188395583</v>
      </c>
      <c r="J336" s="3" t="str">
        <f aca="false">IF(A336&lt;='Results &amp; Charts'!$C$5,"In-sample","Out-of-sample")</f>
        <v>Out-of-sample</v>
      </c>
      <c r="K336" s="13" t="n">
        <f aca="false">H336-'Results &amp; Charts'!$C$9*I336</f>
        <v>-0.0022807668610696</v>
      </c>
      <c r="L336" s="13" t="n">
        <f aca="false">H336-I336</f>
        <v>0.000307153785184817</v>
      </c>
      <c r="M336" s="15" t="n">
        <v>0.4764859066981</v>
      </c>
      <c r="N336" s="13" t="n">
        <f aca="false">H336-M336*I336</f>
        <v>-0.00319879490823077</v>
      </c>
      <c r="O336" s="16" t="n">
        <f aca="false">'Results &amp; Charts'!$C$9</f>
        <v>0.613567382430444</v>
      </c>
    </row>
    <row r="337" customFormat="false" ht="15" hidden="false" customHeight="false" outlineLevel="0" collapsed="false">
      <c r="A337" s="14" t="n">
        <f aca="false">'Roll Schedule'!A608</f>
        <v>46023</v>
      </c>
      <c r="B337" s="14" t="n">
        <f aca="false">'Roll Schedule'!A607</f>
        <v>46022</v>
      </c>
      <c r="C337" s="3" t="n">
        <f aca="false">SUMIFS('Spot Data'!$E$5:$E$651,'Spot Data'!$A$5:$A$651,B337,'Spot Data'!$H$5:$H$651,"YES")</f>
        <v>7800</v>
      </c>
      <c r="D337" s="3" t="n">
        <f aca="false">SUMIFS('Spot Data'!$E$5:$E$651,'Spot Data'!$A$5:$A$651,A337,'Spot Data'!$H$5:$H$651,"YES")</f>
        <v>7700</v>
      </c>
      <c r="E337" s="14" t="n">
        <f aca="false">'Roll Schedule'!B608</f>
        <v>46042</v>
      </c>
      <c r="F337" s="3" t="n">
        <f aca="false">SUMIFS('Futures Data'!$C$5:$C$3471,'Futures Data'!$A$5:$A$3471,B337,'Futures Data'!$B$5:$B$3471,E337)</f>
        <v>6697</v>
      </c>
      <c r="G337" s="3" t="n">
        <f aca="false">SUMIFS('Futures Data'!$C$5:$C$3471,'Futures Data'!$A$5:$A$3471,A337,'Futures Data'!$B$5:$B$3471,E337)</f>
        <v>6681</v>
      </c>
      <c r="H337" s="13" t="n">
        <f aca="false">LN(D337/C337)</f>
        <v>-0.0129034048359078</v>
      </c>
      <c r="I337" s="13" t="n">
        <f aca="false">LN(G337/F337)</f>
        <v>-0.00239198798457292</v>
      </c>
      <c r="J337" s="3" t="str">
        <f aca="false">IF(A337&lt;='Results &amp; Charts'!$C$5,"In-sample","Out-of-sample")</f>
        <v>Out-of-sample</v>
      </c>
      <c r="K337" s="13" t="n">
        <f aca="false">H337-'Results &amp; Charts'!$C$9*I337</f>
        <v>-0.0114357590294084</v>
      </c>
      <c r="L337" s="13" t="n">
        <f aca="false">H337-I337</f>
        <v>-0.0105114168513349</v>
      </c>
      <c r="M337" s="15" t="n">
        <v>0.497198684121241</v>
      </c>
      <c r="N337" s="13" t="n">
        <f aca="false">H337-M337*I337</f>
        <v>-0.0117141115575444</v>
      </c>
      <c r="O337" s="16" t="n">
        <f aca="false">'Results &amp; Charts'!$C$9</f>
        <v>0.613567382430444</v>
      </c>
    </row>
    <row r="338" customFormat="false" ht="15" hidden="false" customHeight="false" outlineLevel="0" collapsed="false">
      <c r="A338" s="14" t="n">
        <f aca="false">'Roll Schedule'!A609</f>
        <v>46024</v>
      </c>
      <c r="B338" s="14" t="n">
        <f aca="false">'Roll Schedule'!A608</f>
        <v>46023</v>
      </c>
      <c r="C338" s="3" t="n">
        <f aca="false">SUMIFS('Spot Data'!$E$5:$E$651,'Spot Data'!$A$5:$A$651,B338,'Spot Data'!$H$5:$H$651,"YES")</f>
        <v>7700</v>
      </c>
      <c r="D338" s="3" t="n">
        <f aca="false">SUMIFS('Spot Data'!$E$5:$E$651,'Spot Data'!$A$5:$A$651,A338,'Spot Data'!$H$5:$H$651,"YES")</f>
        <v>7650</v>
      </c>
      <c r="E338" s="14" t="n">
        <f aca="false">'Roll Schedule'!B609</f>
        <v>46042</v>
      </c>
      <c r="F338" s="3" t="n">
        <f aca="false">SUMIFS('Futures Data'!$C$5:$C$3471,'Futures Data'!$A$5:$A$3471,B338,'Futures Data'!$B$5:$B$3471,E338)</f>
        <v>6681</v>
      </c>
      <c r="G338" s="3" t="n">
        <f aca="false">SUMIFS('Futures Data'!$C$5:$C$3471,'Futures Data'!$A$5:$A$3471,A338,'Futures Data'!$B$5:$B$3471,E338)</f>
        <v>6680</v>
      </c>
      <c r="H338" s="13" t="n">
        <f aca="false">LN(D338/C338)</f>
        <v>-0.00651468102119364</v>
      </c>
      <c r="I338" s="13" t="n">
        <f aca="false">LN(G338/F338)</f>
        <v>-0.000149689394785956</v>
      </c>
      <c r="J338" s="3" t="str">
        <f aca="false">IF(A338&lt;='Results &amp; Charts'!$C$5,"In-sample","Out-of-sample")</f>
        <v>Out-of-sample</v>
      </c>
      <c r="K338" s="13" t="n">
        <f aca="false">H338-'Results &amp; Charts'!$C$9*I338</f>
        <v>-0.00642283649105723</v>
      </c>
      <c r="L338" s="13" t="n">
        <f aca="false">H338-I338</f>
        <v>-0.00636499162640769</v>
      </c>
      <c r="M338" s="15" t="n">
        <v>0.542688640034233</v>
      </c>
      <c r="N338" s="13" t="n">
        <f aca="false">H338-M338*I338</f>
        <v>-0.0064334462871097</v>
      </c>
      <c r="O338" s="16" t="n">
        <f aca="false">'Results &amp; Charts'!$C$9</f>
        <v>0.613567382430444</v>
      </c>
    </row>
    <row r="339" customFormat="false" ht="15" hidden="false" customHeight="false" outlineLevel="0" collapsed="false">
      <c r="A339" s="14" t="n">
        <f aca="false">'Roll Schedule'!A610</f>
        <v>46027</v>
      </c>
      <c r="B339" s="14" t="n">
        <f aca="false">'Roll Schedule'!A609</f>
        <v>46024</v>
      </c>
      <c r="C339" s="3" t="n">
        <f aca="false">SUMIFS('Spot Data'!$E$5:$E$651,'Spot Data'!$A$5:$A$651,B339,'Spot Data'!$H$5:$H$651,"YES")</f>
        <v>7650</v>
      </c>
      <c r="D339" s="3" t="n">
        <f aca="false">SUMIFS('Spot Data'!$E$5:$E$651,'Spot Data'!$A$5:$A$651,A339,'Spot Data'!$H$5:$H$651,"YES")</f>
        <v>7650</v>
      </c>
      <c r="E339" s="14" t="n">
        <f aca="false">'Roll Schedule'!B610</f>
        <v>46042</v>
      </c>
      <c r="F339" s="3" t="n">
        <f aca="false">SUMIFS('Futures Data'!$C$5:$C$3471,'Futures Data'!$A$5:$A$3471,B339,'Futures Data'!$B$5:$B$3471,E339)</f>
        <v>6680</v>
      </c>
      <c r="G339" s="3" t="n">
        <f aca="false">SUMIFS('Futures Data'!$C$5:$C$3471,'Futures Data'!$A$5:$A$3471,A339,'Futures Data'!$B$5:$B$3471,E339)</f>
        <v>6642</v>
      </c>
      <c r="H339" s="13" t="n">
        <f aca="false">LN(D339/C339)</f>
        <v>0</v>
      </c>
      <c r="I339" s="13" t="n">
        <f aca="false">LN(G339/F339)</f>
        <v>-0.00570486459399952</v>
      </c>
      <c r="J339" s="3" t="str">
        <f aca="false">IF(A339&lt;='Results &amp; Charts'!$C$5,"In-sample","Out-of-sample")</f>
        <v>Out-of-sample</v>
      </c>
      <c r="K339" s="13" t="n">
        <f aca="false">H339-'Results &amp; Charts'!$C$9*I339</f>
        <v>0.0035003188360604</v>
      </c>
      <c r="L339" s="13" t="n">
        <f aca="false">H339-I339</f>
        <v>0.00570486459399952</v>
      </c>
      <c r="M339" s="15" t="n">
        <v>0.583404081010947</v>
      </c>
      <c r="N339" s="13" t="n">
        <f aca="false">H339-M339*I339</f>
        <v>0.00332824128575418</v>
      </c>
      <c r="O339" s="16" t="n">
        <f aca="false">'Results &amp; Charts'!$C$9</f>
        <v>0.613567382430444</v>
      </c>
    </row>
    <row r="340" customFormat="false" ht="15" hidden="false" customHeight="false" outlineLevel="0" collapsed="false">
      <c r="A340" s="14" t="n">
        <f aca="false">'Roll Schedule'!A611</f>
        <v>46028</v>
      </c>
      <c r="B340" s="14" t="n">
        <f aca="false">'Roll Schedule'!A610</f>
        <v>46027</v>
      </c>
      <c r="C340" s="3" t="n">
        <f aca="false">SUMIFS('Spot Data'!$E$5:$E$651,'Spot Data'!$A$5:$A$651,B340,'Spot Data'!$H$5:$H$651,"YES")</f>
        <v>7650</v>
      </c>
      <c r="D340" s="3" t="n">
        <f aca="false">SUMIFS('Spot Data'!$E$5:$E$651,'Spot Data'!$A$5:$A$651,A340,'Spot Data'!$H$5:$H$651,"YES")</f>
        <v>7650</v>
      </c>
      <c r="E340" s="14" t="n">
        <f aca="false">'Roll Schedule'!B611</f>
        <v>46042</v>
      </c>
      <c r="F340" s="3" t="n">
        <f aca="false">SUMIFS('Futures Data'!$C$5:$C$3471,'Futures Data'!$A$5:$A$3471,B340,'Futures Data'!$B$5:$B$3471,E340)</f>
        <v>6642</v>
      </c>
      <c r="G340" s="3" t="n">
        <f aca="false">SUMIFS('Futures Data'!$C$5:$C$3471,'Futures Data'!$A$5:$A$3471,A340,'Futures Data'!$B$5:$B$3471,E340)</f>
        <v>6582</v>
      </c>
      <c r="H340" s="13" t="n">
        <f aca="false">LN(D340/C340)</f>
        <v>0</v>
      </c>
      <c r="I340" s="13" t="n">
        <f aca="false">LN(G340/F340)</f>
        <v>-0.00907447243340661</v>
      </c>
      <c r="J340" s="3" t="str">
        <f aca="false">IF(A340&lt;='Results &amp; Charts'!$C$5,"In-sample","Out-of-sample")</f>
        <v>Out-of-sample</v>
      </c>
      <c r="K340" s="13" t="n">
        <f aca="false">H340-'Results &amp; Charts'!$C$9*I340</f>
        <v>0.00556780029790252</v>
      </c>
      <c r="L340" s="13" t="n">
        <f aca="false">H340-I340</f>
        <v>0.00907447243340661</v>
      </c>
      <c r="M340" s="15" t="n">
        <v>0.588797269565709</v>
      </c>
      <c r="N340" s="13" t="n">
        <f aca="false">H340-M340*I340</f>
        <v>0.00534302459153911</v>
      </c>
      <c r="O340" s="16" t="n">
        <f aca="false">'Results &amp; Charts'!$C$9</f>
        <v>0.613567382430444</v>
      </c>
    </row>
    <row r="341" customFormat="false" ht="15" hidden="false" customHeight="false" outlineLevel="0" collapsed="false">
      <c r="A341" s="14" t="n">
        <f aca="false">'Roll Schedule'!A612</f>
        <v>46029</v>
      </c>
      <c r="B341" s="14" t="n">
        <f aca="false">'Roll Schedule'!A611</f>
        <v>46028</v>
      </c>
      <c r="C341" s="3" t="n">
        <f aca="false">SUMIFS('Spot Data'!$E$5:$E$651,'Spot Data'!$A$5:$A$651,B341,'Spot Data'!$H$5:$H$651,"YES")</f>
        <v>7650</v>
      </c>
      <c r="D341" s="3" t="n">
        <f aca="false">SUMIFS('Spot Data'!$E$5:$E$651,'Spot Data'!$A$5:$A$651,A341,'Spot Data'!$H$5:$H$651,"YES")</f>
        <v>7650</v>
      </c>
      <c r="E341" s="14" t="n">
        <f aca="false">'Roll Schedule'!B612</f>
        <v>46042</v>
      </c>
      <c r="F341" s="3" t="n">
        <f aca="false">SUMIFS('Futures Data'!$C$5:$C$3471,'Futures Data'!$A$5:$A$3471,B341,'Futures Data'!$B$5:$B$3471,E341)</f>
        <v>6582</v>
      </c>
      <c r="G341" s="3" t="n">
        <f aca="false">SUMIFS('Futures Data'!$C$5:$C$3471,'Futures Data'!$A$5:$A$3471,A341,'Futures Data'!$B$5:$B$3471,E341)</f>
        <v>6638</v>
      </c>
      <c r="H341" s="13" t="n">
        <f aca="false">LN(D341/C341)</f>
        <v>0</v>
      </c>
      <c r="I341" s="13" t="n">
        <f aca="false">LN(G341/F341)</f>
        <v>0.00847206277663457</v>
      </c>
      <c r="J341" s="3" t="str">
        <f aca="false">IF(A341&lt;='Results &amp; Charts'!$C$5,"In-sample","Out-of-sample")</f>
        <v>Out-of-sample</v>
      </c>
      <c r="K341" s="13" t="n">
        <f aca="false">H341-'Results &amp; Charts'!$C$9*I341</f>
        <v>-0.00519818138164607</v>
      </c>
      <c r="L341" s="13" t="n">
        <f aca="false">H341-I341</f>
        <v>-0.00847206277663457</v>
      </c>
      <c r="M341" s="15" t="n">
        <v>0.541556563026831</v>
      </c>
      <c r="N341" s="13" t="n">
        <f aca="false">H341-M341*I341</f>
        <v>-0.00458810119906177</v>
      </c>
      <c r="O341" s="16" t="n">
        <f aca="false">'Results &amp; Charts'!$C$9</f>
        <v>0.613567382430444</v>
      </c>
    </row>
    <row r="342" customFormat="false" ht="15" hidden="false" customHeight="false" outlineLevel="0" collapsed="false">
      <c r="A342" s="14" t="n">
        <f aca="false">'Roll Schedule'!A613</f>
        <v>46030</v>
      </c>
      <c r="B342" s="14" t="n">
        <f aca="false">'Roll Schedule'!A612</f>
        <v>46029</v>
      </c>
      <c r="C342" s="3" t="n">
        <f aca="false">SUMIFS('Spot Data'!$E$5:$E$651,'Spot Data'!$A$5:$A$651,B342,'Spot Data'!$H$5:$H$651,"YES")</f>
        <v>7650</v>
      </c>
      <c r="D342" s="3" t="n">
        <f aca="false">SUMIFS('Spot Data'!$E$5:$E$651,'Spot Data'!$A$5:$A$651,A342,'Spot Data'!$H$5:$H$651,"YES")</f>
        <v>7500</v>
      </c>
      <c r="E342" s="14" t="n">
        <f aca="false">'Roll Schedule'!B613</f>
        <v>46042</v>
      </c>
      <c r="F342" s="3" t="n">
        <f aca="false">SUMIFS('Futures Data'!$C$5:$C$3471,'Futures Data'!$A$5:$A$3471,B342,'Futures Data'!$B$5:$B$3471,E342)</f>
        <v>6638</v>
      </c>
      <c r="G342" s="3" t="n">
        <f aca="false">SUMIFS('Futures Data'!$C$5:$C$3471,'Futures Data'!$A$5:$A$3471,A342,'Futures Data'!$B$5:$B$3471,E342)</f>
        <v>6618</v>
      </c>
      <c r="H342" s="13" t="n">
        <f aca="false">LN(D342/C342)</f>
        <v>-0.0198026272961798</v>
      </c>
      <c r="I342" s="13" t="n">
        <f aca="false">LN(G342/F342)</f>
        <v>-0.00301750379836245</v>
      </c>
      <c r="J342" s="3" t="str">
        <f aca="false">IF(A342&lt;='Results &amp; Charts'!$C$5,"In-sample","Out-of-sample")</f>
        <v>Out-of-sample</v>
      </c>
      <c r="K342" s="13" t="n">
        <f aca="false">H342-'Results &amp; Charts'!$C$9*I342</f>
        <v>-0.0179511853891446</v>
      </c>
      <c r="L342" s="13" t="n">
        <f aca="false">H342-I342</f>
        <v>-0.0167851234978173</v>
      </c>
      <c r="M342" s="15" t="n">
        <v>0.504949932748912</v>
      </c>
      <c r="N342" s="13" t="n">
        <f aca="false">H342-M342*I342</f>
        <v>-0.0182789389561271</v>
      </c>
      <c r="O342" s="16" t="n">
        <f aca="false">'Results &amp; Charts'!$C$9</f>
        <v>0.613567382430444</v>
      </c>
    </row>
    <row r="343" customFormat="false" ht="15" hidden="false" customHeight="false" outlineLevel="0" collapsed="false">
      <c r="A343" s="14" t="n">
        <f aca="false">'Roll Schedule'!A614</f>
        <v>46031</v>
      </c>
      <c r="B343" s="14" t="n">
        <f aca="false">'Roll Schedule'!A613</f>
        <v>46030</v>
      </c>
      <c r="C343" s="3" t="n">
        <f aca="false">SUMIFS('Spot Data'!$E$5:$E$651,'Spot Data'!$A$5:$A$651,B343,'Spot Data'!$H$5:$H$651,"YES")</f>
        <v>7500</v>
      </c>
      <c r="D343" s="3" t="n">
        <f aca="false">SUMIFS('Spot Data'!$E$5:$E$651,'Spot Data'!$A$5:$A$651,A343,'Spot Data'!$H$5:$H$651,"YES")</f>
        <v>7550</v>
      </c>
      <c r="E343" s="14" t="n">
        <f aca="false">'Roll Schedule'!B614</f>
        <v>46073</v>
      </c>
      <c r="F343" s="3" t="n">
        <f aca="false">SUMIFS('Futures Data'!$C$5:$C$3471,'Futures Data'!$A$5:$A$3471,B343,'Futures Data'!$B$5:$B$3471,E343)</f>
        <v>6667</v>
      </c>
      <c r="G343" s="3" t="n">
        <f aca="false">SUMIFS('Futures Data'!$C$5:$C$3471,'Futures Data'!$A$5:$A$3471,A343,'Futures Data'!$B$5:$B$3471,E343)</f>
        <v>6666</v>
      </c>
      <c r="H343" s="13" t="n">
        <f aca="false">LN(D343/C343)</f>
        <v>0.00664454271866851</v>
      </c>
      <c r="I343" s="13" t="n">
        <f aca="false">LN(G343/F343)</f>
        <v>-0.000150003750374994</v>
      </c>
      <c r="J343" s="3" t="str">
        <f aca="false">IF(A343&lt;='Results &amp; Charts'!$C$5,"In-sample","Out-of-sample")</f>
        <v>Out-of-sample</v>
      </c>
      <c r="K343" s="13" t="n">
        <f aca="false">H343-'Results &amp; Charts'!$C$9*I343</f>
        <v>0.00673658012714085</v>
      </c>
      <c r="L343" s="13" t="n">
        <f aca="false">H343-I343</f>
        <v>0.0067945464690435</v>
      </c>
      <c r="M343" s="15" t="n">
        <v>0.553064888259209</v>
      </c>
      <c r="N343" s="13" t="n">
        <f aca="false">H343-M343*I343</f>
        <v>0.00672750452610812</v>
      </c>
      <c r="O343" s="16" t="n">
        <f aca="false">'Results &amp; Charts'!$C$9</f>
        <v>0.613567382430444</v>
      </c>
    </row>
    <row r="344" customFormat="false" ht="15" hidden="false" customHeight="false" outlineLevel="0" collapsed="false">
      <c r="A344" s="14" t="n">
        <f aca="false">'Roll Schedule'!A615</f>
        <v>46034</v>
      </c>
      <c r="B344" s="14" t="n">
        <f aca="false">'Roll Schedule'!A614</f>
        <v>46031</v>
      </c>
      <c r="C344" s="3" t="n">
        <f aca="false">SUMIFS('Spot Data'!$E$5:$E$651,'Spot Data'!$A$5:$A$651,B344,'Spot Data'!$H$5:$H$651,"YES")</f>
        <v>7550</v>
      </c>
      <c r="D344" s="3" t="n">
        <f aca="false">SUMIFS('Spot Data'!$E$5:$E$651,'Spot Data'!$A$5:$A$651,A344,'Spot Data'!$H$5:$H$651,"YES")</f>
        <v>7450</v>
      </c>
      <c r="E344" s="14" t="n">
        <f aca="false">'Roll Schedule'!B615</f>
        <v>46073</v>
      </c>
      <c r="F344" s="3" t="n">
        <f aca="false">SUMIFS('Futures Data'!$C$5:$C$3471,'Futures Data'!$A$5:$A$3471,B344,'Futures Data'!$B$5:$B$3471,E344)</f>
        <v>6666</v>
      </c>
      <c r="G344" s="3" t="n">
        <f aca="false">SUMIFS('Futures Data'!$C$5:$C$3471,'Futures Data'!$A$5:$A$3471,A344,'Futures Data'!$B$5:$B$3471,E344)</f>
        <v>6628</v>
      </c>
      <c r="H344" s="13" t="n">
        <f aca="false">LN(D344/C344)</f>
        <v>-0.0133335308694651</v>
      </c>
      <c r="I344" s="13" t="n">
        <f aca="false">LN(G344/F344)</f>
        <v>-0.00571688032123151</v>
      </c>
      <c r="J344" s="3" t="str">
        <f aca="false">IF(A344&lt;='Results &amp; Charts'!$C$5,"In-sample","Out-of-sample")</f>
        <v>Out-of-sample</v>
      </c>
      <c r="K344" s="13" t="n">
        <f aca="false">H344-'Results &amp; Charts'!$C$9*I344</f>
        <v>-0.00982583957509901</v>
      </c>
      <c r="L344" s="13" t="n">
        <f aca="false">H344-I344</f>
        <v>-0.00761665054823363</v>
      </c>
      <c r="M344" s="15" t="n">
        <v>0.591438266597344</v>
      </c>
      <c r="N344" s="13" t="n">
        <f aca="false">H344-M344*I344</f>
        <v>-0.00995234908193151</v>
      </c>
      <c r="O344" s="16" t="n">
        <f aca="false">'Results &amp; Charts'!$C$9</f>
        <v>0.613567382430444</v>
      </c>
    </row>
    <row r="345" customFormat="false" ht="15" hidden="false" customHeight="false" outlineLevel="0" collapsed="false">
      <c r="A345" s="14" t="n">
        <f aca="false">'Roll Schedule'!A616</f>
        <v>46035</v>
      </c>
      <c r="B345" s="14" t="n">
        <f aca="false">'Roll Schedule'!A615</f>
        <v>46034</v>
      </c>
      <c r="C345" s="3" t="n">
        <f aca="false">SUMIFS('Spot Data'!$E$5:$E$651,'Spot Data'!$A$5:$A$651,B345,'Spot Data'!$H$5:$H$651,"YES")</f>
        <v>7450</v>
      </c>
      <c r="D345" s="3" t="n">
        <f aca="false">SUMIFS('Spot Data'!$E$5:$E$651,'Spot Data'!$A$5:$A$651,A345,'Spot Data'!$H$5:$H$651,"YES")</f>
        <v>7450</v>
      </c>
      <c r="E345" s="14" t="n">
        <f aca="false">'Roll Schedule'!B616</f>
        <v>46073</v>
      </c>
      <c r="F345" s="3" t="n">
        <f aca="false">SUMIFS('Futures Data'!$C$5:$C$3471,'Futures Data'!$A$5:$A$3471,B345,'Futures Data'!$B$5:$B$3471,E345)</f>
        <v>6628</v>
      </c>
      <c r="G345" s="3" t="n">
        <f aca="false">SUMIFS('Futures Data'!$C$5:$C$3471,'Futures Data'!$A$5:$A$3471,A345,'Futures Data'!$B$5:$B$3471,E345)</f>
        <v>6557</v>
      </c>
      <c r="H345" s="13" t="n">
        <f aca="false">LN(D345/C345)</f>
        <v>0</v>
      </c>
      <c r="I345" s="13" t="n">
        <f aca="false">LN(G345/F345)</f>
        <v>-0.0107699182828342</v>
      </c>
      <c r="J345" s="3" t="str">
        <f aca="false">IF(A345&lt;='Results &amp; Charts'!$C$5,"In-sample","Out-of-sample")</f>
        <v>Out-of-sample</v>
      </c>
      <c r="K345" s="13" t="n">
        <f aca="false">H345-'Results &amp; Charts'!$C$9*I345</f>
        <v>0.00660807056978834</v>
      </c>
      <c r="L345" s="13" t="n">
        <f aca="false">H345-I345</f>
        <v>0.0107699182828342</v>
      </c>
      <c r="M345" s="15" t="n">
        <v>0.615643851633915</v>
      </c>
      <c r="N345" s="13" t="n">
        <f aca="false">H345-M345*I345</f>
        <v>0.00663043397342654</v>
      </c>
      <c r="O345" s="16" t="n">
        <f aca="false">'Results &amp; Charts'!$C$9</f>
        <v>0.613567382430444</v>
      </c>
    </row>
    <row r="346" customFormat="false" ht="15" hidden="false" customHeight="false" outlineLevel="0" collapsed="false">
      <c r="A346" s="14" t="n">
        <f aca="false">'Roll Schedule'!A619</f>
        <v>46041</v>
      </c>
      <c r="B346" s="14" t="n">
        <f aca="false">'Roll Schedule'!A618</f>
        <v>46038</v>
      </c>
      <c r="C346" s="3" t="n">
        <f aca="false">SUMIFS('Spot Data'!$E$5:$E$651,'Spot Data'!$A$5:$A$651,B346,'Spot Data'!$H$5:$H$651,"YES")</f>
        <v>7350</v>
      </c>
      <c r="D346" s="3" t="n">
        <f aca="false">SUMIFS('Spot Data'!$E$5:$E$651,'Spot Data'!$A$5:$A$651,A346,'Spot Data'!$H$5:$H$651,"YES")</f>
        <v>7150</v>
      </c>
      <c r="E346" s="14" t="n">
        <f aca="false">'Roll Schedule'!B619</f>
        <v>46073</v>
      </c>
      <c r="F346" s="3" t="n">
        <f aca="false">SUMIFS('Futures Data'!$C$5:$C$3471,'Futures Data'!$A$5:$A$3471,B346,'Futures Data'!$B$5:$B$3471,E346)</f>
        <v>6499</v>
      </c>
      <c r="G346" s="3" t="n">
        <f aca="false">SUMIFS('Futures Data'!$C$5:$C$3471,'Futures Data'!$A$5:$A$3471,A346,'Futures Data'!$B$5:$B$3471,E346)</f>
        <v>6446</v>
      </c>
      <c r="H346" s="13" t="n">
        <f aca="false">LN(D346/C346)</f>
        <v>-0.0275879565188291</v>
      </c>
      <c r="I346" s="13" t="n">
        <f aca="false">LN(G346/F346)</f>
        <v>-0.00818853551896575</v>
      </c>
      <c r="J346" s="3" t="str">
        <f aca="false">IF(A346&lt;='Results &amp; Charts'!$C$5,"In-sample","Out-of-sample")</f>
        <v>Out-of-sample</v>
      </c>
      <c r="K346" s="13" t="n">
        <f aca="false">H346-'Results &amp; Charts'!$C$9*I346</f>
        <v>-0.0225637382145185</v>
      </c>
      <c r="L346" s="13" t="n">
        <f aca="false">H346-I346</f>
        <v>-0.0193994209998633</v>
      </c>
      <c r="M346" s="15" t="n">
        <v>0.524328925371671</v>
      </c>
      <c r="N346" s="13" t="n">
        <f aca="false">H346-M346*I346</f>
        <v>-0.023294470489802</v>
      </c>
      <c r="O346" s="16" t="n">
        <f aca="false">'Results &amp; Charts'!$C$9</f>
        <v>0.613567382430444</v>
      </c>
    </row>
    <row r="347" customFormat="false" ht="15" hidden="false" customHeight="false" outlineLevel="0" collapsed="false">
      <c r="A347" s="14" t="n">
        <f aca="false">'Roll Schedule'!A620</f>
        <v>46042</v>
      </c>
      <c r="B347" s="14" t="n">
        <f aca="false">'Roll Schedule'!A619</f>
        <v>46041</v>
      </c>
      <c r="C347" s="3" t="n">
        <f aca="false">SUMIFS('Spot Data'!$E$5:$E$651,'Spot Data'!$A$5:$A$651,B347,'Spot Data'!$H$5:$H$651,"YES")</f>
        <v>7150</v>
      </c>
      <c r="D347" s="3" t="n">
        <f aca="false">SUMIFS('Spot Data'!$E$5:$E$651,'Spot Data'!$A$5:$A$651,A347,'Spot Data'!$H$5:$H$651,"YES")</f>
        <v>7150</v>
      </c>
      <c r="E347" s="14" t="n">
        <f aca="false">'Roll Schedule'!B620</f>
        <v>46073</v>
      </c>
      <c r="F347" s="3" t="n">
        <f aca="false">SUMIFS('Futures Data'!$C$5:$C$3471,'Futures Data'!$A$5:$A$3471,B347,'Futures Data'!$B$5:$B$3471,E347)</f>
        <v>6446</v>
      </c>
      <c r="G347" s="3" t="n">
        <f aca="false">SUMIFS('Futures Data'!$C$5:$C$3471,'Futures Data'!$A$5:$A$3471,A347,'Futures Data'!$B$5:$B$3471,E347)</f>
        <v>6461</v>
      </c>
      <c r="H347" s="13" t="n">
        <f aca="false">LN(D347/C347)</f>
        <v>0</v>
      </c>
      <c r="I347" s="13" t="n">
        <f aca="false">LN(G347/F347)</f>
        <v>0.00232432118278239</v>
      </c>
      <c r="J347" s="3" t="str">
        <f aca="false">IF(A347&lt;='Results &amp; Charts'!$C$5,"In-sample","Out-of-sample")</f>
        <v>Out-of-sample</v>
      </c>
      <c r="K347" s="13" t="n">
        <f aca="false">H347-'Results &amp; Charts'!$C$9*I347</f>
        <v>-0.00142612766404742</v>
      </c>
      <c r="L347" s="13" t="n">
        <f aca="false">H347-I347</f>
        <v>-0.00232432118278239</v>
      </c>
      <c r="M347" s="15" t="n">
        <v>0.568301896026153</v>
      </c>
      <c r="N347" s="13" t="n">
        <f aca="false">H347-M347*I347</f>
        <v>-0.00132091613514898</v>
      </c>
      <c r="O347" s="16" t="n">
        <f aca="false">'Results &amp; Charts'!$C$9</f>
        <v>0.613567382430444</v>
      </c>
    </row>
    <row r="348" customFormat="false" ht="15" hidden="false" customHeight="false" outlineLevel="0" collapsed="false">
      <c r="A348" s="14" t="n">
        <f aca="false">'Roll Schedule'!A621</f>
        <v>46043</v>
      </c>
      <c r="B348" s="14" t="n">
        <f aca="false">'Roll Schedule'!A620</f>
        <v>46042</v>
      </c>
      <c r="C348" s="3" t="n">
        <f aca="false">SUMIFS('Spot Data'!$E$5:$E$651,'Spot Data'!$A$5:$A$651,B348,'Spot Data'!$H$5:$H$651,"YES")</f>
        <v>7150</v>
      </c>
      <c r="D348" s="3" t="n">
        <f aca="false">SUMIFS('Spot Data'!$E$5:$E$651,'Spot Data'!$A$5:$A$651,A348,'Spot Data'!$H$5:$H$651,"YES")</f>
        <v>7150</v>
      </c>
      <c r="E348" s="14" t="n">
        <f aca="false">'Roll Schedule'!B621</f>
        <v>46073</v>
      </c>
      <c r="F348" s="3" t="n">
        <f aca="false">SUMIFS('Futures Data'!$C$5:$C$3471,'Futures Data'!$A$5:$A$3471,B348,'Futures Data'!$B$5:$B$3471,E348)</f>
        <v>6461</v>
      </c>
      <c r="G348" s="3" t="n">
        <f aca="false">SUMIFS('Futures Data'!$C$5:$C$3471,'Futures Data'!$A$5:$A$3471,A348,'Futures Data'!$B$5:$B$3471,E348)</f>
        <v>6534</v>
      </c>
      <c r="H348" s="13" t="n">
        <f aca="false">LN(D348/C348)</f>
        <v>0</v>
      </c>
      <c r="I348" s="13" t="n">
        <f aca="false">LN(G348/F348)</f>
        <v>0.01123520860285</v>
      </c>
      <c r="J348" s="3" t="str">
        <f aca="false">IF(A348&lt;='Results &amp; Charts'!$C$5,"In-sample","Out-of-sample")</f>
        <v>Out-of-sample</v>
      </c>
      <c r="K348" s="13" t="n">
        <f aca="false">H348-'Results &amp; Charts'!$C$9*I348</f>
        <v>-0.00689355753351067</v>
      </c>
      <c r="L348" s="13" t="n">
        <f aca="false">H348-I348</f>
        <v>-0.01123520860285</v>
      </c>
      <c r="M348" s="15" t="n">
        <v>0.600959181695176</v>
      </c>
      <c r="N348" s="13" t="n">
        <f aca="false">H348-M348*I348</f>
        <v>-0.00675190176814332</v>
      </c>
      <c r="O348" s="16" t="n">
        <f aca="false">'Results &amp; Charts'!$C$9</f>
        <v>0.613567382430444</v>
      </c>
    </row>
    <row r="349" customFormat="false" ht="15" hidden="false" customHeight="false" outlineLevel="0" collapsed="false">
      <c r="A349" s="14" t="n">
        <f aca="false">'Roll Schedule'!A622</f>
        <v>46044</v>
      </c>
      <c r="B349" s="14" t="n">
        <f aca="false">'Roll Schedule'!A621</f>
        <v>46043</v>
      </c>
      <c r="C349" s="3" t="n">
        <f aca="false">SUMIFS('Spot Data'!$E$5:$E$651,'Spot Data'!$A$5:$A$651,B349,'Spot Data'!$H$5:$H$651,"YES")</f>
        <v>7150</v>
      </c>
      <c r="D349" s="3" t="n">
        <f aca="false">SUMIFS('Spot Data'!$E$5:$E$651,'Spot Data'!$A$5:$A$651,A349,'Spot Data'!$H$5:$H$651,"YES")</f>
        <v>7100</v>
      </c>
      <c r="E349" s="14" t="n">
        <f aca="false">'Roll Schedule'!B622</f>
        <v>46073</v>
      </c>
      <c r="F349" s="3" t="n">
        <f aca="false">SUMIFS('Futures Data'!$C$5:$C$3471,'Futures Data'!$A$5:$A$3471,B349,'Futures Data'!$B$5:$B$3471,E349)</f>
        <v>6534</v>
      </c>
      <c r="G349" s="3" t="n">
        <f aca="false">SUMIFS('Futures Data'!$C$5:$C$3471,'Futures Data'!$A$5:$A$3471,A349,'Futures Data'!$B$5:$B$3471,E349)</f>
        <v>6493</v>
      </c>
      <c r="H349" s="13" t="n">
        <f aca="false">LN(D349/C349)</f>
        <v>-0.00701757265864654</v>
      </c>
      <c r="I349" s="13" t="n">
        <f aca="false">LN(G349/F349)</f>
        <v>-0.00629463965252867</v>
      </c>
      <c r="J349" s="3" t="str">
        <f aca="false">IF(A349&lt;='Results &amp; Charts'!$C$5,"In-sample","Out-of-sample")</f>
        <v>Out-of-sample</v>
      </c>
      <c r="K349" s="13" t="n">
        <f aca="false">H349-'Results &amp; Charts'!$C$9*I349</f>
        <v>-0.00315538708370164</v>
      </c>
      <c r="L349" s="13" t="n">
        <f aca="false">H349-I349</f>
        <v>-0.00072293300611787</v>
      </c>
      <c r="M349" s="15" t="n">
        <v>0.503014866461542</v>
      </c>
      <c r="N349" s="13" t="n">
        <f aca="false">H349-M349*I349</f>
        <v>-0.0038512753344063</v>
      </c>
      <c r="O349" s="16" t="n">
        <f aca="false">'Results &amp; Charts'!$C$9</f>
        <v>0.613567382430444</v>
      </c>
    </row>
    <row r="350" customFormat="false" ht="15" hidden="false" customHeight="false" outlineLevel="0" collapsed="false">
      <c r="A350" s="14" t="n">
        <f aca="false">'Roll Schedule'!A623</f>
        <v>46045</v>
      </c>
      <c r="B350" s="14" t="n">
        <f aca="false">'Roll Schedule'!A622</f>
        <v>46044</v>
      </c>
      <c r="C350" s="3" t="n">
        <f aca="false">SUMIFS('Spot Data'!$E$5:$E$651,'Spot Data'!$A$5:$A$651,B350,'Spot Data'!$H$5:$H$651,"YES")</f>
        <v>7100</v>
      </c>
      <c r="D350" s="3" t="n">
        <f aca="false">SUMIFS('Spot Data'!$E$5:$E$651,'Spot Data'!$A$5:$A$651,A350,'Spot Data'!$H$5:$H$651,"YES")</f>
        <v>7200</v>
      </c>
      <c r="E350" s="14" t="n">
        <f aca="false">'Roll Schedule'!B623</f>
        <v>46073</v>
      </c>
      <c r="F350" s="3" t="n">
        <f aca="false">SUMIFS('Futures Data'!$C$5:$C$3471,'Futures Data'!$A$5:$A$3471,B350,'Futures Data'!$B$5:$B$3471,E350)</f>
        <v>6493</v>
      </c>
      <c r="G350" s="3" t="n">
        <f aca="false">SUMIFS('Futures Data'!$C$5:$C$3471,'Futures Data'!$A$5:$A$3471,A350,'Futures Data'!$B$5:$B$3471,E350)</f>
        <v>6474</v>
      </c>
      <c r="H350" s="13" t="n">
        <f aca="false">LN(D350/C350)</f>
        <v>0.0139862419747399</v>
      </c>
      <c r="I350" s="13" t="n">
        <f aca="false">LN(G350/F350)</f>
        <v>-0.00293051802229705</v>
      </c>
      <c r="J350" s="3" t="str">
        <f aca="false">IF(A350&lt;='Results &amp; Charts'!$C$5,"In-sample","Out-of-sample")</f>
        <v>Out-of-sample</v>
      </c>
      <c r="K350" s="13" t="n">
        <f aca="false">H350-'Results &amp; Charts'!$C$9*I350</f>
        <v>0.0157843122468459</v>
      </c>
      <c r="L350" s="13" t="n">
        <f aca="false">H350-I350</f>
        <v>0.0169167599970369</v>
      </c>
      <c r="M350" s="15" t="n">
        <v>0.522733712374604</v>
      </c>
      <c r="N350" s="13" t="n">
        <f aca="false">H350-M350*I350</f>
        <v>0.0155181225397159</v>
      </c>
      <c r="O350" s="16" t="n">
        <f aca="false">'Results &amp; Charts'!$C$9</f>
        <v>0.613567382430444</v>
      </c>
    </row>
    <row r="351" customFormat="false" ht="15" hidden="false" customHeight="false" outlineLevel="0" collapsed="false">
      <c r="A351" s="14" t="n">
        <f aca="false">'Roll Schedule'!A624</f>
        <v>46049</v>
      </c>
      <c r="B351" s="14" t="n">
        <f aca="false">'Roll Schedule'!A623</f>
        <v>46045</v>
      </c>
      <c r="C351" s="3" t="n">
        <f aca="false">SUMIFS('Spot Data'!$E$5:$E$651,'Spot Data'!$A$5:$A$651,B351,'Spot Data'!$H$5:$H$651,"YES")</f>
        <v>7200</v>
      </c>
      <c r="D351" s="3" t="n">
        <f aca="false">SUMIFS('Spot Data'!$E$5:$E$651,'Spot Data'!$A$5:$A$651,A351,'Spot Data'!$H$5:$H$651,"YES")</f>
        <v>7100</v>
      </c>
      <c r="E351" s="14" t="n">
        <f aca="false">'Roll Schedule'!B624</f>
        <v>46073</v>
      </c>
      <c r="F351" s="3" t="n">
        <f aca="false">SUMIFS('Futures Data'!$C$5:$C$3471,'Futures Data'!$A$5:$A$3471,B351,'Futures Data'!$B$5:$B$3471,E351)</f>
        <v>6474</v>
      </c>
      <c r="G351" s="3" t="n">
        <f aca="false">SUMIFS('Futures Data'!$C$5:$C$3471,'Futures Data'!$A$5:$A$3471,A351,'Futures Data'!$B$5:$B$3471,E351)</f>
        <v>6381</v>
      </c>
      <c r="H351" s="13" t="n">
        <f aca="false">LN(D351/C351)</f>
        <v>-0.0139862419747398</v>
      </c>
      <c r="I351" s="13" t="n">
        <f aca="false">LN(G351/F351)</f>
        <v>-0.0144693306178428</v>
      </c>
      <c r="J351" s="3" t="str">
        <f aca="false">IF(A351&lt;='Results &amp; Charts'!$C$5,"In-sample","Out-of-sample")</f>
        <v>Out-of-sample</v>
      </c>
      <c r="K351" s="13" t="n">
        <f aca="false">H351-'Results &amp; Charts'!$C$9*I351</f>
        <v>-0.00510833266202936</v>
      </c>
      <c r="L351" s="13" t="n">
        <f aca="false">H351-I351</f>
        <v>0.000483088643102947</v>
      </c>
      <c r="M351" s="15" t="n">
        <v>0.543792276611407</v>
      </c>
      <c r="N351" s="13" t="n">
        <f aca="false">H351-M351*I351</f>
        <v>-0.00611793173701998</v>
      </c>
      <c r="O351" s="16" t="n">
        <f aca="false">'Results &amp; Charts'!$C$9</f>
        <v>0.613567382430444</v>
      </c>
    </row>
    <row r="352" customFormat="false" ht="15" hidden="false" customHeight="false" outlineLevel="0" collapsed="false">
      <c r="A352" s="14" t="n">
        <f aca="false">'Roll Schedule'!A625</f>
        <v>46050</v>
      </c>
      <c r="B352" s="14" t="n">
        <f aca="false">'Roll Schedule'!A624</f>
        <v>46049</v>
      </c>
      <c r="C352" s="3" t="n">
        <f aca="false">SUMIFS('Spot Data'!$E$5:$E$651,'Spot Data'!$A$5:$A$651,B352,'Spot Data'!$H$5:$H$651,"YES")</f>
        <v>7100</v>
      </c>
      <c r="D352" s="3" t="n">
        <f aca="false">SUMIFS('Spot Data'!$E$5:$E$651,'Spot Data'!$A$5:$A$651,A352,'Spot Data'!$H$5:$H$651,"YES")</f>
        <v>7100</v>
      </c>
      <c r="E352" s="14" t="n">
        <f aca="false">'Roll Schedule'!B625</f>
        <v>46073</v>
      </c>
      <c r="F352" s="3" t="n">
        <f aca="false">SUMIFS('Futures Data'!$C$5:$C$3471,'Futures Data'!$A$5:$A$3471,B352,'Futures Data'!$B$5:$B$3471,E352)</f>
        <v>6381</v>
      </c>
      <c r="G352" s="3" t="n">
        <f aca="false">SUMIFS('Futures Data'!$C$5:$C$3471,'Futures Data'!$A$5:$A$3471,A352,'Futures Data'!$B$5:$B$3471,E352)</f>
        <v>6385</v>
      </c>
      <c r="H352" s="13" t="n">
        <f aca="false">LN(D352/C352)</f>
        <v>0</v>
      </c>
      <c r="I352" s="13" t="n">
        <f aca="false">LN(G352/F352)</f>
        <v>0.000626664598292783</v>
      </c>
      <c r="J352" s="3" t="str">
        <f aca="false">IF(A352&lt;='Results &amp; Charts'!$C$5,"In-sample","Out-of-sample")</f>
        <v>Out-of-sample</v>
      </c>
      <c r="K352" s="13" t="n">
        <f aca="false">H352-'Results &amp; Charts'!$C$9*I352</f>
        <v>-0.000384500957236329</v>
      </c>
      <c r="L352" s="13" t="n">
        <f aca="false">H352-I352</f>
        <v>-0.000626664598292783</v>
      </c>
      <c r="M352" s="15" t="n">
        <v>0.465770132418767</v>
      </c>
      <c r="N352" s="13" t="n">
        <f aca="false">H352-M352*I352</f>
        <v>-0.000291881652928983</v>
      </c>
      <c r="O352" s="16" t="n">
        <f aca="false">'Results &amp; Charts'!$C$9</f>
        <v>0.613567382430444</v>
      </c>
    </row>
    <row r="353" customFormat="false" ht="15" hidden="false" customHeight="false" outlineLevel="0" collapsed="false">
      <c r="A353" s="14" t="n">
        <f aca="false">'Roll Schedule'!A626</f>
        <v>46051</v>
      </c>
      <c r="B353" s="14" t="n">
        <f aca="false">'Roll Schedule'!A625</f>
        <v>46050</v>
      </c>
      <c r="C353" s="3" t="n">
        <f aca="false">SUMIFS('Spot Data'!$E$5:$E$651,'Spot Data'!$A$5:$A$651,B353,'Spot Data'!$H$5:$H$651,"YES")</f>
        <v>7100</v>
      </c>
      <c r="D353" s="3" t="n">
        <f aca="false">SUMIFS('Spot Data'!$E$5:$E$651,'Spot Data'!$A$5:$A$651,A353,'Spot Data'!$H$5:$H$651,"YES")</f>
        <v>7100</v>
      </c>
      <c r="E353" s="14" t="n">
        <f aca="false">'Roll Schedule'!B626</f>
        <v>46073</v>
      </c>
      <c r="F353" s="3" t="n">
        <f aca="false">SUMIFS('Futures Data'!$C$5:$C$3471,'Futures Data'!$A$5:$A$3471,B353,'Futures Data'!$B$5:$B$3471,E353)</f>
        <v>6385</v>
      </c>
      <c r="G353" s="3" t="n">
        <f aca="false">SUMIFS('Futures Data'!$C$5:$C$3471,'Futures Data'!$A$5:$A$3471,A353,'Futures Data'!$B$5:$B$3471,E353)</f>
        <v>6406</v>
      </c>
      <c r="H353" s="13" t="n">
        <f aca="false">LN(D353/C353)</f>
        <v>0</v>
      </c>
      <c r="I353" s="13" t="n">
        <f aca="false">LN(G353/F353)</f>
        <v>0.00328356170246382</v>
      </c>
      <c r="J353" s="3" t="str">
        <f aca="false">IF(A353&lt;='Results &amp; Charts'!$C$5,"In-sample","Out-of-sample")</f>
        <v>Out-of-sample</v>
      </c>
      <c r="K353" s="13" t="n">
        <f aca="false">H353-'Results &amp; Charts'!$C$9*I353</f>
        <v>-0.00201468635882958</v>
      </c>
      <c r="L353" s="13" t="n">
        <f aca="false">H353-I353</f>
        <v>-0.00328356170246382</v>
      </c>
      <c r="M353" s="15" t="n">
        <v>0.506212501951406</v>
      </c>
      <c r="N353" s="13" t="n">
        <f aca="false">H353-M353*I353</f>
        <v>-0.00166217998471603</v>
      </c>
      <c r="O353" s="16" t="n">
        <f aca="false">'Results &amp; Charts'!$C$9</f>
        <v>0.613567382430444</v>
      </c>
    </row>
    <row r="354" customFormat="false" ht="15" hidden="false" customHeight="false" outlineLevel="0" collapsed="false">
      <c r="A354" s="14" t="n">
        <f aca="false">'Roll Schedule'!A627</f>
        <v>46052</v>
      </c>
      <c r="B354" s="14" t="n">
        <f aca="false">'Roll Schedule'!A626</f>
        <v>46051</v>
      </c>
      <c r="C354" s="3" t="n">
        <f aca="false">SUMIFS('Spot Data'!$E$5:$E$651,'Spot Data'!$A$5:$A$651,B354,'Spot Data'!$H$5:$H$651,"YES")</f>
        <v>7100</v>
      </c>
      <c r="D354" s="3" t="n">
        <f aca="false">SUMIFS('Spot Data'!$E$5:$E$651,'Spot Data'!$A$5:$A$651,A354,'Spot Data'!$H$5:$H$651,"YES")</f>
        <v>7100</v>
      </c>
      <c r="E354" s="14" t="n">
        <f aca="false">'Roll Schedule'!B627</f>
        <v>46073</v>
      </c>
      <c r="F354" s="3" t="n">
        <f aca="false">SUMIFS('Futures Data'!$C$5:$C$3471,'Futures Data'!$A$5:$A$3471,B354,'Futures Data'!$B$5:$B$3471,E354)</f>
        <v>6406</v>
      </c>
      <c r="G354" s="3" t="n">
        <f aca="false">SUMIFS('Futures Data'!$C$5:$C$3471,'Futures Data'!$A$5:$A$3471,A354,'Futures Data'!$B$5:$B$3471,E354)</f>
        <v>6402</v>
      </c>
      <c r="H354" s="13" t="n">
        <f aca="false">LN(D354/C354)</f>
        <v>0</v>
      </c>
      <c r="I354" s="13" t="n">
        <f aca="false">LN(G354/F354)</f>
        <v>-0.000624609639295098</v>
      </c>
      <c r="J354" s="3" t="str">
        <f aca="false">IF(A354&lt;='Results &amp; Charts'!$C$5,"In-sample","Out-of-sample")</f>
        <v>Out-of-sample</v>
      </c>
      <c r="K354" s="13" t="n">
        <f aca="false">H354-'Results &amp; Charts'!$C$9*I354</f>
        <v>0.000383240101423117</v>
      </c>
      <c r="L354" s="13" t="n">
        <f aca="false">H354-I354</f>
        <v>0.000624609639295098</v>
      </c>
      <c r="M354" s="15" t="n">
        <v>0.534864275471464</v>
      </c>
      <c r="N354" s="13" t="n">
        <f aca="false">H354-M354*I354</f>
        <v>0.000334081382174065</v>
      </c>
      <c r="O354" s="16" t="n">
        <f aca="false">'Results &amp; Charts'!$C$9</f>
        <v>0.613567382430444</v>
      </c>
    </row>
    <row r="355" customFormat="false" ht="15" hidden="false" customHeight="false" outlineLevel="0" collapsed="false">
      <c r="A355" s="14" t="n">
        <f aca="false">'Roll Schedule'!A631</f>
        <v>46057</v>
      </c>
      <c r="B355" s="14" t="n">
        <f aca="false">'Roll Schedule'!A630</f>
        <v>46056</v>
      </c>
      <c r="C355" s="3" t="n">
        <f aca="false">SUMIFS('Spot Data'!$E$5:$E$651,'Spot Data'!$A$5:$A$651,B355,'Spot Data'!$H$5:$H$651,"YES")</f>
        <v>7250</v>
      </c>
      <c r="D355" s="3" t="n">
        <f aca="false">SUMIFS('Spot Data'!$E$5:$E$651,'Spot Data'!$A$5:$A$651,A355,'Spot Data'!$H$5:$H$651,"YES")</f>
        <v>7200</v>
      </c>
      <c r="E355" s="14" t="n">
        <f aca="false">'Roll Schedule'!B631</f>
        <v>46073</v>
      </c>
      <c r="F355" s="3" t="n">
        <f aca="false">SUMIFS('Futures Data'!$C$5:$C$3471,'Futures Data'!$A$5:$A$3471,B355,'Futures Data'!$B$5:$B$3471,E355)</f>
        <v>6349</v>
      </c>
      <c r="G355" s="3" t="n">
        <f aca="false">SUMIFS('Futures Data'!$C$5:$C$3471,'Futures Data'!$A$5:$A$3471,A355,'Futures Data'!$B$5:$B$3471,E355)</f>
        <v>6392</v>
      </c>
      <c r="H355" s="13" t="n">
        <f aca="false">LN(D355/C355)</f>
        <v>-0.0069204428445738</v>
      </c>
      <c r="I355" s="13" t="n">
        <f aca="false">LN(G355/F355)</f>
        <v>0.0067498882756608</v>
      </c>
      <c r="J355" s="3" t="str">
        <f aca="false">IF(A355&lt;='Results &amp; Charts'!$C$5,"In-sample","Out-of-sample")</f>
        <v>Out-of-sample</v>
      </c>
      <c r="K355" s="13" t="n">
        <f aca="false">H355-'Results &amp; Charts'!$C$9*I355</f>
        <v>-0.0110619541255689</v>
      </c>
      <c r="L355" s="13" t="n">
        <f aca="false">H355-I355</f>
        <v>-0.0136703311202346</v>
      </c>
      <c r="M355" s="15" t="n">
        <v>0.574289455934321</v>
      </c>
      <c r="N355" s="13" t="n">
        <f aca="false">H355-M355*I355</f>
        <v>-0.0107968325100205</v>
      </c>
      <c r="O355" s="16" t="n">
        <f aca="false">'Results &amp; Charts'!$C$9</f>
        <v>0.613567382430444</v>
      </c>
    </row>
    <row r="356" customFormat="false" ht="15" hidden="false" customHeight="false" outlineLevel="0" collapsed="false">
      <c r="A356" s="14" t="n">
        <f aca="false">'Roll Schedule'!A632</f>
        <v>46058</v>
      </c>
      <c r="B356" s="14" t="n">
        <f aca="false">'Roll Schedule'!A631</f>
        <v>46057</v>
      </c>
      <c r="C356" s="3" t="n">
        <f aca="false">SUMIFS('Spot Data'!$E$5:$E$651,'Spot Data'!$A$5:$A$651,B356,'Spot Data'!$H$5:$H$651,"YES")</f>
        <v>7200</v>
      </c>
      <c r="D356" s="3" t="n">
        <f aca="false">SUMIFS('Spot Data'!$E$5:$E$651,'Spot Data'!$A$5:$A$651,A356,'Spot Data'!$H$5:$H$651,"YES")</f>
        <v>7300</v>
      </c>
      <c r="E356" s="14" t="n">
        <f aca="false">'Roll Schedule'!B632</f>
        <v>46073</v>
      </c>
      <c r="F356" s="3" t="n">
        <f aca="false">SUMIFS('Futures Data'!$C$5:$C$3471,'Futures Data'!$A$5:$A$3471,B356,'Futures Data'!$B$5:$B$3471,E356)</f>
        <v>6392</v>
      </c>
      <c r="G356" s="3" t="n">
        <f aca="false">SUMIFS('Futures Data'!$C$5:$C$3471,'Futures Data'!$A$5:$A$3471,A356,'Futures Data'!$B$5:$B$3471,E356)</f>
        <v>6433</v>
      </c>
      <c r="H356" s="13" t="n">
        <f aca="false">LN(D356/C356)</f>
        <v>0.0137933221323358</v>
      </c>
      <c r="I356" s="13" t="n">
        <f aca="false">LN(G356/F356)</f>
        <v>0.00639378396488986</v>
      </c>
      <c r="J356" s="3" t="str">
        <f aca="false">IF(A356&lt;='Results &amp; Charts'!$C$5,"In-sample","Out-of-sample")</f>
        <v>Out-of-sample</v>
      </c>
      <c r="K356" s="13" t="n">
        <f aca="false">H356-'Results &amp; Charts'!$C$9*I356</f>
        <v>0.00987030484117255</v>
      </c>
      <c r="L356" s="13" t="n">
        <f aca="false">H356-I356</f>
        <v>0.00739953816744591</v>
      </c>
      <c r="M356" s="15" t="n">
        <v>0.539214236947292</v>
      </c>
      <c r="N356" s="13" t="n">
        <f aca="false">H356-M356*I356</f>
        <v>0.0103457027905019</v>
      </c>
      <c r="O356" s="16" t="n">
        <f aca="false">'Results &amp; Charts'!$C$9</f>
        <v>0.613567382430444</v>
      </c>
    </row>
    <row r="357" customFormat="false" ht="15" hidden="false" customHeight="false" outlineLevel="0" collapsed="false">
      <c r="A357" s="14" t="n">
        <f aca="false">'Roll Schedule'!A633</f>
        <v>46059</v>
      </c>
      <c r="B357" s="14" t="n">
        <f aca="false">'Roll Schedule'!A632</f>
        <v>46058</v>
      </c>
      <c r="C357" s="3" t="n">
        <f aca="false">SUMIFS('Spot Data'!$E$5:$E$651,'Spot Data'!$A$5:$A$651,B357,'Spot Data'!$H$5:$H$651,"YES")</f>
        <v>7300</v>
      </c>
      <c r="D357" s="3" t="n">
        <f aca="false">SUMIFS('Spot Data'!$E$5:$E$651,'Spot Data'!$A$5:$A$651,A357,'Spot Data'!$H$5:$H$651,"YES")</f>
        <v>7250</v>
      </c>
      <c r="E357" s="14" t="n">
        <f aca="false">'Roll Schedule'!B633</f>
        <v>46073</v>
      </c>
      <c r="F357" s="3" t="n">
        <f aca="false">SUMIFS('Futures Data'!$C$5:$C$3471,'Futures Data'!$A$5:$A$3471,B357,'Futures Data'!$B$5:$B$3471,E357)</f>
        <v>6433</v>
      </c>
      <c r="G357" s="3" t="n">
        <f aca="false">SUMIFS('Futures Data'!$C$5:$C$3471,'Futures Data'!$A$5:$A$3471,A357,'Futures Data'!$B$5:$B$3471,E357)</f>
        <v>6393</v>
      </c>
      <c r="H357" s="13" t="n">
        <f aca="false">LN(D357/C357)</f>
        <v>-0.00687287928776206</v>
      </c>
      <c r="I357" s="13" t="n">
        <f aca="false">LN(G357/F357)</f>
        <v>-0.00623735064427348</v>
      </c>
      <c r="J357" s="3" t="str">
        <f aca="false">IF(A357&lt;='Results &amp; Charts'!$C$5,"In-sample","Out-of-sample")</f>
        <v>Out-of-sample</v>
      </c>
      <c r="K357" s="13" t="n">
        <f aca="false">H357-'Results &amp; Charts'!$C$9*I357</f>
        <v>-0.00304584437965434</v>
      </c>
      <c r="L357" s="13" t="n">
        <f aca="false">H357-I357</f>
        <v>-0.000635528643488589</v>
      </c>
      <c r="M357" s="15" t="n">
        <v>0.559545539493735</v>
      </c>
      <c r="N357" s="13" t="n">
        <f aca="false">H357-M357*I357</f>
        <v>-0.00338279755650046</v>
      </c>
      <c r="O357" s="16" t="n">
        <f aca="false">'Results &amp; Charts'!$C$9</f>
        <v>0.613567382430444</v>
      </c>
    </row>
    <row r="358" customFormat="false" ht="15" hidden="false" customHeight="false" outlineLevel="0" collapsed="false">
      <c r="A358" s="14" t="n">
        <f aca="false">'Roll Schedule'!A634</f>
        <v>46062</v>
      </c>
      <c r="B358" s="14" t="n">
        <f aca="false">'Roll Schedule'!A633</f>
        <v>46059</v>
      </c>
      <c r="C358" s="3" t="n">
        <f aca="false">SUMIFS('Spot Data'!$E$5:$E$651,'Spot Data'!$A$5:$A$651,B358,'Spot Data'!$H$5:$H$651,"YES")</f>
        <v>7250</v>
      </c>
      <c r="D358" s="3" t="n">
        <f aca="false">SUMIFS('Spot Data'!$E$5:$E$651,'Spot Data'!$A$5:$A$651,A358,'Spot Data'!$H$5:$H$651,"YES")</f>
        <v>7350</v>
      </c>
      <c r="E358" s="14" t="n">
        <f aca="false">'Roll Schedule'!B634</f>
        <v>46073</v>
      </c>
      <c r="F358" s="3" t="n">
        <f aca="false">SUMIFS('Futures Data'!$C$5:$C$3471,'Futures Data'!$A$5:$A$3471,B358,'Futures Data'!$B$5:$B$3471,E358)</f>
        <v>6393</v>
      </c>
      <c r="G358" s="3" t="n">
        <f aca="false">SUMIFS('Futures Data'!$C$5:$C$3471,'Futures Data'!$A$5:$A$3471,A358,'Futures Data'!$B$5:$B$3471,E358)</f>
        <v>6437</v>
      </c>
      <c r="H358" s="13" t="n">
        <f aca="false">LN(D358/C358)</f>
        <v>0.0136988443581619</v>
      </c>
      <c r="I358" s="13" t="n">
        <f aca="false">LN(G358/F358)</f>
        <v>0.00685895128588897</v>
      </c>
      <c r="J358" s="3" t="str">
        <f aca="false">IF(A358&lt;='Results &amp; Charts'!$C$5,"In-sample","Out-of-sample")</f>
        <v>Out-of-sample</v>
      </c>
      <c r="K358" s="13" t="n">
        <f aca="false">H358-'Results &amp; Charts'!$C$9*I358</f>
        <v>0.0094904155714611</v>
      </c>
      <c r="L358" s="13" t="n">
        <f aca="false">H358-I358</f>
        <v>0.00683989307227295</v>
      </c>
      <c r="M358" s="15" t="n">
        <v>0.571239760380799</v>
      </c>
      <c r="N358" s="13" t="n">
        <f aca="false">H358-M358*I358</f>
        <v>0.00978073866914714</v>
      </c>
      <c r="O358" s="16" t="n">
        <f aca="false">'Results &amp; Charts'!$C$9</f>
        <v>0.613567382430444</v>
      </c>
    </row>
    <row r="359" customFormat="false" ht="15" hidden="false" customHeight="false" outlineLevel="0" collapsed="false">
      <c r="A359" s="14" t="n">
        <f aca="false">'Roll Schedule'!A635</f>
        <v>46063</v>
      </c>
      <c r="B359" s="14" t="n">
        <f aca="false">'Roll Schedule'!A634</f>
        <v>46062</v>
      </c>
      <c r="C359" s="3" t="n">
        <f aca="false">SUMIFS('Spot Data'!$E$5:$E$651,'Spot Data'!$A$5:$A$651,B359,'Spot Data'!$H$5:$H$651,"YES")</f>
        <v>7350</v>
      </c>
      <c r="D359" s="3" t="n">
        <f aca="false">SUMIFS('Spot Data'!$E$5:$E$651,'Spot Data'!$A$5:$A$651,A359,'Spot Data'!$H$5:$H$651,"YES")</f>
        <v>7350</v>
      </c>
      <c r="E359" s="14" t="n">
        <f aca="false">'Roll Schedule'!B635</f>
        <v>46073</v>
      </c>
      <c r="F359" s="3" t="n">
        <f aca="false">SUMIFS('Futures Data'!$C$5:$C$3471,'Futures Data'!$A$5:$A$3471,B359,'Futures Data'!$B$5:$B$3471,E359)</f>
        <v>6437</v>
      </c>
      <c r="G359" s="3" t="n">
        <f aca="false">SUMIFS('Futures Data'!$C$5:$C$3471,'Futures Data'!$A$5:$A$3471,A359,'Futures Data'!$B$5:$B$3471,E359)</f>
        <v>6450</v>
      </c>
      <c r="H359" s="13" t="n">
        <f aca="false">LN(D359/C359)</f>
        <v>0</v>
      </c>
      <c r="I359" s="13" t="n">
        <f aca="false">LN(G359/F359)</f>
        <v>0.00201753773720242</v>
      </c>
      <c r="J359" s="3" t="str">
        <f aca="false">IF(A359&lt;='Results &amp; Charts'!$C$5,"In-sample","Out-of-sample")</f>
        <v>Out-of-sample</v>
      </c>
      <c r="K359" s="13" t="n">
        <f aca="false">H359-'Results &amp; Charts'!$C$9*I359</f>
        <v>-0.00123789534836993</v>
      </c>
      <c r="L359" s="13" t="n">
        <f aca="false">H359-I359</f>
        <v>-0.00201753773720242</v>
      </c>
      <c r="M359" s="15" t="n">
        <v>0.584087164529066</v>
      </c>
      <c r="N359" s="13" t="n">
        <f aca="false">H359-M359*I359</f>
        <v>-0.00117841789625295</v>
      </c>
      <c r="O359" s="16" t="n">
        <f aca="false">'Results &amp; Charts'!$C$9</f>
        <v>0.613567382430444</v>
      </c>
    </row>
    <row r="360" customFormat="false" ht="15" hidden="false" customHeight="false" outlineLevel="0" collapsed="false">
      <c r="A360" s="14" t="n">
        <f aca="false">'Roll Schedule'!A636</f>
        <v>46064</v>
      </c>
      <c r="B360" s="14" t="n">
        <f aca="false">'Roll Schedule'!A635</f>
        <v>46063</v>
      </c>
      <c r="C360" s="3" t="n">
        <f aca="false">SUMIFS('Spot Data'!$E$5:$E$651,'Spot Data'!$A$5:$A$651,B360,'Spot Data'!$H$5:$H$651,"YES")</f>
        <v>7350</v>
      </c>
      <c r="D360" s="3" t="n">
        <f aca="false">SUMIFS('Spot Data'!$E$5:$E$651,'Spot Data'!$A$5:$A$651,A360,'Spot Data'!$H$5:$H$651,"YES")</f>
        <v>7250</v>
      </c>
      <c r="E360" s="14" t="n">
        <f aca="false">'Roll Schedule'!B636</f>
        <v>46073</v>
      </c>
      <c r="F360" s="3" t="n">
        <f aca="false">SUMIFS('Futures Data'!$C$5:$C$3471,'Futures Data'!$A$5:$A$3471,B360,'Futures Data'!$B$5:$B$3471,E360)</f>
        <v>6450</v>
      </c>
      <c r="G360" s="3" t="n">
        <f aca="false">SUMIFS('Futures Data'!$C$5:$C$3471,'Futures Data'!$A$5:$A$3471,A360,'Futures Data'!$B$5:$B$3471,E360)</f>
        <v>6388</v>
      </c>
      <c r="H360" s="13" t="n">
        <f aca="false">LN(D360/C360)</f>
        <v>-0.0136988443581619</v>
      </c>
      <c r="I360" s="13" t="n">
        <f aca="false">LN(G360/F360)</f>
        <v>-0.00965890045491509</v>
      </c>
      <c r="J360" s="3" t="str">
        <f aca="false">IF(A360&lt;='Results &amp; Charts'!$C$5,"In-sample","Out-of-sample")</f>
        <v>Out-of-sample</v>
      </c>
      <c r="K360" s="13" t="n">
        <f aca="false">H360-'Results &amp; Charts'!$C$9*I360</f>
        <v>-0.00777245808888344</v>
      </c>
      <c r="L360" s="13" t="n">
        <f aca="false">H360-I360</f>
        <v>-0.00403994390324683</v>
      </c>
      <c r="M360" s="15" t="n">
        <v>0.616137556076501</v>
      </c>
      <c r="N360" s="13" t="n">
        <f aca="false">H360-M360*I360</f>
        <v>-0.00774763303748433</v>
      </c>
      <c r="O360" s="16" t="n">
        <f aca="false">'Results &amp; Charts'!$C$9</f>
        <v>0.613567382430444</v>
      </c>
    </row>
    <row r="361" customFormat="false" ht="15" hidden="false" customHeight="false" outlineLevel="0" collapsed="false">
      <c r="A361" s="14" t="n">
        <f aca="false">'Roll Schedule'!A637</f>
        <v>46065</v>
      </c>
      <c r="B361" s="14" t="n">
        <f aca="false">'Roll Schedule'!A636</f>
        <v>46064</v>
      </c>
      <c r="C361" s="3" t="n">
        <f aca="false">SUMIFS('Spot Data'!$E$5:$E$651,'Spot Data'!$A$5:$A$651,B361,'Spot Data'!$H$5:$H$651,"YES")</f>
        <v>7250</v>
      </c>
      <c r="D361" s="3" t="n">
        <f aca="false">SUMIFS('Spot Data'!$E$5:$E$651,'Spot Data'!$A$5:$A$651,A361,'Spot Data'!$H$5:$H$651,"YES")</f>
        <v>7250</v>
      </c>
      <c r="E361" s="14" t="n">
        <f aca="false">'Roll Schedule'!B637</f>
        <v>46101</v>
      </c>
      <c r="F361" s="3" t="n">
        <f aca="false">SUMIFS('Futures Data'!$C$5:$C$3471,'Futures Data'!$A$5:$A$3471,B361,'Futures Data'!$B$5:$B$3471,E361)</f>
        <v>6445</v>
      </c>
      <c r="G361" s="3" t="n">
        <f aca="false">SUMIFS('Futures Data'!$C$5:$C$3471,'Futures Data'!$A$5:$A$3471,A361,'Futures Data'!$B$5:$B$3471,E361)</f>
        <v>6409</v>
      </c>
      <c r="H361" s="13" t="n">
        <f aca="false">LN(D361/C361)</f>
        <v>0</v>
      </c>
      <c r="I361" s="13" t="n">
        <f aca="false">LN(G361/F361)</f>
        <v>-0.00560138386906097</v>
      </c>
      <c r="J361" s="3" t="str">
        <f aca="false">IF(A361&lt;='Results &amp; Charts'!$C$5,"In-sample","Out-of-sample")</f>
        <v>Out-of-sample</v>
      </c>
      <c r="K361" s="13" t="n">
        <f aca="false">H361-'Results &amp; Charts'!$C$9*I361</f>
        <v>0.00343682643852786</v>
      </c>
      <c r="L361" s="13" t="n">
        <f aca="false">H361-I361</f>
        <v>0.00560138386906097</v>
      </c>
      <c r="M361" s="15" t="n">
        <v>0.590411794924051</v>
      </c>
      <c r="N361" s="13" t="n">
        <f aca="false">H361-M361*I361</f>
        <v>0.00330712310419092</v>
      </c>
      <c r="O361" s="16" t="n">
        <f aca="false">'Results &amp; Charts'!$C$9</f>
        <v>0.613567382430444</v>
      </c>
    </row>
    <row r="362" customFormat="false" ht="15" hidden="false" customHeight="false" outlineLevel="0" collapsed="false">
      <c r="A362" s="14" t="n">
        <f aca="false">'Roll Schedule'!A638</f>
        <v>46066</v>
      </c>
      <c r="B362" s="14" t="n">
        <f aca="false">'Roll Schedule'!A637</f>
        <v>46065</v>
      </c>
      <c r="C362" s="3" t="n">
        <f aca="false">SUMIFS('Spot Data'!$E$5:$E$651,'Spot Data'!$A$5:$A$651,B362,'Spot Data'!$H$5:$H$651,"YES")</f>
        <v>7250</v>
      </c>
      <c r="D362" s="3" t="n">
        <f aca="false">SUMIFS('Spot Data'!$E$5:$E$651,'Spot Data'!$A$5:$A$651,A362,'Spot Data'!$H$5:$H$651,"YES")</f>
        <v>7250</v>
      </c>
      <c r="E362" s="14" t="n">
        <f aca="false">'Roll Schedule'!B638</f>
        <v>46101</v>
      </c>
      <c r="F362" s="3" t="n">
        <f aca="false">SUMIFS('Futures Data'!$C$5:$C$3471,'Futures Data'!$A$5:$A$3471,B362,'Futures Data'!$B$5:$B$3471,E362)</f>
        <v>6409</v>
      </c>
      <c r="G362" s="3" t="n">
        <f aca="false">SUMIFS('Futures Data'!$C$5:$C$3471,'Futures Data'!$A$5:$A$3471,A362,'Futures Data'!$B$5:$B$3471,E362)</f>
        <v>6436</v>
      </c>
      <c r="H362" s="13" t="n">
        <f aca="false">LN(D362/C362)</f>
        <v>0</v>
      </c>
      <c r="I362" s="13" t="n">
        <f aca="false">LN(G362/F362)</f>
        <v>0.00420397660804692</v>
      </c>
      <c r="J362" s="3" t="str">
        <f aca="false">IF(A362&lt;='Results &amp; Charts'!$C$5,"In-sample","Out-of-sample")</f>
        <v>Out-of-sample</v>
      </c>
      <c r="K362" s="13" t="n">
        <f aca="false">H362-'Results &amp; Charts'!$C$9*I362</f>
        <v>-0.00257942292319817</v>
      </c>
      <c r="L362" s="13" t="n">
        <f aca="false">H362-I362</f>
        <v>-0.00420397660804692</v>
      </c>
      <c r="M362" s="15" t="n">
        <v>0.596760491819981</v>
      </c>
      <c r="N362" s="13" t="n">
        <f aca="false">H362-M362*I362</f>
        <v>-0.00250876714821778</v>
      </c>
      <c r="O362" s="16" t="n">
        <f aca="false">'Results &amp; Charts'!$C$9</f>
        <v>0.613567382430444</v>
      </c>
    </row>
    <row r="363" customFormat="false" ht="15" hidden="false" customHeight="false" outlineLevel="0" collapsed="false">
      <c r="A363" s="14" t="n">
        <f aca="false">'Roll Schedule'!A639</f>
        <v>46069</v>
      </c>
      <c r="B363" s="14" t="n">
        <f aca="false">'Roll Schedule'!A638</f>
        <v>46066</v>
      </c>
      <c r="C363" s="3" t="n">
        <f aca="false">SUMIFS('Spot Data'!$E$5:$E$651,'Spot Data'!$A$5:$A$651,B363,'Spot Data'!$H$5:$H$651,"YES")</f>
        <v>7250</v>
      </c>
      <c r="D363" s="3" t="n">
        <f aca="false">SUMIFS('Spot Data'!$E$5:$E$651,'Spot Data'!$A$5:$A$651,A363,'Spot Data'!$H$5:$H$651,"YES")</f>
        <v>7150</v>
      </c>
      <c r="E363" s="14" t="n">
        <f aca="false">'Roll Schedule'!B639</f>
        <v>46101</v>
      </c>
      <c r="F363" s="3" t="n">
        <f aca="false">SUMIFS('Futures Data'!$C$5:$C$3471,'Futures Data'!$A$5:$A$3471,B363,'Futures Data'!$B$5:$B$3471,E363)</f>
        <v>6436</v>
      </c>
      <c r="G363" s="3" t="n">
        <f aca="false">SUMIFS('Futures Data'!$C$5:$C$3471,'Futures Data'!$A$5:$A$3471,A363,'Futures Data'!$B$5:$B$3471,E363)</f>
        <v>6383</v>
      </c>
      <c r="H363" s="13" t="n">
        <f aca="false">LN(D363/C363)</f>
        <v>-0.0138891121606672</v>
      </c>
      <c r="I363" s="13" t="n">
        <f aca="false">LN(G363/F363)</f>
        <v>-0.00826902285621653</v>
      </c>
      <c r="J363" s="3" t="str">
        <f aca="false">IF(A363&lt;='Results &amp; Charts'!$C$5,"In-sample","Out-of-sample")</f>
        <v>Out-of-sample</v>
      </c>
      <c r="K363" s="13" t="n">
        <f aca="false">H363-'Results &amp; Charts'!$C$9*I363</f>
        <v>-0.00881550945152086</v>
      </c>
      <c r="L363" s="13" t="n">
        <f aca="false">H363-I363</f>
        <v>-0.00562008930445062</v>
      </c>
      <c r="M363" s="15" t="n">
        <v>0.609727430052777</v>
      </c>
      <c r="N363" s="13" t="n">
        <f aca="false">H363-M363*I363</f>
        <v>-0.00884726210549857</v>
      </c>
      <c r="O363" s="16" t="n">
        <f aca="false">'Results &amp; Charts'!$C$9</f>
        <v>0.613567382430444</v>
      </c>
    </row>
    <row r="364" customFormat="false" ht="15" hidden="false" customHeight="false" outlineLevel="0" collapsed="false">
      <c r="A364" s="14" t="n">
        <f aca="false">'Roll Schedule'!A640</f>
        <v>46070</v>
      </c>
      <c r="B364" s="14" t="n">
        <f aca="false">'Roll Schedule'!A639</f>
        <v>46069</v>
      </c>
      <c r="C364" s="3" t="n">
        <f aca="false">SUMIFS('Spot Data'!$E$5:$E$651,'Spot Data'!$A$5:$A$651,B364,'Spot Data'!$H$5:$H$651,"YES")</f>
        <v>7150</v>
      </c>
      <c r="D364" s="3" t="n">
        <f aca="false">SUMIFS('Spot Data'!$E$5:$E$651,'Spot Data'!$A$5:$A$651,A364,'Spot Data'!$H$5:$H$651,"YES")</f>
        <v>7150</v>
      </c>
      <c r="E364" s="14" t="n">
        <f aca="false">'Roll Schedule'!B640</f>
        <v>46101</v>
      </c>
      <c r="F364" s="3" t="n">
        <f aca="false">SUMIFS('Futures Data'!$C$5:$C$3471,'Futures Data'!$A$5:$A$3471,B364,'Futures Data'!$B$5:$B$3471,E364)</f>
        <v>6383</v>
      </c>
      <c r="G364" s="3" t="n">
        <f aca="false">SUMIFS('Futures Data'!$C$5:$C$3471,'Futures Data'!$A$5:$A$3471,A364,'Futures Data'!$B$5:$B$3471,E364)</f>
        <v>6390</v>
      </c>
      <c r="H364" s="13" t="n">
        <f aca="false">LN(D364/C364)</f>
        <v>0</v>
      </c>
      <c r="I364" s="13" t="n">
        <f aca="false">LN(G364/F364)</f>
        <v>0.0010960621155232</v>
      </c>
      <c r="J364" s="3" t="str">
        <f aca="false">IF(A364&lt;='Results &amp; Charts'!$C$5,"In-sample","Out-of-sample")</f>
        <v>Out-of-sample</v>
      </c>
      <c r="K364" s="13" t="n">
        <f aca="false">H364-'Results &amp; Charts'!$C$9*I364</f>
        <v>-0.000672507963202745</v>
      </c>
      <c r="L364" s="13" t="n">
        <f aca="false">H364-I364</f>
        <v>-0.0010960621155232</v>
      </c>
      <c r="M364" s="15" t="n">
        <v>0.606543612774717</v>
      </c>
      <c r="N364" s="13" t="n">
        <f aca="false">H364-M364*I364</f>
        <v>-0.000664809475374941</v>
      </c>
      <c r="O364" s="16" t="n">
        <f aca="false">'Results &amp; Charts'!$C$9</f>
        <v>0.613567382430444</v>
      </c>
    </row>
    <row r="365" customFormat="false" ht="15" hidden="false" customHeight="false" outlineLevel="0" collapsed="false">
      <c r="A365" s="14" t="n">
        <f aca="false">'Roll Schedule'!A641</f>
        <v>46071</v>
      </c>
      <c r="B365" s="14" t="n">
        <f aca="false">'Roll Schedule'!A640</f>
        <v>46070</v>
      </c>
      <c r="C365" s="3" t="n">
        <f aca="false">SUMIFS('Spot Data'!$E$5:$E$651,'Spot Data'!$A$5:$A$651,B365,'Spot Data'!$H$5:$H$651,"YES")</f>
        <v>7150</v>
      </c>
      <c r="D365" s="3" t="n">
        <f aca="false">SUMIFS('Spot Data'!$E$5:$E$651,'Spot Data'!$A$5:$A$651,A365,'Spot Data'!$H$5:$H$651,"YES")</f>
        <v>7050</v>
      </c>
      <c r="E365" s="14" t="n">
        <f aca="false">'Roll Schedule'!B641</f>
        <v>46101</v>
      </c>
      <c r="F365" s="3" t="n">
        <f aca="false">SUMIFS('Futures Data'!$C$5:$C$3471,'Futures Data'!$A$5:$A$3471,B365,'Futures Data'!$B$5:$B$3471,E365)</f>
        <v>6390</v>
      </c>
      <c r="G365" s="3" t="n">
        <f aca="false">SUMIFS('Futures Data'!$C$5:$C$3471,'Futures Data'!$A$5:$A$3471,A365,'Futures Data'!$B$5:$B$3471,E365)</f>
        <v>6323</v>
      </c>
      <c r="H365" s="13" t="n">
        <f aca="false">LN(D365/C365)</f>
        <v>-0.014084739881739</v>
      </c>
      <c r="I365" s="13" t="n">
        <f aca="false">LN(G365/F365)</f>
        <v>-0.0105404893129673</v>
      </c>
      <c r="J365" s="3" t="str">
        <f aca="false">IF(A365&lt;='Results &amp; Charts'!$C$5,"In-sample","Out-of-sample")</f>
        <v>Out-of-sample</v>
      </c>
      <c r="K365" s="13" t="n">
        <f aca="false">H365-'Results &amp; Charts'!$C$9*I365</f>
        <v>-0.00761743944444558</v>
      </c>
      <c r="L365" s="13" t="n">
        <f aca="false">H365-I365</f>
        <v>-0.00354425056877172</v>
      </c>
      <c r="M365" s="15" t="n">
        <v>0.642840841510314</v>
      </c>
      <c r="N365" s="13" t="n">
        <f aca="false">H365-M365*I365</f>
        <v>-0.00730888286186064</v>
      </c>
      <c r="O365" s="16" t="n">
        <f aca="false">'Results &amp; Charts'!$C$9</f>
        <v>0.613567382430444</v>
      </c>
    </row>
    <row r="366" customFormat="false" ht="15" hidden="false" customHeight="false" outlineLevel="0" collapsed="false">
      <c r="A366" s="14" t="n">
        <f aca="false">'Roll Schedule'!A642</f>
        <v>46072</v>
      </c>
      <c r="B366" s="14" t="n">
        <f aca="false">'Roll Schedule'!A641</f>
        <v>46071</v>
      </c>
      <c r="C366" s="3" t="n">
        <f aca="false">SUMIFS('Spot Data'!$E$5:$E$651,'Spot Data'!$A$5:$A$651,B366,'Spot Data'!$H$5:$H$651,"YES")</f>
        <v>7050</v>
      </c>
      <c r="D366" s="3" t="n">
        <f aca="false">SUMIFS('Spot Data'!$E$5:$E$651,'Spot Data'!$A$5:$A$651,A366,'Spot Data'!$H$5:$H$651,"YES")</f>
        <v>7150</v>
      </c>
      <c r="E366" s="14" t="n">
        <f aca="false">'Roll Schedule'!B642</f>
        <v>46101</v>
      </c>
      <c r="F366" s="3" t="n">
        <f aca="false">SUMIFS('Futures Data'!$C$5:$C$3471,'Futures Data'!$A$5:$A$3471,B366,'Futures Data'!$B$5:$B$3471,E366)</f>
        <v>6323</v>
      </c>
      <c r="G366" s="3" t="n">
        <f aca="false">SUMIFS('Futures Data'!$C$5:$C$3471,'Futures Data'!$A$5:$A$3471,A366,'Futures Data'!$B$5:$B$3471,E366)</f>
        <v>6374</v>
      </c>
      <c r="H366" s="13" t="n">
        <f aca="false">LN(D366/C366)</f>
        <v>0.014084739881739</v>
      </c>
      <c r="I366" s="13" t="n">
        <f aca="false">LN(G366/F366)</f>
        <v>0.00803343691866855</v>
      </c>
      <c r="J366" s="3" t="str">
        <f aca="false">IF(A366&lt;='Results &amp; Charts'!$C$5,"In-sample","Out-of-sample")</f>
        <v>Out-of-sample</v>
      </c>
      <c r="K366" s="13" t="n">
        <f aca="false">H366-'Results &amp; Charts'!$C$9*I366</f>
        <v>0.00915568501963146</v>
      </c>
      <c r="L366" s="13" t="n">
        <f aca="false">H366-I366</f>
        <v>0.00605130296307047</v>
      </c>
      <c r="M366" s="15" t="n">
        <v>0.59766518668878</v>
      </c>
      <c r="N366" s="13" t="n">
        <f aca="false">H366-M366*I366</f>
        <v>0.00928343430599045</v>
      </c>
      <c r="O366" s="16" t="n">
        <f aca="false">'Results &amp; Charts'!$C$9</f>
        <v>0.613567382430444</v>
      </c>
    </row>
    <row r="367" customFormat="false" ht="15" hidden="false" customHeight="false" outlineLevel="0" collapsed="false">
      <c r="A367" s="14" t="n">
        <f aca="false">'Roll Schedule'!A643</f>
        <v>46073</v>
      </c>
      <c r="B367" s="14" t="n">
        <f aca="false">'Roll Schedule'!A642</f>
        <v>46072</v>
      </c>
      <c r="C367" s="3" t="n">
        <f aca="false">SUMIFS('Spot Data'!$E$5:$E$651,'Spot Data'!$A$5:$A$651,B367,'Spot Data'!$H$5:$H$651,"YES")</f>
        <v>7150</v>
      </c>
      <c r="D367" s="3" t="n">
        <f aca="false">SUMIFS('Spot Data'!$E$5:$E$651,'Spot Data'!$A$5:$A$651,A367,'Spot Data'!$H$5:$H$651,"YES")</f>
        <v>7150</v>
      </c>
      <c r="E367" s="14" t="n">
        <f aca="false">'Roll Schedule'!B643</f>
        <v>46101</v>
      </c>
      <c r="F367" s="3" t="n">
        <f aca="false">SUMIFS('Futures Data'!$C$5:$C$3471,'Futures Data'!$A$5:$A$3471,B367,'Futures Data'!$B$5:$B$3471,E367)</f>
        <v>6374</v>
      </c>
      <c r="G367" s="3" t="n">
        <f aca="false">SUMIFS('Futures Data'!$C$5:$C$3471,'Futures Data'!$A$5:$A$3471,A367,'Futures Data'!$B$5:$B$3471,E367)</f>
        <v>6366</v>
      </c>
      <c r="H367" s="13" t="n">
        <f aca="false">LN(D367/C367)</f>
        <v>0</v>
      </c>
      <c r="I367" s="13" t="n">
        <f aca="false">LN(G367/F367)</f>
        <v>-0.00125588713524353</v>
      </c>
      <c r="J367" s="3" t="str">
        <f aca="false">IF(A367&lt;='Results &amp; Charts'!$C$5,"In-sample","Out-of-sample")</f>
        <v>Out-of-sample</v>
      </c>
      <c r="K367" s="13" t="n">
        <f aca="false">H367-'Results &amp; Charts'!$C$9*I367</f>
        <v>0.000770571382199442</v>
      </c>
      <c r="L367" s="13" t="n">
        <f aca="false">H367-I367</f>
        <v>0.00125588713524353</v>
      </c>
      <c r="M367" s="15" t="n">
        <v>0.598713295164102</v>
      </c>
      <c r="N367" s="13" t="n">
        <f aca="false">H367-M367*I367</f>
        <v>0.000751916325095858</v>
      </c>
      <c r="O367" s="16" t="n">
        <f aca="false">'Results &amp; Charts'!$C$9</f>
        <v>0.613567382430444</v>
      </c>
    </row>
    <row r="368" customFormat="false" ht="15" hidden="false" customHeight="false" outlineLevel="0" collapsed="false">
      <c r="A368" s="14" t="n">
        <f aca="false">'Roll Schedule'!A644</f>
        <v>46076</v>
      </c>
      <c r="B368" s="14" t="n">
        <f aca="false">'Roll Schedule'!A643</f>
        <v>46073</v>
      </c>
      <c r="C368" s="3" t="n">
        <f aca="false">SUMIFS('Spot Data'!$E$5:$E$651,'Spot Data'!$A$5:$A$651,B368,'Spot Data'!$H$5:$H$651,"YES")</f>
        <v>7150</v>
      </c>
      <c r="D368" s="3" t="n">
        <f aca="false">SUMIFS('Spot Data'!$E$5:$E$651,'Spot Data'!$A$5:$A$651,A368,'Spot Data'!$H$5:$H$651,"YES")</f>
        <v>7000</v>
      </c>
      <c r="E368" s="14" t="n">
        <f aca="false">'Roll Schedule'!B644</f>
        <v>46101</v>
      </c>
      <c r="F368" s="3" t="n">
        <f aca="false">SUMIFS('Futures Data'!$C$5:$C$3471,'Futures Data'!$A$5:$A$3471,B368,'Futures Data'!$B$5:$B$3471,E368)</f>
        <v>6366</v>
      </c>
      <c r="G368" s="3" t="n">
        <f aca="false">SUMIFS('Futures Data'!$C$5:$C$3471,'Futures Data'!$A$5:$A$3471,A368,'Futures Data'!$B$5:$B$3471,E368)</f>
        <v>6347</v>
      </c>
      <c r="H368" s="13" t="n">
        <f aca="false">LN(D368/C368)</f>
        <v>-0.0212022076506029</v>
      </c>
      <c r="I368" s="13" t="n">
        <f aca="false">LN(G368/F368)</f>
        <v>-0.00298906853556799</v>
      </c>
      <c r="J368" s="3" t="str">
        <f aca="false">IF(A368&lt;='Results &amp; Charts'!$C$5,"In-sample","Out-of-sample")</f>
        <v>Out-of-sample</v>
      </c>
      <c r="K368" s="13" t="n">
        <f aca="false">H368-'Results &amp; Charts'!$C$9*I368</f>
        <v>-0.0193682126933293</v>
      </c>
      <c r="L368" s="13" t="n">
        <f aca="false">H368-I368</f>
        <v>-0.0182131391150349</v>
      </c>
      <c r="M368" s="15" t="n">
        <v>0.640168773711835</v>
      </c>
      <c r="N368" s="13" t="n">
        <f aca="false">H368-M368*I368</f>
        <v>-0.0192886993116477</v>
      </c>
      <c r="O368" s="16" t="n">
        <f aca="false">'Results &amp; Charts'!$C$9</f>
        <v>0.613567382430444</v>
      </c>
    </row>
    <row r="369" customFormat="false" ht="15" hidden="false" customHeight="false" outlineLevel="0" collapsed="false">
      <c r="A369" s="14" t="n">
        <f aca="false">'Roll Schedule'!A645</f>
        <v>46077</v>
      </c>
      <c r="B369" s="14" t="n">
        <f aca="false">'Roll Schedule'!A644</f>
        <v>46076</v>
      </c>
      <c r="C369" s="3" t="n">
        <f aca="false">SUMIFS('Spot Data'!$E$5:$E$651,'Spot Data'!$A$5:$A$651,B369,'Spot Data'!$H$5:$H$651,"YES")</f>
        <v>7000</v>
      </c>
      <c r="D369" s="3" t="n">
        <f aca="false">SUMIFS('Spot Data'!$E$5:$E$651,'Spot Data'!$A$5:$A$651,A369,'Spot Data'!$H$5:$H$651,"YES")</f>
        <v>7050</v>
      </c>
      <c r="E369" s="14" t="n">
        <f aca="false">'Roll Schedule'!B645</f>
        <v>46101</v>
      </c>
      <c r="F369" s="3" t="n">
        <f aca="false">SUMIFS('Futures Data'!$C$5:$C$3471,'Futures Data'!$A$5:$A$3471,B369,'Futures Data'!$B$5:$B$3471,E369)</f>
        <v>6347</v>
      </c>
      <c r="G369" s="3" t="n">
        <f aca="false">SUMIFS('Futures Data'!$C$5:$C$3471,'Futures Data'!$A$5:$A$3471,A369,'Futures Data'!$B$5:$B$3471,E369)</f>
        <v>6279</v>
      </c>
      <c r="H369" s="13" t="n">
        <f aca="false">LN(D369/C369)</f>
        <v>0.00711746776886396</v>
      </c>
      <c r="I369" s="13" t="n">
        <f aca="false">LN(G369/F369)</f>
        <v>-0.0107715281923607</v>
      </c>
      <c r="J369" s="3" t="str">
        <f aca="false">IF(A369&lt;='Results &amp; Charts'!$C$5,"In-sample","Out-of-sample")</f>
        <v>Out-of-sample</v>
      </c>
      <c r="K369" s="13" t="n">
        <f aca="false">H369-'Results &amp; Charts'!$C$9*I369</f>
        <v>0.0137265261266265</v>
      </c>
      <c r="L369" s="13" t="n">
        <f aca="false">H369-I369</f>
        <v>0.0178889959612247</v>
      </c>
      <c r="M369" s="15" t="n">
        <v>0.690646280826221</v>
      </c>
      <c r="N369" s="13" t="n">
        <f aca="false">H369-M369*I369</f>
        <v>0.0145567836537327</v>
      </c>
      <c r="O369" s="16" t="n">
        <f aca="false">'Results &amp; Charts'!$C$9</f>
        <v>0.613567382430444</v>
      </c>
    </row>
    <row r="370" customFormat="false" ht="15" hidden="false" customHeight="false" outlineLevel="0" collapsed="false">
      <c r="A370" s="14" t="n">
        <f aca="false">'Roll Schedule'!A646</f>
        <v>46078</v>
      </c>
      <c r="B370" s="14" t="n">
        <f aca="false">'Roll Schedule'!A645</f>
        <v>46077</v>
      </c>
      <c r="C370" s="3" t="n">
        <f aca="false">SUMIFS('Spot Data'!$E$5:$E$651,'Spot Data'!$A$5:$A$651,B370,'Spot Data'!$H$5:$H$651,"YES")</f>
        <v>7050</v>
      </c>
      <c r="D370" s="3" t="n">
        <f aca="false">SUMIFS('Spot Data'!$E$5:$E$651,'Spot Data'!$A$5:$A$651,A370,'Spot Data'!$H$5:$H$651,"YES")</f>
        <v>7000</v>
      </c>
      <c r="E370" s="14" t="n">
        <f aca="false">'Roll Schedule'!B646</f>
        <v>46101</v>
      </c>
      <c r="F370" s="3" t="n">
        <f aca="false">SUMIFS('Futures Data'!$C$5:$C$3471,'Futures Data'!$A$5:$A$3471,B370,'Futures Data'!$B$5:$B$3471,E370)</f>
        <v>6279</v>
      </c>
      <c r="G370" s="3" t="n">
        <f aca="false">SUMIFS('Futures Data'!$C$5:$C$3471,'Futures Data'!$A$5:$A$3471,A370,'Futures Data'!$B$5:$B$3471,E370)</f>
        <v>6292</v>
      </c>
      <c r="H370" s="13" t="n">
        <f aca="false">LN(D370/C370)</f>
        <v>-0.00711746776886399</v>
      </c>
      <c r="I370" s="13" t="n">
        <f aca="false">LN(G370/F370)</f>
        <v>0.00206825306405906</v>
      </c>
      <c r="J370" s="3" t="str">
        <f aca="false">IF(A370&lt;='Results &amp; Charts'!$C$5,"In-sample","Out-of-sample")</f>
        <v>Out-of-sample</v>
      </c>
      <c r="K370" s="13" t="n">
        <f aca="false">H370-'Results &amp; Charts'!$C$9*I370</f>
        <v>-0.00838648038758245</v>
      </c>
      <c r="L370" s="13" t="n">
        <f aca="false">H370-I370</f>
        <v>-0.00918572083292305</v>
      </c>
      <c r="M370" s="15" t="n">
        <v>0.564058666918636</v>
      </c>
      <c r="N370" s="13" t="n">
        <f aca="false">H370-M370*I370</f>
        <v>-0.00828408383502753</v>
      </c>
      <c r="O370" s="16" t="n">
        <f aca="false">'Results &amp; Charts'!$C$9</f>
        <v>0.613567382430444</v>
      </c>
    </row>
    <row r="371" customFormat="false" ht="15" hidden="false" customHeight="false" outlineLevel="0" collapsed="false">
      <c r="A371" s="14" t="n">
        <f aca="false">'Roll Schedule'!A647</f>
        <v>46079</v>
      </c>
      <c r="B371" s="14" t="n">
        <f aca="false">'Roll Schedule'!A646</f>
        <v>46078</v>
      </c>
      <c r="C371" s="3" t="n">
        <f aca="false">SUMIFS('Spot Data'!$E$5:$E$651,'Spot Data'!$A$5:$A$651,B371,'Spot Data'!$H$5:$H$651,"YES")</f>
        <v>7000</v>
      </c>
      <c r="D371" s="3" t="n">
        <f aca="false">SUMIFS('Spot Data'!$E$5:$E$651,'Spot Data'!$A$5:$A$651,A371,'Spot Data'!$H$5:$H$651,"YES")</f>
        <v>7050</v>
      </c>
      <c r="E371" s="14" t="n">
        <f aca="false">'Roll Schedule'!B647</f>
        <v>46101</v>
      </c>
      <c r="F371" s="3" t="n">
        <f aca="false">SUMIFS('Futures Data'!$C$5:$C$3471,'Futures Data'!$A$5:$A$3471,B371,'Futures Data'!$B$5:$B$3471,E371)</f>
        <v>6292</v>
      </c>
      <c r="G371" s="3" t="n">
        <f aca="false">SUMIFS('Futures Data'!$C$5:$C$3471,'Futures Data'!$A$5:$A$3471,A371,'Futures Data'!$B$5:$B$3471,E371)</f>
        <v>6274</v>
      </c>
      <c r="H371" s="13" t="n">
        <f aca="false">LN(D371/C371)</f>
        <v>0.00711746776886396</v>
      </c>
      <c r="I371" s="13" t="n">
        <f aca="false">LN(G371/F371)</f>
        <v>-0.00286487542754498</v>
      </c>
      <c r="J371" s="3" t="str">
        <f aca="false">IF(A371&lt;='Results &amp; Charts'!$C$5,"In-sample","Out-of-sample")</f>
        <v>Out-of-sample</v>
      </c>
      <c r="K371" s="13" t="n">
        <f aca="false">H371-'Results &amp; Charts'!$C$9*I371</f>
        <v>0.00887526188593203</v>
      </c>
      <c r="L371" s="13" t="n">
        <f aca="false">H371-I371</f>
        <v>0.00998234319640894</v>
      </c>
      <c r="M371" s="15" t="n">
        <v>0.59101750339016</v>
      </c>
      <c r="N371" s="13" t="n">
        <f aca="false">H371-M371*I371</f>
        <v>0.00881065929157541</v>
      </c>
      <c r="O371" s="16" t="n">
        <f aca="false">'Results &amp; Charts'!$C$9</f>
        <v>0.613567382430444</v>
      </c>
    </row>
    <row r="372" customFormat="false" ht="15" hidden="false" customHeight="false" outlineLevel="0" collapsed="false">
      <c r="A372" s="14" t="n">
        <f aca="false">'Roll Schedule'!A648</f>
        <v>46080</v>
      </c>
      <c r="B372" s="14" t="n">
        <f aca="false">'Roll Schedule'!A647</f>
        <v>46079</v>
      </c>
      <c r="C372" s="3" t="n">
        <f aca="false">SUMIFS('Spot Data'!$E$5:$E$651,'Spot Data'!$A$5:$A$651,B372,'Spot Data'!$H$5:$H$651,"YES")</f>
        <v>7050</v>
      </c>
      <c r="D372" s="3" t="n">
        <f aca="false">SUMIFS('Spot Data'!$E$5:$E$651,'Spot Data'!$A$5:$A$651,A372,'Spot Data'!$H$5:$H$651,"YES")</f>
        <v>6950</v>
      </c>
      <c r="E372" s="14" t="n">
        <f aca="false">'Roll Schedule'!B648</f>
        <v>46101</v>
      </c>
      <c r="F372" s="3" t="n">
        <f aca="false">SUMIFS('Futures Data'!$C$5:$C$3471,'Futures Data'!$A$5:$A$3471,B372,'Futures Data'!$B$5:$B$3471,E372)</f>
        <v>6274</v>
      </c>
      <c r="G372" s="3" t="n">
        <f aca="false">SUMIFS('Futures Data'!$C$5:$C$3471,'Futures Data'!$A$5:$A$3471,A372,'Futures Data'!$B$5:$B$3471,E372)</f>
        <v>6258</v>
      </c>
      <c r="H372" s="13" t="n">
        <f aca="false">LN(D372/C372)</f>
        <v>-0.0142859572474765</v>
      </c>
      <c r="I372" s="13" t="n">
        <f aca="false">LN(G372/F372)</f>
        <v>-0.00255346452179596</v>
      </c>
      <c r="J372" s="3" t="str">
        <f aca="false">IF(A372&lt;='Results &amp; Charts'!$C$5,"In-sample","Out-of-sample")</f>
        <v>Out-of-sample</v>
      </c>
      <c r="K372" s="13" t="n">
        <f aca="false">H372-'Results &amp; Charts'!$C$9*I372</f>
        <v>-0.0127192347047092</v>
      </c>
      <c r="L372" s="13" t="n">
        <f aca="false">H372-I372</f>
        <v>-0.0117324927256806</v>
      </c>
      <c r="M372" s="15" t="n">
        <v>0.613370269795569</v>
      </c>
      <c r="N372" s="13" t="n">
        <f aca="false">H372-M372*I372</f>
        <v>-0.0127197380248291</v>
      </c>
      <c r="O372" s="16" t="n">
        <f aca="false">'Results &amp; Charts'!$C$9</f>
        <v>0.613567382430444</v>
      </c>
    </row>
    <row r="373" customFormat="false" ht="15" hidden="false" customHeight="false" outlineLevel="0" collapsed="false">
      <c r="A373" s="14" t="n">
        <f aca="false">'Roll Schedule'!A649</f>
        <v>46083</v>
      </c>
      <c r="B373" s="14" t="n">
        <f aca="false">'Roll Schedule'!A648</f>
        <v>46080</v>
      </c>
      <c r="C373" s="3" t="n">
        <f aca="false">SUMIFS('Spot Data'!$E$5:$E$651,'Spot Data'!$A$5:$A$651,B373,'Spot Data'!$H$5:$H$651,"YES")</f>
        <v>6950</v>
      </c>
      <c r="D373" s="3" t="n">
        <f aca="false">SUMIFS('Spot Data'!$E$5:$E$651,'Spot Data'!$A$5:$A$651,A373,'Spot Data'!$H$5:$H$651,"YES")</f>
        <v>6850</v>
      </c>
      <c r="E373" s="14" t="n">
        <f aca="false">'Roll Schedule'!B649</f>
        <v>46101</v>
      </c>
      <c r="F373" s="3" t="n">
        <f aca="false">SUMIFS('Futures Data'!$C$5:$C$3471,'Futures Data'!$A$5:$A$3471,B373,'Futures Data'!$B$5:$B$3471,E373)</f>
        <v>6258</v>
      </c>
      <c r="G373" s="3" t="n">
        <f aca="false">SUMIFS('Futures Data'!$C$5:$C$3471,'Futures Data'!$A$5:$A$3471,A373,'Futures Data'!$B$5:$B$3471,E373)</f>
        <v>6236</v>
      </c>
      <c r="H373" s="13" t="n">
        <f aca="false">LN(D373/C373)</f>
        <v>-0.0144930073025669</v>
      </c>
      <c r="I373" s="13" t="n">
        <f aca="false">LN(G373/F373)</f>
        <v>-0.00352169405116036</v>
      </c>
      <c r="J373" s="3" t="str">
        <f aca="false">IF(A373&lt;='Results &amp; Charts'!$C$5,"In-sample","Out-of-sample")</f>
        <v>Out-of-sample</v>
      </c>
      <c r="K373" s="13" t="n">
        <f aca="false">H373-'Results &amp; Charts'!$C$9*I373</f>
        <v>-0.0123322107018755</v>
      </c>
      <c r="L373" s="13" t="n">
        <f aca="false">H373-I373</f>
        <v>-0.0109713132514065</v>
      </c>
      <c r="M373" s="15" t="n">
        <v>0.653161915572668</v>
      </c>
      <c r="N373" s="13" t="n">
        <f aca="false">H373-M373*I373</f>
        <v>-0.0121927708700501</v>
      </c>
      <c r="O373" s="16" t="n">
        <f aca="false">'Results &amp; Charts'!$C$9</f>
        <v>0.613567382430444</v>
      </c>
    </row>
    <row r="374" customFormat="false" ht="15" hidden="false" customHeight="false" outlineLevel="0" collapsed="false">
      <c r="A374" s="14" t="n">
        <f aca="false">'Roll Schedule'!A650</f>
        <v>46085</v>
      </c>
      <c r="B374" s="14" t="n">
        <f aca="false">'Roll Schedule'!A649</f>
        <v>46083</v>
      </c>
      <c r="C374" s="3" t="n">
        <f aca="false">SUMIFS('Spot Data'!$E$5:$E$651,'Spot Data'!$A$5:$A$651,B374,'Spot Data'!$H$5:$H$651,"YES")</f>
        <v>6850</v>
      </c>
      <c r="D374" s="3" t="n">
        <f aca="false">SUMIFS('Spot Data'!$E$5:$E$651,'Spot Data'!$A$5:$A$651,A374,'Spot Data'!$H$5:$H$651,"YES")</f>
        <v>6850</v>
      </c>
      <c r="E374" s="14" t="n">
        <f aca="false">'Roll Schedule'!B650</f>
        <v>46101</v>
      </c>
      <c r="F374" s="3" t="n">
        <f aca="false">SUMIFS('Futures Data'!$C$5:$C$3471,'Futures Data'!$A$5:$A$3471,B374,'Futures Data'!$B$5:$B$3471,E374)</f>
        <v>6236</v>
      </c>
      <c r="G374" s="3" t="n">
        <f aca="false">SUMIFS('Futures Data'!$C$5:$C$3471,'Futures Data'!$A$5:$A$3471,A374,'Futures Data'!$B$5:$B$3471,E374)</f>
        <v>6255</v>
      </c>
      <c r="H374" s="13" t="n">
        <f aca="false">LN(D374/C374)</f>
        <v>0</v>
      </c>
      <c r="I374" s="13" t="n">
        <f aca="false">LN(G374/F374)</f>
        <v>0.00304219272334448</v>
      </c>
      <c r="J374" s="3" t="str">
        <f aca="false">IF(A374&lt;='Results &amp; Charts'!$C$5,"In-sample","Out-of-sample")</f>
        <v>Out-of-sample</v>
      </c>
      <c r="K374" s="13" t="n">
        <f aca="false">H374-'Results &amp; Charts'!$C$9*I374</f>
        <v>-0.00186659022611141</v>
      </c>
      <c r="L374" s="13" t="n">
        <f aca="false">H374-I374</f>
        <v>-0.00304219272334448</v>
      </c>
      <c r="M374" s="15" t="n">
        <v>0.688121425856219</v>
      </c>
      <c r="N374" s="13" t="n">
        <f aca="false">H374-M374*I374</f>
        <v>-0.00209339799451721</v>
      </c>
      <c r="O374" s="16" t="n">
        <f aca="false">'Results &amp; Charts'!$C$9</f>
        <v>0.613567382430444</v>
      </c>
    </row>
    <row r="375" customFormat="false" ht="15" hidden="false" customHeight="false" outlineLevel="0" collapsed="false">
      <c r="A375" s="14" t="n">
        <f aca="false">'Roll Schedule'!A651</f>
        <v>46086</v>
      </c>
      <c r="B375" s="14" t="n">
        <f aca="false">'Roll Schedule'!A650</f>
        <v>46085</v>
      </c>
      <c r="C375" s="3" t="n">
        <f aca="false">SUMIFS('Spot Data'!$E$5:$E$651,'Spot Data'!$A$5:$A$651,B375,'Spot Data'!$H$5:$H$651,"YES")</f>
        <v>6850</v>
      </c>
      <c r="D375" s="3" t="n">
        <f aca="false">SUMIFS('Spot Data'!$E$5:$E$651,'Spot Data'!$A$5:$A$651,A375,'Spot Data'!$H$5:$H$651,"YES")</f>
        <v>6950</v>
      </c>
      <c r="E375" s="14" t="n">
        <f aca="false">'Roll Schedule'!B651</f>
        <v>46101</v>
      </c>
      <c r="F375" s="3" t="n">
        <f aca="false">SUMIFS('Futures Data'!$C$5:$C$3471,'Futures Data'!$A$5:$A$3471,B375,'Futures Data'!$B$5:$B$3471,E375)</f>
        <v>6255</v>
      </c>
      <c r="G375" s="3" t="n">
        <f aca="false">SUMIFS('Futures Data'!$C$5:$C$3471,'Futures Data'!$A$5:$A$3471,A375,'Futures Data'!$B$5:$B$3471,E375)</f>
        <v>6324</v>
      </c>
      <c r="H375" s="13" t="n">
        <f aca="false">LN(D375/C375)</f>
        <v>0.0144930073025668</v>
      </c>
      <c r="I375" s="13" t="n">
        <f aca="false">LN(G375/F375)</f>
        <v>0.0109707754283512</v>
      </c>
      <c r="J375" s="3" t="str">
        <f aca="false">IF(A375&lt;='Results &amp; Charts'!$C$5,"In-sample","Out-of-sample")</f>
        <v>Out-of-sample</v>
      </c>
      <c r="K375" s="13" t="n">
        <f aca="false">H375-'Results &amp; Charts'!$C$9*I375</f>
        <v>0.00776169733976115</v>
      </c>
      <c r="L375" s="13" t="n">
        <f aca="false">H375-I375</f>
        <v>0.00352223187421564</v>
      </c>
      <c r="M375" s="15" t="n">
        <v>0.69918721643475</v>
      </c>
      <c r="N375" s="13" t="n">
        <f aca="false">H375-M375*I375</f>
        <v>0.00682238136868721</v>
      </c>
      <c r="O375" s="16" t="n">
        <f aca="false">'Results &amp; Charts'!$C$9</f>
        <v>0.613567382430444</v>
      </c>
    </row>
    <row r="376" customFormat="false" ht="15" hidden="false" customHeight="false" outlineLevel="0" collapsed="false">
      <c r="A376" s="14" t="n">
        <f aca="false">'Roll Schedule'!A652</f>
        <v>46087</v>
      </c>
      <c r="B376" s="14" t="n">
        <f aca="false">'Roll Schedule'!A651</f>
        <v>46086</v>
      </c>
      <c r="C376" s="3" t="n">
        <f aca="false">SUMIFS('Spot Data'!$E$5:$E$651,'Spot Data'!$A$5:$A$651,B376,'Spot Data'!$H$5:$H$651,"YES")</f>
        <v>6950</v>
      </c>
      <c r="D376" s="3" t="n">
        <f aca="false">SUMIFS('Spot Data'!$E$5:$E$651,'Spot Data'!$A$5:$A$651,A376,'Spot Data'!$H$5:$H$651,"YES")</f>
        <v>7000</v>
      </c>
      <c r="E376" s="14" t="n">
        <f aca="false">'Roll Schedule'!B652</f>
        <v>46101</v>
      </c>
      <c r="F376" s="3" t="n">
        <f aca="false">SUMIFS('Futures Data'!$C$5:$C$3471,'Futures Data'!$A$5:$A$3471,B376,'Futures Data'!$B$5:$B$3471,E376)</f>
        <v>6324</v>
      </c>
      <c r="G376" s="3" t="n">
        <f aca="false">SUMIFS('Futures Data'!$C$5:$C$3471,'Futures Data'!$A$5:$A$3471,A376,'Futures Data'!$B$5:$B$3471,E376)</f>
        <v>6277</v>
      </c>
      <c r="H376" s="13" t="n">
        <f aca="false">LN(D376/C376)</f>
        <v>0.0071684894786125</v>
      </c>
      <c r="I376" s="13" t="n">
        <f aca="false">LN(G376/F376)</f>
        <v>-0.00745976001183092</v>
      </c>
      <c r="J376" s="3" t="str">
        <f aca="false">IF(A376&lt;='Results &amp; Charts'!$C$5,"In-sample","Out-of-sample")</f>
        <v>Out-of-sample</v>
      </c>
      <c r="K376" s="13" t="n">
        <f aca="false">H376-'Results &amp; Charts'!$C$9*I376</f>
        <v>0.0117455549026309</v>
      </c>
      <c r="L376" s="13" t="n">
        <f aca="false">H376-I376</f>
        <v>0.0146282494904434</v>
      </c>
      <c r="M376" s="15" t="n">
        <v>0.607100708140725</v>
      </c>
      <c r="N376" s="13" t="n">
        <f aca="false">H376-M376*I376</f>
        <v>0.0116973150643549</v>
      </c>
      <c r="O376" s="16" t="n">
        <f aca="false">'Results &amp; Charts'!$C$9</f>
        <v>0.613567382430444</v>
      </c>
    </row>
    <row r="377" customFormat="false" ht="15" hidden="false" customHeight="false" outlineLevel="0" collapsed="false">
      <c r="A377" s="14" t="n">
        <f aca="false">'Roll Schedule'!A653</f>
        <v>46090</v>
      </c>
      <c r="B377" s="14" t="n">
        <f aca="false">'Roll Schedule'!A652</f>
        <v>46087</v>
      </c>
      <c r="C377" s="3" t="n">
        <f aca="false">SUMIFS('Spot Data'!$E$5:$E$651,'Spot Data'!$A$5:$A$651,B377,'Spot Data'!$H$5:$H$651,"YES")</f>
        <v>7000</v>
      </c>
      <c r="D377" s="3" t="n">
        <f aca="false">SUMIFS('Spot Data'!$E$5:$E$651,'Spot Data'!$A$5:$A$651,A377,'Spot Data'!$H$5:$H$651,"YES")</f>
        <v>7150</v>
      </c>
      <c r="E377" s="14" t="n">
        <f aca="false">'Roll Schedule'!B653</f>
        <v>46132</v>
      </c>
      <c r="F377" s="3" t="n">
        <f aca="false">SUMIFS('Futures Data'!$C$5:$C$3471,'Futures Data'!$A$5:$A$3471,B377,'Futures Data'!$B$5:$B$3471,E377)</f>
        <v>6322</v>
      </c>
      <c r="G377" s="3" t="n">
        <f aca="false">SUMIFS('Futures Data'!$C$5:$C$3471,'Futures Data'!$A$5:$A$3471,A377,'Futures Data'!$B$5:$B$3471,E377)</f>
        <v>6427</v>
      </c>
      <c r="H377" s="13" t="n">
        <f aca="false">LN(D377/C377)</f>
        <v>0.0212022076506029</v>
      </c>
      <c r="I377" s="13" t="n">
        <f aca="false">LN(G377/F377)</f>
        <v>0.0164722525957231</v>
      </c>
      <c r="J377" s="3" t="str">
        <f aca="false">IF(A377&lt;='Results &amp; Charts'!$C$5,"In-sample","Out-of-sample")</f>
        <v>Out-of-sample</v>
      </c>
      <c r="K377" s="13" t="n">
        <f aca="false">H377-'Results &amp; Charts'!$C$9*I377</f>
        <v>0.011095370742712</v>
      </c>
      <c r="L377" s="13" t="n">
        <f aca="false">H377-I377</f>
        <v>0.00472995505487981</v>
      </c>
      <c r="M377" s="15" t="n">
        <v>0.565944759355363</v>
      </c>
      <c r="N377" s="13" t="n">
        <f aca="false">H377-M377*I377</f>
        <v>0.0118798226192756</v>
      </c>
      <c r="O377" s="16" t="n">
        <f aca="false">'Results &amp; Charts'!$C$9</f>
        <v>0.613567382430444</v>
      </c>
    </row>
    <row r="378" customFormat="false" ht="15" hidden="false" customHeight="false" outlineLevel="0" collapsed="false">
      <c r="A378" s="14" t="n">
        <f aca="false">'Roll Schedule'!A654</f>
        <v>46091</v>
      </c>
      <c r="B378" s="14" t="n">
        <f aca="false">'Roll Schedule'!A653</f>
        <v>46090</v>
      </c>
      <c r="C378" s="3" t="n">
        <f aca="false">SUMIFS('Spot Data'!$E$5:$E$651,'Spot Data'!$A$5:$A$651,B378,'Spot Data'!$H$5:$H$651,"YES")</f>
        <v>7150</v>
      </c>
      <c r="D378" s="3" t="n">
        <f aca="false">SUMIFS('Spot Data'!$E$5:$E$651,'Spot Data'!$A$5:$A$651,A378,'Spot Data'!$H$5:$H$651,"YES")</f>
        <v>7050</v>
      </c>
      <c r="E378" s="14" t="n">
        <f aca="false">'Roll Schedule'!B654</f>
        <v>46132</v>
      </c>
      <c r="F378" s="3" t="n">
        <f aca="false">SUMIFS('Futures Data'!$C$5:$C$3471,'Futures Data'!$A$5:$A$3471,B378,'Futures Data'!$B$5:$B$3471,E378)</f>
        <v>6427</v>
      </c>
      <c r="G378" s="3" t="n">
        <f aca="false">SUMIFS('Futures Data'!$C$5:$C$3471,'Futures Data'!$A$5:$A$3471,A378,'Futures Data'!$B$5:$B$3471,E378)</f>
        <v>6413</v>
      </c>
      <c r="H378" s="13" t="n">
        <f aca="false">LN(D378/C378)</f>
        <v>-0.014084739881739</v>
      </c>
      <c r="I378" s="13" t="n">
        <f aca="false">LN(G378/F378)</f>
        <v>-0.0021806862224233</v>
      </c>
      <c r="J378" s="3" t="str">
        <f aca="false">IF(A378&lt;='Results &amp; Charts'!$C$5,"In-sample","Out-of-sample")</f>
        <v>Out-of-sample</v>
      </c>
      <c r="K378" s="13" t="n">
        <f aca="false">H378-'Results &amp; Charts'!$C$9*I378</f>
        <v>-0.0127467419443446</v>
      </c>
      <c r="L378" s="13" t="n">
        <f aca="false">H378-I378</f>
        <v>-0.0119040536593157</v>
      </c>
      <c r="M378" s="15" t="n">
        <v>0.466982998521975</v>
      </c>
      <c r="N378" s="13" t="n">
        <f aca="false">H378-M378*I378</f>
        <v>-0.0130663964907562</v>
      </c>
      <c r="O378" s="16" t="n">
        <f aca="false">'Results &amp; Charts'!$C$9</f>
        <v>0.613567382430444</v>
      </c>
    </row>
    <row r="379" customFormat="false" ht="15" hidden="false" customHeight="false" outlineLevel="0" collapsed="false">
      <c r="A379" s="14" t="n">
        <f aca="false">'Roll Schedule'!A655</f>
        <v>46092</v>
      </c>
      <c r="B379" s="14" t="n">
        <f aca="false">'Roll Schedule'!A654</f>
        <v>46091</v>
      </c>
      <c r="C379" s="3" t="n">
        <f aca="false">SUMIFS('Spot Data'!$E$5:$E$651,'Spot Data'!$A$5:$A$651,B379,'Spot Data'!$H$5:$H$651,"YES")</f>
        <v>7050</v>
      </c>
      <c r="D379" s="3" t="n">
        <f aca="false">SUMIFS('Spot Data'!$E$5:$E$651,'Spot Data'!$A$5:$A$651,A379,'Spot Data'!$H$5:$H$651,"YES")</f>
        <v>7150</v>
      </c>
      <c r="E379" s="14" t="n">
        <f aca="false">'Roll Schedule'!B655</f>
        <v>46132</v>
      </c>
      <c r="F379" s="3" t="n">
        <f aca="false">SUMIFS('Futures Data'!$C$5:$C$3471,'Futures Data'!$A$5:$A$3471,B379,'Futures Data'!$B$5:$B$3471,E379)</f>
        <v>6413</v>
      </c>
      <c r="G379" s="3" t="n">
        <f aca="false">SUMIFS('Futures Data'!$C$5:$C$3471,'Futures Data'!$A$5:$A$3471,A379,'Futures Data'!$B$5:$B$3471,E379)</f>
        <v>6473</v>
      </c>
      <c r="H379" s="13" t="n">
        <f aca="false">LN(D379/C379)</f>
        <v>0.014084739881739</v>
      </c>
      <c r="I379" s="13" t="n">
        <f aca="false">LN(G379/F379)</f>
        <v>0.00931249939664725</v>
      </c>
      <c r="J379" s="3" t="str">
        <f aca="false">IF(A379&lt;='Results &amp; Charts'!$C$5,"In-sample","Out-of-sample")</f>
        <v>Out-of-sample</v>
      </c>
      <c r="K379" s="13" t="n">
        <f aca="false">H379-'Results &amp; Charts'!$C$9*I379</f>
        <v>0.00837089400305308</v>
      </c>
      <c r="L379" s="13" t="n">
        <f aca="false">H379-I379</f>
        <v>0.00477224048509178</v>
      </c>
      <c r="M379" s="15" t="n">
        <v>0.514493903554188</v>
      </c>
      <c r="N379" s="13" t="n">
        <f aca="false">H379-M379*I379</f>
        <v>0.00929351571531197</v>
      </c>
      <c r="O379" s="16" t="n">
        <f aca="false">'Results &amp; Charts'!$C$9</f>
        <v>0.613567382430444</v>
      </c>
    </row>
    <row r="380" customFormat="false" ht="15" hidden="false" customHeight="false" outlineLevel="0" collapsed="false">
      <c r="A380" s="14" t="n">
        <f aca="false">'Roll Schedule'!A656</f>
        <v>46093</v>
      </c>
      <c r="B380" s="14" t="n">
        <f aca="false">'Roll Schedule'!A655</f>
        <v>46092</v>
      </c>
      <c r="C380" s="3" t="n">
        <f aca="false">SUMIFS('Spot Data'!$E$5:$E$651,'Spot Data'!$A$5:$A$651,B380,'Spot Data'!$H$5:$H$651,"YES")</f>
        <v>7150</v>
      </c>
      <c r="D380" s="3" t="n">
        <f aca="false">SUMIFS('Spot Data'!$E$5:$E$651,'Spot Data'!$A$5:$A$651,A380,'Spot Data'!$H$5:$H$651,"YES")</f>
        <v>7150</v>
      </c>
      <c r="E380" s="14" t="n">
        <f aca="false">'Roll Schedule'!B656</f>
        <v>46132</v>
      </c>
      <c r="F380" s="3" t="n">
        <f aca="false">SUMIFS('Futures Data'!$C$5:$C$3471,'Futures Data'!$A$5:$A$3471,B380,'Futures Data'!$B$5:$B$3471,E380)</f>
        <v>6473</v>
      </c>
      <c r="G380" s="3" t="n">
        <f aca="false">SUMIFS('Futures Data'!$C$5:$C$3471,'Futures Data'!$A$5:$A$3471,A380,'Futures Data'!$B$5:$B$3471,E380)</f>
        <v>6424</v>
      </c>
      <c r="H380" s="13" t="n">
        <f aca="false">LN(D380/C380)</f>
        <v>0</v>
      </c>
      <c r="I380" s="13" t="n">
        <f aca="false">LN(G380/F380)</f>
        <v>-0.00759870291891262</v>
      </c>
      <c r="J380" s="3" t="str">
        <f aca="false">IF(A380&lt;='Results &amp; Charts'!$C$5,"In-sample","Out-of-sample")</f>
        <v>Out-of-sample</v>
      </c>
      <c r="K380" s="13" t="n">
        <f aca="false">H380-'Results &amp; Charts'!$C$9*I380</f>
        <v>0.0046623162598238</v>
      </c>
      <c r="L380" s="13" t="n">
        <f aca="false">H380-I380</f>
        <v>0.00759870291891262</v>
      </c>
      <c r="M380" s="15" t="n">
        <v>0.521059276859633</v>
      </c>
      <c r="N380" s="13" t="n">
        <f aca="false">H380-M380*I380</f>
        <v>0.0039593746479998</v>
      </c>
      <c r="O380" s="16" t="n">
        <f aca="false">'Results &amp; Charts'!$C$9</f>
        <v>0.613567382430444</v>
      </c>
    </row>
    <row r="381" customFormat="false" ht="15" hidden="false" customHeight="false" outlineLevel="0" collapsed="false">
      <c r="A381" s="14" t="n">
        <f aca="false">'Roll Schedule'!A657</f>
        <v>46094</v>
      </c>
      <c r="B381" s="14" t="n">
        <f aca="false">'Roll Schedule'!A656</f>
        <v>46093</v>
      </c>
      <c r="C381" s="3" t="n">
        <f aca="false">SUMIFS('Spot Data'!$E$5:$E$651,'Spot Data'!$A$5:$A$651,B381,'Spot Data'!$H$5:$H$651,"YES")</f>
        <v>7150</v>
      </c>
      <c r="D381" s="3" t="n">
        <f aca="false">SUMIFS('Spot Data'!$E$5:$E$651,'Spot Data'!$A$5:$A$651,A381,'Spot Data'!$H$5:$H$651,"YES")</f>
        <v>7250</v>
      </c>
      <c r="E381" s="14" t="n">
        <f aca="false">'Roll Schedule'!B657</f>
        <v>46132</v>
      </c>
      <c r="F381" s="3" t="n">
        <f aca="false">SUMIFS('Futures Data'!$C$5:$C$3471,'Futures Data'!$A$5:$A$3471,B381,'Futures Data'!$B$5:$B$3471,E381)</f>
        <v>6424</v>
      </c>
      <c r="G381" s="3" t="n">
        <f aca="false">SUMIFS('Futures Data'!$C$5:$C$3471,'Futures Data'!$A$5:$A$3471,A381,'Futures Data'!$B$5:$B$3471,E381)</f>
        <v>6458</v>
      </c>
      <c r="H381" s="13" t="n">
        <f aca="false">LN(D381/C381)</f>
        <v>0.0138891121606671</v>
      </c>
      <c r="I381" s="13" t="n">
        <f aca="false">LN(G381/F381)</f>
        <v>0.00527869569162283</v>
      </c>
      <c r="J381" s="3" t="str">
        <f aca="false">IF(A381&lt;='Results &amp; Charts'!$C$5,"In-sample","Out-of-sample")</f>
        <v>Out-of-sample</v>
      </c>
      <c r="K381" s="13" t="n">
        <f aca="false">H381-'Results &amp; Charts'!$C$9*I381</f>
        <v>0.0106502766625112</v>
      </c>
      <c r="L381" s="13" t="n">
        <f aca="false">H381-I381</f>
        <v>0.00861041646904426</v>
      </c>
      <c r="M381" s="15" t="n">
        <v>0.523050872778896</v>
      </c>
      <c r="N381" s="13" t="n">
        <f aca="false">H381-M381*I381</f>
        <v>0.0111280857720296</v>
      </c>
      <c r="O381" s="16" t="n">
        <f aca="false">'Results &amp; Charts'!$C$9</f>
        <v>0.613567382430444</v>
      </c>
    </row>
    <row r="382" customFormat="false" ht="15" hidden="false" customHeight="false" outlineLevel="0" collapsed="false">
      <c r="A382" s="14" t="n">
        <f aca="false">'Roll Schedule'!A658</f>
        <v>46097</v>
      </c>
      <c r="B382" s="14" t="n">
        <f aca="false">'Roll Schedule'!A657</f>
        <v>46094</v>
      </c>
      <c r="C382" s="3" t="n">
        <f aca="false">SUMIFS('Spot Data'!$E$5:$E$651,'Spot Data'!$A$5:$A$651,B382,'Spot Data'!$H$5:$H$651,"YES")</f>
        <v>7250</v>
      </c>
      <c r="D382" s="3" t="n">
        <f aca="false">SUMIFS('Spot Data'!$E$5:$E$651,'Spot Data'!$A$5:$A$651,A382,'Spot Data'!$H$5:$H$651,"YES")</f>
        <v>7200</v>
      </c>
      <c r="E382" s="14" t="n">
        <f aca="false">'Roll Schedule'!B658</f>
        <v>46132</v>
      </c>
      <c r="F382" s="3" t="n">
        <f aca="false">SUMIFS('Futures Data'!$C$5:$C$3471,'Futures Data'!$A$5:$A$3471,B382,'Futures Data'!$B$5:$B$3471,E382)</f>
        <v>6458</v>
      </c>
      <c r="G382" s="3" t="n">
        <f aca="false">SUMIFS('Futures Data'!$C$5:$C$3471,'Futures Data'!$A$5:$A$3471,A382,'Futures Data'!$B$5:$B$3471,E382)</f>
        <v>6440</v>
      </c>
      <c r="H382" s="13" t="n">
        <f aca="false">LN(D382/C382)</f>
        <v>-0.0069204428445738</v>
      </c>
      <c r="I382" s="13" t="n">
        <f aca="false">LN(G382/F382)</f>
        <v>-0.00279113221982117</v>
      </c>
      <c r="J382" s="3" t="str">
        <f aca="false">IF(A382&lt;='Results &amp; Charts'!$C$5,"In-sample","Out-of-sample")</f>
        <v>Out-of-sample</v>
      </c>
      <c r="K382" s="13" t="n">
        <f aca="false">H382-'Results &amp; Charts'!$C$9*I382</f>
        <v>-0.00520789515444084</v>
      </c>
      <c r="L382" s="13" t="n">
        <f aca="false">H382-I382</f>
        <v>-0.00412931062475262</v>
      </c>
      <c r="M382" s="15" t="n">
        <v>0.562565509518435</v>
      </c>
      <c r="N382" s="13" t="n">
        <f aca="false">H382-M382*I382</f>
        <v>-0.00535024812519678</v>
      </c>
      <c r="O382" s="16" t="n">
        <f aca="false">'Results &amp; Charts'!$C$9</f>
        <v>0.613567382430444</v>
      </c>
    </row>
    <row r="383" customFormat="false" ht="15" hidden="false" customHeight="false" outlineLevel="0" collapsed="false">
      <c r="A383" s="14" t="n">
        <f aca="false">'Roll Schedule'!A659</f>
        <v>46098</v>
      </c>
      <c r="B383" s="14" t="n">
        <f aca="false">'Roll Schedule'!A658</f>
        <v>46097</v>
      </c>
      <c r="C383" s="3" t="n">
        <f aca="false">SUMIFS('Spot Data'!$E$5:$E$651,'Spot Data'!$A$5:$A$651,B383,'Spot Data'!$H$5:$H$651,"YES")</f>
        <v>7200</v>
      </c>
      <c r="D383" s="3" t="n">
        <f aca="false">SUMIFS('Spot Data'!$E$5:$E$651,'Spot Data'!$A$5:$A$651,A383,'Spot Data'!$H$5:$H$651,"YES")</f>
        <v>7400</v>
      </c>
      <c r="E383" s="14" t="n">
        <f aca="false">'Roll Schedule'!B659</f>
        <v>46132</v>
      </c>
      <c r="F383" s="3" t="n">
        <f aca="false">SUMIFS('Futures Data'!$C$5:$C$3471,'Futures Data'!$A$5:$A$3471,B383,'Futures Data'!$B$5:$B$3471,E383)</f>
        <v>6440</v>
      </c>
      <c r="G383" s="3" t="n">
        <f aca="false">SUMIFS('Futures Data'!$C$5:$C$3471,'Futures Data'!$A$5:$A$3471,A383,'Futures Data'!$B$5:$B$3471,E383)</f>
        <v>6442</v>
      </c>
      <c r="H383" s="13" t="n">
        <f aca="false">LN(D383/C383)</f>
        <v>0.0273989741881143</v>
      </c>
      <c r="I383" s="13" t="n">
        <f aca="false">LN(G383/F383)</f>
        <v>0.000310510792744787</v>
      </c>
      <c r="J383" s="3" t="str">
        <f aca="false">IF(A383&lt;='Results &amp; Charts'!$C$5,"In-sample","Out-of-sample")</f>
        <v>Out-of-sample</v>
      </c>
      <c r="K383" s="13" t="n">
        <f aca="false">H383-'Results &amp; Charts'!$C$9*I383</f>
        <v>0.0272084548937935</v>
      </c>
      <c r="L383" s="13" t="n">
        <f aca="false">H383-I383</f>
        <v>0.0270884633953696</v>
      </c>
      <c r="M383" s="15" t="n">
        <v>0.60663689733206</v>
      </c>
      <c r="N383" s="13" t="n">
        <f aca="false">H383-M383*I383</f>
        <v>0.0272106068842155</v>
      </c>
      <c r="O383" s="16" t="n">
        <f aca="false">'Results &amp; Charts'!$C$9</f>
        <v>0.613567382430444</v>
      </c>
    </row>
    <row r="384" customFormat="false" ht="15" hidden="false" customHeight="false" outlineLevel="0" collapsed="false">
      <c r="A384" s="14" t="n">
        <f aca="false">'Roll Schedule'!A660</f>
        <v>46099</v>
      </c>
      <c r="B384" s="14" t="n">
        <f aca="false">'Roll Schedule'!A659</f>
        <v>46098</v>
      </c>
      <c r="C384" s="3" t="n">
        <f aca="false">SUMIFS('Spot Data'!$E$5:$E$651,'Spot Data'!$A$5:$A$651,B384,'Spot Data'!$H$5:$H$651,"YES")</f>
        <v>7400</v>
      </c>
      <c r="D384" s="3" t="n">
        <f aca="false">SUMIFS('Spot Data'!$E$5:$E$651,'Spot Data'!$A$5:$A$651,A384,'Spot Data'!$H$5:$H$651,"YES")</f>
        <v>7400</v>
      </c>
      <c r="E384" s="14" t="n">
        <f aca="false">'Roll Schedule'!B660</f>
        <v>46132</v>
      </c>
      <c r="F384" s="3" t="n">
        <f aca="false">SUMIFS('Futures Data'!$C$5:$C$3471,'Futures Data'!$A$5:$A$3471,B384,'Futures Data'!$B$5:$B$3471,E384)</f>
        <v>6442</v>
      </c>
      <c r="G384" s="3" t="n">
        <f aca="false">SUMIFS('Futures Data'!$C$5:$C$3471,'Futures Data'!$A$5:$A$3471,A384,'Futures Data'!$B$5:$B$3471,E384)</f>
        <v>6438</v>
      </c>
      <c r="H384" s="13" t="n">
        <f aca="false">LN(D384/C384)</f>
        <v>0</v>
      </c>
      <c r="I384" s="13" t="n">
        <f aca="false">LN(G384/F384)</f>
        <v>-0.000621118032390648</v>
      </c>
      <c r="J384" s="3" t="str">
        <f aca="false">IF(A384&lt;='Results &amp; Charts'!$C$5,"In-sample","Out-of-sample")</f>
        <v>Out-of-sample</v>
      </c>
      <c r="K384" s="13" t="n">
        <f aca="false">H384-'Results &amp; Charts'!$C$9*I384</f>
        <v>0.000381097765314278</v>
      </c>
      <c r="L384" s="13" t="n">
        <f aca="false">H384-I384</f>
        <v>0.000621118032390648</v>
      </c>
      <c r="M384" s="15" t="n">
        <v>0.656981479706863</v>
      </c>
      <c r="N384" s="13" t="n">
        <f aca="false">H384-M384*I384</f>
        <v>0.000408063043992623</v>
      </c>
      <c r="O384" s="16" t="n">
        <f aca="false">'Results &amp; Charts'!$C$9</f>
        <v>0.613567382430444</v>
      </c>
    </row>
    <row r="385" customFormat="false" ht="15" hidden="false" customHeight="false" outlineLevel="0" collapsed="false">
      <c r="A385" s="14" t="n">
        <f aca="false">'Roll Schedule'!A663</f>
        <v>46104</v>
      </c>
      <c r="B385" s="14" t="n">
        <f aca="false">'Roll Schedule'!A662</f>
        <v>46101</v>
      </c>
      <c r="C385" s="3" t="n">
        <f aca="false">SUMIFS('Spot Data'!$E$5:$E$651,'Spot Data'!$A$5:$A$651,B385,'Spot Data'!$H$5:$H$651,"YES")</f>
        <v>7400</v>
      </c>
      <c r="D385" s="3" t="n">
        <f aca="false">SUMIFS('Spot Data'!$E$5:$E$651,'Spot Data'!$A$5:$A$651,A385,'Spot Data'!$H$5:$H$651,"YES")</f>
        <v>7600</v>
      </c>
      <c r="E385" s="14" t="n">
        <f aca="false">'Roll Schedule'!B663</f>
        <v>46132</v>
      </c>
      <c r="F385" s="3" t="n">
        <f aca="false">SUMIFS('Futures Data'!$C$5:$C$3471,'Futures Data'!$A$5:$A$3471,B385,'Futures Data'!$B$5:$B$3471,E385)</f>
        <v>6526</v>
      </c>
      <c r="G385" s="3" t="n">
        <f aca="false">SUMIFS('Futures Data'!$C$5:$C$3471,'Futures Data'!$A$5:$A$3471,A385,'Futures Data'!$B$5:$B$3471,E385)</f>
        <v>6544</v>
      </c>
      <c r="H385" s="13" t="n">
        <f aca="false">LN(D385/C385)</f>
        <v>0.0266682470821613</v>
      </c>
      <c r="I385" s="13" t="n">
        <f aca="false">LN(G385/F385)</f>
        <v>0.00275440112931703</v>
      </c>
      <c r="J385" s="3" t="str">
        <f aca="false">IF(A385&lt;='Results &amp; Charts'!$C$5,"In-sample","Out-of-sample")</f>
        <v>Out-of-sample</v>
      </c>
      <c r="K385" s="13" t="n">
        <f aca="false">H385-'Results &amp; Charts'!$C$9*I385</f>
        <v>0.0249782363910828</v>
      </c>
      <c r="L385" s="13" t="n">
        <f aca="false">H385-I385</f>
        <v>0.0239138459528442</v>
      </c>
      <c r="M385" s="15" t="n">
        <v>0.699352320705223</v>
      </c>
      <c r="N385" s="13" t="n">
        <f aca="false">H385-M385*I385</f>
        <v>0.0247419502602203</v>
      </c>
      <c r="O385" s="16" t="n">
        <f aca="false">'Results &amp; Charts'!$C$9</f>
        <v>0.613567382430444</v>
      </c>
    </row>
    <row r="386" customFormat="false" ht="15" hidden="false" customHeight="false" outlineLevel="0" collapsed="false">
      <c r="A386" s="14" t="n">
        <f aca="false">'Roll Schedule'!A664</f>
        <v>46105</v>
      </c>
      <c r="B386" s="14" t="n">
        <f aca="false">'Roll Schedule'!A663</f>
        <v>46104</v>
      </c>
      <c r="C386" s="3" t="n">
        <f aca="false">SUMIFS('Spot Data'!$E$5:$E$651,'Spot Data'!$A$5:$A$651,B386,'Spot Data'!$H$5:$H$651,"YES")</f>
        <v>7600</v>
      </c>
      <c r="D386" s="3" t="n">
        <f aca="false">SUMIFS('Spot Data'!$E$5:$E$651,'Spot Data'!$A$5:$A$651,A386,'Spot Data'!$H$5:$H$651,"YES")</f>
        <v>7550</v>
      </c>
      <c r="E386" s="14" t="n">
        <f aca="false">'Roll Schedule'!B664</f>
        <v>46132</v>
      </c>
      <c r="F386" s="3" t="n">
        <f aca="false">SUMIFS('Futures Data'!$C$5:$C$3471,'Futures Data'!$A$5:$A$3471,B386,'Futures Data'!$B$5:$B$3471,E386)</f>
        <v>6544</v>
      </c>
      <c r="G386" s="3" t="n">
        <f aca="false">SUMIFS('Futures Data'!$C$5:$C$3471,'Futures Data'!$A$5:$A$3471,A386,'Futures Data'!$B$5:$B$3471,E386)</f>
        <v>6556</v>
      </c>
      <c r="H386" s="13" t="n">
        <f aca="false">LN(D386/C386)</f>
        <v>-0.00660068403135202</v>
      </c>
      <c r="I386" s="13" t="n">
        <f aca="false">LN(G386/F386)</f>
        <v>0.00183206158113732</v>
      </c>
      <c r="J386" s="3" t="str">
        <f aca="false">IF(A386&lt;='Results &amp; Charts'!$C$5,"In-sample","Out-of-sample")</f>
        <v>Out-of-sample</v>
      </c>
      <c r="K386" s="13" t="n">
        <f aca="false">H386-'Results &amp; Charts'!$C$9*I386</f>
        <v>-0.00772477726014183</v>
      </c>
      <c r="L386" s="13" t="n">
        <f aca="false">H386-I386</f>
        <v>-0.00843274561248934</v>
      </c>
      <c r="M386" s="15" t="n">
        <v>0.756307136974096</v>
      </c>
      <c r="N386" s="13" t="n">
        <f aca="false">H386-M386*I386</f>
        <v>-0.00798628528054222</v>
      </c>
      <c r="O386" s="16" t="n">
        <f aca="false">'Results &amp; Charts'!$C$9</f>
        <v>0.613567382430444</v>
      </c>
    </row>
    <row r="387" customFormat="false" ht="15" hidden="false" customHeight="false" outlineLevel="0" collapsed="false">
      <c r="A387" s="14" t="n">
        <f aca="false">'Roll Schedule'!A665</f>
        <v>46106</v>
      </c>
      <c r="B387" s="14" t="n">
        <f aca="false">'Roll Schedule'!A664</f>
        <v>46105</v>
      </c>
      <c r="C387" s="3" t="n">
        <f aca="false">SUMIFS('Spot Data'!$E$5:$E$651,'Spot Data'!$A$5:$A$651,B387,'Spot Data'!$H$5:$H$651,"YES")</f>
        <v>7550</v>
      </c>
      <c r="D387" s="3" t="n">
        <f aca="false">SUMIFS('Spot Data'!$E$5:$E$651,'Spot Data'!$A$5:$A$651,A387,'Spot Data'!$H$5:$H$651,"YES")</f>
        <v>7600</v>
      </c>
      <c r="E387" s="14" t="n">
        <f aca="false">'Roll Schedule'!B665</f>
        <v>46132</v>
      </c>
      <c r="F387" s="3" t="n">
        <f aca="false">SUMIFS('Futures Data'!$C$5:$C$3471,'Futures Data'!$A$5:$A$3471,B387,'Futures Data'!$B$5:$B$3471,E387)</f>
        <v>6556</v>
      </c>
      <c r="G387" s="3" t="n">
        <f aca="false">SUMIFS('Futures Data'!$C$5:$C$3471,'Futures Data'!$A$5:$A$3471,A387,'Futures Data'!$B$5:$B$3471,E387)</f>
        <v>6593</v>
      </c>
      <c r="H387" s="13" t="n">
        <f aca="false">LN(D387/C387)</f>
        <v>0.00660068403135209</v>
      </c>
      <c r="I387" s="13" t="n">
        <f aca="false">LN(G387/F387)</f>
        <v>0.00562781924957941</v>
      </c>
      <c r="J387" s="3" t="str">
        <f aca="false">IF(A387&lt;='Results &amp; Charts'!$C$5,"In-sample","Out-of-sample")</f>
        <v>Out-of-sample</v>
      </c>
      <c r="K387" s="13" t="n">
        <f aca="false">H387-'Results &amp; Charts'!$C$9*I387</f>
        <v>0.00314763770559598</v>
      </c>
      <c r="L387" s="13" t="n">
        <f aca="false">H387-I387</f>
        <v>0.00097286478177268</v>
      </c>
      <c r="M387" s="15" t="n">
        <v>0.779857253196886</v>
      </c>
      <c r="N387" s="13" t="n">
        <f aca="false">H387-M387*I387</f>
        <v>0.00221178836988653</v>
      </c>
      <c r="O387" s="16" t="n">
        <f aca="false">'Results &amp; Charts'!$C$9</f>
        <v>0.613567382430444</v>
      </c>
    </row>
    <row r="388" customFormat="false" ht="15" hidden="false" customHeight="false" outlineLevel="0" collapsed="false">
      <c r="A388" s="14" t="n">
        <f aca="false">'Roll Schedule'!A666</f>
        <v>46108</v>
      </c>
      <c r="B388" s="14" t="n">
        <f aca="false">'Roll Schedule'!A665</f>
        <v>46106</v>
      </c>
      <c r="C388" s="3" t="n">
        <f aca="false">SUMIFS('Spot Data'!$E$5:$E$651,'Spot Data'!$A$5:$A$651,B388,'Spot Data'!$H$5:$H$651,"YES")</f>
        <v>7600</v>
      </c>
      <c r="D388" s="3" t="n">
        <f aca="false">SUMIFS('Spot Data'!$E$5:$E$651,'Spot Data'!$A$5:$A$651,A388,'Spot Data'!$H$5:$H$651,"YES")</f>
        <v>7550</v>
      </c>
      <c r="E388" s="14" t="n">
        <f aca="false">'Roll Schedule'!B666</f>
        <v>46132</v>
      </c>
      <c r="F388" s="3" t="n">
        <f aca="false">SUMIFS('Futures Data'!$C$5:$C$3471,'Futures Data'!$A$5:$A$3471,B388,'Futures Data'!$B$5:$B$3471,E388)</f>
        <v>6593</v>
      </c>
      <c r="G388" s="3" t="n">
        <f aca="false">SUMIFS('Futures Data'!$C$5:$C$3471,'Futures Data'!$A$5:$A$3471,A388,'Futures Data'!$B$5:$B$3471,E388)</f>
        <v>6561</v>
      </c>
      <c r="H388" s="13" t="n">
        <f aca="false">LN(D388/C388)</f>
        <v>-0.00660068403135202</v>
      </c>
      <c r="I388" s="13" t="n">
        <f aca="false">LN(G388/F388)</f>
        <v>-0.00486544976842212</v>
      </c>
      <c r="J388" s="3" t="str">
        <f aca="false">IF(A388&lt;='Results &amp; Charts'!$C$5,"In-sample","Out-of-sample")</f>
        <v>Out-of-sample</v>
      </c>
      <c r="K388" s="13" t="n">
        <f aca="false">H388-'Results &amp; Charts'!$C$9*I388</f>
        <v>-0.00361540275259445</v>
      </c>
      <c r="L388" s="13" t="n">
        <f aca="false">H388-I388</f>
        <v>-0.00173523426292991</v>
      </c>
      <c r="M388" s="15" t="n">
        <v>0.765910570003491</v>
      </c>
      <c r="N388" s="13" t="n">
        <f aca="false">H388-M388*I388</f>
        <v>-0.00287418462589649</v>
      </c>
      <c r="O388" s="16" t="n">
        <f aca="false">'Results &amp; Charts'!$C$9</f>
        <v>0.613567382430444</v>
      </c>
    </row>
    <row r="389" customFormat="false" ht="15" hidden="false" customHeight="false" outlineLevel="0" collapsed="false">
      <c r="A389" s="14" t="n">
        <f aca="false">'Roll Schedule'!A667</f>
        <v>46111</v>
      </c>
      <c r="B389" s="14" t="n">
        <f aca="false">'Roll Schedule'!A666</f>
        <v>46108</v>
      </c>
      <c r="C389" s="3" t="n">
        <f aca="false">SUMIFS('Spot Data'!$E$5:$E$651,'Spot Data'!$A$5:$A$651,B389,'Spot Data'!$H$5:$H$651,"YES")</f>
        <v>7550</v>
      </c>
      <c r="D389" s="3" t="n">
        <f aca="false">SUMIFS('Spot Data'!$E$5:$E$651,'Spot Data'!$A$5:$A$651,A389,'Spot Data'!$H$5:$H$651,"YES")</f>
        <v>7500</v>
      </c>
      <c r="E389" s="14" t="n">
        <f aca="false">'Roll Schedule'!B667</f>
        <v>46132</v>
      </c>
      <c r="F389" s="3" t="n">
        <f aca="false">SUMIFS('Futures Data'!$C$5:$C$3471,'Futures Data'!$A$5:$A$3471,B389,'Futures Data'!$B$5:$B$3471,E389)</f>
        <v>6561</v>
      </c>
      <c r="G389" s="3" t="n">
        <f aca="false">SUMIFS('Futures Data'!$C$5:$C$3471,'Futures Data'!$A$5:$A$3471,A389,'Futures Data'!$B$5:$B$3471,E389)</f>
        <v>6566</v>
      </c>
      <c r="H389" s="13" t="n">
        <f aca="false">LN(D389/C389)</f>
        <v>-0.00664454271866861</v>
      </c>
      <c r="I389" s="13" t="n">
        <f aca="false">LN(G389/F389)</f>
        <v>0.000761788716660449</v>
      </c>
      <c r="J389" s="3" t="str">
        <f aca="false">IF(A389&lt;='Results &amp; Charts'!$C$5,"In-sample","Out-of-sample")</f>
        <v>Out-of-sample</v>
      </c>
      <c r="K389" s="13" t="n">
        <f aca="false">H389-'Results &amp; Charts'!$C$9*I389</f>
        <v>-0.00711195142751501</v>
      </c>
      <c r="L389" s="13" t="n">
        <f aca="false">H389-I389</f>
        <v>-0.00740633143532906</v>
      </c>
      <c r="M389" s="15" t="n">
        <v>0.775564031147698</v>
      </c>
      <c r="N389" s="13" t="n">
        <f aca="false">H389-M389*I389</f>
        <v>-0.00723535864664462</v>
      </c>
      <c r="O389" s="16" t="n">
        <f aca="false">'Results &amp; Charts'!$C$9</f>
        <v>0.613567382430444</v>
      </c>
    </row>
    <row r="390" customFormat="false" ht="15" hidden="false" customHeight="false" outlineLevel="0" collapsed="false">
      <c r="A390" s="14" t="n">
        <f aca="false">'Roll Schedule'!A668</f>
        <v>46113</v>
      </c>
      <c r="B390" s="14" t="n">
        <f aca="false">'Roll Schedule'!A667</f>
        <v>46111</v>
      </c>
      <c r="C390" s="3" t="n">
        <f aca="false">SUMIFS('Spot Data'!$E$5:$E$651,'Spot Data'!$A$5:$A$651,B390,'Spot Data'!$H$5:$H$651,"YES")</f>
        <v>7500</v>
      </c>
      <c r="D390" s="3" t="n">
        <f aca="false">SUMIFS('Spot Data'!$E$5:$E$651,'Spot Data'!$A$5:$A$651,A390,'Spot Data'!$H$5:$H$651,"YES")</f>
        <v>7500</v>
      </c>
      <c r="E390" s="14" t="n">
        <f aca="false">'Roll Schedule'!B668</f>
        <v>46132</v>
      </c>
      <c r="F390" s="3" t="n">
        <f aca="false">SUMIFS('Futures Data'!$C$5:$C$3471,'Futures Data'!$A$5:$A$3471,B390,'Futures Data'!$B$5:$B$3471,E390)</f>
        <v>6566</v>
      </c>
      <c r="G390" s="3" t="n">
        <f aca="false">SUMIFS('Futures Data'!$C$5:$C$3471,'Futures Data'!$A$5:$A$3471,A390,'Futures Data'!$B$5:$B$3471,E390)</f>
        <v>6495</v>
      </c>
      <c r="H390" s="13" t="n">
        <f aca="false">LN(D390/C390)</f>
        <v>0</v>
      </c>
      <c r="I390" s="13" t="n">
        <f aca="false">LN(G390/F390)</f>
        <v>-0.010872168956838</v>
      </c>
      <c r="J390" s="3" t="str">
        <f aca="false">IF(A390&lt;='Results &amp; Charts'!$C$5,"In-sample","Out-of-sample")</f>
        <v>Out-of-sample</v>
      </c>
      <c r="K390" s="13" t="n">
        <f aca="false">H390-'Results &amp; Charts'!$C$9*I390</f>
        <v>0.00667080824818864</v>
      </c>
      <c r="L390" s="13" t="n">
        <f aca="false">H390-I390</f>
        <v>0.010872168956838</v>
      </c>
      <c r="M390" s="15" t="n">
        <v>0.803585399291911</v>
      </c>
      <c r="N390" s="13" t="n">
        <f aca="false">H390-M390*I390</f>
        <v>0.0087367162323498</v>
      </c>
      <c r="O390" s="16" t="n">
        <f aca="false">'Results &amp; Charts'!$C$9</f>
        <v>0.613567382430444</v>
      </c>
    </row>
    <row r="391" customFormat="false" ht="15" hidden="false" customHeight="false" outlineLevel="0" collapsed="false">
      <c r="A391" s="14" t="n">
        <f aca="false">'Roll Schedule'!A669</f>
        <v>46114</v>
      </c>
      <c r="B391" s="14" t="n">
        <f aca="false">'Roll Schedule'!A668</f>
        <v>46113</v>
      </c>
      <c r="C391" s="3" t="n">
        <f aca="false">SUMIFS('Spot Data'!$E$5:$E$651,'Spot Data'!$A$5:$A$651,B391,'Spot Data'!$H$5:$H$651,"YES")</f>
        <v>7500</v>
      </c>
      <c r="D391" s="3" t="n">
        <f aca="false">SUMIFS('Spot Data'!$E$5:$E$651,'Spot Data'!$A$5:$A$651,A391,'Spot Data'!$H$5:$H$651,"YES")</f>
        <v>7450</v>
      </c>
      <c r="E391" s="14" t="n">
        <f aca="false">'Roll Schedule'!B669</f>
        <v>46132</v>
      </c>
      <c r="F391" s="3" t="n">
        <f aca="false">SUMIFS('Futures Data'!$C$5:$C$3471,'Futures Data'!$A$5:$A$3471,B391,'Futures Data'!$B$5:$B$3471,E391)</f>
        <v>6495</v>
      </c>
      <c r="G391" s="3" t="n">
        <f aca="false">SUMIFS('Futures Data'!$C$5:$C$3471,'Futures Data'!$A$5:$A$3471,A391,'Futures Data'!$B$5:$B$3471,E391)</f>
        <v>6503</v>
      </c>
      <c r="H391" s="13" t="n">
        <f aca="false">LN(D391/C391)</f>
        <v>-0.00668898815079665</v>
      </c>
      <c r="I391" s="13" t="n">
        <f aca="false">LN(G391/F391)</f>
        <v>0.00123095876445197</v>
      </c>
      <c r="J391" s="3" t="str">
        <f aca="false">IF(A391&lt;='Results &amp; Charts'!$C$5,"In-sample","Out-of-sample")</f>
        <v>Out-of-sample</v>
      </c>
      <c r="K391" s="13" t="n">
        <f aca="false">H391-'Results &amp; Charts'!$C$9*I391</f>
        <v>-0.00744426429778126</v>
      </c>
      <c r="L391" s="13" t="n">
        <f aca="false">H391-I391</f>
        <v>-0.00791994691524862</v>
      </c>
      <c r="M391" s="15" t="n">
        <v>0.6475373606224</v>
      </c>
      <c r="N391" s="13" t="n">
        <f aca="false">H391-M391*I391</f>
        <v>-0.00748607994016489</v>
      </c>
      <c r="O391" s="16" t="n">
        <f aca="false">'Results &amp; Charts'!$C$9</f>
        <v>0.613567382430444</v>
      </c>
    </row>
    <row r="392" customFormat="false" ht="15" hidden="false" customHeight="false" outlineLevel="0" collapsed="false">
      <c r="A392" s="14" t="n">
        <f aca="false">'Roll Schedule'!A670</f>
        <v>46118</v>
      </c>
      <c r="B392" s="14" t="n">
        <f aca="false">'Roll Schedule'!A669</f>
        <v>46114</v>
      </c>
      <c r="C392" s="3" t="n">
        <f aca="false">SUMIFS('Spot Data'!$E$5:$E$651,'Spot Data'!$A$5:$A$651,B392,'Spot Data'!$H$5:$H$651,"YES")</f>
        <v>7450</v>
      </c>
      <c r="D392" s="3" t="n">
        <f aca="false">SUMIFS('Spot Data'!$E$5:$E$651,'Spot Data'!$A$5:$A$651,A392,'Spot Data'!$H$5:$H$651,"YES")</f>
        <v>7250</v>
      </c>
      <c r="E392" s="14" t="n">
        <f aca="false">'Roll Schedule'!B670</f>
        <v>46132</v>
      </c>
      <c r="F392" s="3" t="n">
        <f aca="false">SUMIFS('Futures Data'!$C$5:$C$3471,'Futures Data'!$A$5:$A$3471,B392,'Futures Data'!$B$5:$B$3471,E392)</f>
        <v>6503</v>
      </c>
      <c r="G392" s="3" t="n">
        <f aca="false">SUMIFS('Futures Data'!$C$5:$C$3471,'Futures Data'!$A$5:$A$3471,A392,'Futures Data'!$B$5:$B$3471,E392)</f>
        <v>6380</v>
      </c>
      <c r="H392" s="13" t="n">
        <f aca="false">LN(D392/C392)</f>
        <v>-0.0272125635248847</v>
      </c>
      <c r="I392" s="13" t="n">
        <f aca="false">LN(G392/F392)</f>
        <v>-0.0190955115303163</v>
      </c>
      <c r="J392" s="3" t="str">
        <f aca="false">IF(A392&lt;='Results &amp; Charts'!$C$5,"In-sample","Out-of-sample")</f>
        <v>Out-of-sample</v>
      </c>
      <c r="K392" s="13" t="n">
        <f aca="false">H392-'Results &amp; Charts'!$C$9*I392</f>
        <v>-0.0154961804990582</v>
      </c>
      <c r="L392" s="13" t="n">
        <f aca="false">H392-I392</f>
        <v>-0.0081170519945684</v>
      </c>
      <c r="M392" s="15" t="n">
        <v>0.677327353662037</v>
      </c>
      <c r="N392" s="13" t="n">
        <f aca="false">H392-M392*I392</f>
        <v>-0.0142786512332326</v>
      </c>
      <c r="O392" s="16" t="n">
        <f aca="false">'Results &amp; Charts'!$C$9</f>
        <v>0.613567382430444</v>
      </c>
    </row>
    <row r="393" customFormat="false" ht="15" hidden="false" customHeight="false" outlineLevel="0" collapsed="false">
      <c r="A393" s="14" t="n">
        <f aca="false">'Roll Schedule'!A673</f>
        <v>46121</v>
      </c>
      <c r="B393" s="14" t="n">
        <f aca="false">'Roll Schedule'!A672</f>
        <v>46120</v>
      </c>
      <c r="C393" s="3" t="n">
        <f aca="false">SUMIFS('Spot Data'!$E$5:$E$651,'Spot Data'!$A$5:$A$651,B393,'Spot Data'!$H$5:$H$651,"YES")</f>
        <v>7150</v>
      </c>
      <c r="D393" s="3" t="n">
        <f aca="false">SUMIFS('Spot Data'!$E$5:$E$651,'Spot Data'!$A$5:$A$651,A393,'Spot Data'!$H$5:$H$651,"YES")</f>
        <v>7000</v>
      </c>
      <c r="E393" s="14" t="n">
        <f aca="false">'Roll Schedule'!B673</f>
        <v>46162</v>
      </c>
      <c r="F393" s="3" t="n">
        <f aca="false">SUMIFS('Futures Data'!$C$5:$C$3471,'Futures Data'!$A$5:$A$3471,B393,'Futures Data'!$B$5:$B$3471,E393)</f>
        <v>6441</v>
      </c>
      <c r="G393" s="3" t="n">
        <f aca="false">SUMIFS('Futures Data'!$C$5:$C$3471,'Futures Data'!$A$5:$A$3471,A393,'Futures Data'!$B$5:$B$3471,E393)</f>
        <v>6456</v>
      </c>
      <c r="H393" s="13" t="n">
        <f aca="false">LN(D393/C393)</f>
        <v>-0.0212022076506029</v>
      </c>
      <c r="I393" s="13" t="n">
        <f aca="false">LN(G393/F393)</f>
        <v>0.00232612340289404</v>
      </c>
      <c r="J393" s="3" t="str">
        <f aca="false">IF(A393&lt;='Results &amp; Charts'!$C$5,"In-sample","Out-of-sample")</f>
        <v>Out-of-sample</v>
      </c>
      <c r="K393" s="13" t="n">
        <f aca="false">H393-'Results &amp; Charts'!$C$9*I393</f>
        <v>-0.0226294410981268</v>
      </c>
      <c r="L393" s="13" t="n">
        <f aca="false">H393-I393</f>
        <v>-0.023528331053497</v>
      </c>
      <c r="M393" s="15" t="n">
        <v>0.507943043872555</v>
      </c>
      <c r="N393" s="13" t="n">
        <f aca="false">H393-M393*I393</f>
        <v>-0.0223837458522921</v>
      </c>
      <c r="O393" s="16" t="n">
        <f aca="false">'Results &amp; Charts'!$C$9</f>
        <v>0.613567382430444</v>
      </c>
    </row>
    <row r="394" customFormat="false" ht="15" hidden="false" customHeight="false" outlineLevel="0" collapsed="false">
      <c r="A394" s="14" t="n">
        <f aca="false">'Roll Schedule'!A674</f>
        <v>46122</v>
      </c>
      <c r="B394" s="14" t="n">
        <f aca="false">'Roll Schedule'!A673</f>
        <v>46121</v>
      </c>
      <c r="C394" s="3" t="n">
        <f aca="false">SUMIFS('Spot Data'!$E$5:$E$651,'Spot Data'!$A$5:$A$651,B394,'Spot Data'!$H$5:$H$651,"YES")</f>
        <v>7000</v>
      </c>
      <c r="D394" s="3" t="n">
        <f aca="false">SUMIFS('Spot Data'!$E$5:$E$651,'Spot Data'!$A$5:$A$651,A394,'Spot Data'!$H$5:$H$651,"YES")</f>
        <v>6950</v>
      </c>
      <c r="E394" s="14" t="n">
        <f aca="false">'Roll Schedule'!B674</f>
        <v>46162</v>
      </c>
      <c r="F394" s="3" t="n">
        <f aca="false">SUMIFS('Futures Data'!$C$5:$C$3471,'Futures Data'!$A$5:$A$3471,B394,'Futures Data'!$B$5:$B$3471,E394)</f>
        <v>6456</v>
      </c>
      <c r="G394" s="3" t="n">
        <f aca="false">SUMIFS('Futures Data'!$C$5:$C$3471,'Futures Data'!$A$5:$A$3471,A394,'Futures Data'!$B$5:$B$3471,E394)</f>
        <v>6448</v>
      </c>
      <c r="H394" s="13" t="n">
        <f aca="false">LN(D394/C394)</f>
        <v>-0.00716848947861252</v>
      </c>
      <c r="I394" s="13" t="n">
        <f aca="false">LN(G394/F394)</f>
        <v>-0.00123992576332055</v>
      </c>
      <c r="J394" s="3" t="str">
        <f aca="false">IF(A394&lt;='Results &amp; Charts'!$C$5,"In-sample","Out-of-sample")</f>
        <v>Out-of-sample</v>
      </c>
      <c r="K394" s="13" t="n">
        <f aca="false">H394-'Results &amp; Charts'!$C$9*I394</f>
        <v>-0.00640771147360386</v>
      </c>
      <c r="L394" s="13" t="n">
        <f aca="false">H394-I394</f>
        <v>-0.00592856371529197</v>
      </c>
      <c r="M394" s="15" t="n">
        <v>0.534781366473378</v>
      </c>
      <c r="N394" s="13" t="n">
        <f aca="false">H394-M394*I394</f>
        <v>-0.00650540028457841</v>
      </c>
      <c r="O394" s="16" t="n">
        <f aca="false">'Results &amp; Charts'!$C$9</f>
        <v>0.613567382430444</v>
      </c>
    </row>
    <row r="395" customFormat="false" ht="15" hidden="false" customHeight="false" outlineLevel="0" collapsed="false">
      <c r="A395" s="14" t="n">
        <f aca="false">'Roll Schedule'!A675</f>
        <v>46125</v>
      </c>
      <c r="B395" s="14" t="n">
        <f aca="false">'Roll Schedule'!A674</f>
        <v>46122</v>
      </c>
      <c r="C395" s="3" t="n">
        <f aca="false">SUMIFS('Spot Data'!$E$5:$E$651,'Spot Data'!$A$5:$A$651,B395,'Spot Data'!$H$5:$H$651,"YES")</f>
        <v>6950</v>
      </c>
      <c r="D395" s="3" t="n">
        <f aca="false">SUMIFS('Spot Data'!$E$5:$E$651,'Spot Data'!$A$5:$A$651,A395,'Spot Data'!$H$5:$H$651,"YES")</f>
        <v>6950</v>
      </c>
      <c r="E395" s="14" t="n">
        <f aca="false">'Roll Schedule'!B675</f>
        <v>46162</v>
      </c>
      <c r="F395" s="3" t="n">
        <f aca="false">SUMIFS('Futures Data'!$C$5:$C$3471,'Futures Data'!$A$5:$A$3471,B395,'Futures Data'!$B$5:$B$3471,E395)</f>
        <v>6448</v>
      </c>
      <c r="G395" s="3" t="n">
        <f aca="false">SUMIFS('Futures Data'!$C$5:$C$3471,'Futures Data'!$A$5:$A$3471,A395,'Futures Data'!$B$5:$B$3471,E395)</f>
        <v>6475</v>
      </c>
      <c r="H395" s="13" t="n">
        <f aca="false">LN(D395/C395)</f>
        <v>0</v>
      </c>
      <c r="I395" s="13" t="n">
        <f aca="false">LN(G395/F395)</f>
        <v>0.00417860238127423</v>
      </c>
      <c r="J395" s="3" t="str">
        <f aca="false">IF(A395&lt;='Results &amp; Charts'!$C$5,"In-sample","Out-of-sample")</f>
        <v>Out-of-sample</v>
      </c>
      <c r="K395" s="13" t="n">
        <f aca="false">H395-'Results &amp; Charts'!$C$9*I395</f>
        <v>-0.00256385412529605</v>
      </c>
      <c r="L395" s="13" t="n">
        <f aca="false">H395-I395</f>
        <v>-0.00417860238127423</v>
      </c>
      <c r="M395" s="15" t="n">
        <v>0.581604837467312</v>
      </c>
      <c r="N395" s="13" t="n">
        <f aca="false">H395-M395*I395</f>
        <v>-0.00243029535880152</v>
      </c>
      <c r="O395" s="16" t="n">
        <f aca="false">'Results &amp; Charts'!$C$9</f>
        <v>0.613567382430444</v>
      </c>
    </row>
    <row r="396" customFormat="false" ht="15" hidden="false" customHeight="false" outlineLevel="0" collapsed="false">
      <c r="A396" s="14" t="n">
        <f aca="false">'Roll Schedule'!A676</f>
        <v>46127</v>
      </c>
      <c r="B396" s="14" t="n">
        <f aca="false">'Roll Schedule'!A675</f>
        <v>46125</v>
      </c>
      <c r="C396" s="3" t="n">
        <f aca="false">SUMIFS('Spot Data'!$E$5:$E$651,'Spot Data'!$A$5:$A$651,B396,'Spot Data'!$H$5:$H$651,"YES")</f>
        <v>6950</v>
      </c>
      <c r="D396" s="3" t="n">
        <f aca="false">SUMIFS('Spot Data'!$E$5:$E$651,'Spot Data'!$A$5:$A$651,A396,'Spot Data'!$H$5:$H$651,"YES")</f>
        <v>6850</v>
      </c>
      <c r="E396" s="14" t="n">
        <f aca="false">'Roll Schedule'!B676</f>
        <v>46162</v>
      </c>
      <c r="F396" s="3" t="n">
        <f aca="false">SUMIFS('Futures Data'!$C$5:$C$3471,'Futures Data'!$A$5:$A$3471,B396,'Futures Data'!$B$5:$B$3471,E396)</f>
        <v>6475</v>
      </c>
      <c r="G396" s="3" t="n">
        <f aca="false">SUMIFS('Futures Data'!$C$5:$C$3471,'Futures Data'!$A$5:$A$3471,A396,'Futures Data'!$B$5:$B$3471,E396)</f>
        <v>6462</v>
      </c>
      <c r="H396" s="13" t="n">
        <f aca="false">LN(D396/C396)</f>
        <v>-0.0144930073025669</v>
      </c>
      <c r="I396" s="13" t="n">
        <f aca="false">LN(G396/F396)</f>
        <v>-0.00200974018329496</v>
      </c>
      <c r="J396" s="3" t="str">
        <f aca="false">IF(A396&lt;='Results &amp; Charts'!$C$5,"In-sample","Out-of-sample")</f>
        <v>Out-of-sample</v>
      </c>
      <c r="K396" s="13" t="n">
        <f aca="false">H396-'Results &amp; Charts'!$C$9*I396</f>
        <v>-0.0132598962789373</v>
      </c>
      <c r="L396" s="13" t="n">
        <f aca="false">H396-I396</f>
        <v>-0.0124832671192719</v>
      </c>
      <c r="M396" s="15" t="n">
        <v>0.605580789546046</v>
      </c>
      <c r="N396" s="13" t="n">
        <f aca="false">H396-M396*I396</f>
        <v>-0.0132759472555847</v>
      </c>
      <c r="O396" s="16" t="n">
        <f aca="false">'Results &amp; Charts'!$C$9</f>
        <v>0.613567382430444</v>
      </c>
    </row>
    <row r="397" customFormat="false" ht="15" hidden="false" customHeight="false" outlineLevel="0" collapsed="false">
      <c r="A397" s="14" t="n">
        <f aca="false">'Roll Schedule'!A677</f>
        <v>46128</v>
      </c>
      <c r="B397" s="14" t="n">
        <f aca="false">'Roll Schedule'!A676</f>
        <v>46127</v>
      </c>
      <c r="C397" s="3" t="n">
        <f aca="false">SUMIFS('Spot Data'!$E$5:$E$651,'Spot Data'!$A$5:$A$651,B397,'Spot Data'!$H$5:$H$651,"YES")</f>
        <v>6850</v>
      </c>
      <c r="D397" s="3" t="n">
        <f aca="false">SUMIFS('Spot Data'!$E$5:$E$651,'Spot Data'!$A$5:$A$651,A397,'Spot Data'!$H$5:$H$651,"YES")</f>
        <v>6700</v>
      </c>
      <c r="E397" s="14" t="n">
        <f aca="false">'Roll Schedule'!B677</f>
        <v>46162</v>
      </c>
      <c r="F397" s="3" t="n">
        <f aca="false">SUMIFS('Futures Data'!$C$5:$C$3471,'Futures Data'!$A$5:$A$3471,B397,'Futures Data'!$B$5:$B$3471,E397)</f>
        <v>6462</v>
      </c>
      <c r="G397" s="3" t="n">
        <f aca="false">SUMIFS('Futures Data'!$C$5:$C$3471,'Futures Data'!$A$5:$A$3471,A397,'Futures Data'!$B$5:$B$3471,E397)</f>
        <v>6495</v>
      </c>
      <c r="H397" s="13" t="n">
        <f aca="false">LN(D397/C397)</f>
        <v>-0.0221411258772135</v>
      </c>
      <c r="I397" s="13" t="n">
        <f aca="false">LN(G397/F397)</f>
        <v>0.00509378272025642</v>
      </c>
      <c r="J397" s="3" t="str">
        <f aca="false">IF(A397&lt;='Results &amp; Charts'!$C$5,"In-sample","Out-of-sample")</f>
        <v>Out-of-sample</v>
      </c>
      <c r="K397" s="13" t="n">
        <f aca="false">H397-'Results &amp; Charts'!$C$9*I397</f>
        <v>-0.0252665048075507</v>
      </c>
      <c r="L397" s="13" t="n">
        <f aca="false">H397-I397</f>
        <v>-0.0272349085974699</v>
      </c>
      <c r="M397" s="15" t="n">
        <v>0.653825851341239</v>
      </c>
      <c r="N397" s="13" t="n">
        <f aca="false">H397-M397*I397</f>
        <v>-0.0254715727008325</v>
      </c>
      <c r="O397" s="16" t="n">
        <f aca="false">'Results &amp; Charts'!$C$9</f>
        <v>0.613567382430444</v>
      </c>
    </row>
    <row r="398" customFormat="false" ht="15" hidden="false" customHeight="false" outlineLevel="0" collapsed="false">
      <c r="A398" s="14" t="n">
        <f aca="false">'Roll Schedule'!A678</f>
        <v>46129</v>
      </c>
      <c r="B398" s="14" t="n">
        <f aca="false">'Roll Schedule'!A677</f>
        <v>46128</v>
      </c>
      <c r="C398" s="3" t="n">
        <f aca="false">SUMIFS('Spot Data'!$E$5:$E$651,'Spot Data'!$A$5:$A$651,B398,'Spot Data'!$H$5:$H$651,"YES")</f>
        <v>6700</v>
      </c>
      <c r="D398" s="3" t="n">
        <f aca="false">SUMIFS('Spot Data'!$E$5:$E$651,'Spot Data'!$A$5:$A$651,A398,'Spot Data'!$H$5:$H$651,"YES")</f>
        <v>6700</v>
      </c>
      <c r="E398" s="14" t="n">
        <f aca="false">'Roll Schedule'!B678</f>
        <v>46162</v>
      </c>
      <c r="F398" s="3" t="n">
        <f aca="false">SUMIFS('Futures Data'!$C$5:$C$3471,'Futures Data'!$A$5:$A$3471,B398,'Futures Data'!$B$5:$B$3471,E398)</f>
        <v>6495</v>
      </c>
      <c r="G398" s="3" t="n">
        <f aca="false">SUMIFS('Futures Data'!$C$5:$C$3471,'Futures Data'!$A$5:$A$3471,A398,'Futures Data'!$B$5:$B$3471,E398)</f>
        <v>6512</v>
      </c>
      <c r="H398" s="13" t="n">
        <f aca="false">LN(D398/C398)</f>
        <v>0</v>
      </c>
      <c r="I398" s="13" t="n">
        <f aca="false">LN(G398/F398)</f>
        <v>0.00261397857767624</v>
      </c>
      <c r="J398" s="3" t="str">
        <f aca="false">IF(A398&lt;='Results &amp; Charts'!$C$5,"In-sample","Out-of-sample")</f>
        <v>Out-of-sample</v>
      </c>
      <c r="K398" s="13" t="n">
        <f aca="false">H398-'Results &amp; Charts'!$C$9*I398</f>
        <v>-0.00160385199363407</v>
      </c>
      <c r="L398" s="13" t="n">
        <f aca="false">H398-I398</f>
        <v>-0.00261397857767624</v>
      </c>
      <c r="M398" s="15" t="n">
        <v>0.615849580129325</v>
      </c>
      <c r="N398" s="13" t="n">
        <f aca="false">H398-M398*I398</f>
        <v>-0.00160981760952896</v>
      </c>
      <c r="O398" s="16" t="n">
        <f aca="false">'Results &amp; Charts'!$C$9</f>
        <v>0.613567382430444</v>
      </c>
    </row>
    <row r="399" customFormat="false" ht="15" hidden="false" customHeight="false" outlineLevel="0" collapsed="false">
      <c r="A399" s="14" t="n">
        <f aca="false">'Roll Schedule'!A679</f>
        <v>46132</v>
      </c>
      <c r="B399" s="14" t="n">
        <f aca="false">'Roll Schedule'!A678</f>
        <v>46129</v>
      </c>
      <c r="C399" s="3" t="n">
        <f aca="false">SUMIFS('Spot Data'!$E$5:$E$651,'Spot Data'!$A$5:$A$651,B399,'Spot Data'!$H$5:$H$651,"YES")</f>
        <v>6700</v>
      </c>
      <c r="D399" s="3" t="n">
        <f aca="false">SUMIFS('Spot Data'!$E$5:$E$651,'Spot Data'!$A$5:$A$651,A399,'Spot Data'!$H$5:$H$651,"YES")</f>
        <v>6700</v>
      </c>
      <c r="E399" s="14" t="n">
        <f aca="false">'Roll Schedule'!B679</f>
        <v>46162</v>
      </c>
      <c r="F399" s="3" t="n">
        <f aca="false">SUMIFS('Futures Data'!$C$5:$C$3471,'Futures Data'!$A$5:$A$3471,B399,'Futures Data'!$B$5:$B$3471,E399)</f>
        <v>6512</v>
      </c>
      <c r="G399" s="3" t="n">
        <f aca="false">SUMIFS('Futures Data'!$C$5:$C$3471,'Futures Data'!$A$5:$A$3471,A399,'Futures Data'!$B$5:$B$3471,E399)</f>
        <v>6481</v>
      </c>
      <c r="H399" s="13" t="n">
        <f aca="false">LN(D399/C399)</f>
        <v>0</v>
      </c>
      <c r="I399" s="13" t="n">
        <f aca="false">LN(G399/F399)</f>
        <v>-0.00477180925466023</v>
      </c>
      <c r="J399" s="3" t="str">
        <f aca="false">IF(A399&lt;='Results &amp; Charts'!$C$5,"In-sample","Out-of-sample")</f>
        <v>Out-of-sample</v>
      </c>
      <c r="K399" s="13" t="n">
        <f aca="false">H399-'Results &amp; Charts'!$C$9*I399</f>
        <v>0.00292782651383925</v>
      </c>
      <c r="L399" s="13" t="n">
        <f aca="false">H399-I399</f>
        <v>0.00477180925466023</v>
      </c>
      <c r="M399" s="15" t="n">
        <v>0.643593644815868</v>
      </c>
      <c r="N399" s="13" t="n">
        <f aca="false">H399-M399*I399</f>
        <v>0.00307110611057287</v>
      </c>
      <c r="O399" s="16" t="n">
        <f aca="false">'Results &amp; Charts'!$C$9</f>
        <v>0.613567382430444</v>
      </c>
    </row>
    <row r="400" customFormat="false" ht="15" hidden="false" customHeight="false" outlineLevel="0" collapsed="false">
      <c r="A400" s="14" t="n">
        <f aca="false">'Roll Schedule'!A680</f>
        <v>46133</v>
      </c>
      <c r="B400" s="14" t="n">
        <f aca="false">'Roll Schedule'!A679</f>
        <v>46132</v>
      </c>
      <c r="C400" s="3" t="n">
        <f aca="false">SUMIFS('Spot Data'!$E$5:$E$651,'Spot Data'!$A$5:$A$651,B400,'Spot Data'!$H$5:$H$651,"YES")</f>
        <v>6700</v>
      </c>
      <c r="D400" s="3" t="n">
        <f aca="false">SUMIFS('Spot Data'!$E$5:$E$651,'Spot Data'!$A$5:$A$651,A400,'Spot Data'!$H$5:$H$651,"YES")</f>
        <v>6650</v>
      </c>
      <c r="E400" s="14" t="n">
        <f aca="false">'Roll Schedule'!B680</f>
        <v>46162</v>
      </c>
      <c r="F400" s="3" t="n">
        <f aca="false">SUMIFS('Futures Data'!$C$5:$C$3471,'Futures Data'!$A$5:$A$3471,B400,'Futures Data'!$B$5:$B$3471,E400)</f>
        <v>6481</v>
      </c>
      <c r="G400" s="3" t="n">
        <f aca="false">SUMIFS('Futures Data'!$C$5:$C$3471,'Futures Data'!$A$5:$A$3471,A400,'Futures Data'!$B$5:$B$3471,E400)</f>
        <v>6474</v>
      </c>
      <c r="H400" s="13" t="n">
        <f aca="false">LN(D400/C400)</f>
        <v>-0.00749067172915763</v>
      </c>
      <c r="I400" s="13" t="n">
        <f aca="false">LN(G400/F400)</f>
        <v>-0.00108066394152628</v>
      </c>
      <c r="J400" s="3" t="str">
        <f aca="false">IF(A400&lt;='Results &amp; Charts'!$C$5,"In-sample","Out-of-sample")</f>
        <v>Out-of-sample</v>
      </c>
      <c r="K400" s="13" t="n">
        <f aca="false">H400-'Results &amp; Charts'!$C$9*I400</f>
        <v>-0.00682761158326838</v>
      </c>
      <c r="L400" s="13" t="n">
        <f aca="false">H400-I400</f>
        <v>-0.00641000778763135</v>
      </c>
      <c r="M400" s="15" t="n">
        <v>0.651987927273199</v>
      </c>
      <c r="N400" s="13" t="n">
        <f aca="false">H400-M400*I400</f>
        <v>-0.00678609188584302</v>
      </c>
      <c r="O400" s="16" t="n">
        <f aca="false">'Results &amp; Charts'!$C$9</f>
        <v>0.613567382430444</v>
      </c>
    </row>
    <row r="401" customFormat="false" ht="15" hidden="false" customHeight="false" outlineLevel="0" collapsed="false">
      <c r="A401" s="14" t="n">
        <f aca="false">'Roll Schedule'!A681</f>
        <v>46134</v>
      </c>
      <c r="B401" s="14" t="n">
        <f aca="false">'Roll Schedule'!A680</f>
        <v>46133</v>
      </c>
      <c r="C401" s="3" t="n">
        <f aca="false">SUMIFS('Spot Data'!$E$5:$E$651,'Spot Data'!$A$5:$A$651,B401,'Spot Data'!$H$5:$H$651,"YES")</f>
        <v>6650</v>
      </c>
      <c r="D401" s="3" t="n">
        <f aca="false">SUMIFS('Spot Data'!$E$5:$E$651,'Spot Data'!$A$5:$A$651,A401,'Spot Data'!$H$5:$H$651,"YES")</f>
        <v>6650</v>
      </c>
      <c r="E401" s="14" t="n">
        <f aca="false">'Roll Schedule'!B681</f>
        <v>46162</v>
      </c>
      <c r="F401" s="3" t="n">
        <f aca="false">SUMIFS('Futures Data'!$C$5:$C$3471,'Futures Data'!$A$5:$A$3471,B401,'Futures Data'!$B$5:$B$3471,E401)</f>
        <v>6474</v>
      </c>
      <c r="G401" s="3" t="n">
        <f aca="false">SUMIFS('Futures Data'!$C$5:$C$3471,'Futures Data'!$A$5:$A$3471,A401,'Futures Data'!$B$5:$B$3471,E401)</f>
        <v>6492</v>
      </c>
      <c r="H401" s="13" t="n">
        <f aca="false">LN(D401/C401)</f>
        <v>0</v>
      </c>
      <c r="I401" s="13" t="n">
        <f aca="false">LN(G401/F401)</f>
        <v>0.00277649414829222</v>
      </c>
      <c r="J401" s="3" t="str">
        <f aca="false">IF(A401&lt;='Results &amp; Charts'!$C$5,"In-sample","Out-of-sample")</f>
        <v>Out-of-sample</v>
      </c>
      <c r="K401" s="13" t="n">
        <f aca="false">H401-'Results &amp; Charts'!$C$9*I401</f>
        <v>-0.00170356624690111</v>
      </c>
      <c r="L401" s="13" t="n">
        <f aca="false">H401-I401</f>
        <v>-0.00277649414829222</v>
      </c>
      <c r="M401" s="15" t="n">
        <v>0.688224165668898</v>
      </c>
      <c r="N401" s="13" t="n">
        <f aca="false">H401-M401*I401</f>
        <v>-0.00191085036869299</v>
      </c>
      <c r="O401" s="16" t="n">
        <f aca="false">'Results &amp; Charts'!$C$9</f>
        <v>0.613567382430444</v>
      </c>
    </row>
    <row r="402" customFormat="false" ht="15" hidden="false" customHeight="false" outlineLevel="0" collapsed="false">
      <c r="A402" s="14" t="n">
        <f aca="false">'Roll Schedule'!A682</f>
        <v>46135</v>
      </c>
      <c r="B402" s="14" t="n">
        <f aca="false">'Roll Schedule'!A681</f>
        <v>46134</v>
      </c>
      <c r="C402" s="3" t="n">
        <f aca="false">SUMIFS('Spot Data'!$E$5:$E$651,'Spot Data'!$A$5:$A$651,B402,'Spot Data'!$H$5:$H$651,"YES")</f>
        <v>6650</v>
      </c>
      <c r="D402" s="3" t="n">
        <f aca="false">SUMIFS('Spot Data'!$E$5:$E$651,'Spot Data'!$A$5:$A$651,A402,'Spot Data'!$H$5:$H$651,"YES")</f>
        <v>6750</v>
      </c>
      <c r="E402" s="14" t="n">
        <f aca="false">'Roll Schedule'!B682</f>
        <v>46162</v>
      </c>
      <c r="F402" s="3" t="n">
        <f aca="false">SUMIFS('Futures Data'!$C$5:$C$3471,'Futures Data'!$A$5:$A$3471,B402,'Futures Data'!$B$5:$B$3471,E402)</f>
        <v>6492</v>
      </c>
      <c r="G402" s="3" t="n">
        <f aca="false">SUMIFS('Futures Data'!$C$5:$C$3471,'Futures Data'!$A$5:$A$3471,A402,'Futures Data'!$B$5:$B$3471,E402)</f>
        <v>6507</v>
      </c>
      <c r="H402" s="13" t="n">
        <f aca="false">LN(D402/C402)</f>
        <v>0.0149256502166758</v>
      </c>
      <c r="I402" s="13" t="n">
        <f aca="false">LN(G402/F402)</f>
        <v>0.00230787086050221</v>
      </c>
      <c r="J402" s="3" t="str">
        <f aca="false">IF(A402&lt;='Results &amp; Charts'!$C$5,"In-sample","Out-of-sample")</f>
        <v>Out-of-sample</v>
      </c>
      <c r="K402" s="13" t="n">
        <f aca="false">H402-'Results &amp; Charts'!$C$9*I402</f>
        <v>0.01350961593381</v>
      </c>
      <c r="L402" s="13" t="n">
        <f aca="false">H402-I402</f>
        <v>0.0126177793561736</v>
      </c>
      <c r="M402" s="15" t="n">
        <v>0.703720538708901</v>
      </c>
      <c r="N402" s="13" t="n">
        <f aca="false">H402-M402*I402</f>
        <v>0.0133015540914526</v>
      </c>
      <c r="O402" s="16" t="n">
        <f aca="false">'Results &amp; Charts'!$C$9</f>
        <v>0.613567382430444</v>
      </c>
    </row>
    <row r="403" customFormat="false" ht="15" hidden="false" customHeight="false" outlineLevel="0" collapsed="false">
      <c r="A403" s="14" t="n">
        <f aca="false">'Roll Schedule'!A683</f>
        <v>46136</v>
      </c>
      <c r="B403" s="14" t="n">
        <f aca="false">'Roll Schedule'!A682</f>
        <v>46135</v>
      </c>
      <c r="C403" s="3" t="n">
        <f aca="false">SUMIFS('Spot Data'!$E$5:$E$651,'Spot Data'!$A$5:$A$651,B403,'Spot Data'!$H$5:$H$651,"YES")</f>
        <v>6750</v>
      </c>
      <c r="D403" s="3" t="n">
        <f aca="false">SUMIFS('Spot Data'!$E$5:$E$651,'Spot Data'!$A$5:$A$651,A403,'Spot Data'!$H$5:$H$651,"YES")</f>
        <v>6750</v>
      </c>
      <c r="E403" s="14" t="n">
        <f aca="false">'Roll Schedule'!B683</f>
        <v>46162</v>
      </c>
      <c r="F403" s="3" t="n">
        <f aca="false">SUMIFS('Futures Data'!$C$5:$C$3471,'Futures Data'!$A$5:$A$3471,B403,'Futures Data'!$B$5:$B$3471,E403)</f>
        <v>6507</v>
      </c>
      <c r="G403" s="3" t="n">
        <f aca="false">SUMIFS('Futures Data'!$C$5:$C$3471,'Futures Data'!$A$5:$A$3471,A403,'Futures Data'!$B$5:$B$3471,E403)</f>
        <v>6502</v>
      </c>
      <c r="H403" s="13" t="n">
        <f aca="false">LN(D403/C403)</f>
        <v>0</v>
      </c>
      <c r="I403" s="13" t="n">
        <f aca="false">LN(G403/F403)</f>
        <v>-0.000768698631133454</v>
      </c>
      <c r="J403" s="3" t="str">
        <f aca="false">IF(A403&lt;='Results &amp; Charts'!$C$5,"In-sample","Out-of-sample")</f>
        <v>Out-of-sample</v>
      </c>
      <c r="K403" s="13" t="n">
        <f aca="false">H403-'Results &amp; Charts'!$C$9*I403</f>
        <v>0.000471648406982419</v>
      </c>
      <c r="L403" s="13" t="n">
        <f aca="false">H403-I403</f>
        <v>0.000768698631133454</v>
      </c>
      <c r="M403" s="15" t="n">
        <v>0.738547804416822</v>
      </c>
      <c r="N403" s="13" t="n">
        <f aca="false">H403-M403*I403</f>
        <v>0.000567720686281828</v>
      </c>
      <c r="O403" s="16" t="n">
        <f aca="false">'Results &amp; Charts'!$C$9</f>
        <v>0.613567382430444</v>
      </c>
    </row>
    <row r="404" customFormat="false" ht="15" hidden="false" customHeight="false" outlineLevel="0" collapsed="false">
      <c r="A404" s="14" t="n">
        <f aca="false">'Roll Schedule'!A684</f>
        <v>46139</v>
      </c>
      <c r="B404" s="14" t="n">
        <f aca="false">'Roll Schedule'!A683</f>
        <v>46136</v>
      </c>
      <c r="C404" s="3" t="n">
        <f aca="false">SUMIFS('Spot Data'!$E$5:$E$651,'Spot Data'!$A$5:$A$651,B404,'Spot Data'!$H$5:$H$651,"YES")</f>
        <v>6750</v>
      </c>
      <c r="D404" s="3" t="n">
        <f aca="false">SUMIFS('Spot Data'!$E$5:$E$651,'Spot Data'!$A$5:$A$651,A404,'Spot Data'!$H$5:$H$651,"YES")</f>
        <v>7000</v>
      </c>
      <c r="E404" s="14" t="n">
        <f aca="false">'Roll Schedule'!B684</f>
        <v>46162</v>
      </c>
      <c r="F404" s="3" t="n">
        <f aca="false">SUMIFS('Futures Data'!$C$5:$C$3471,'Futures Data'!$A$5:$A$3471,B404,'Futures Data'!$B$5:$B$3471,E404)</f>
        <v>6502</v>
      </c>
      <c r="G404" s="3" t="n">
        <f aca="false">SUMIFS('Futures Data'!$C$5:$C$3471,'Futures Data'!$A$5:$A$3471,A404,'Futures Data'!$B$5:$B$3471,E404)</f>
        <v>6468</v>
      </c>
      <c r="H404" s="13" t="n">
        <f aca="false">LN(D404/C404)</f>
        <v>0.0363676441708748</v>
      </c>
      <c r="I404" s="13" t="n">
        <f aca="false">LN(G404/F404)</f>
        <v>-0.0052428801668532</v>
      </c>
      <c r="J404" s="3" t="str">
        <f aca="false">IF(A404&lt;='Results &amp; Charts'!$C$5,"In-sample","Out-of-sample")</f>
        <v>Out-of-sample</v>
      </c>
      <c r="K404" s="13" t="n">
        <f aca="false">H404-'Results &amp; Charts'!$C$9*I404</f>
        <v>0.0395845044312474</v>
      </c>
      <c r="L404" s="13" t="n">
        <f aca="false">H404-I404</f>
        <v>0.041610524337728</v>
      </c>
      <c r="M404" s="15" t="n">
        <v>0.764990184984002</v>
      </c>
      <c r="N404" s="13" t="n">
        <f aca="false">H404-M404*I404</f>
        <v>0.0403783960395648</v>
      </c>
      <c r="O404" s="16" t="n">
        <f aca="false">'Results &amp; Charts'!$C$9</f>
        <v>0.613567382430444</v>
      </c>
    </row>
    <row r="405" customFormat="false" ht="15" hidden="false" customHeight="false" outlineLevel="0" collapsed="false">
      <c r="A405" s="14" t="n">
        <f aca="false">'Roll Schedule'!A685</f>
        <v>46140</v>
      </c>
      <c r="B405" s="14" t="n">
        <f aca="false">'Roll Schedule'!A684</f>
        <v>46139</v>
      </c>
      <c r="C405" s="3" t="n">
        <f aca="false">SUMIFS('Spot Data'!$E$5:$E$651,'Spot Data'!$A$5:$A$651,B405,'Spot Data'!$H$5:$H$651,"YES")</f>
        <v>7000</v>
      </c>
      <c r="D405" s="3" t="n">
        <f aca="false">SUMIFS('Spot Data'!$E$5:$E$651,'Spot Data'!$A$5:$A$651,A405,'Spot Data'!$H$5:$H$651,"YES")</f>
        <v>7100</v>
      </c>
      <c r="E405" s="14" t="n">
        <f aca="false">'Roll Schedule'!B685</f>
        <v>46162</v>
      </c>
      <c r="F405" s="3" t="n">
        <f aca="false">SUMIFS('Futures Data'!$C$5:$C$3471,'Futures Data'!$A$5:$A$3471,B405,'Futures Data'!$B$5:$B$3471,E405)</f>
        <v>6468</v>
      </c>
      <c r="G405" s="3" t="n">
        <f aca="false">SUMIFS('Futures Data'!$C$5:$C$3471,'Futures Data'!$A$5:$A$3471,A405,'Futures Data'!$B$5:$B$3471,E405)</f>
        <v>6507</v>
      </c>
      <c r="H405" s="13" t="n">
        <f aca="false">LN(D405/C405)</f>
        <v>0.0141846349919564</v>
      </c>
      <c r="I405" s="13" t="n">
        <f aca="false">LN(G405/F405)</f>
        <v>0.00601157879798663</v>
      </c>
      <c r="J405" s="3" t="str">
        <f aca="false">IF(A405&lt;='Results &amp; Charts'!$C$5,"In-sample","Out-of-sample")</f>
        <v>Out-of-sample</v>
      </c>
      <c r="K405" s="13" t="n">
        <f aca="false">H405-'Results &amp; Charts'!$C$9*I405</f>
        <v>0.0104961263246014</v>
      </c>
      <c r="L405" s="13" t="n">
        <f aca="false">H405-I405</f>
        <v>0.00817305619396976</v>
      </c>
      <c r="M405" s="15" t="n">
        <v>0.656710161815866</v>
      </c>
      <c r="N405" s="13" t="n">
        <f aca="false">H405-M405*I405</f>
        <v>0.0102367701067618</v>
      </c>
      <c r="O405" s="16" t="n">
        <f aca="false">'Results &amp; Charts'!$C$9</f>
        <v>0.613567382430444</v>
      </c>
    </row>
    <row r="406" customFormat="false" ht="15" hidden="false" customHeight="false" outlineLevel="0" collapsed="false">
      <c r="A406" s="14" t="n">
        <f aca="false">'Roll Schedule'!A686</f>
        <v>46141</v>
      </c>
      <c r="B406" s="14" t="n">
        <f aca="false">'Roll Schedule'!A685</f>
        <v>46140</v>
      </c>
      <c r="C406" s="3" t="n">
        <f aca="false">SUMIFS('Spot Data'!$E$5:$E$651,'Spot Data'!$A$5:$A$651,B406,'Spot Data'!$H$5:$H$651,"YES")</f>
        <v>7100</v>
      </c>
      <c r="D406" s="3" t="n">
        <f aca="false">SUMIFS('Spot Data'!$E$5:$E$651,'Spot Data'!$A$5:$A$651,A406,'Spot Data'!$H$5:$H$651,"YES")</f>
        <v>7050</v>
      </c>
      <c r="E406" s="14" t="n">
        <f aca="false">'Roll Schedule'!B686</f>
        <v>46162</v>
      </c>
      <c r="F406" s="3" t="n">
        <f aca="false">SUMIFS('Futures Data'!$C$5:$C$3471,'Futures Data'!$A$5:$A$3471,B406,'Futures Data'!$B$5:$B$3471,E406)</f>
        <v>6507</v>
      </c>
      <c r="G406" s="3" t="n">
        <f aca="false">SUMIFS('Futures Data'!$C$5:$C$3471,'Futures Data'!$A$5:$A$3471,A406,'Futures Data'!$B$5:$B$3471,E406)</f>
        <v>6519</v>
      </c>
      <c r="H406" s="13" t="n">
        <f aca="false">LN(D406/C406)</f>
        <v>-0.00706716722309244</v>
      </c>
      <c r="I406" s="13" t="n">
        <f aca="false">LN(G406/F406)</f>
        <v>0.00184246942955525</v>
      </c>
      <c r="J406" s="3" t="str">
        <f aca="false">IF(A406&lt;='Results &amp; Charts'!$C$5,"In-sample","Out-of-sample")</f>
        <v>Out-of-sample</v>
      </c>
      <c r="K406" s="13" t="n">
        <f aca="false">H406-'Results &amp; Charts'!$C$9*I406</f>
        <v>-0.00819764636819277</v>
      </c>
      <c r="L406" s="13" t="n">
        <f aca="false">H406-I406</f>
        <v>-0.0089096366526477</v>
      </c>
      <c r="M406" s="15" t="n">
        <v>0.653031029835649</v>
      </c>
      <c r="N406" s="13" t="n">
        <f aca="false">H406-M406*I406</f>
        <v>-0.00827035693211561</v>
      </c>
      <c r="O406" s="16" t="n">
        <f aca="false">'Results &amp; Charts'!$C$9</f>
        <v>0.613567382430444</v>
      </c>
    </row>
    <row r="407" customFormat="false" ht="15" hidden="false" customHeight="false" outlineLevel="0" collapsed="false">
      <c r="A407" s="14" t="n">
        <f aca="false">'Roll Schedule'!A687</f>
        <v>46142</v>
      </c>
      <c r="B407" s="14" t="n">
        <f aca="false">'Roll Schedule'!A686</f>
        <v>46141</v>
      </c>
      <c r="C407" s="3" t="n">
        <f aca="false">SUMIFS('Spot Data'!$E$5:$E$651,'Spot Data'!$A$5:$A$651,B407,'Spot Data'!$H$5:$H$651,"YES")</f>
        <v>7050</v>
      </c>
      <c r="D407" s="3" t="n">
        <f aca="false">SUMIFS('Spot Data'!$E$5:$E$651,'Spot Data'!$A$5:$A$651,A407,'Spot Data'!$H$5:$H$651,"YES")</f>
        <v>7150</v>
      </c>
      <c r="E407" s="14" t="n">
        <f aca="false">'Roll Schedule'!B687</f>
        <v>46162</v>
      </c>
      <c r="F407" s="3" t="n">
        <f aca="false">SUMIFS('Futures Data'!$C$5:$C$3471,'Futures Data'!$A$5:$A$3471,B407,'Futures Data'!$B$5:$B$3471,E407)</f>
        <v>6519</v>
      </c>
      <c r="G407" s="3" t="n">
        <f aca="false">SUMIFS('Futures Data'!$C$5:$C$3471,'Futures Data'!$A$5:$A$3471,A407,'Futures Data'!$B$5:$B$3471,E407)</f>
        <v>6545</v>
      </c>
      <c r="H407" s="13" t="n">
        <f aca="false">LN(D407/C407)</f>
        <v>0.014084739881739</v>
      </c>
      <c r="I407" s="13" t="n">
        <f aca="false">LN(G407/F407)</f>
        <v>0.00398040941946105</v>
      </c>
      <c r="J407" s="3" t="str">
        <f aca="false">IF(A407&lt;='Results &amp; Charts'!$C$5,"In-sample","Out-of-sample")</f>
        <v>Out-of-sample</v>
      </c>
      <c r="K407" s="13" t="n">
        <f aca="false">H407-'Results &amp; Charts'!$C$9*I407</f>
        <v>0.0116424904932388</v>
      </c>
      <c r="L407" s="13" t="n">
        <f aca="false">H407-I407</f>
        <v>0.010104330462278</v>
      </c>
      <c r="M407" s="15" t="n">
        <v>0.663712467384388</v>
      </c>
      <c r="N407" s="13" t="n">
        <f aca="false">H407-M407*I407</f>
        <v>0.0114428925247485</v>
      </c>
      <c r="O407" s="16" t="n">
        <f aca="false">'Results &amp; Charts'!$C$9</f>
        <v>0.613567382430444</v>
      </c>
    </row>
    <row r="408" customFormat="false" ht="15" hidden="false" customHeight="false" outlineLevel="0" collapsed="false">
      <c r="A408" s="14" t="n">
        <f aca="false">'Roll Schedule'!A688</f>
        <v>46146</v>
      </c>
      <c r="B408" s="14" t="n">
        <f aca="false">'Roll Schedule'!A687</f>
        <v>46142</v>
      </c>
      <c r="C408" s="3" t="n">
        <f aca="false">SUMIFS('Spot Data'!$E$5:$E$651,'Spot Data'!$A$5:$A$651,B408,'Spot Data'!$H$5:$H$651,"YES")</f>
        <v>7150</v>
      </c>
      <c r="D408" s="3" t="n">
        <f aca="false">SUMIFS('Spot Data'!$E$5:$E$651,'Spot Data'!$A$5:$A$651,A408,'Spot Data'!$H$5:$H$651,"YES")</f>
        <v>7400</v>
      </c>
      <c r="E408" s="14" t="n">
        <f aca="false">'Roll Schedule'!B688</f>
        <v>46162</v>
      </c>
      <c r="F408" s="3" t="n">
        <f aca="false">SUMIFS('Futures Data'!$C$5:$C$3471,'Futures Data'!$A$5:$A$3471,B408,'Futures Data'!$B$5:$B$3471,E408)</f>
        <v>6545</v>
      </c>
      <c r="G408" s="3" t="n">
        <f aca="false">SUMIFS('Futures Data'!$C$5:$C$3471,'Futures Data'!$A$5:$A$3471,A408,'Futures Data'!$B$5:$B$3471,E408)</f>
        <v>6529</v>
      </c>
      <c r="H408" s="13" t="n">
        <f aca="false">LN(D408/C408)</f>
        <v>0.0343676435042078</v>
      </c>
      <c r="I408" s="13" t="n">
        <f aca="false">LN(G408/F408)</f>
        <v>-0.00244760715736681</v>
      </c>
      <c r="J408" s="3" t="str">
        <f aca="false">IF(A408&lt;='Results &amp; Charts'!$C$5,"In-sample","Out-of-sample")</f>
        <v>Out-of-sample</v>
      </c>
      <c r="K408" s="13" t="n">
        <f aca="false">H408-'Results &amp; Charts'!$C$9*I408</f>
        <v>0.0358694154209714</v>
      </c>
      <c r="L408" s="13" t="n">
        <f aca="false">H408-I408</f>
        <v>0.0368152506615746</v>
      </c>
      <c r="M408" s="15" t="n">
        <v>0.683042450733161</v>
      </c>
      <c r="N408" s="13" t="n">
        <f aca="false">H408-M408*I408</f>
        <v>0.0360394630954077</v>
      </c>
      <c r="O408" s="16" t="n">
        <f aca="false">'Results &amp; Charts'!$C$9</f>
        <v>0.613567382430444</v>
      </c>
    </row>
    <row r="409" customFormat="false" ht="15" hidden="false" customHeight="false" outlineLevel="0" collapsed="false">
      <c r="A409" s="14" t="n">
        <f aca="false">'Roll Schedule'!A689</f>
        <v>46147</v>
      </c>
      <c r="B409" s="14" t="n">
        <f aca="false">'Roll Schedule'!A688</f>
        <v>46146</v>
      </c>
      <c r="C409" s="3" t="n">
        <f aca="false">SUMIFS('Spot Data'!$E$5:$E$651,'Spot Data'!$A$5:$A$651,B409,'Spot Data'!$H$5:$H$651,"YES")</f>
        <v>7400</v>
      </c>
      <c r="D409" s="3" t="n">
        <f aca="false">SUMIFS('Spot Data'!$E$5:$E$651,'Spot Data'!$A$5:$A$651,A409,'Spot Data'!$H$5:$H$651,"YES")</f>
        <v>7450</v>
      </c>
      <c r="E409" s="14" t="n">
        <f aca="false">'Roll Schedule'!B689</f>
        <v>46162</v>
      </c>
      <c r="F409" s="3" t="n">
        <f aca="false">SUMIFS('Futures Data'!$C$5:$C$3471,'Futures Data'!$A$5:$A$3471,B409,'Futures Data'!$B$5:$B$3471,E409)</f>
        <v>6529</v>
      </c>
      <c r="G409" s="3" t="n">
        <f aca="false">SUMIFS('Futures Data'!$C$5:$C$3471,'Futures Data'!$A$5:$A$3471,A409,'Futures Data'!$B$5:$B$3471,E409)</f>
        <v>6516</v>
      </c>
      <c r="H409" s="13" t="n">
        <f aca="false">LN(D409/C409)</f>
        <v>0.00673403218134412</v>
      </c>
      <c r="I409" s="13" t="n">
        <f aca="false">LN(G409/F409)</f>
        <v>-0.00199310146469773</v>
      </c>
      <c r="J409" s="3" t="str">
        <f aca="false">IF(A409&lt;='Results &amp; Charts'!$C$5,"In-sample","Out-of-sample")</f>
        <v>Out-of-sample</v>
      </c>
      <c r="K409" s="13" t="n">
        <f aca="false">H409-'Results &amp; Charts'!$C$9*I409</f>
        <v>0.00795693422995699</v>
      </c>
      <c r="L409" s="13" t="n">
        <f aca="false">H409-I409</f>
        <v>0.00872713364604185</v>
      </c>
      <c r="M409" s="15" t="n">
        <v>0.66387721084613</v>
      </c>
      <c r="N409" s="13" t="n">
        <f aca="false">H409-M409*I409</f>
        <v>0.00805720682266099</v>
      </c>
      <c r="O409" s="16" t="n">
        <f aca="false">'Results &amp; Charts'!$C$9</f>
        <v>0.613567382430444</v>
      </c>
    </row>
    <row r="410" customFormat="false" ht="15" hidden="false" customHeight="false" outlineLevel="0" collapsed="false">
      <c r="A410" s="14" t="n">
        <f aca="false">'Roll Schedule'!A690</f>
        <v>46148</v>
      </c>
      <c r="B410" s="14" t="n">
        <f aca="false">'Roll Schedule'!A689</f>
        <v>46147</v>
      </c>
      <c r="C410" s="3" t="n">
        <f aca="false">SUMIFS('Spot Data'!$E$5:$E$651,'Spot Data'!$A$5:$A$651,B410,'Spot Data'!$H$5:$H$651,"YES")</f>
        <v>7450</v>
      </c>
      <c r="D410" s="3" t="n">
        <f aca="false">SUMIFS('Spot Data'!$E$5:$E$651,'Spot Data'!$A$5:$A$651,A410,'Spot Data'!$H$5:$H$651,"YES")</f>
        <v>7520</v>
      </c>
      <c r="E410" s="14" t="n">
        <f aca="false">'Roll Schedule'!B690</f>
        <v>46162</v>
      </c>
      <c r="F410" s="3" t="n">
        <f aca="false">SUMIFS('Futures Data'!$C$5:$C$3471,'Futures Data'!$A$5:$A$3471,B410,'Futures Data'!$B$5:$B$3471,E410)</f>
        <v>6516</v>
      </c>
      <c r="G410" s="3" t="n">
        <f aca="false">SUMIFS('Futures Data'!$C$5:$C$3471,'Futures Data'!$A$5:$A$3471,A410,'Futures Data'!$B$5:$B$3471,E410)</f>
        <v>6484</v>
      </c>
      <c r="H410" s="13" t="n">
        <f aca="false">LN(D410/C410)</f>
        <v>0.00935210557028036</v>
      </c>
      <c r="I410" s="13" t="n">
        <f aca="false">LN(G410/F410)</f>
        <v>-0.00492308686636902</v>
      </c>
      <c r="J410" s="3" t="str">
        <f aca="false">IF(A410&lt;='Results &amp; Charts'!$C$5,"In-sample","Out-of-sample")</f>
        <v>Out-of-sample</v>
      </c>
      <c r="K410" s="13" t="n">
        <f aca="false">H410-'Results &amp; Charts'!$C$9*I410</f>
        <v>0.0123727510923561</v>
      </c>
      <c r="L410" s="13" t="n">
        <f aca="false">H410-I410</f>
        <v>0.0142751924366494</v>
      </c>
      <c r="M410" s="15" t="n">
        <v>0.673365460661613</v>
      </c>
      <c r="N410" s="13" t="n">
        <f aca="false">H410-M410*I410</f>
        <v>0.0126671422259301</v>
      </c>
      <c r="O410" s="16" t="n">
        <f aca="false">'Results &amp; Charts'!$C$9</f>
        <v>0.613567382430444</v>
      </c>
    </row>
    <row r="411" customFormat="false" ht="15" hidden="false" customHeight="false" outlineLevel="0" collapsed="false">
      <c r="A411" s="14" t="n">
        <f aca="false">'Roll Schedule'!A691</f>
        <v>46149</v>
      </c>
      <c r="B411" s="14" t="n">
        <f aca="false">'Roll Schedule'!A690</f>
        <v>46148</v>
      </c>
      <c r="C411" s="3" t="n">
        <f aca="false">SUMIFS('Spot Data'!$E$5:$E$651,'Spot Data'!$A$5:$A$651,B411,'Spot Data'!$H$5:$H$651,"YES")</f>
        <v>7520</v>
      </c>
      <c r="D411" s="3" t="n">
        <f aca="false">SUMIFS('Spot Data'!$E$5:$E$651,'Spot Data'!$A$5:$A$651,A411,'Spot Data'!$H$5:$H$651,"YES")</f>
        <v>7400</v>
      </c>
      <c r="E411" s="14" t="n">
        <f aca="false">'Roll Schedule'!B691</f>
        <v>46162</v>
      </c>
      <c r="F411" s="3" t="n">
        <f aca="false">SUMIFS('Futures Data'!$C$5:$C$3471,'Futures Data'!$A$5:$A$3471,B411,'Futures Data'!$B$5:$B$3471,E411)</f>
        <v>6484</v>
      </c>
      <c r="G411" s="3" t="n">
        <f aca="false">SUMIFS('Futures Data'!$C$5:$C$3471,'Futures Data'!$A$5:$A$3471,A411,'Futures Data'!$B$5:$B$3471,E411)</f>
        <v>6501</v>
      </c>
      <c r="H411" s="13" t="n">
        <f aca="false">LN(D411/C411)</f>
        <v>-0.0160861377516244</v>
      </c>
      <c r="I411" s="13" t="n">
        <f aca="false">LN(G411/F411)</f>
        <v>0.00261840734890197</v>
      </c>
      <c r="J411" s="3" t="str">
        <f aca="false">IF(A411&lt;='Results &amp; Charts'!$C$5,"In-sample","Out-of-sample")</f>
        <v>Out-of-sample</v>
      </c>
      <c r="K411" s="13" t="n">
        <f aca="false">H411-'Results &amp; Charts'!$C$9*I411</f>
        <v>-0.0176927070948268</v>
      </c>
      <c r="L411" s="13" t="n">
        <f aca="false">H411-I411</f>
        <v>-0.0187045451005263</v>
      </c>
      <c r="M411" s="15" t="n">
        <v>0.629681864061068</v>
      </c>
      <c r="N411" s="13" t="n">
        <f aca="false">H411-M411*I411</f>
        <v>-0.0177349013719522</v>
      </c>
      <c r="O411" s="16" t="n">
        <f aca="false">'Results &amp; Charts'!$C$9</f>
        <v>0.613567382430444</v>
      </c>
    </row>
    <row r="412" customFormat="false" ht="15" hidden="false" customHeight="false" outlineLevel="0" collapsed="false">
      <c r="A412" s="14" t="n">
        <f aca="false">'Roll Schedule'!A692</f>
        <v>46150</v>
      </c>
      <c r="B412" s="14" t="n">
        <f aca="false">'Roll Schedule'!A691</f>
        <v>46149</v>
      </c>
      <c r="C412" s="3" t="n">
        <f aca="false">SUMIFS('Spot Data'!$E$5:$E$651,'Spot Data'!$A$5:$A$651,B412,'Spot Data'!$H$5:$H$651,"YES")</f>
        <v>7400</v>
      </c>
      <c r="D412" s="3" t="n">
        <f aca="false">SUMIFS('Spot Data'!$E$5:$E$651,'Spot Data'!$A$5:$A$651,A412,'Spot Data'!$H$5:$H$651,"YES")</f>
        <v>7550</v>
      </c>
      <c r="E412" s="14" t="n">
        <f aca="false">'Roll Schedule'!B692</f>
        <v>46192</v>
      </c>
      <c r="F412" s="3" t="n">
        <f aca="false">SUMIFS('Futures Data'!$C$5:$C$3471,'Futures Data'!$A$5:$A$3471,B412,'Futures Data'!$B$5:$B$3471,E412)</f>
        <v>6592</v>
      </c>
      <c r="G412" s="3" t="n">
        <f aca="false">SUMIFS('Futures Data'!$C$5:$C$3471,'Futures Data'!$A$5:$A$3471,A412,'Futures Data'!$B$5:$B$3471,E412)</f>
        <v>6572</v>
      </c>
      <c r="H412" s="13" t="n">
        <f aca="false">LN(D412/C412)</f>
        <v>0.0200675630508092</v>
      </c>
      <c r="I412" s="13" t="n">
        <f aca="false">LN(G412/F412)</f>
        <v>-0.0030385924321489</v>
      </c>
      <c r="J412" s="3" t="str">
        <f aca="false">IF(A412&lt;='Results &amp; Charts'!$C$5,"In-sample","Out-of-sample")</f>
        <v>Out-of-sample</v>
      </c>
      <c r="K412" s="13" t="n">
        <f aca="false">H412-'Results &amp; Charts'!$C$9*I412</f>
        <v>0.0219319442556757</v>
      </c>
      <c r="L412" s="13" t="n">
        <f aca="false">H412-I412</f>
        <v>0.0231061554829581</v>
      </c>
      <c r="M412" s="15" t="n">
        <v>0.608127219316683</v>
      </c>
      <c r="N412" s="13" t="n">
        <f aca="false">H412-M412*I412</f>
        <v>0.0219154138172086</v>
      </c>
      <c r="O412" s="16" t="n">
        <f aca="false">'Results &amp; Charts'!$C$9</f>
        <v>0.613567382430444</v>
      </c>
    </row>
    <row r="413" customFormat="false" ht="15" hidden="false" customHeight="false" outlineLevel="0" collapsed="false">
      <c r="A413" s="14" t="n">
        <f aca="false">'Roll Schedule'!A693</f>
        <v>46153</v>
      </c>
      <c r="B413" s="14" t="n">
        <f aca="false">'Roll Schedule'!A692</f>
        <v>46150</v>
      </c>
      <c r="C413" s="3" t="n">
        <f aca="false">SUMIFS('Spot Data'!$E$5:$E$651,'Spot Data'!$A$5:$A$651,B413,'Spot Data'!$H$5:$H$651,"YES")</f>
        <v>7550</v>
      </c>
      <c r="D413" s="3" t="n">
        <f aca="false">SUMIFS('Spot Data'!$E$5:$E$651,'Spot Data'!$A$5:$A$651,A413,'Spot Data'!$H$5:$H$651,"YES")</f>
        <v>7475</v>
      </c>
      <c r="E413" s="14" t="n">
        <f aca="false">'Roll Schedule'!B693</f>
        <v>46192</v>
      </c>
      <c r="F413" s="3" t="n">
        <f aca="false">SUMIFS('Futures Data'!$C$5:$C$3471,'Futures Data'!$A$5:$A$3471,B413,'Futures Data'!$B$5:$B$3471,E413)</f>
        <v>6572</v>
      </c>
      <c r="G413" s="3" t="n">
        <f aca="false">SUMIFS('Futures Data'!$C$5:$C$3471,'Futures Data'!$A$5:$A$3471,A413,'Futures Data'!$B$5:$B$3471,E413)</f>
        <v>6568</v>
      </c>
      <c r="H413" s="13" t="n">
        <f aca="false">LN(D413/C413)</f>
        <v>-0.00998344398418326</v>
      </c>
      <c r="I413" s="13" t="n">
        <f aca="false">LN(G413/F413)</f>
        <v>-0.000608828024894588</v>
      </c>
      <c r="J413" s="3" t="str">
        <f aca="false">IF(A413&lt;='Results &amp; Charts'!$C$5,"In-sample","Out-of-sample")</f>
        <v>Out-of-sample</v>
      </c>
      <c r="K413" s="13" t="n">
        <f aca="false">H413-'Results &amp; Charts'!$C$9*I413</f>
        <v>-0.00960988696659839</v>
      </c>
      <c r="L413" s="13" t="n">
        <f aca="false">H413-I413</f>
        <v>-0.00937461595928867</v>
      </c>
      <c r="M413" s="15" t="n">
        <v>0.584658431025639</v>
      </c>
      <c r="N413" s="13" t="n">
        <f aca="false">H413-M413*I413</f>
        <v>-0.00962748754638395</v>
      </c>
      <c r="O413" s="16" t="n">
        <f aca="false">'Results &amp; Charts'!$C$9</f>
        <v>0.613567382430444</v>
      </c>
    </row>
    <row r="414" customFormat="false" ht="15" hidden="false" customHeight="false" outlineLevel="0" collapsed="false">
      <c r="A414" s="14" t="n">
        <f aca="false">'Roll Schedule'!A694</f>
        <v>46154</v>
      </c>
      <c r="B414" s="14" t="n">
        <f aca="false">'Roll Schedule'!A693</f>
        <v>46153</v>
      </c>
      <c r="C414" s="3" t="n">
        <f aca="false">SUMIFS('Spot Data'!$E$5:$E$651,'Spot Data'!$A$5:$A$651,B414,'Spot Data'!$H$5:$H$651,"YES")</f>
        <v>7475</v>
      </c>
      <c r="D414" s="3" t="n">
        <f aca="false">SUMIFS('Spot Data'!$E$5:$E$651,'Spot Data'!$A$5:$A$651,A414,'Spot Data'!$H$5:$H$651,"YES")</f>
        <v>7475</v>
      </c>
      <c r="E414" s="14" t="n">
        <f aca="false">'Roll Schedule'!B694</f>
        <v>46192</v>
      </c>
      <c r="F414" s="3" t="n">
        <f aca="false">SUMIFS('Futures Data'!$C$5:$C$3471,'Futures Data'!$A$5:$A$3471,B414,'Futures Data'!$B$5:$B$3471,E414)</f>
        <v>6568</v>
      </c>
      <c r="G414" s="3" t="n">
        <f aca="false">SUMIFS('Futures Data'!$C$5:$C$3471,'Futures Data'!$A$5:$A$3471,A414,'Futures Data'!$B$5:$B$3471,E414)</f>
        <v>6569</v>
      </c>
      <c r="H414" s="13" t="n">
        <f aca="false">LN(D414/C414)</f>
        <v>0</v>
      </c>
      <c r="I414" s="13" t="n">
        <f aca="false">LN(G414/F414)</f>
        <v>0.000152241760208798</v>
      </c>
      <c r="J414" s="3" t="str">
        <f aca="false">IF(A414&lt;='Results &amp; Charts'!$C$5,"In-sample","Out-of-sample")</f>
        <v>Out-of-sample</v>
      </c>
      <c r="K414" s="13" t="n">
        <f aca="false">H414-'Results &amp; Charts'!$C$9*I414</f>
        <v>-9.34105783079154E-005</v>
      </c>
      <c r="L414" s="13" t="n">
        <f aca="false">H414-I414</f>
        <v>-0.000152241760208798</v>
      </c>
      <c r="M414" s="15" t="n">
        <v>0.601302493408304</v>
      </c>
      <c r="N414" s="13" t="n">
        <f aca="false">H414-M414*I414</f>
        <v>-9.15433500144192E-005</v>
      </c>
      <c r="O414" s="16" t="n">
        <f aca="false">'Results &amp; Charts'!$C$9</f>
        <v>0.613567382430444</v>
      </c>
    </row>
    <row r="415" customFormat="false" ht="15" hidden="false" customHeight="false" outlineLevel="0" collapsed="false">
      <c r="A415" s="14" t="n">
        <f aca="false">'Roll Schedule'!A695</f>
        <v>46155</v>
      </c>
      <c r="B415" s="14" t="n">
        <f aca="false">'Roll Schedule'!A694</f>
        <v>46154</v>
      </c>
      <c r="C415" s="3" t="n">
        <f aca="false">SUMIFS('Spot Data'!$E$5:$E$651,'Spot Data'!$A$5:$A$651,B415,'Spot Data'!$H$5:$H$651,"YES")</f>
        <v>7475</v>
      </c>
      <c r="D415" s="3" t="n">
        <f aca="false">SUMIFS('Spot Data'!$E$5:$E$651,'Spot Data'!$A$5:$A$651,A415,'Spot Data'!$H$5:$H$651,"YES")</f>
        <v>7500</v>
      </c>
      <c r="E415" s="14" t="n">
        <f aca="false">'Roll Schedule'!B695</f>
        <v>46192</v>
      </c>
      <c r="F415" s="3" t="n">
        <f aca="false">SUMIFS('Futures Data'!$C$5:$C$3471,'Futures Data'!$A$5:$A$3471,B415,'Futures Data'!$B$5:$B$3471,E415)</f>
        <v>6569</v>
      </c>
      <c r="G415" s="3" t="n">
        <f aca="false">SUMIFS('Futures Data'!$C$5:$C$3471,'Futures Data'!$A$5:$A$3471,A415,'Futures Data'!$B$5:$B$3471,E415)</f>
        <v>6604</v>
      </c>
      <c r="H415" s="13" t="n">
        <f aca="false">LN(D415/C415)</f>
        <v>0.00333890126551463</v>
      </c>
      <c r="I415" s="13" t="n">
        <f aca="false">LN(G415/F415)</f>
        <v>0.00531391214754579</v>
      </c>
      <c r="J415" s="3" t="str">
        <f aca="false">IF(A415&lt;='Results &amp; Charts'!$C$5,"In-sample","Out-of-sample")</f>
        <v>Out-of-sample</v>
      </c>
      <c r="K415" s="13" t="n">
        <f aca="false">H415-'Results &amp; Charts'!$C$9*I415</f>
        <v>7.84580986796187E-005</v>
      </c>
      <c r="L415" s="13" t="n">
        <f aca="false">H415-I415</f>
        <v>-0.00197501088203116</v>
      </c>
      <c r="M415" s="15" t="n">
        <v>0.614026417175521</v>
      </c>
      <c r="N415" s="13" t="n">
        <f aca="false">H415-M415*I415</f>
        <v>7.60188283716102E-005</v>
      </c>
      <c r="O415" s="16" t="n">
        <f aca="false">'Results &amp; Charts'!$C$9</f>
        <v>0.613567382430444</v>
      </c>
    </row>
    <row r="416" customFormat="false" ht="15" hidden="false" customHeight="false" outlineLevel="0" collapsed="false">
      <c r="A416" s="14" t="n">
        <f aca="false">'Roll Schedule'!A696</f>
        <v>46156</v>
      </c>
      <c r="B416" s="14" t="n">
        <f aca="false">'Roll Schedule'!A695</f>
        <v>46155</v>
      </c>
      <c r="C416" s="3" t="n">
        <f aca="false">SUMIFS('Spot Data'!$E$5:$E$651,'Spot Data'!$A$5:$A$651,B416,'Spot Data'!$H$5:$H$651,"YES")</f>
        <v>7500</v>
      </c>
      <c r="D416" s="3" t="n">
        <f aca="false">SUMIFS('Spot Data'!$E$5:$E$651,'Spot Data'!$A$5:$A$651,A416,'Spot Data'!$H$5:$H$651,"YES")</f>
        <v>7500</v>
      </c>
      <c r="E416" s="14" t="n">
        <f aca="false">'Roll Schedule'!B696</f>
        <v>46192</v>
      </c>
      <c r="F416" s="3" t="n">
        <f aca="false">SUMIFS('Futures Data'!$C$5:$C$3471,'Futures Data'!$A$5:$A$3471,B416,'Futures Data'!$B$5:$B$3471,E416)</f>
        <v>6604</v>
      </c>
      <c r="G416" s="3" t="n">
        <f aca="false">SUMIFS('Futures Data'!$C$5:$C$3471,'Futures Data'!$A$5:$A$3471,A416,'Futures Data'!$B$5:$B$3471,E416)</f>
        <v>6641</v>
      </c>
      <c r="H416" s="13" t="n">
        <f aca="false">LN(D416/C416)</f>
        <v>0</v>
      </c>
      <c r="I416" s="13" t="n">
        <f aca="false">LN(G416/F416)</f>
        <v>0.00558702850069509</v>
      </c>
      <c r="J416" s="3" t="str">
        <f aca="false">IF(A416&lt;='Results &amp; Charts'!$C$5,"In-sample","Out-of-sample")</f>
        <v>Out-of-sample</v>
      </c>
      <c r="K416" s="13" t="n">
        <f aca="false">H416-'Results &amp; Charts'!$C$9*I416</f>
        <v>-0.00342801845273578</v>
      </c>
      <c r="L416" s="13" t="n">
        <f aca="false">H416-I416</f>
        <v>-0.00558702850069509</v>
      </c>
      <c r="M416" s="15" t="n">
        <v>0.578246246051428</v>
      </c>
      <c r="N416" s="13" t="n">
        <f aca="false">H416-M416*I416</f>
        <v>-0.00323067825710927</v>
      </c>
      <c r="O416" s="16" t="n">
        <f aca="false">'Results &amp; Charts'!$C$9</f>
        <v>0.613567382430444</v>
      </c>
    </row>
    <row r="417" customFormat="false" ht="15" hidden="false" customHeight="false" outlineLevel="0" collapsed="false">
      <c r="A417" s="14" t="n">
        <f aca="false">'Roll Schedule'!A697</f>
        <v>46157</v>
      </c>
      <c r="B417" s="14" t="n">
        <f aca="false">'Roll Schedule'!A696</f>
        <v>46156</v>
      </c>
      <c r="C417" s="3" t="n">
        <f aca="false">SUMIFS('Spot Data'!$E$5:$E$651,'Spot Data'!$A$5:$A$651,B417,'Spot Data'!$H$5:$H$651,"YES")</f>
        <v>7500</v>
      </c>
      <c r="D417" s="3" t="n">
        <f aca="false">SUMIFS('Spot Data'!$E$5:$E$651,'Spot Data'!$A$5:$A$651,A417,'Spot Data'!$H$5:$H$651,"YES")</f>
        <v>7500</v>
      </c>
      <c r="E417" s="14" t="n">
        <f aca="false">'Roll Schedule'!B697</f>
        <v>46192</v>
      </c>
      <c r="F417" s="3" t="n">
        <f aca="false">SUMIFS('Futures Data'!$C$5:$C$3471,'Futures Data'!$A$5:$A$3471,B417,'Futures Data'!$B$5:$B$3471,E417)</f>
        <v>6641</v>
      </c>
      <c r="G417" s="3" t="n">
        <f aca="false">SUMIFS('Futures Data'!$C$5:$C$3471,'Futures Data'!$A$5:$A$3471,A417,'Futures Data'!$B$5:$B$3471,E417)</f>
        <v>6613</v>
      </c>
      <c r="H417" s="13" t="n">
        <f aca="false">LN(D417/C417)</f>
        <v>0</v>
      </c>
      <c r="I417" s="13" t="n">
        <f aca="false">LN(G417/F417)</f>
        <v>-0.00422514586605131</v>
      </c>
      <c r="J417" s="3" t="str">
        <f aca="false">IF(A417&lt;='Results &amp; Charts'!$C$5,"In-sample","Out-of-sample")</f>
        <v>Out-of-sample</v>
      </c>
      <c r="K417" s="13" t="n">
        <f aca="false">H417-'Results &amp; Charts'!$C$9*I417</f>
        <v>0.00259241168941991</v>
      </c>
      <c r="L417" s="13" t="n">
        <f aca="false">H417-I417</f>
        <v>0.00422514586605131</v>
      </c>
      <c r="M417" s="15" t="n">
        <v>0.53853491586668</v>
      </c>
      <c r="N417" s="13" t="n">
        <f aca="false">H417-M417*I417</f>
        <v>0.00227538857349839</v>
      </c>
      <c r="O417" s="16" t="n">
        <f aca="false">'Results &amp; Charts'!$C$9</f>
        <v>0.613567382430444</v>
      </c>
    </row>
    <row r="418" customFormat="false" ht="15" hidden="false" customHeight="false" outlineLevel="0" collapsed="false">
      <c r="A418" s="14" t="n">
        <f aca="false">'Roll Schedule'!A698</f>
        <v>46160</v>
      </c>
      <c r="B418" s="14" t="n">
        <f aca="false">'Roll Schedule'!A697</f>
        <v>46157</v>
      </c>
      <c r="C418" s="3" t="n">
        <f aca="false">SUMIFS('Spot Data'!$E$5:$E$651,'Spot Data'!$A$5:$A$651,B418,'Spot Data'!$H$5:$H$651,"YES")</f>
        <v>7500</v>
      </c>
      <c r="D418" s="3" t="n">
        <f aca="false">SUMIFS('Spot Data'!$E$5:$E$651,'Spot Data'!$A$5:$A$651,A418,'Spot Data'!$H$5:$H$651,"YES")</f>
        <v>7650</v>
      </c>
      <c r="E418" s="14" t="n">
        <f aca="false">'Roll Schedule'!B698</f>
        <v>46192</v>
      </c>
      <c r="F418" s="3" t="n">
        <f aca="false">SUMIFS('Futures Data'!$C$5:$C$3471,'Futures Data'!$A$5:$A$3471,B418,'Futures Data'!$B$5:$B$3471,E418)</f>
        <v>6613</v>
      </c>
      <c r="G418" s="3" t="n">
        <f aca="false">SUMIFS('Futures Data'!$C$5:$C$3471,'Futures Data'!$A$5:$A$3471,A418,'Futures Data'!$B$5:$B$3471,E418)</f>
        <v>6622</v>
      </c>
      <c r="H418" s="13" t="n">
        <f aca="false">LN(D418/C418)</f>
        <v>0.0198026272961797</v>
      </c>
      <c r="I418" s="13" t="n">
        <f aca="false">LN(G418/F418)</f>
        <v>0.00136003043252928</v>
      </c>
      <c r="J418" s="3" t="str">
        <f aca="false">IF(A418&lt;='Results &amp; Charts'!$C$5,"In-sample","Out-of-sample")</f>
        <v>Out-of-sample</v>
      </c>
      <c r="K418" s="13" t="n">
        <f aca="false">H418-'Results &amp; Charts'!$C$9*I418</f>
        <v>0.018968156983667</v>
      </c>
      <c r="L418" s="13" t="n">
        <f aca="false">H418-I418</f>
        <v>0.0184425968636505</v>
      </c>
      <c r="M418" s="15" t="n">
        <v>0.534304814729054</v>
      </c>
      <c r="N418" s="13" t="n">
        <f aca="false">H418-M418*I418</f>
        <v>0.0190759564879013</v>
      </c>
      <c r="O418" s="16" t="n">
        <f aca="false">'Results &amp; Charts'!$C$9</f>
        <v>0.613567382430444</v>
      </c>
    </row>
    <row r="419" customFormat="false" ht="15" hidden="false" customHeight="false" outlineLevel="0" collapsed="false">
      <c r="A419" s="14" t="n">
        <f aca="false">'Roll Schedule'!A699</f>
        <v>46161</v>
      </c>
      <c r="B419" s="14" t="n">
        <f aca="false">'Roll Schedule'!A698</f>
        <v>46160</v>
      </c>
      <c r="C419" s="3" t="n">
        <f aca="false">SUMIFS('Spot Data'!$E$5:$E$651,'Spot Data'!$A$5:$A$651,B419,'Spot Data'!$H$5:$H$651,"YES")</f>
        <v>7650</v>
      </c>
      <c r="D419" s="3" t="n">
        <f aca="false">SUMIFS('Spot Data'!$E$5:$E$651,'Spot Data'!$A$5:$A$651,A419,'Spot Data'!$H$5:$H$651,"YES")</f>
        <v>7550</v>
      </c>
      <c r="E419" s="14" t="n">
        <f aca="false">'Roll Schedule'!B699</f>
        <v>46192</v>
      </c>
      <c r="F419" s="3" t="n">
        <f aca="false">SUMIFS('Futures Data'!$C$5:$C$3471,'Futures Data'!$A$5:$A$3471,B419,'Futures Data'!$B$5:$B$3471,E419)</f>
        <v>6622</v>
      </c>
      <c r="G419" s="3" t="n">
        <f aca="false">SUMIFS('Futures Data'!$C$5:$C$3471,'Futures Data'!$A$5:$A$3471,A419,'Futures Data'!$B$5:$B$3471,E419)</f>
        <v>6628</v>
      </c>
      <c r="H419" s="13" t="n">
        <f aca="false">LN(D419/C419)</f>
        <v>-0.0131580845775111</v>
      </c>
      <c r="I419" s="13" t="n">
        <f aca="false">LN(G419/F419)</f>
        <v>0.000905660439261864</v>
      </c>
      <c r="J419" s="3" t="str">
        <f aca="false">IF(A419&lt;='Results &amp; Charts'!$C$5,"In-sample","Out-of-sample")</f>
        <v>Out-of-sample</v>
      </c>
      <c r="K419" s="13" t="n">
        <f aca="false">H419-'Results &amp; Charts'!$C$9*I419</f>
        <v>-0.0137137682825998</v>
      </c>
      <c r="L419" s="13" t="n">
        <f aca="false">H419-I419</f>
        <v>-0.014063745016773</v>
      </c>
      <c r="M419" s="15" t="n">
        <v>0.566443290964512</v>
      </c>
      <c r="N419" s="13" t="n">
        <f aca="false">H419-M419*I419</f>
        <v>-0.0136710898572229</v>
      </c>
      <c r="O419" s="16" t="n">
        <f aca="false">'Results &amp; Charts'!$C$9</f>
        <v>0.613567382430444</v>
      </c>
    </row>
    <row r="420" customFormat="false" ht="15" hidden="false" customHeight="false" outlineLevel="0" collapsed="false">
      <c r="A420" s="14" t="n">
        <f aca="false">'Roll Schedule'!A700</f>
        <v>46162</v>
      </c>
      <c r="B420" s="14" t="n">
        <f aca="false">'Roll Schedule'!A699</f>
        <v>46161</v>
      </c>
      <c r="C420" s="3" t="n">
        <f aca="false">SUMIFS('Spot Data'!$E$5:$E$651,'Spot Data'!$A$5:$A$651,B420,'Spot Data'!$H$5:$H$651,"YES")</f>
        <v>7550</v>
      </c>
      <c r="D420" s="3" t="n">
        <f aca="false">SUMIFS('Spot Data'!$E$5:$E$651,'Spot Data'!$A$5:$A$651,A420,'Spot Data'!$H$5:$H$651,"YES")</f>
        <v>8050</v>
      </c>
      <c r="E420" s="14" t="n">
        <f aca="false">'Roll Schedule'!B700</f>
        <v>46192</v>
      </c>
      <c r="F420" s="3" t="n">
        <f aca="false">SUMIFS('Futures Data'!$C$5:$C$3471,'Futures Data'!$A$5:$A$3471,B420,'Futures Data'!$B$5:$B$3471,E420)</f>
        <v>6628</v>
      </c>
      <c r="G420" s="3" t="n">
        <f aca="false">SUMIFS('Futures Data'!$C$5:$C$3471,'Futures Data'!$A$5:$A$3471,A420,'Futures Data'!$B$5:$B$3471,E420)</f>
        <v>6654</v>
      </c>
      <c r="H420" s="13" t="n">
        <f aca="false">LN(D420/C420)</f>
        <v>0.0641245281695386</v>
      </c>
      <c r="I420" s="13" t="n">
        <f aca="false">LN(G420/F420)</f>
        <v>0.00391507803196856</v>
      </c>
      <c r="J420" s="3" t="str">
        <f aca="false">IF(A420&lt;='Results &amp; Charts'!$C$5,"In-sample","Out-of-sample")</f>
        <v>Out-of-sample</v>
      </c>
      <c r="K420" s="13" t="n">
        <f aca="false">H420-'Results &amp; Charts'!$C$9*I420</f>
        <v>0.0617223639894527</v>
      </c>
      <c r="L420" s="13" t="n">
        <f aca="false">H420-I420</f>
        <v>0.06020945013757</v>
      </c>
      <c r="M420" s="15" t="n">
        <v>0.571662586023654</v>
      </c>
      <c r="N420" s="13" t="n">
        <f aca="false">H420-M420*I420</f>
        <v>0.061886424537299</v>
      </c>
      <c r="O420" s="16" t="n">
        <f aca="false">'Results &amp; Charts'!$C$9</f>
        <v>0.613567382430444</v>
      </c>
    </row>
    <row r="421" customFormat="false" ht="15" hidden="false" customHeight="false" outlineLevel="0" collapsed="false">
      <c r="A421" s="14" t="n">
        <f aca="false">'Roll Schedule'!A701</f>
        <v>46163</v>
      </c>
      <c r="B421" s="14" t="n">
        <f aca="false">'Roll Schedule'!A700</f>
        <v>46162</v>
      </c>
      <c r="C421" s="3" t="n">
        <f aca="false">SUMIFS('Spot Data'!$E$5:$E$651,'Spot Data'!$A$5:$A$651,B421,'Spot Data'!$H$5:$H$651,"YES")</f>
        <v>8050</v>
      </c>
      <c r="D421" s="3" t="n">
        <f aca="false">SUMIFS('Spot Data'!$E$5:$E$651,'Spot Data'!$A$5:$A$651,A421,'Spot Data'!$H$5:$H$651,"YES")</f>
        <v>8150</v>
      </c>
      <c r="E421" s="14" t="n">
        <f aca="false">'Roll Schedule'!B701</f>
        <v>46192</v>
      </c>
      <c r="F421" s="3" t="n">
        <f aca="false">SUMIFS('Futures Data'!$C$5:$C$3471,'Futures Data'!$A$5:$A$3471,B421,'Futures Data'!$B$5:$B$3471,E421)</f>
        <v>6654</v>
      </c>
      <c r="G421" s="3" t="n">
        <f aca="false">SUMIFS('Futures Data'!$C$5:$C$3471,'Futures Data'!$A$5:$A$3471,A421,'Futures Data'!$B$5:$B$3471,E421)</f>
        <v>6655</v>
      </c>
      <c r="H421" s="13" t="n">
        <f aca="false">LN(D421/C421)</f>
        <v>0.0123458358222994</v>
      </c>
      <c r="I421" s="13" t="n">
        <f aca="false">LN(G421/F421)</f>
        <v>0.000150274250789988</v>
      </c>
      <c r="J421" s="3" t="str">
        <f aca="false">IF(A421&lt;='Results &amp; Charts'!$C$5,"In-sample","Out-of-sample")</f>
        <v>Out-of-sample</v>
      </c>
      <c r="K421" s="13" t="n">
        <f aca="false">H421-'Results &amp; Charts'!$C$9*I421</f>
        <v>0.0122536324435955</v>
      </c>
      <c r="L421" s="13" t="n">
        <f aca="false">H421-I421</f>
        <v>0.0121955615715094</v>
      </c>
      <c r="M421" s="15" t="n">
        <v>0.699072752809131</v>
      </c>
      <c r="N421" s="13" t="n">
        <f aca="false">H421-M421*I421</f>
        <v>0.0122407831881233</v>
      </c>
      <c r="O421" s="16" t="n">
        <f aca="false">'Results &amp; Charts'!$C$9</f>
        <v>0.613567382430444</v>
      </c>
    </row>
    <row r="422" customFormat="false" ht="15" hidden="false" customHeight="false" outlineLevel="0" collapsed="false">
      <c r="A422" s="14" t="n">
        <f aca="false">'Roll Schedule'!A702</f>
        <v>46164</v>
      </c>
      <c r="B422" s="14" t="n">
        <f aca="false">'Roll Schedule'!A701</f>
        <v>46163</v>
      </c>
      <c r="C422" s="3" t="n">
        <f aca="false">SUMIFS('Spot Data'!$E$5:$E$651,'Spot Data'!$A$5:$A$651,B422,'Spot Data'!$H$5:$H$651,"YES")</f>
        <v>8150</v>
      </c>
      <c r="D422" s="3" t="n">
        <f aca="false">SUMIFS('Spot Data'!$E$5:$E$651,'Spot Data'!$A$5:$A$651,A422,'Spot Data'!$H$5:$H$651,"YES")</f>
        <v>8000</v>
      </c>
      <c r="E422" s="14" t="n">
        <f aca="false">'Roll Schedule'!B702</f>
        <v>46192</v>
      </c>
      <c r="F422" s="3" t="n">
        <f aca="false">SUMIFS('Futures Data'!$C$5:$C$3471,'Futures Data'!$A$5:$A$3471,B422,'Futures Data'!$B$5:$B$3471,E422)</f>
        <v>6655</v>
      </c>
      <c r="G422" s="3" t="n">
        <f aca="false">SUMIFS('Futures Data'!$C$5:$C$3471,'Futures Data'!$A$5:$A$3471,A422,'Futures Data'!$B$5:$B$3471,E422)</f>
        <v>6593</v>
      </c>
      <c r="H422" s="13" t="n">
        <f aca="false">LN(D422/C422)</f>
        <v>-0.0185763855729354</v>
      </c>
      <c r="I422" s="13" t="n">
        <f aca="false">LN(G422/F422)</f>
        <v>-0.00935997171591231</v>
      </c>
      <c r="J422" s="3" t="str">
        <f aca="false">IF(A422&lt;='Results &amp; Charts'!$C$5,"In-sample","Out-of-sample")</f>
        <v>Out-of-sample</v>
      </c>
      <c r="K422" s="13" t="n">
        <f aca="false">H422-'Results &amp; Charts'!$C$9*I422</f>
        <v>-0.0128334122275801</v>
      </c>
      <c r="L422" s="13" t="n">
        <f aca="false">H422-I422</f>
        <v>-0.00921641385702311</v>
      </c>
      <c r="M422" s="15" t="n">
        <v>0.71760196160521</v>
      </c>
      <c r="N422" s="13" t="n">
        <f aca="false">H422-M422*I422</f>
        <v>-0.0118596515090275</v>
      </c>
      <c r="O422" s="16" t="n">
        <f aca="false">'Results &amp; Charts'!$C$9</f>
        <v>0.613567382430444</v>
      </c>
    </row>
    <row r="423" customFormat="false" ht="15" hidden="false" customHeight="false" outlineLevel="0" collapsed="false">
      <c r="A423" s="14" t="n">
        <f aca="false">'Roll Schedule'!A703</f>
        <v>46167</v>
      </c>
      <c r="B423" s="14" t="n">
        <f aca="false">'Roll Schedule'!A702</f>
        <v>46164</v>
      </c>
      <c r="C423" s="3" t="n">
        <f aca="false">SUMIFS('Spot Data'!$E$5:$E$651,'Spot Data'!$A$5:$A$651,B423,'Spot Data'!$H$5:$H$651,"YES")</f>
        <v>8000</v>
      </c>
      <c r="D423" s="3" t="n">
        <f aca="false">SUMIFS('Spot Data'!$E$5:$E$651,'Spot Data'!$A$5:$A$651,A423,'Spot Data'!$H$5:$H$651,"YES")</f>
        <v>7950</v>
      </c>
      <c r="E423" s="14" t="n">
        <f aca="false">'Roll Schedule'!B703</f>
        <v>46192</v>
      </c>
      <c r="F423" s="3" t="n">
        <f aca="false">SUMIFS('Futures Data'!$C$5:$C$3471,'Futures Data'!$A$5:$A$3471,B423,'Futures Data'!$B$5:$B$3471,E423)</f>
        <v>6593</v>
      </c>
      <c r="G423" s="3" t="n">
        <f aca="false">SUMIFS('Futures Data'!$C$5:$C$3471,'Futures Data'!$A$5:$A$3471,A423,'Futures Data'!$B$5:$B$3471,E423)</f>
        <v>6623</v>
      </c>
      <c r="H423" s="13" t="n">
        <f aca="false">LN(D423/C423)</f>
        <v>-0.00626961301359537</v>
      </c>
      <c r="I423" s="13" t="n">
        <f aca="false">LN(G423/F423)</f>
        <v>0.00453995937167975</v>
      </c>
      <c r="J423" s="3" t="str">
        <f aca="false">IF(A423&lt;='Results &amp; Charts'!$C$5,"In-sample","Out-of-sample")</f>
        <v>Out-of-sample</v>
      </c>
      <c r="K423" s="13" t="n">
        <f aca="false">H423-'Results &amp; Charts'!$C$9*I423</f>
        <v>-0.00905518400161749</v>
      </c>
      <c r="L423" s="13" t="n">
        <f aca="false">H423-I423</f>
        <v>-0.0108095723852751</v>
      </c>
      <c r="M423" s="15" t="n">
        <v>0.656864644410097</v>
      </c>
      <c r="N423" s="13" t="n">
        <f aca="false">H423-M423*I423</f>
        <v>-0.00925175181191008</v>
      </c>
      <c r="O423" s="16" t="n">
        <f aca="false">'Results &amp; Charts'!$C$9</f>
        <v>0.613567382430444</v>
      </c>
    </row>
    <row r="424" customFormat="false" ht="15" hidden="false" customHeight="false" outlineLevel="0" collapsed="false">
      <c r="A424" s="14" t="n">
        <f aca="false">'Roll Schedule'!A704</f>
        <v>46168</v>
      </c>
      <c r="B424" s="14" t="n">
        <f aca="false">'Roll Schedule'!A703</f>
        <v>46167</v>
      </c>
      <c r="C424" s="3" t="n">
        <f aca="false">SUMIFS('Spot Data'!$E$5:$E$651,'Spot Data'!$A$5:$A$651,B424,'Spot Data'!$H$5:$H$651,"YES")</f>
        <v>7950</v>
      </c>
      <c r="D424" s="3" t="n">
        <f aca="false">SUMIFS('Spot Data'!$E$5:$E$651,'Spot Data'!$A$5:$A$651,A424,'Spot Data'!$H$5:$H$651,"YES")</f>
        <v>8050</v>
      </c>
      <c r="E424" s="14" t="n">
        <f aca="false">'Roll Schedule'!B704</f>
        <v>46192</v>
      </c>
      <c r="F424" s="3" t="n">
        <f aca="false">SUMIFS('Futures Data'!$C$5:$C$3471,'Futures Data'!$A$5:$A$3471,B424,'Futures Data'!$B$5:$B$3471,E424)</f>
        <v>6623</v>
      </c>
      <c r="G424" s="3" t="n">
        <f aca="false">SUMIFS('Futures Data'!$C$5:$C$3471,'Futures Data'!$A$5:$A$3471,A424,'Futures Data'!$B$5:$B$3471,E424)</f>
        <v>6587</v>
      </c>
      <c r="H424" s="13" t="n">
        <f aca="false">LN(D424/C424)</f>
        <v>0.0125001627642315</v>
      </c>
      <c r="I424" s="13" t="n">
        <f aca="false">LN(G424/F424)</f>
        <v>-0.00545042984428654</v>
      </c>
      <c r="J424" s="3" t="str">
        <f aca="false">IF(A424&lt;='Results &amp; Charts'!$C$5,"In-sample","Out-of-sample")</f>
        <v>Out-of-sample</v>
      </c>
      <c r="K424" s="13" t="n">
        <f aca="false">H424-'Results &amp; Charts'!$C$9*I424</f>
        <v>0.0158443687369111</v>
      </c>
      <c r="L424" s="13" t="n">
        <f aca="false">H424-I424</f>
        <v>0.017950592608518</v>
      </c>
      <c r="M424" s="15" t="n">
        <v>0.629393005848118</v>
      </c>
      <c r="N424" s="13" t="n">
        <f aca="false">H424-M424*I424</f>
        <v>0.0159306251870913</v>
      </c>
      <c r="O424" s="16" t="n">
        <f aca="false">'Results &amp; Charts'!$C$9</f>
        <v>0.613567382430444</v>
      </c>
    </row>
    <row r="425" customFormat="false" ht="15" hidden="false" customHeight="false" outlineLevel="0" collapsed="false">
      <c r="A425" s="14" t="n">
        <f aca="false">'Roll Schedule'!A705</f>
        <v>46169</v>
      </c>
      <c r="B425" s="14" t="n">
        <f aca="false">'Roll Schedule'!A704</f>
        <v>46168</v>
      </c>
      <c r="C425" s="3" t="n">
        <f aca="false">SUMIFS('Spot Data'!$E$5:$E$651,'Spot Data'!$A$5:$A$651,B425,'Spot Data'!$H$5:$H$651,"YES")</f>
        <v>8050</v>
      </c>
      <c r="D425" s="3" t="n">
        <f aca="false">SUMIFS('Spot Data'!$E$5:$E$651,'Spot Data'!$A$5:$A$651,A425,'Spot Data'!$H$5:$H$651,"YES")</f>
        <v>8100</v>
      </c>
      <c r="E425" s="14" t="n">
        <f aca="false">'Roll Schedule'!B705</f>
        <v>46192</v>
      </c>
      <c r="F425" s="3" t="n">
        <f aca="false">SUMIFS('Futures Data'!$C$5:$C$3471,'Futures Data'!$A$5:$A$3471,B425,'Futures Data'!$B$5:$B$3471,E425)</f>
        <v>6587</v>
      </c>
      <c r="G425" s="3" t="n">
        <f aca="false">SUMIFS('Futures Data'!$C$5:$C$3471,'Futures Data'!$A$5:$A$3471,A425,'Futures Data'!$B$5:$B$3471,E425)</f>
        <v>6574</v>
      </c>
      <c r="H425" s="13" t="n">
        <f aca="false">LN(D425/C425)</f>
        <v>0.00619197024792098</v>
      </c>
      <c r="I425" s="13" t="n">
        <f aca="false">LN(G425/F425)</f>
        <v>-0.00197553441652827</v>
      </c>
      <c r="J425" s="3" t="str">
        <f aca="false">IF(A425&lt;='Results &amp; Charts'!$C$5,"In-sample","Out-of-sample")</f>
        <v>Out-of-sample</v>
      </c>
      <c r="K425" s="13" t="n">
        <f aca="false">H425-'Results &amp; Charts'!$C$9*I425</f>
        <v>0.00740409372877148</v>
      </c>
      <c r="L425" s="13" t="n">
        <f aca="false">H425-I425</f>
        <v>0.00816750466444925</v>
      </c>
      <c r="M425" s="15" t="n">
        <v>0.584905507759895</v>
      </c>
      <c r="N425" s="13" t="n">
        <f aca="false">H425-M425*I425</f>
        <v>0.00734747120891759</v>
      </c>
      <c r="O425" s="16" t="n">
        <f aca="false">'Results &amp; Charts'!$C$9</f>
        <v>0.613567382430444</v>
      </c>
    </row>
    <row r="426" customFormat="false" ht="15" hidden="false" customHeight="false" outlineLevel="0" collapsed="false">
      <c r="A426" s="14" t="n">
        <f aca="false">'Roll Schedule'!A706</f>
        <v>46171</v>
      </c>
      <c r="B426" s="14" t="n">
        <f aca="false">'Roll Schedule'!A705</f>
        <v>46169</v>
      </c>
      <c r="C426" s="3" t="n">
        <f aca="false">SUMIFS('Spot Data'!$E$5:$E$651,'Spot Data'!$A$5:$A$651,B426,'Spot Data'!$H$5:$H$651,"YES")</f>
        <v>8100</v>
      </c>
      <c r="D426" s="3" t="n">
        <f aca="false">SUMIFS('Spot Data'!$E$5:$E$651,'Spot Data'!$A$5:$A$651,A426,'Spot Data'!$H$5:$H$651,"YES")</f>
        <v>8100</v>
      </c>
      <c r="E426" s="14" t="n">
        <f aca="false">'Roll Schedule'!B706</f>
        <v>46192</v>
      </c>
      <c r="F426" s="3" t="n">
        <f aca="false">SUMIFS('Futures Data'!$C$5:$C$3471,'Futures Data'!$A$5:$A$3471,B426,'Futures Data'!$B$5:$B$3471,E426)</f>
        <v>6574</v>
      </c>
      <c r="G426" s="3" t="n">
        <f aca="false">SUMIFS('Futures Data'!$C$5:$C$3471,'Futures Data'!$A$5:$A$3471,A426,'Futures Data'!$B$5:$B$3471,E426)</f>
        <v>6562</v>
      </c>
      <c r="H426" s="13" t="n">
        <f aca="false">LN(D426/C426)</f>
        <v>0</v>
      </c>
      <c r="I426" s="13" t="n">
        <f aca="false">LN(G426/F426)</f>
        <v>-0.00182704070311773</v>
      </c>
      <c r="J426" s="3" t="str">
        <f aca="false">IF(A426&lt;='Results &amp; Charts'!$C$5,"In-sample","Out-of-sample")</f>
        <v>Out-of-sample</v>
      </c>
      <c r="K426" s="13" t="n">
        <f aca="false">H426-'Results &amp; Charts'!$C$9*I426</f>
        <v>0.00112101258180583</v>
      </c>
      <c r="L426" s="13" t="n">
        <f aca="false">H426-I426</f>
        <v>0.00182704070311773</v>
      </c>
      <c r="M426" s="15" t="n">
        <v>0.601018867265076</v>
      </c>
      <c r="N426" s="13" t="n">
        <f aca="false">H426-M426*I426</f>
        <v>0.00109808593383501</v>
      </c>
      <c r="O426" s="16" t="n">
        <f aca="false">'Results &amp; Charts'!$C$9</f>
        <v>0.613567382430444</v>
      </c>
    </row>
    <row r="427" customFormat="false" ht="15" hidden="false" customHeight="false" outlineLevel="0" collapsed="false">
      <c r="A427" s="14" t="n">
        <f aca="false">'Roll Schedule'!A707</f>
        <v>46174</v>
      </c>
      <c r="B427" s="14" t="n">
        <f aca="false">'Roll Schedule'!A706</f>
        <v>46171</v>
      </c>
      <c r="C427" s="3" t="n">
        <f aca="false">SUMIFS('Spot Data'!$E$5:$E$651,'Spot Data'!$A$5:$A$651,B427,'Spot Data'!$H$5:$H$651,"YES")</f>
        <v>8100</v>
      </c>
      <c r="D427" s="3" t="n">
        <f aca="false">SUMIFS('Spot Data'!$E$5:$E$651,'Spot Data'!$A$5:$A$651,A427,'Spot Data'!$H$5:$H$651,"YES")</f>
        <v>8100</v>
      </c>
      <c r="E427" s="14" t="n">
        <f aca="false">'Roll Schedule'!B707</f>
        <v>46192</v>
      </c>
      <c r="F427" s="3" t="n">
        <f aca="false">SUMIFS('Futures Data'!$C$5:$C$3471,'Futures Data'!$A$5:$A$3471,B427,'Futures Data'!$B$5:$B$3471,E427)</f>
        <v>6562</v>
      </c>
      <c r="G427" s="3" t="n">
        <f aca="false">SUMIFS('Futures Data'!$C$5:$C$3471,'Futures Data'!$A$5:$A$3471,A427,'Futures Data'!$B$5:$B$3471,E427)</f>
        <v>6548</v>
      </c>
      <c r="H427" s="13" t="n">
        <f aca="false">LN(D427/C427)</f>
        <v>0</v>
      </c>
      <c r="I427" s="13" t="n">
        <f aca="false">LN(G427/F427)</f>
        <v>-0.00213577503002142</v>
      </c>
      <c r="J427" s="3" t="str">
        <f aca="false">IF(A427&lt;='Results &amp; Charts'!$C$5,"In-sample","Out-of-sample")</f>
        <v>Out-of-sample</v>
      </c>
      <c r="K427" s="13" t="n">
        <f aca="false">H427-'Results &amp; Charts'!$C$9*I427</f>
        <v>0.00131044189463055</v>
      </c>
      <c r="L427" s="13" t="n">
        <f aca="false">H427-I427</f>
        <v>0.00213577503002142</v>
      </c>
      <c r="M427" s="15" t="n">
        <v>0.619367411847667</v>
      </c>
      <c r="N427" s="13" t="n">
        <f aca="false">H427-M427*I427</f>
        <v>0.00132282945263324</v>
      </c>
      <c r="O427" s="16" t="n">
        <f aca="false">'Results &amp; Charts'!$C$9</f>
        <v>0.613567382430444</v>
      </c>
    </row>
    <row r="428" customFormat="false" ht="15" hidden="false" customHeight="false" outlineLevel="0" collapsed="false">
      <c r="A428" s="14" t="n">
        <f aca="false">'Roll Schedule'!A708</f>
        <v>46175</v>
      </c>
      <c r="B428" s="14" t="n">
        <f aca="false">'Roll Schedule'!A707</f>
        <v>46174</v>
      </c>
      <c r="C428" s="3" t="n">
        <f aca="false">SUMIFS('Spot Data'!$E$5:$E$651,'Spot Data'!$A$5:$A$651,B428,'Spot Data'!$H$5:$H$651,"YES")</f>
        <v>8100</v>
      </c>
      <c r="D428" s="3" t="n">
        <f aca="false">SUMIFS('Spot Data'!$E$5:$E$651,'Spot Data'!$A$5:$A$651,A428,'Spot Data'!$H$5:$H$651,"YES")</f>
        <v>8200</v>
      </c>
      <c r="E428" s="14" t="n">
        <f aca="false">'Roll Schedule'!B708</f>
        <v>46192</v>
      </c>
      <c r="F428" s="3" t="n">
        <f aca="false">SUMIFS('Futures Data'!$C$5:$C$3471,'Futures Data'!$A$5:$A$3471,B428,'Futures Data'!$B$5:$B$3471,E428)</f>
        <v>6548</v>
      </c>
      <c r="G428" s="3" t="n">
        <f aca="false">SUMIFS('Futures Data'!$C$5:$C$3471,'Futures Data'!$A$5:$A$3471,A428,'Futures Data'!$B$5:$B$3471,E428)</f>
        <v>6534</v>
      </c>
      <c r="H428" s="13" t="n">
        <f aca="false">LN(D428/C428)</f>
        <v>0.0122700925918144</v>
      </c>
      <c r="I428" s="13" t="n">
        <f aca="false">LN(G428/F428)</f>
        <v>-0.00214034633001002</v>
      </c>
      <c r="J428" s="3" t="str">
        <f aca="false">IF(A428&lt;='Results &amp; Charts'!$C$5,"In-sample","Out-of-sample")</f>
        <v>Out-of-sample</v>
      </c>
      <c r="K428" s="13" t="n">
        <f aca="false">H428-'Results &amp; Charts'!$C$9*I428</f>
        <v>0.0135833392870133</v>
      </c>
      <c r="L428" s="13" t="n">
        <f aca="false">H428-I428</f>
        <v>0.0144104389218244</v>
      </c>
      <c r="M428" s="15" t="n">
        <v>0.632876525364785</v>
      </c>
      <c r="N428" s="13" t="n">
        <f aca="false">H428-M428*I428</f>
        <v>0.0136246675402284</v>
      </c>
      <c r="O428" s="16" t="n">
        <f aca="false">'Results &amp; Charts'!$C$9</f>
        <v>0.613567382430444</v>
      </c>
    </row>
    <row r="429" customFormat="false" ht="15" hidden="false" customHeight="false" outlineLevel="0" collapsed="false">
      <c r="A429" s="14" t="n">
        <f aca="false">'Roll Schedule'!A709</f>
        <v>46176</v>
      </c>
      <c r="B429" s="14" t="n">
        <f aca="false">'Roll Schedule'!A708</f>
        <v>46175</v>
      </c>
      <c r="C429" s="3" t="n">
        <f aca="false">SUMIFS('Spot Data'!$E$5:$E$651,'Spot Data'!$A$5:$A$651,B429,'Spot Data'!$H$5:$H$651,"YES")</f>
        <v>8200</v>
      </c>
      <c r="D429" s="3" t="n">
        <f aca="false">SUMIFS('Spot Data'!$E$5:$E$651,'Spot Data'!$A$5:$A$651,A429,'Spot Data'!$H$5:$H$651,"YES")</f>
        <v>8150</v>
      </c>
      <c r="E429" s="14" t="n">
        <f aca="false">'Roll Schedule'!B709</f>
        <v>46192</v>
      </c>
      <c r="F429" s="3" t="n">
        <f aca="false">SUMIFS('Futures Data'!$C$5:$C$3471,'Futures Data'!$A$5:$A$3471,B429,'Futures Data'!$B$5:$B$3471,E429)</f>
        <v>6534</v>
      </c>
      <c r="G429" s="3" t="n">
        <f aca="false">SUMIFS('Futures Data'!$C$5:$C$3471,'Futures Data'!$A$5:$A$3471,A429,'Futures Data'!$B$5:$B$3471,E429)</f>
        <v>6578</v>
      </c>
      <c r="H429" s="13" t="n">
        <f aca="false">LN(D429/C429)</f>
        <v>-0.00611622701743609</v>
      </c>
      <c r="I429" s="13" t="n">
        <f aca="false">LN(G429/F429)</f>
        <v>0.00671143458798678</v>
      </c>
      <c r="J429" s="3" t="str">
        <f aca="false">IF(A429&lt;='Results &amp; Charts'!$C$5,"In-sample","Out-of-sample")</f>
        <v>Out-of-sample</v>
      </c>
      <c r="K429" s="13" t="n">
        <f aca="false">H429-'Results &amp; Charts'!$C$9*I429</f>
        <v>-0.0102341443699403</v>
      </c>
      <c r="L429" s="13" t="n">
        <f aca="false">H429-I429</f>
        <v>-0.0128276616054229</v>
      </c>
      <c r="M429" s="15" t="n">
        <v>0.632459808027572</v>
      </c>
      <c r="N429" s="13" t="n">
        <f aca="false">H429-M429*I429</f>
        <v>-0.0103609396485438</v>
      </c>
      <c r="O429" s="16" t="n">
        <f aca="false">'Results &amp; Charts'!$C$9</f>
        <v>0.613567382430444</v>
      </c>
    </row>
    <row r="430" customFormat="false" ht="15" hidden="false" customHeight="false" outlineLevel="0" collapsed="false">
      <c r="A430" s="14" t="n">
        <f aca="false">'Roll Schedule'!A710</f>
        <v>46177</v>
      </c>
      <c r="B430" s="14" t="n">
        <f aca="false">'Roll Schedule'!A709</f>
        <v>46176</v>
      </c>
      <c r="C430" s="3" t="n">
        <f aca="false">SUMIFS('Spot Data'!$E$5:$E$651,'Spot Data'!$A$5:$A$651,B430,'Spot Data'!$H$5:$H$651,"YES")</f>
        <v>8150</v>
      </c>
      <c r="D430" s="3" t="n">
        <f aca="false">SUMIFS('Spot Data'!$E$5:$E$651,'Spot Data'!$A$5:$A$651,A430,'Spot Data'!$H$5:$H$651,"YES")</f>
        <v>8250</v>
      </c>
      <c r="E430" s="14" t="n">
        <f aca="false">'Roll Schedule'!B710</f>
        <v>46192</v>
      </c>
      <c r="F430" s="3" t="n">
        <f aca="false">SUMIFS('Futures Data'!$C$5:$C$3471,'Futures Data'!$A$5:$A$3471,B430,'Futures Data'!$B$5:$B$3471,E430)</f>
        <v>6578</v>
      </c>
      <c r="G430" s="3" t="n">
        <f aca="false">SUMIFS('Futures Data'!$C$5:$C$3471,'Futures Data'!$A$5:$A$3471,A430,'Futures Data'!$B$5:$B$3471,E430)</f>
        <v>6561</v>
      </c>
      <c r="H430" s="13" t="n">
        <f aca="false">LN(D430/C430)</f>
        <v>0.0121952730938182</v>
      </c>
      <c r="I430" s="13" t="n">
        <f aca="false">LN(G430/F430)</f>
        <v>-0.00258771740412472</v>
      </c>
      <c r="J430" s="3" t="str">
        <f aca="false">IF(A430&lt;='Results &amp; Charts'!$C$5,"In-sample","Out-of-sample")</f>
        <v>Out-of-sample</v>
      </c>
      <c r="K430" s="13" t="n">
        <f aca="false">H430-'Results &amp; Charts'!$C$9*I430</f>
        <v>0.0137830120879367</v>
      </c>
      <c r="L430" s="13" t="n">
        <f aca="false">H430-I430</f>
        <v>0.0147829904979429</v>
      </c>
      <c r="M430" s="15" t="n">
        <v>0.543812825535159</v>
      </c>
      <c r="N430" s="13" t="n">
        <f aca="false">H430-M430*I430</f>
        <v>0.0136025070070418</v>
      </c>
      <c r="O430" s="16" t="n">
        <f aca="false">'Results &amp; Charts'!$C$9</f>
        <v>0.613567382430444</v>
      </c>
    </row>
    <row r="431" customFormat="false" ht="15" hidden="false" customHeight="false" outlineLevel="0" collapsed="false">
      <c r="A431" s="14" t="n">
        <f aca="false">'Roll Schedule'!A711</f>
        <v>46178</v>
      </c>
      <c r="B431" s="14" t="n">
        <f aca="false">'Roll Schedule'!A710</f>
        <v>46177</v>
      </c>
      <c r="C431" s="3" t="n">
        <f aca="false">SUMIFS('Spot Data'!$E$5:$E$651,'Spot Data'!$A$5:$A$651,B431,'Spot Data'!$H$5:$H$651,"YES")</f>
        <v>8250</v>
      </c>
      <c r="D431" s="3" t="n">
        <f aca="false">SUMIFS('Spot Data'!$E$5:$E$651,'Spot Data'!$A$5:$A$651,A431,'Spot Data'!$H$5:$H$651,"YES")</f>
        <v>8150</v>
      </c>
      <c r="E431" s="14" t="n">
        <f aca="false">'Roll Schedule'!B711</f>
        <v>46192</v>
      </c>
      <c r="F431" s="3" t="n">
        <f aca="false">SUMIFS('Futures Data'!$C$5:$C$3471,'Futures Data'!$A$5:$A$3471,B431,'Futures Data'!$B$5:$B$3471,E431)</f>
        <v>6561</v>
      </c>
      <c r="G431" s="3" t="n">
        <f aca="false">SUMIFS('Futures Data'!$C$5:$C$3471,'Futures Data'!$A$5:$A$3471,A431,'Futures Data'!$B$5:$B$3471,E431)</f>
        <v>6582</v>
      </c>
      <c r="H431" s="13" t="n">
        <f aca="false">LN(D431/C431)</f>
        <v>-0.0121952730938182</v>
      </c>
      <c r="I431" s="13" t="n">
        <f aca="false">LN(G431/F431)</f>
        <v>0.00319562015840776</v>
      </c>
      <c r="J431" s="3" t="str">
        <f aca="false">IF(A431&lt;='Results &amp; Charts'!$C$5,"In-sample","Out-of-sample")</f>
        <v>Out-of-sample</v>
      </c>
      <c r="K431" s="13" t="n">
        <f aca="false">H431-'Results &amp; Charts'!$C$9*I431</f>
        <v>-0.0141560013896545</v>
      </c>
      <c r="L431" s="13" t="n">
        <f aca="false">H431-I431</f>
        <v>-0.015390893252226</v>
      </c>
      <c r="M431" s="15" t="n">
        <v>0.543601238246606</v>
      </c>
      <c r="N431" s="13" t="n">
        <f aca="false">H431-M431*I431</f>
        <v>-0.0139324161688945</v>
      </c>
      <c r="O431" s="16" t="n">
        <f aca="false">'Results &amp; Charts'!$C$9</f>
        <v>0.613567382430444</v>
      </c>
    </row>
    <row r="432" customFormat="false" ht="15" hidden="false" customHeight="false" outlineLevel="0" collapsed="false">
      <c r="A432" s="14" t="n">
        <f aca="false">'Roll Schedule'!A712</f>
        <v>46181</v>
      </c>
      <c r="B432" s="14" t="n">
        <f aca="false">'Roll Schedule'!A711</f>
        <v>46178</v>
      </c>
      <c r="C432" s="3" t="n">
        <f aca="false">SUMIFS('Spot Data'!$E$5:$E$651,'Spot Data'!$A$5:$A$651,B432,'Spot Data'!$H$5:$H$651,"YES")</f>
        <v>8150</v>
      </c>
      <c r="D432" s="3" t="n">
        <f aca="false">SUMIFS('Spot Data'!$E$5:$E$651,'Spot Data'!$A$5:$A$651,A432,'Spot Data'!$H$5:$H$651,"YES")</f>
        <v>8200</v>
      </c>
      <c r="E432" s="14" t="n">
        <f aca="false">'Roll Schedule'!B712</f>
        <v>46192</v>
      </c>
      <c r="F432" s="3" t="n">
        <f aca="false">SUMIFS('Futures Data'!$C$5:$C$3471,'Futures Data'!$A$5:$A$3471,B432,'Futures Data'!$B$5:$B$3471,E432)</f>
        <v>6582</v>
      </c>
      <c r="G432" s="3" t="n">
        <f aca="false">SUMIFS('Futures Data'!$C$5:$C$3471,'Futures Data'!$A$5:$A$3471,A432,'Futures Data'!$B$5:$B$3471,E432)</f>
        <v>6572</v>
      </c>
      <c r="H432" s="13" t="n">
        <f aca="false">LN(D432/C432)</f>
        <v>0.00611622701743605</v>
      </c>
      <c r="I432" s="13" t="n">
        <f aca="false">LN(G432/F432)</f>
        <v>-0.00152045034612654</v>
      </c>
      <c r="J432" s="3" t="str">
        <f aca="false">IF(A432&lt;='Results &amp; Charts'!$C$5,"In-sample","Out-of-sample")</f>
        <v>Out-of-sample</v>
      </c>
      <c r="K432" s="13" t="n">
        <f aca="false">H432-'Results &amp; Charts'!$C$9*I432</f>
        <v>0.00704912575642438</v>
      </c>
      <c r="L432" s="13" t="n">
        <f aca="false">H432-I432</f>
        <v>0.00763667736356259</v>
      </c>
      <c r="M432" s="15" t="n">
        <v>0.522101504112429</v>
      </c>
      <c r="N432" s="13" t="n">
        <f aca="false">H432-M432*I432</f>
        <v>0.00691005643007698</v>
      </c>
      <c r="O432" s="16" t="n">
        <f aca="false">'Results &amp; Charts'!$C$9</f>
        <v>0.613567382430444</v>
      </c>
    </row>
    <row r="433" customFormat="false" ht="15" hidden="false" customHeight="false" outlineLevel="0" collapsed="false">
      <c r="A433" s="14" t="n">
        <f aca="false">'Roll Schedule'!A713</f>
        <v>46182</v>
      </c>
      <c r="B433" s="14" t="n">
        <f aca="false">'Roll Schedule'!A712</f>
        <v>46181</v>
      </c>
      <c r="C433" s="3" t="n">
        <f aca="false">SUMIFS('Spot Data'!$E$5:$E$651,'Spot Data'!$A$5:$A$651,B433,'Spot Data'!$H$5:$H$651,"YES")</f>
        <v>8200</v>
      </c>
      <c r="D433" s="3" t="n">
        <f aca="false">SUMIFS('Spot Data'!$E$5:$E$651,'Spot Data'!$A$5:$A$651,A433,'Spot Data'!$H$5:$H$651,"YES")</f>
        <v>8200</v>
      </c>
      <c r="E433" s="14" t="n">
        <f aca="false">'Roll Schedule'!B713</f>
        <v>46192</v>
      </c>
      <c r="F433" s="3" t="n">
        <f aca="false">SUMIFS('Futures Data'!$C$5:$C$3471,'Futures Data'!$A$5:$A$3471,B433,'Futures Data'!$B$5:$B$3471,E433)</f>
        <v>6572</v>
      </c>
      <c r="G433" s="3" t="n">
        <f aca="false">SUMIFS('Futures Data'!$C$5:$C$3471,'Futures Data'!$A$5:$A$3471,A433,'Futures Data'!$B$5:$B$3471,E433)</f>
        <v>6554</v>
      </c>
      <c r="H433" s="13" t="n">
        <f aca="false">LN(D433/C433)</f>
        <v>0</v>
      </c>
      <c r="I433" s="13" t="n">
        <f aca="false">LN(G433/F433)</f>
        <v>-0.0027426498983988</v>
      </c>
      <c r="J433" s="3" t="str">
        <f aca="false">IF(A433&lt;='Results &amp; Charts'!$C$5,"In-sample","Out-of-sample")</f>
        <v>Out-of-sample</v>
      </c>
      <c r="K433" s="13" t="n">
        <f aca="false">H433-'Results &amp; Charts'!$C$9*I433</f>
        <v>0.00168280051908368</v>
      </c>
      <c r="L433" s="13" t="n">
        <f aca="false">H433-I433</f>
        <v>0.0027426498983988</v>
      </c>
      <c r="M433" s="15" t="n">
        <v>0.534400396998862</v>
      </c>
      <c r="N433" s="13" t="n">
        <f aca="false">H433-M433*I433</f>
        <v>0.00146567319453321</v>
      </c>
      <c r="O433" s="16" t="n">
        <f aca="false">'Results &amp; Charts'!$C$9</f>
        <v>0.613567382430444</v>
      </c>
    </row>
    <row r="434" customFormat="false" ht="15" hidden="false" customHeight="false" outlineLevel="0" collapsed="false">
      <c r="A434" s="14" t="n">
        <f aca="false">'Roll Schedule'!A714</f>
        <v>46183</v>
      </c>
      <c r="B434" s="14" t="n">
        <f aca="false">'Roll Schedule'!A713</f>
        <v>46182</v>
      </c>
      <c r="C434" s="3" t="n">
        <f aca="false">SUMIFS('Spot Data'!$E$5:$E$651,'Spot Data'!$A$5:$A$651,B434,'Spot Data'!$H$5:$H$651,"YES")</f>
        <v>8200</v>
      </c>
      <c r="D434" s="3" t="n">
        <f aca="false">SUMIFS('Spot Data'!$E$5:$E$651,'Spot Data'!$A$5:$A$651,A434,'Spot Data'!$H$5:$H$651,"YES")</f>
        <v>8250</v>
      </c>
      <c r="E434" s="14" t="n">
        <f aca="false">'Roll Schedule'!B714</f>
        <v>46192</v>
      </c>
      <c r="F434" s="3" t="n">
        <f aca="false">SUMIFS('Futures Data'!$C$5:$C$3471,'Futures Data'!$A$5:$A$3471,B434,'Futures Data'!$B$5:$B$3471,E434)</f>
        <v>6554</v>
      </c>
      <c r="G434" s="3" t="n">
        <f aca="false">SUMIFS('Futures Data'!$C$5:$C$3471,'Futures Data'!$A$5:$A$3471,A434,'Futures Data'!$B$5:$B$3471,E434)</f>
        <v>6549</v>
      </c>
      <c r="H434" s="13" t="n">
        <f aca="false">LN(D434/C434)</f>
        <v>0.00607904607638219</v>
      </c>
      <c r="I434" s="13" t="n">
        <f aca="false">LN(G434/F434)</f>
        <v>-0.00076318404070627</v>
      </c>
      <c r="J434" s="3" t="str">
        <f aca="false">IF(A434&lt;='Results &amp; Charts'!$C$5,"In-sample","Out-of-sample")</f>
        <v>Out-of-sample</v>
      </c>
      <c r="K434" s="13" t="n">
        <f aca="false">H434-'Results &amp; Charts'!$C$9*I434</f>
        <v>0.00654731091055103</v>
      </c>
      <c r="L434" s="13" t="n">
        <f aca="false">H434-I434</f>
        <v>0.00684223011708846</v>
      </c>
      <c r="M434" s="15" t="n">
        <v>0.540695617332146</v>
      </c>
      <c r="N434" s="13" t="n">
        <f aca="false">H434-M434*I434</f>
        <v>0.00649169634240991</v>
      </c>
      <c r="O434" s="16" t="n">
        <f aca="false">'Results &amp; Charts'!$C$9</f>
        <v>0.613567382430444</v>
      </c>
    </row>
    <row r="435" customFormat="false" ht="15" hidden="false" customHeight="false" outlineLevel="0" collapsed="false">
      <c r="A435" s="14" t="n">
        <f aca="false">'Roll Schedule'!A715</f>
        <v>46184</v>
      </c>
      <c r="B435" s="14" t="n">
        <f aca="false">'Roll Schedule'!A714</f>
        <v>46183</v>
      </c>
      <c r="C435" s="3" t="n">
        <f aca="false">SUMIFS('Spot Data'!$E$5:$E$651,'Spot Data'!$A$5:$A$651,B435,'Spot Data'!$H$5:$H$651,"YES")</f>
        <v>8250</v>
      </c>
      <c r="D435" s="3" t="n">
        <f aca="false">SUMIFS('Spot Data'!$E$5:$E$651,'Spot Data'!$A$5:$A$651,A435,'Spot Data'!$H$5:$H$651,"YES")</f>
        <v>8450</v>
      </c>
      <c r="E435" s="14" t="n">
        <f aca="false">'Roll Schedule'!B715</f>
        <v>46223</v>
      </c>
      <c r="F435" s="3" t="n">
        <f aca="false">SUMIFS('Futures Data'!$C$5:$C$3471,'Futures Data'!$A$5:$A$3471,B435,'Futures Data'!$B$5:$B$3471,E435)</f>
        <v>6656</v>
      </c>
      <c r="G435" s="3" t="n">
        <f aca="false">SUMIFS('Futures Data'!$C$5:$C$3471,'Futures Data'!$A$5:$A$3471,A435,'Futures Data'!$B$5:$B$3471,E435)</f>
        <v>6680</v>
      </c>
      <c r="H435" s="13" t="n">
        <f aca="false">LN(D435/C435)</f>
        <v>0.0239532410224928</v>
      </c>
      <c r="I435" s="13" t="n">
        <f aca="false">LN(G435/F435)</f>
        <v>0.00359928402964682</v>
      </c>
      <c r="J435" s="3" t="str">
        <f aca="false">IF(A435&lt;='Results &amp; Charts'!$C$5,"In-sample","Out-of-sample")</f>
        <v>Out-of-sample</v>
      </c>
      <c r="K435" s="13" t="n">
        <f aca="false">H435-'Results &amp; Charts'!$C$9*I435</f>
        <v>0.0217448377417987</v>
      </c>
      <c r="L435" s="13" t="n">
        <f aca="false">H435-I435</f>
        <v>0.020353956992846</v>
      </c>
      <c r="M435" s="15" t="n">
        <v>0.553708741040393</v>
      </c>
      <c r="N435" s="13" t="n">
        <f aca="false">H435-M435*I435</f>
        <v>0.0219602859937903</v>
      </c>
      <c r="O435" s="16" t="n">
        <f aca="false">'Results &amp; Charts'!$C$9</f>
        <v>0.613567382430444</v>
      </c>
    </row>
    <row r="436" customFormat="false" ht="15" hidden="false" customHeight="false" outlineLevel="0" collapsed="false">
      <c r="A436" s="14" t="n">
        <f aca="false">'Roll Schedule'!A716</f>
        <v>46185</v>
      </c>
      <c r="B436" s="14" t="n">
        <f aca="false">'Roll Schedule'!A715</f>
        <v>46184</v>
      </c>
      <c r="C436" s="3" t="n">
        <f aca="false">SUMIFS('Spot Data'!$E$5:$E$651,'Spot Data'!$A$5:$A$651,B436,'Spot Data'!$H$5:$H$651,"YES")</f>
        <v>8450</v>
      </c>
      <c r="D436" s="3" t="n">
        <f aca="false">SUMIFS('Spot Data'!$E$5:$E$651,'Spot Data'!$A$5:$A$651,A436,'Spot Data'!$H$5:$H$651,"YES")</f>
        <v>8550</v>
      </c>
      <c r="E436" s="14" t="n">
        <f aca="false">'Roll Schedule'!B716</f>
        <v>46223</v>
      </c>
      <c r="F436" s="3" t="n">
        <f aca="false">SUMIFS('Futures Data'!$C$5:$C$3471,'Futures Data'!$A$5:$A$3471,B436,'Futures Data'!$B$5:$B$3471,E436)</f>
        <v>6680</v>
      </c>
      <c r="G436" s="3" t="n">
        <f aca="false">SUMIFS('Futures Data'!$C$5:$C$3471,'Futures Data'!$A$5:$A$3471,A436,'Futures Data'!$B$5:$B$3471,E436)</f>
        <v>6703</v>
      </c>
      <c r="H436" s="13" t="n">
        <f aca="false">LN(D436/C436)</f>
        <v>0.0117648415795864</v>
      </c>
      <c r="I436" s="13" t="n">
        <f aca="false">LN(G436/F436)</f>
        <v>0.00343719982726628</v>
      </c>
      <c r="J436" s="3" t="str">
        <f aca="false">IF(A436&lt;='Results &amp; Charts'!$C$5,"In-sample","Out-of-sample")</f>
        <v>Out-of-sample</v>
      </c>
      <c r="K436" s="13" t="n">
        <f aca="false">H436-'Results &amp; Charts'!$C$9*I436</f>
        <v>0.00965588787868028</v>
      </c>
      <c r="L436" s="13" t="n">
        <f aca="false">H436-I436</f>
        <v>0.00832764175232015</v>
      </c>
      <c r="M436" s="15" t="n">
        <v>0.591906452706938</v>
      </c>
      <c r="N436" s="13" t="n">
        <f aca="false">H436-M436*I436</f>
        <v>0.00973034082258435</v>
      </c>
      <c r="O436" s="16" t="n">
        <f aca="false">'Results &amp; Charts'!$C$9</f>
        <v>0.613567382430444</v>
      </c>
    </row>
    <row r="437" customFormat="false" ht="15" hidden="false" customHeight="false" outlineLevel="0" collapsed="false">
      <c r="A437" s="14" t="n">
        <f aca="false">'Roll Schedule'!A717</f>
        <v>46188</v>
      </c>
      <c r="B437" s="14" t="n">
        <f aca="false">'Roll Schedule'!A716</f>
        <v>46185</v>
      </c>
      <c r="C437" s="3" t="n">
        <f aca="false">SUMIFS('Spot Data'!$E$5:$E$651,'Spot Data'!$A$5:$A$651,B437,'Spot Data'!$H$5:$H$651,"YES")</f>
        <v>8550</v>
      </c>
      <c r="D437" s="3" t="n">
        <f aca="false">SUMIFS('Spot Data'!$E$5:$E$651,'Spot Data'!$A$5:$A$651,A437,'Spot Data'!$H$5:$H$651,"YES")</f>
        <v>8550</v>
      </c>
      <c r="E437" s="14" t="n">
        <f aca="false">'Roll Schedule'!B717</f>
        <v>46223</v>
      </c>
      <c r="F437" s="3" t="n">
        <f aca="false">SUMIFS('Futures Data'!$C$5:$C$3471,'Futures Data'!$A$5:$A$3471,B437,'Futures Data'!$B$5:$B$3471,E437)</f>
        <v>6703</v>
      </c>
      <c r="G437" s="3" t="n">
        <f aca="false">SUMIFS('Futures Data'!$C$5:$C$3471,'Futures Data'!$A$5:$A$3471,A437,'Futures Data'!$B$5:$B$3471,E437)</f>
        <v>6727</v>
      </c>
      <c r="H437" s="13" t="n">
        <f aca="false">LN(D437/C437)</f>
        <v>0</v>
      </c>
      <c r="I437" s="13" t="n">
        <f aca="false">LN(G437/F437)</f>
        <v>0.0035740916676481</v>
      </c>
      <c r="J437" s="3" t="str">
        <f aca="false">IF(A437&lt;='Results &amp; Charts'!$C$5,"In-sample","Out-of-sample")</f>
        <v>Out-of-sample</v>
      </c>
      <c r="K437" s="13" t="n">
        <f aca="false">H437-'Results &amp; Charts'!$C$9*I437</f>
        <v>-0.00219294606908531</v>
      </c>
      <c r="L437" s="13" t="n">
        <f aca="false">H437-I437</f>
        <v>-0.0035740916676481</v>
      </c>
      <c r="M437" s="15" t="n">
        <v>0.604151523257941</v>
      </c>
      <c r="N437" s="13" t="n">
        <f aca="false">H437-M437*I437</f>
        <v>-0.00215929292527312</v>
      </c>
      <c r="O437" s="16" t="n">
        <f aca="false">'Results &amp; Charts'!$C$9</f>
        <v>0.613567382430444</v>
      </c>
    </row>
    <row r="438" customFormat="false" ht="15" hidden="false" customHeight="false" outlineLevel="0" collapsed="false">
      <c r="A438" s="14" t="n">
        <f aca="false">'Roll Schedule'!A718</f>
        <v>46189</v>
      </c>
      <c r="B438" s="14" t="n">
        <f aca="false">'Roll Schedule'!A717</f>
        <v>46188</v>
      </c>
      <c r="C438" s="3" t="n">
        <f aca="false">SUMIFS('Spot Data'!$E$5:$E$651,'Spot Data'!$A$5:$A$651,B438,'Spot Data'!$H$5:$H$651,"YES")</f>
        <v>8550</v>
      </c>
      <c r="D438" s="3" t="n">
        <f aca="false">SUMIFS('Spot Data'!$E$5:$E$651,'Spot Data'!$A$5:$A$651,A438,'Spot Data'!$H$5:$H$651,"YES")</f>
        <v>8650</v>
      </c>
      <c r="E438" s="14" t="n">
        <f aca="false">'Roll Schedule'!B718</f>
        <v>46223</v>
      </c>
      <c r="F438" s="3" t="n">
        <f aca="false">SUMIFS('Futures Data'!$C$5:$C$3471,'Futures Data'!$A$5:$A$3471,B438,'Futures Data'!$B$5:$B$3471,E438)</f>
        <v>6727</v>
      </c>
      <c r="G438" s="3" t="n">
        <f aca="false">SUMIFS('Futures Data'!$C$5:$C$3471,'Futures Data'!$A$5:$A$3471,A438,'Futures Data'!$B$5:$B$3471,E438)</f>
        <v>6859</v>
      </c>
      <c r="H438" s="13" t="n">
        <f aca="false">LN(D438/C438)</f>
        <v>0.0116280379951192</v>
      </c>
      <c r="I438" s="13" t="n">
        <f aca="false">LN(G438/F438)</f>
        <v>0.0194323794737156</v>
      </c>
      <c r="J438" s="3" t="str">
        <f aca="false">IF(A438&lt;='Results &amp; Charts'!$C$5,"In-sample","Out-of-sample")</f>
        <v>Out-of-sample</v>
      </c>
      <c r="K438" s="13" t="n">
        <f aca="false">H438-'Results &amp; Charts'!$C$9*I438</f>
        <v>-0.000295036212963538</v>
      </c>
      <c r="L438" s="13" t="n">
        <f aca="false">H438-I438</f>
        <v>-0.00780434147859634</v>
      </c>
      <c r="M438" s="15" t="n">
        <v>0.590970129524464</v>
      </c>
      <c r="N438" s="13" t="n">
        <f aca="false">H438-M438*I438</f>
        <v>0.000144082180569001</v>
      </c>
      <c r="O438" s="16" t="n">
        <f aca="false">'Results &amp; Charts'!$C$9</f>
        <v>0.613567382430444</v>
      </c>
    </row>
    <row r="439" customFormat="false" ht="15" hidden="false" customHeight="false" outlineLevel="0" collapsed="false">
      <c r="A439" s="14" t="n">
        <f aca="false">'Roll Schedule'!A719</f>
        <v>46190</v>
      </c>
      <c r="B439" s="14" t="n">
        <f aca="false">'Roll Schedule'!A718</f>
        <v>46189</v>
      </c>
      <c r="C439" s="3" t="n">
        <f aca="false">SUMIFS('Spot Data'!$E$5:$E$651,'Spot Data'!$A$5:$A$651,B439,'Spot Data'!$H$5:$H$651,"YES")</f>
        <v>8650</v>
      </c>
      <c r="D439" s="3" t="n">
        <f aca="false">SUMIFS('Spot Data'!$E$5:$E$651,'Spot Data'!$A$5:$A$651,A439,'Spot Data'!$H$5:$H$651,"YES")</f>
        <v>8800</v>
      </c>
      <c r="E439" s="14" t="n">
        <f aca="false">'Roll Schedule'!B719</f>
        <v>46223</v>
      </c>
      <c r="F439" s="3" t="n">
        <f aca="false">SUMIFS('Futures Data'!$C$5:$C$3471,'Futures Data'!$A$5:$A$3471,B439,'Futures Data'!$B$5:$B$3471,E439)</f>
        <v>6859</v>
      </c>
      <c r="G439" s="3" t="n">
        <f aca="false">SUMIFS('Futures Data'!$C$5:$C$3471,'Futures Data'!$A$5:$A$3471,A439,'Futures Data'!$B$5:$B$3471,E439)</f>
        <v>6921</v>
      </c>
      <c r="H439" s="13" t="n">
        <f aca="false">LN(D439/C439)</f>
        <v>0.0171924005403728</v>
      </c>
      <c r="I439" s="13" t="n">
        <f aca="false">LN(G439/F439)</f>
        <v>0.00899860934254204</v>
      </c>
      <c r="J439" s="3" t="str">
        <f aca="false">IF(A439&lt;='Results &amp; Charts'!$C$5,"In-sample","Out-of-sample")</f>
        <v>Out-of-sample</v>
      </c>
      <c r="K439" s="13" t="n">
        <f aca="false">H439-'Results &amp; Charts'!$C$9*I439</f>
        <v>0.0116711473605551</v>
      </c>
      <c r="L439" s="13" t="n">
        <f aca="false">H439-I439</f>
        <v>0.00819379119783073</v>
      </c>
      <c r="M439" s="15" t="n">
        <v>0.33798588449375</v>
      </c>
      <c r="N439" s="13" t="n">
        <f aca="false">H439-M439*I439</f>
        <v>0.01415099760252</v>
      </c>
      <c r="O439" s="16" t="n">
        <f aca="false">'Results &amp; Charts'!$C$9</f>
        <v>0.613567382430444</v>
      </c>
    </row>
    <row r="440" customFormat="false" ht="15" hidden="false" customHeight="false" outlineLevel="0" collapsed="false">
      <c r="A440" s="14" t="n">
        <f aca="false">'Roll Schedule'!A720</f>
        <v>46191</v>
      </c>
      <c r="B440" s="14" t="n">
        <f aca="false">'Roll Schedule'!A719</f>
        <v>46190</v>
      </c>
      <c r="C440" s="3" t="n">
        <f aca="false">SUMIFS('Spot Data'!$E$5:$E$651,'Spot Data'!$A$5:$A$651,B440,'Spot Data'!$H$5:$H$651,"YES")</f>
        <v>8800</v>
      </c>
      <c r="D440" s="3" t="n">
        <f aca="false">SUMIFS('Spot Data'!$E$5:$E$651,'Spot Data'!$A$5:$A$651,A440,'Spot Data'!$H$5:$H$651,"YES")</f>
        <v>8850</v>
      </c>
      <c r="E440" s="14" t="n">
        <f aca="false">'Roll Schedule'!B720</f>
        <v>46223</v>
      </c>
      <c r="F440" s="3" t="n">
        <f aca="false">SUMIFS('Futures Data'!$C$5:$C$3471,'Futures Data'!$A$5:$A$3471,B440,'Futures Data'!$B$5:$B$3471,E440)</f>
        <v>6921</v>
      </c>
      <c r="G440" s="3" t="n">
        <f aca="false">SUMIFS('Futures Data'!$C$5:$C$3471,'Futures Data'!$A$5:$A$3471,A440,'Futures Data'!$B$5:$B$3471,E440)</f>
        <v>6914</v>
      </c>
      <c r="H440" s="13" t="n">
        <f aca="false">LN(D440/C440)</f>
        <v>0.0056657375356773</v>
      </c>
      <c r="I440" s="13" t="n">
        <f aca="false">LN(G440/F440)</f>
        <v>-0.00101192636029347</v>
      </c>
      <c r="J440" s="3" t="str">
        <f aca="false">IF(A440&lt;='Results &amp; Charts'!$C$5,"In-sample","Out-of-sample")</f>
        <v>Out-of-sample</v>
      </c>
      <c r="K440" s="13" t="n">
        <f aca="false">H440-'Results &amp; Charts'!$C$9*I440</f>
        <v>0.00628662254377493</v>
      </c>
      <c r="L440" s="13" t="n">
        <f aca="false">H440-I440</f>
        <v>0.00667766389597077</v>
      </c>
      <c r="M440" s="15" t="n">
        <v>0.367479466949866</v>
      </c>
      <c r="N440" s="13" t="n">
        <f aca="false">H440-M440*I440</f>
        <v>0.00603759969515046</v>
      </c>
      <c r="O440" s="16" t="n">
        <f aca="false">'Results &amp; Charts'!$C$9</f>
        <v>0.613567382430444</v>
      </c>
    </row>
    <row r="441" customFormat="false" ht="15" hidden="false" customHeight="false" outlineLevel="0" collapsed="false">
      <c r="A441" s="14" t="n">
        <f aca="false">'Roll Schedule'!A721</f>
        <v>46192</v>
      </c>
      <c r="B441" s="14" t="n">
        <f aca="false">'Roll Schedule'!A720</f>
        <v>46191</v>
      </c>
      <c r="C441" s="3" t="n">
        <f aca="false">SUMIFS('Spot Data'!$E$5:$E$651,'Spot Data'!$A$5:$A$651,B441,'Spot Data'!$H$5:$H$651,"YES")</f>
        <v>8850</v>
      </c>
      <c r="D441" s="3" t="n">
        <f aca="false">SUMIFS('Spot Data'!$E$5:$E$651,'Spot Data'!$A$5:$A$651,A441,'Spot Data'!$H$5:$H$651,"YES")</f>
        <v>8750</v>
      </c>
      <c r="E441" s="14" t="n">
        <f aca="false">'Roll Schedule'!B721</f>
        <v>46223</v>
      </c>
      <c r="F441" s="3" t="n">
        <f aca="false">SUMIFS('Futures Data'!$C$5:$C$3471,'Futures Data'!$A$5:$A$3471,B441,'Futures Data'!$B$5:$B$3471,E441)</f>
        <v>6914</v>
      </c>
      <c r="G441" s="3" t="n">
        <f aca="false">SUMIFS('Futures Data'!$C$5:$C$3471,'Futures Data'!$A$5:$A$3471,A441,'Futures Data'!$B$5:$B$3471,E441)</f>
        <v>6928</v>
      </c>
      <c r="H441" s="13" t="n">
        <f aca="false">LN(D441/C441)</f>
        <v>-0.0113637586503151</v>
      </c>
      <c r="I441" s="13" t="n">
        <f aca="false">LN(G441/F441)</f>
        <v>0.00202282976070126</v>
      </c>
      <c r="J441" s="3" t="str">
        <f aca="false">IF(A441&lt;='Results &amp; Charts'!$C$5,"In-sample","Out-of-sample")</f>
        <v>Out-of-sample</v>
      </c>
      <c r="K441" s="13" t="n">
        <f aca="false">H441-'Results &amp; Charts'!$C$9*I441</f>
        <v>-0.012604901011691</v>
      </c>
      <c r="L441" s="13" t="n">
        <f aca="false">H441-I441</f>
        <v>-0.0133865884110164</v>
      </c>
      <c r="M441" s="15" t="n">
        <v>0.401453487218068</v>
      </c>
      <c r="N441" s="13" t="n">
        <f aca="false">H441-M441*I441</f>
        <v>-0.0121758307117971</v>
      </c>
      <c r="O441" s="16" t="n">
        <f aca="false">'Results &amp; Charts'!$C$9</f>
        <v>0.613567382430444</v>
      </c>
    </row>
    <row r="442" customFormat="false" ht="15" hidden="false" customHeight="false" outlineLevel="0" collapsed="false">
      <c r="A442" s="14" t="n">
        <f aca="false">'Roll Schedule'!A722</f>
        <v>46195</v>
      </c>
      <c r="B442" s="14" t="n">
        <f aca="false">'Roll Schedule'!A721</f>
        <v>46192</v>
      </c>
      <c r="C442" s="3" t="n">
        <f aca="false">SUMIFS('Spot Data'!$E$5:$E$651,'Spot Data'!$A$5:$A$651,B442,'Spot Data'!$H$5:$H$651,"YES")</f>
        <v>8750</v>
      </c>
      <c r="D442" s="3" t="n">
        <f aca="false">SUMIFS('Spot Data'!$E$5:$E$651,'Spot Data'!$A$5:$A$651,A442,'Spot Data'!$H$5:$H$651,"YES")</f>
        <v>8850</v>
      </c>
      <c r="E442" s="14" t="n">
        <f aca="false">'Roll Schedule'!B722</f>
        <v>46223</v>
      </c>
      <c r="F442" s="3" t="n">
        <f aca="false">SUMIFS('Futures Data'!$C$5:$C$3471,'Futures Data'!$A$5:$A$3471,B442,'Futures Data'!$B$5:$B$3471,E442)</f>
        <v>6928</v>
      </c>
      <c r="G442" s="3" t="n">
        <f aca="false">SUMIFS('Futures Data'!$C$5:$C$3471,'Futures Data'!$A$5:$A$3471,A442,'Futures Data'!$B$5:$B$3471,E442)</f>
        <v>7066</v>
      </c>
      <c r="H442" s="13" t="n">
        <f aca="false">LN(D442/C442)</f>
        <v>0.011363758650315</v>
      </c>
      <c r="I442" s="13" t="n">
        <f aca="false">LN(G442/F442)</f>
        <v>0.0197233776768195</v>
      </c>
      <c r="J442" s="3" t="str">
        <f aca="false">IF(A442&lt;='Results &amp; Charts'!$C$5,"In-sample","Out-of-sample")</f>
        <v>Out-of-sample</v>
      </c>
      <c r="K442" s="13" t="n">
        <f aca="false">H442-'Results &amp; Charts'!$C$9*I442</f>
        <v>-0.000737862563538218</v>
      </c>
      <c r="L442" s="13" t="n">
        <f aca="false">H442-I442</f>
        <v>-0.00835961902650453</v>
      </c>
      <c r="M442" s="15" t="n">
        <v>0.424714001906793</v>
      </c>
      <c r="N442" s="13" t="n">
        <f aca="false">H442-M442*I442</f>
        <v>0.00298696398607387</v>
      </c>
      <c r="O442" s="16" t="n">
        <f aca="false">'Results &amp; Charts'!$C$9</f>
        <v>0.613567382430444</v>
      </c>
    </row>
    <row r="443" customFormat="false" ht="15" hidden="false" customHeight="false" outlineLevel="0" collapsed="false">
      <c r="A443" s="14" t="n">
        <f aca="false">'Roll Schedule'!A723</f>
        <v>46196</v>
      </c>
      <c r="B443" s="14" t="n">
        <f aca="false">'Roll Schedule'!A722</f>
        <v>46195</v>
      </c>
      <c r="C443" s="3" t="n">
        <f aca="false">SUMIFS('Spot Data'!$E$5:$E$651,'Spot Data'!$A$5:$A$651,B443,'Spot Data'!$H$5:$H$651,"YES")</f>
        <v>8850</v>
      </c>
      <c r="D443" s="3" t="n">
        <f aca="false">SUMIFS('Spot Data'!$E$5:$E$651,'Spot Data'!$A$5:$A$651,A443,'Spot Data'!$H$5:$H$651,"YES")</f>
        <v>8850</v>
      </c>
      <c r="E443" s="14" t="n">
        <f aca="false">'Roll Schedule'!B723</f>
        <v>46223</v>
      </c>
      <c r="F443" s="3" t="n">
        <f aca="false">SUMIFS('Futures Data'!$C$5:$C$3471,'Futures Data'!$A$5:$A$3471,B443,'Futures Data'!$B$5:$B$3471,E443)</f>
        <v>7066</v>
      </c>
      <c r="G443" s="3" t="n">
        <f aca="false">SUMIFS('Futures Data'!$C$5:$C$3471,'Futures Data'!$A$5:$A$3471,A443,'Futures Data'!$B$5:$B$3471,E443)</f>
        <v>7024</v>
      </c>
      <c r="H443" s="13" t="n">
        <f aca="false">LN(D443/C443)</f>
        <v>0</v>
      </c>
      <c r="I443" s="13" t="n">
        <f aca="false">LN(G443/F443)</f>
        <v>-0.00596169260413791</v>
      </c>
      <c r="J443" s="3" t="str">
        <f aca="false">IF(A443&lt;='Results &amp; Charts'!$C$5,"In-sample","Out-of-sample")</f>
        <v>Out-of-sample</v>
      </c>
      <c r="K443" s="13" t="n">
        <f aca="false">H443-'Results &amp; Charts'!$C$9*I443</f>
        <v>0.00365790012597584</v>
      </c>
      <c r="L443" s="13" t="n">
        <f aca="false">H443-I443</f>
        <v>0.00596169260413791</v>
      </c>
      <c r="M443" s="15" t="n">
        <v>0.30973347542617</v>
      </c>
      <c r="N443" s="13" t="n">
        <f aca="false">H443-M443*I443</f>
        <v>0.00184653576970213</v>
      </c>
      <c r="O443" s="16" t="n">
        <f aca="false">'Results &amp; Charts'!$C$9</f>
        <v>0.613567382430444</v>
      </c>
    </row>
    <row r="444" customFormat="false" ht="15" hidden="false" customHeight="false" outlineLevel="0" collapsed="false">
      <c r="A444" s="14" t="n">
        <f aca="false">'Roll Schedule'!A724</f>
        <v>46197</v>
      </c>
      <c r="B444" s="14" t="n">
        <f aca="false">'Roll Schedule'!A723</f>
        <v>46196</v>
      </c>
      <c r="C444" s="3" t="n">
        <f aca="false">SUMIFS('Spot Data'!$E$5:$E$651,'Spot Data'!$A$5:$A$651,B444,'Spot Data'!$H$5:$H$651,"YES")</f>
        <v>8850</v>
      </c>
      <c r="D444" s="3" t="n">
        <f aca="false">SUMIFS('Spot Data'!$E$5:$E$651,'Spot Data'!$A$5:$A$651,A444,'Spot Data'!$H$5:$H$651,"YES")</f>
        <v>8950</v>
      </c>
      <c r="E444" s="14" t="n">
        <f aca="false">'Roll Schedule'!B724</f>
        <v>46223</v>
      </c>
      <c r="F444" s="3" t="n">
        <f aca="false">SUMIFS('Futures Data'!$C$5:$C$3471,'Futures Data'!$A$5:$A$3471,B444,'Futures Data'!$B$5:$B$3471,E444)</f>
        <v>7024</v>
      </c>
      <c r="G444" s="3" t="n">
        <f aca="false">SUMIFS('Futures Data'!$C$5:$C$3471,'Futures Data'!$A$5:$A$3471,A444,'Futures Data'!$B$5:$B$3471,E444)</f>
        <v>7098</v>
      </c>
      <c r="H444" s="13" t="n">
        <f aca="false">LN(D444/C444)</f>
        <v>0.0112360732669258</v>
      </c>
      <c r="I444" s="13" t="n">
        <f aca="false">LN(G444/F444)</f>
        <v>0.0104801978914891</v>
      </c>
      <c r="J444" s="3" t="str">
        <f aca="false">IF(A444&lt;='Results &amp; Charts'!$C$5,"In-sample","Out-of-sample")</f>
        <v>Out-of-sample</v>
      </c>
      <c r="K444" s="13" t="n">
        <f aca="false">H444-'Results &amp; Charts'!$C$9*I444</f>
        <v>0.00480576567929172</v>
      </c>
      <c r="L444" s="13" t="n">
        <f aca="false">H444-I444</f>
        <v>0.00075587537543664</v>
      </c>
      <c r="M444" s="15" t="n">
        <v>0.331088157284098</v>
      </c>
      <c r="N444" s="13" t="n">
        <f aca="false">H444-M444*I444</f>
        <v>0.00776620385905993</v>
      </c>
      <c r="O444" s="16" t="n">
        <f aca="false">'Results &amp; Charts'!$C$9</f>
        <v>0.613567382430444</v>
      </c>
    </row>
    <row r="445" customFormat="false" ht="15" hidden="false" customHeight="false" outlineLevel="0" collapsed="false">
      <c r="A445" s="14" t="n">
        <f aca="false">'Roll Schedule'!A725</f>
        <v>46198</v>
      </c>
      <c r="B445" s="14" t="n">
        <f aca="false">'Roll Schedule'!A724</f>
        <v>46197</v>
      </c>
      <c r="C445" s="3" t="n">
        <f aca="false">SUMIFS('Spot Data'!$E$5:$E$651,'Spot Data'!$A$5:$A$651,B445,'Spot Data'!$H$5:$H$651,"YES")</f>
        <v>8950</v>
      </c>
      <c r="D445" s="3" t="n">
        <f aca="false">SUMIFS('Spot Data'!$E$5:$E$651,'Spot Data'!$A$5:$A$651,A445,'Spot Data'!$H$5:$H$651,"YES")</f>
        <v>9000</v>
      </c>
      <c r="E445" s="14" t="n">
        <f aca="false">'Roll Schedule'!B725</f>
        <v>46223</v>
      </c>
      <c r="F445" s="3" t="n">
        <f aca="false">SUMIFS('Futures Data'!$C$5:$C$3471,'Futures Data'!$A$5:$A$3471,B445,'Futures Data'!$B$5:$B$3471,E445)</f>
        <v>7098</v>
      </c>
      <c r="G445" s="3" t="n">
        <f aca="false">SUMIFS('Futures Data'!$C$5:$C$3471,'Futures Data'!$A$5:$A$3471,A445,'Futures Data'!$B$5:$B$3471,E445)</f>
        <v>7057</v>
      </c>
      <c r="H445" s="13" t="n">
        <f aca="false">LN(D445/C445)</f>
        <v>0.00557104504945543</v>
      </c>
      <c r="I445" s="13" t="n">
        <f aca="false">LN(G445/F445)</f>
        <v>-0.00579302220561155</v>
      </c>
      <c r="J445" s="3" t="str">
        <f aca="false">IF(A445&lt;='Results &amp; Charts'!$C$5,"In-sample","Out-of-sample")</f>
        <v>Out-of-sample</v>
      </c>
      <c r="K445" s="13" t="n">
        <f aca="false">H445-'Results &amp; Charts'!$C$9*I445</f>
        <v>0.00912545452051395</v>
      </c>
      <c r="L445" s="13" t="n">
        <f aca="false">H445-I445</f>
        <v>0.011364067255067</v>
      </c>
      <c r="M445" s="15" t="n">
        <v>0.343693606015093</v>
      </c>
      <c r="N445" s="13" t="n">
        <f aca="false">H445-M445*I445</f>
        <v>0.00756206974102757</v>
      </c>
      <c r="O445" s="16" t="n">
        <f aca="false">'Results &amp; Charts'!$C$9</f>
        <v>0.613567382430444</v>
      </c>
    </row>
    <row r="446" customFormat="false" ht="15" hidden="false" customHeight="false" outlineLevel="0" collapsed="false">
      <c r="A446" s="14" t="n">
        <f aca="false">'Roll Schedule'!A726</f>
        <v>46202</v>
      </c>
      <c r="B446" s="14" t="n">
        <f aca="false">'Roll Schedule'!A725</f>
        <v>46198</v>
      </c>
      <c r="C446" s="3" t="n">
        <f aca="false">SUMIFS('Spot Data'!$E$5:$E$651,'Spot Data'!$A$5:$A$651,B446,'Spot Data'!$H$5:$H$651,"YES")</f>
        <v>9000</v>
      </c>
      <c r="D446" s="3" t="n">
        <f aca="false">SUMIFS('Spot Data'!$E$5:$E$651,'Spot Data'!$A$5:$A$651,A446,'Spot Data'!$H$5:$H$651,"YES")</f>
        <v>9000</v>
      </c>
      <c r="E446" s="14" t="n">
        <f aca="false">'Roll Schedule'!B726</f>
        <v>46223</v>
      </c>
      <c r="F446" s="3" t="n">
        <f aca="false">SUMIFS('Futures Data'!$C$5:$C$3471,'Futures Data'!$A$5:$A$3471,B446,'Futures Data'!$B$5:$B$3471,E446)</f>
        <v>7057</v>
      </c>
      <c r="G446" s="3" t="n">
        <f aca="false">SUMIFS('Futures Data'!$C$5:$C$3471,'Futures Data'!$A$5:$A$3471,A446,'Futures Data'!$B$5:$B$3471,E446)</f>
        <v>7142</v>
      </c>
      <c r="H446" s="13" t="n">
        <f aca="false">LN(D446/C446)</f>
        <v>0</v>
      </c>
      <c r="I446" s="13" t="n">
        <f aca="false">LN(G446/F446)</f>
        <v>0.0119728171535634</v>
      </c>
      <c r="J446" s="3" t="str">
        <f aca="false">IF(A446&lt;='Results &amp; Charts'!$C$5,"In-sample","Out-of-sample")</f>
        <v>Out-of-sample</v>
      </c>
      <c r="K446" s="13" t="n">
        <f aca="false">H446-'Results &amp; Charts'!$C$9*I446</f>
        <v>-0.00734613008123022</v>
      </c>
      <c r="L446" s="13" t="n">
        <f aca="false">H446-I446</f>
        <v>-0.0119728171535634</v>
      </c>
      <c r="M446" s="15" t="n">
        <v>0.359127382083051</v>
      </c>
      <c r="N446" s="13" t="n">
        <f aca="false">H446-M446*I446</f>
        <v>-0.00429976648051827</v>
      </c>
      <c r="O446" s="16" t="n">
        <f aca="false">'Results &amp; Charts'!$C$9</f>
        <v>0.613567382430444</v>
      </c>
    </row>
    <row r="447" customFormat="false" ht="15" hidden="false" customHeight="false" outlineLevel="0" collapsed="false">
      <c r="A447" s="14" t="n">
        <f aca="false">'Roll Schedule'!A727</f>
        <v>46203</v>
      </c>
      <c r="B447" s="14" t="n">
        <f aca="false">'Roll Schedule'!A726</f>
        <v>46202</v>
      </c>
      <c r="C447" s="3" t="n">
        <f aca="false">SUMIFS('Spot Data'!$E$5:$E$651,'Spot Data'!$A$5:$A$651,B447,'Spot Data'!$H$5:$H$651,"YES")</f>
        <v>9000</v>
      </c>
      <c r="D447" s="3" t="n">
        <f aca="false">SUMIFS('Spot Data'!$E$5:$E$651,'Spot Data'!$A$5:$A$651,A447,'Spot Data'!$H$5:$H$651,"YES")</f>
        <v>9250</v>
      </c>
      <c r="E447" s="14" t="n">
        <f aca="false">'Roll Schedule'!B727</f>
        <v>46223</v>
      </c>
      <c r="F447" s="3" t="n">
        <f aca="false">SUMIFS('Futures Data'!$C$5:$C$3471,'Futures Data'!$A$5:$A$3471,B447,'Futures Data'!$B$5:$B$3471,E447)</f>
        <v>7142</v>
      </c>
      <c r="G447" s="3" t="n">
        <f aca="false">SUMIFS('Futures Data'!$C$5:$C$3471,'Futures Data'!$A$5:$A$3471,A447,'Futures Data'!$B$5:$B$3471,E447)</f>
        <v>7084</v>
      </c>
      <c r="H447" s="13" t="n">
        <f aca="false">LN(D447/C447)</f>
        <v>0.0273989741881143</v>
      </c>
      <c r="I447" s="13" t="n">
        <f aca="false">LN(G447/F447)</f>
        <v>-0.00815412925166961</v>
      </c>
      <c r="J447" s="3" t="str">
        <f aca="false">IF(A447&lt;='Results &amp; Charts'!$C$5,"In-sample","Out-of-sample")</f>
        <v>Out-of-sample</v>
      </c>
      <c r="K447" s="13" t="n">
        <f aca="false">H447-'Results &amp; Charts'!$C$9*I447</f>
        <v>0.0324020819290608</v>
      </c>
      <c r="L447" s="13" t="n">
        <f aca="false">H447-I447</f>
        <v>0.035553103439784</v>
      </c>
      <c r="M447" s="15" t="n">
        <v>0.328275685363903</v>
      </c>
      <c r="N447" s="13" t="n">
        <f aca="false">H447-M447*I447</f>
        <v>0.030075776556752</v>
      </c>
      <c r="O447" s="16" t="n">
        <f aca="false">'Results &amp; Charts'!$C$9</f>
        <v>0.613567382430444</v>
      </c>
    </row>
    <row r="448" customFormat="false" ht="15" hidden="false" customHeight="false" outlineLevel="0" collapsed="false">
      <c r="A448" s="14" t="n">
        <f aca="false">'Roll Schedule'!A728</f>
        <v>46204</v>
      </c>
      <c r="B448" s="14" t="n">
        <f aca="false">'Roll Schedule'!A727</f>
        <v>46203</v>
      </c>
      <c r="C448" s="3" t="n">
        <f aca="false">SUMIFS('Spot Data'!$E$5:$E$651,'Spot Data'!$A$5:$A$651,B448,'Spot Data'!$H$5:$H$651,"YES")</f>
        <v>9250</v>
      </c>
      <c r="D448" s="3" t="n">
        <f aca="false">SUMIFS('Spot Data'!$E$5:$E$651,'Spot Data'!$A$5:$A$651,A448,'Spot Data'!$H$5:$H$651,"YES")</f>
        <v>10150</v>
      </c>
      <c r="E448" s="14" t="n">
        <f aca="false">'Roll Schedule'!B728</f>
        <v>46223</v>
      </c>
      <c r="F448" s="3" t="n">
        <f aca="false">SUMIFS('Futures Data'!$C$5:$C$3471,'Futures Data'!$A$5:$A$3471,B448,'Futures Data'!$B$5:$B$3471,E448)</f>
        <v>7084</v>
      </c>
      <c r="G448" s="3" t="n">
        <f aca="false">SUMIFS('Futures Data'!$C$5:$C$3471,'Futures Data'!$A$5:$A$3471,A448,'Futures Data'!$B$5:$B$3471,E448)</f>
        <v>7005</v>
      </c>
      <c r="H448" s="13" t="n">
        <f aca="false">LN(D448/C448)</f>
        <v>0.0928501539634624</v>
      </c>
      <c r="I448" s="13" t="n">
        <f aca="false">LN(G448/F448)</f>
        <v>-0.0112145401316168</v>
      </c>
      <c r="J448" s="3" t="str">
        <f aca="false">IF(A448&lt;='Results &amp; Charts'!$C$5,"In-sample","Out-of-sample")</f>
        <v>Out-of-sample</v>
      </c>
      <c r="K448" s="13" t="n">
        <f aca="false">H448-'Results &amp; Charts'!$C$9*I448</f>
        <v>0.0997310299971797</v>
      </c>
      <c r="L448" s="13" t="n">
        <f aca="false">H448-I448</f>
        <v>0.104064694095079</v>
      </c>
      <c r="M448" s="15" t="n">
        <v>0.29028838798407</v>
      </c>
      <c r="N448" s="13" t="n">
        <f aca="false">H448-M448*I448</f>
        <v>0.0961056047402521</v>
      </c>
      <c r="O448" s="16" t="n">
        <f aca="false">'Results &amp; Charts'!$C$9</f>
        <v>0.613567382430444</v>
      </c>
    </row>
    <row r="449" customFormat="false" ht="15" hidden="false" customHeight="false" outlineLevel="0" collapsed="false">
      <c r="A449" s="14" t="n">
        <f aca="false">'Roll Schedule'!A729</f>
        <v>46205</v>
      </c>
      <c r="B449" s="14" t="n">
        <f aca="false">'Roll Schedule'!A728</f>
        <v>46204</v>
      </c>
      <c r="C449" s="3" t="n">
        <f aca="false">SUMIFS('Spot Data'!$E$5:$E$651,'Spot Data'!$A$5:$A$651,B449,'Spot Data'!$H$5:$H$651,"YES")</f>
        <v>10150</v>
      </c>
      <c r="D449" s="3" t="n">
        <f aca="false">SUMIFS('Spot Data'!$E$5:$E$651,'Spot Data'!$A$5:$A$651,A449,'Spot Data'!$H$5:$H$651,"YES")</f>
        <v>10100</v>
      </c>
      <c r="E449" s="14" t="n">
        <f aca="false">'Roll Schedule'!B729</f>
        <v>46223</v>
      </c>
      <c r="F449" s="3" t="n">
        <f aca="false">SUMIFS('Futures Data'!$C$5:$C$3471,'Futures Data'!$A$5:$A$3471,B449,'Futures Data'!$B$5:$B$3471,E449)</f>
        <v>7005</v>
      </c>
      <c r="G449" s="3" t="n">
        <f aca="false">SUMIFS('Futures Data'!$C$5:$C$3471,'Futures Data'!$A$5:$A$3471,A449,'Futures Data'!$B$5:$B$3471,E449)</f>
        <v>6968</v>
      </c>
      <c r="H449" s="13" t="n">
        <f aca="false">LN(D449/C449)</f>
        <v>-0.00493828164058257</v>
      </c>
      <c r="I449" s="13" t="n">
        <f aca="false">LN(G449/F449)</f>
        <v>-0.00529594023876866</v>
      </c>
      <c r="J449" s="3" t="str">
        <f aca="false">IF(A449&lt;='Results &amp; Charts'!$C$5,"In-sample","Out-of-sample")</f>
        <v>Out-of-sample</v>
      </c>
      <c r="K449" s="13" t="n">
        <f aca="false">H449-'Results &amp; Charts'!$C$9*I449</f>
        <v>-0.00168886545077322</v>
      </c>
      <c r="L449" s="13" t="n">
        <f aca="false">H449-I449</f>
        <v>0.00035765859818609</v>
      </c>
      <c r="M449" s="15" t="n">
        <v>0.065781253654202</v>
      </c>
      <c r="N449" s="13" t="n">
        <f aca="false">H449-M449*I449</f>
        <v>-0.00458990805239863</v>
      </c>
      <c r="O449" s="16" t="n">
        <f aca="false">'Results &amp; Charts'!$C$9</f>
        <v>0.613567382430444</v>
      </c>
    </row>
    <row r="450" customFormat="false" ht="15" hidden="false" customHeight="false" outlineLevel="0" collapsed="false">
      <c r="A450" s="14" t="n">
        <f aca="false">'Roll Schedule'!A730</f>
        <v>46206</v>
      </c>
      <c r="B450" s="14" t="n">
        <f aca="false">'Roll Schedule'!A729</f>
        <v>46205</v>
      </c>
      <c r="C450" s="3" t="n">
        <f aca="false">SUMIFS('Spot Data'!$E$5:$E$651,'Spot Data'!$A$5:$A$651,B450,'Spot Data'!$H$5:$H$651,"YES")</f>
        <v>10100</v>
      </c>
      <c r="D450" s="3" t="n">
        <f aca="false">SUMIFS('Spot Data'!$E$5:$E$651,'Spot Data'!$A$5:$A$651,A450,'Spot Data'!$H$5:$H$651,"YES")</f>
        <v>10050</v>
      </c>
      <c r="E450" s="14" t="n">
        <f aca="false">'Roll Schedule'!B730</f>
        <v>46223</v>
      </c>
      <c r="F450" s="3" t="n">
        <f aca="false">SUMIFS('Futures Data'!$C$5:$C$3471,'Futures Data'!$A$5:$A$3471,B450,'Futures Data'!$B$5:$B$3471,E450)</f>
        <v>6968</v>
      </c>
      <c r="G450" s="3" t="n">
        <f aca="false">SUMIFS('Futures Data'!$C$5:$C$3471,'Futures Data'!$A$5:$A$3471,A450,'Futures Data'!$B$5:$B$3471,E450)</f>
        <v>6958</v>
      </c>
      <c r="H450" s="13" t="n">
        <f aca="false">LN(D450/C450)</f>
        <v>-0.00496278934212901</v>
      </c>
      <c r="I450" s="13" t="n">
        <f aca="false">LN(G450/F450)</f>
        <v>-0.00143616282045138</v>
      </c>
      <c r="J450" s="3" t="str">
        <f aca="false">IF(A450&lt;='Results &amp; Charts'!$C$5,"In-sample","Out-of-sample")</f>
        <v>Out-of-sample</v>
      </c>
      <c r="K450" s="13" t="n">
        <f aca="false">H450-'Results &amp; Charts'!$C$9*I450</f>
        <v>-0.00408160667964073</v>
      </c>
      <c r="L450" s="13" t="n">
        <f aca="false">H450-I450</f>
        <v>-0.00352662652167763</v>
      </c>
      <c r="M450" s="15" t="n">
        <v>0.0810426161303178</v>
      </c>
      <c r="N450" s="13" t="n">
        <f aca="false">H450-M450*I450</f>
        <v>-0.00484639894997054</v>
      </c>
      <c r="O450" s="16" t="n">
        <f aca="false">'Results &amp; Charts'!$C$9</f>
        <v>0.613567382430444</v>
      </c>
    </row>
    <row r="451" customFormat="false" ht="15" hidden="false" customHeight="false" outlineLevel="0" collapsed="false">
      <c r="A451" s="14" t="n">
        <f aca="false">'Roll Schedule'!A733</f>
        <v>46211</v>
      </c>
      <c r="B451" s="14" t="n">
        <f aca="false">'Roll Schedule'!A732</f>
        <v>46210</v>
      </c>
      <c r="C451" s="3" t="n">
        <f aca="false">SUMIFS('Spot Data'!$E$5:$E$651,'Spot Data'!$A$5:$A$651,B451,'Spot Data'!$H$5:$H$651,"YES")</f>
        <v>10050</v>
      </c>
      <c r="D451" s="3" t="n">
        <f aca="false">SUMIFS('Spot Data'!$E$5:$E$651,'Spot Data'!$A$5:$A$651,A451,'Spot Data'!$H$5:$H$651,"YES")</f>
        <v>10250</v>
      </c>
      <c r="E451" s="14" t="n">
        <f aca="false">'Roll Schedule'!B733</f>
        <v>46254</v>
      </c>
      <c r="F451" s="3" t="n">
        <f aca="false">SUMIFS('Futures Data'!$C$5:$C$3471,'Futures Data'!$A$5:$A$3471,B451,'Futures Data'!$B$5:$B$3471,E451)</f>
        <v>7125</v>
      </c>
      <c r="G451" s="3" t="n">
        <f aca="false">SUMIFS('Futures Data'!$C$5:$C$3471,'Futures Data'!$A$5:$A$3471,A451,'Futures Data'!$B$5:$B$3471,E451)</f>
        <v>7135</v>
      </c>
      <c r="H451" s="13" t="n">
        <f aca="false">LN(D451/C451)</f>
        <v>0.0197050710793323</v>
      </c>
      <c r="I451" s="13" t="n">
        <f aca="false">LN(G451/F451)</f>
        <v>0.00140252477408543</v>
      </c>
      <c r="J451" s="3" t="str">
        <f aca="false">IF(A451&lt;='Results &amp; Charts'!$C$5,"In-sample","Out-of-sample")</f>
        <v>Out-of-sample</v>
      </c>
      <c r="K451" s="13" t="n">
        <f aca="false">H451-'Results &amp; Charts'!$C$9*I451</f>
        <v>0.0188445276249029</v>
      </c>
      <c r="L451" s="13" t="n">
        <f aca="false">H451-I451</f>
        <v>0.0183025463052469</v>
      </c>
      <c r="M451" s="15" t="n">
        <v>0.0963449149169746</v>
      </c>
      <c r="N451" s="13" t="n">
        <f aca="false">H451-M451*I451</f>
        <v>0.0195699449493041</v>
      </c>
      <c r="O451" s="16" t="n">
        <f aca="false">'Results &amp; Charts'!$C$9</f>
        <v>0.613567382430444</v>
      </c>
    </row>
    <row r="452" customFormat="false" ht="15" hidden="false" customHeight="false" outlineLevel="0" collapsed="false">
      <c r="A452" s="14" t="n">
        <f aca="false">'Roll Schedule'!A736</f>
        <v>46216</v>
      </c>
      <c r="B452" s="14" t="n">
        <f aca="false">'Roll Schedule'!A735</f>
        <v>46213</v>
      </c>
      <c r="C452" s="3" t="n">
        <f aca="false">SUMIFS('Spot Data'!$E$5:$E$651,'Spot Data'!$A$5:$A$651,B452,'Spot Data'!$H$5:$H$651,"YES")</f>
        <v>10150</v>
      </c>
      <c r="D452" s="3" t="n">
        <f aca="false">SUMIFS('Spot Data'!$E$5:$E$651,'Spot Data'!$A$5:$A$651,A452,'Spot Data'!$H$5:$H$651,"YES")</f>
        <v>10250</v>
      </c>
      <c r="E452" s="14" t="n">
        <f aca="false">'Roll Schedule'!B736</f>
        <v>46254</v>
      </c>
      <c r="F452" s="3" t="n">
        <f aca="false">SUMIFS('Futures Data'!$C$5:$C$3471,'Futures Data'!$A$5:$A$3471,B452,'Futures Data'!$B$5:$B$3471,E452)</f>
        <v>7173</v>
      </c>
      <c r="G452" s="3" t="n">
        <f aca="false">SUMIFS('Futures Data'!$C$5:$C$3471,'Futures Data'!$A$5:$A$3471,A452,'Futures Data'!$B$5:$B$3471,E452)</f>
        <v>7213</v>
      </c>
      <c r="H452" s="13" t="n">
        <f aca="false">LN(D452/C452)</f>
        <v>0.00980400009662084</v>
      </c>
      <c r="I452" s="13" t="n">
        <f aca="false">LN(G452/F452)</f>
        <v>0.00556097637723815</v>
      </c>
      <c r="J452" s="3" t="str">
        <f aca="false">IF(A452&lt;='Results &amp; Charts'!$C$5,"In-sample","Out-of-sample")</f>
        <v>Out-of-sample</v>
      </c>
      <c r="K452" s="13" t="n">
        <f aca="false">H452-'Results &amp; Charts'!$C$9*I452</f>
        <v>0.00639196637708129</v>
      </c>
      <c r="L452" s="13" t="n">
        <f aca="false">H452-I452</f>
        <v>0.00424302371938268</v>
      </c>
      <c r="M452" s="15" t="n">
        <v>0.121829907594192</v>
      </c>
      <c r="N452" s="13" t="n">
        <f aca="false">H452-M452*I452</f>
        <v>0.00912650685844843</v>
      </c>
      <c r="O452" s="16" t="n">
        <f aca="false">'Results &amp; Charts'!$C$9</f>
        <v>0.613567382430444</v>
      </c>
    </row>
    <row r="453" customFormat="false" ht="15" hidden="false" customHeight="false" outlineLevel="0" collapsed="false">
      <c r="A453" s="14" t="n">
        <f aca="false">'Roll Schedule'!A737</f>
        <v>46217</v>
      </c>
      <c r="B453" s="14" t="n">
        <f aca="false">'Roll Schedule'!A736</f>
        <v>46216</v>
      </c>
      <c r="C453" s="3" t="n">
        <f aca="false">SUMIFS('Spot Data'!$E$5:$E$651,'Spot Data'!$A$5:$A$651,B453,'Spot Data'!$H$5:$H$651,"YES")</f>
        <v>10250</v>
      </c>
      <c r="D453" s="3" t="n">
        <f aca="false">SUMIFS('Spot Data'!$E$5:$E$651,'Spot Data'!$A$5:$A$651,A453,'Spot Data'!$H$5:$H$651,"YES")</f>
        <v>10150</v>
      </c>
      <c r="E453" s="14" t="n">
        <f aca="false">'Roll Schedule'!B737</f>
        <v>46254</v>
      </c>
      <c r="F453" s="3" t="n">
        <f aca="false">SUMIFS('Futures Data'!$C$5:$C$3471,'Futures Data'!$A$5:$A$3471,B453,'Futures Data'!$B$5:$B$3471,E453)</f>
        <v>7213</v>
      </c>
      <c r="G453" s="3" t="n">
        <f aca="false">SUMIFS('Futures Data'!$C$5:$C$3471,'Futures Data'!$A$5:$A$3471,A453,'Futures Data'!$B$5:$B$3471,E453)</f>
        <v>7287</v>
      </c>
      <c r="H453" s="13" t="n">
        <f aca="false">LN(D453/C453)</f>
        <v>-0.00980400009662086</v>
      </c>
      <c r="I453" s="13" t="n">
        <f aca="false">LN(G453/F453)</f>
        <v>0.0102069851666096</v>
      </c>
      <c r="J453" s="3" t="str">
        <f aca="false">IF(A453&lt;='Results &amp; Charts'!$C$5,"In-sample","Out-of-sample")</f>
        <v>Out-of-sample</v>
      </c>
      <c r="K453" s="13" t="n">
        <f aca="false">H453-'Results &amp; Charts'!$C$9*I453</f>
        <v>-0.0160666732678039</v>
      </c>
      <c r="L453" s="13" t="n">
        <f aca="false">H453-I453</f>
        <v>-0.0200109852632304</v>
      </c>
      <c r="M453" s="15" t="n">
        <v>0.149477044710153</v>
      </c>
      <c r="N453" s="13" t="n">
        <f aca="false">H453-M453*I453</f>
        <v>-0.011329710074726</v>
      </c>
      <c r="O453" s="16" t="n">
        <f aca="false">'Results &amp; Charts'!$C$9</f>
        <v>0.613567382430444</v>
      </c>
    </row>
    <row r="454" customFormat="false" ht="15" hidden="false" customHeight="false" outlineLevel="0" collapsed="false">
      <c r="A454" s="14" t="n">
        <f aca="false">'Roll Schedule'!A738</f>
        <v>46218</v>
      </c>
      <c r="B454" s="14" t="n">
        <f aca="false">'Roll Schedule'!A737</f>
        <v>46217</v>
      </c>
      <c r="C454" s="3" t="n">
        <f aca="false">SUMIFS('Spot Data'!$E$5:$E$651,'Spot Data'!$A$5:$A$651,B454,'Spot Data'!$H$5:$H$651,"YES")</f>
        <v>10150</v>
      </c>
      <c r="D454" s="3" t="n">
        <f aca="false">SUMIFS('Spot Data'!$E$5:$E$651,'Spot Data'!$A$5:$A$651,A454,'Spot Data'!$H$5:$H$651,"YES")</f>
        <v>10050</v>
      </c>
      <c r="E454" s="14" t="n">
        <f aca="false">'Roll Schedule'!B738</f>
        <v>46254</v>
      </c>
      <c r="F454" s="3" t="n">
        <f aca="false">SUMIFS('Futures Data'!$C$5:$C$3471,'Futures Data'!$A$5:$A$3471,B454,'Futures Data'!$B$5:$B$3471,E454)</f>
        <v>7287</v>
      </c>
      <c r="G454" s="3" t="n">
        <f aca="false">SUMIFS('Futures Data'!$C$5:$C$3471,'Futures Data'!$A$5:$A$3471,A454,'Futures Data'!$B$5:$B$3471,E454)</f>
        <v>7276</v>
      </c>
      <c r="H454" s="13" t="n">
        <f aca="false">LN(D454/C454)</f>
        <v>-0.00990107098271157</v>
      </c>
      <c r="I454" s="13" t="n">
        <f aca="false">LN(G454/F454)</f>
        <v>-0.00151067803226934</v>
      </c>
      <c r="J454" s="3" t="str">
        <f aca="false">IF(A454&lt;='Results &amp; Charts'!$C$5,"In-sample","Out-of-sample")</f>
        <v>Out-of-sample</v>
      </c>
      <c r="K454" s="13" t="n">
        <f aca="false">H454-'Results &amp; Charts'!$C$9*I454</f>
        <v>-0.0089741682167569</v>
      </c>
      <c r="L454" s="13" t="n">
        <f aca="false">H454-I454</f>
        <v>-0.00839039295044223</v>
      </c>
      <c r="M454" s="15" t="n">
        <v>0.113569870625989</v>
      </c>
      <c r="N454" s="13" t="n">
        <f aca="false">H454-M454*I454</f>
        <v>-0.00972950347402922</v>
      </c>
      <c r="O454" s="16" t="n">
        <f aca="false">'Results &amp; Charts'!$C$9</f>
        <v>0.613567382430444</v>
      </c>
    </row>
    <row r="455" customFormat="false" ht="15" hidden="false" customHeight="false" outlineLevel="0" collapsed="false">
      <c r="A455" s="14" t="n">
        <f aca="false">'Roll Schedule'!A739</f>
        <v>46219</v>
      </c>
      <c r="B455" s="14" t="n">
        <f aca="false">'Roll Schedule'!A738</f>
        <v>46218</v>
      </c>
      <c r="C455" s="3" t="n">
        <f aca="false">SUMIFS('Spot Data'!$E$5:$E$651,'Spot Data'!$A$5:$A$651,B455,'Spot Data'!$H$5:$H$651,"YES")</f>
        <v>10050</v>
      </c>
      <c r="D455" s="3" t="n">
        <f aca="false">SUMIFS('Spot Data'!$E$5:$E$651,'Spot Data'!$A$5:$A$651,A455,'Spot Data'!$H$5:$H$651,"YES")</f>
        <v>10050</v>
      </c>
      <c r="E455" s="14" t="n">
        <f aca="false">'Roll Schedule'!B739</f>
        <v>46254</v>
      </c>
      <c r="F455" s="3" t="n">
        <f aca="false">SUMIFS('Futures Data'!$C$5:$C$3471,'Futures Data'!$A$5:$A$3471,B455,'Futures Data'!$B$5:$B$3471,E455)</f>
        <v>7276</v>
      </c>
      <c r="G455" s="3" t="n">
        <f aca="false">SUMIFS('Futures Data'!$C$5:$C$3471,'Futures Data'!$A$5:$A$3471,A455,'Futures Data'!$B$5:$B$3471,E455)</f>
        <v>7186</v>
      </c>
      <c r="H455" s="13" t="n">
        <f aca="false">LN(D455/C455)</f>
        <v>0</v>
      </c>
      <c r="I455" s="13" t="n">
        <f aca="false">LN(G455/F455)</f>
        <v>-0.0124465719645489</v>
      </c>
      <c r="J455" s="3" t="str">
        <f aca="false">IF(A455&lt;='Results &amp; Charts'!$C$5,"In-sample","Out-of-sample")</f>
        <v>Out-of-sample</v>
      </c>
      <c r="K455" s="13" t="n">
        <f aca="false">H455-'Results &amp; Charts'!$C$9*I455</f>
        <v>0.0076368105805204</v>
      </c>
      <c r="L455" s="13" t="n">
        <f aca="false">H455-I455</f>
        <v>0.0124465719645489</v>
      </c>
      <c r="M455" s="15" t="n">
        <v>0.133149088871162</v>
      </c>
      <c r="N455" s="13" t="n">
        <f aca="false">H455-M455*I455</f>
        <v>0.00165724971664903</v>
      </c>
      <c r="O455" s="16" t="n">
        <f aca="false">'Results &amp; Charts'!$C$9</f>
        <v>0.613567382430444</v>
      </c>
    </row>
    <row r="456" customFormat="false" ht="15" hidden="false" customHeight="false" outlineLevel="0" collapsed="false">
      <c r="A456" s="14" t="n">
        <f aca="false">'Roll Schedule'!A740</f>
        <v>46220</v>
      </c>
      <c r="B456" s="14" t="n">
        <f aca="false">'Roll Schedule'!A739</f>
        <v>46219</v>
      </c>
      <c r="C456" s="3" t="n">
        <f aca="false">SUMIFS('Spot Data'!$E$5:$E$651,'Spot Data'!$A$5:$A$651,B456,'Spot Data'!$H$5:$H$651,"YES")</f>
        <v>10050</v>
      </c>
      <c r="D456" s="3" t="n">
        <f aca="false">SUMIFS('Spot Data'!$E$5:$E$651,'Spot Data'!$A$5:$A$651,A456,'Spot Data'!$H$5:$H$651,"YES")</f>
        <v>10150</v>
      </c>
      <c r="E456" s="14" t="n">
        <f aca="false">'Roll Schedule'!B740</f>
        <v>46254</v>
      </c>
      <c r="F456" s="3" t="n">
        <f aca="false">SUMIFS('Futures Data'!$C$5:$C$3471,'Futures Data'!$A$5:$A$3471,B456,'Futures Data'!$B$5:$B$3471,E456)</f>
        <v>7186</v>
      </c>
      <c r="G456" s="3" t="n">
        <f aca="false">SUMIFS('Futures Data'!$C$5:$C$3471,'Futures Data'!$A$5:$A$3471,A456,'Futures Data'!$B$5:$B$3471,E456)</f>
        <v>7230</v>
      </c>
      <c r="H456" s="13" t="n">
        <f aca="false">LN(D456/C456)</f>
        <v>0.00990107098271154</v>
      </c>
      <c r="I456" s="13" t="n">
        <f aca="false">LN(G456/F456)</f>
        <v>0.00610434747934638</v>
      </c>
      <c r="J456" s="3" t="str">
        <f aca="false">IF(A456&lt;='Results &amp; Charts'!$C$5,"In-sample","Out-of-sample")</f>
        <v>Out-of-sample</v>
      </c>
      <c r="K456" s="13" t="n">
        <f aca="false">H456-'Results &amp; Charts'!$C$9*I456</f>
        <v>0.0061556424783631</v>
      </c>
      <c r="L456" s="13" t="n">
        <f aca="false">H456-I456</f>
        <v>0.00379672350336516</v>
      </c>
      <c r="M456" s="15" t="n">
        <v>0.117195379966036</v>
      </c>
      <c r="N456" s="13" t="n">
        <f aca="false">H456-M456*I456</f>
        <v>0.00918566966042482</v>
      </c>
      <c r="O456" s="16" t="n">
        <f aca="false">'Results &amp; Charts'!$C$9</f>
        <v>0.613567382430444</v>
      </c>
    </row>
    <row r="457" customFormat="false" ht="15" hidden="false" customHeight="false" outlineLevel="0" collapsed="false">
      <c r="A457" s="14" t="n">
        <f aca="false">'Roll Schedule'!A741</f>
        <v>46223</v>
      </c>
      <c r="B457" s="14" t="n">
        <f aca="false">'Roll Schedule'!A740</f>
        <v>46220</v>
      </c>
      <c r="C457" s="3" t="n">
        <f aca="false">SUMIFS('Spot Data'!$E$5:$E$651,'Spot Data'!$A$5:$A$651,B457,'Spot Data'!$H$5:$H$651,"YES")</f>
        <v>10150</v>
      </c>
      <c r="D457" s="3" t="n">
        <f aca="false">SUMIFS('Spot Data'!$E$5:$E$651,'Spot Data'!$A$5:$A$651,A457,'Spot Data'!$H$5:$H$651,"YES")</f>
        <v>10150</v>
      </c>
      <c r="E457" s="14" t="n">
        <f aca="false">'Roll Schedule'!B741</f>
        <v>46254</v>
      </c>
      <c r="F457" s="3" t="n">
        <f aca="false">SUMIFS('Futures Data'!$C$5:$C$3471,'Futures Data'!$A$5:$A$3471,B457,'Futures Data'!$B$5:$B$3471,E457)</f>
        <v>7230</v>
      </c>
      <c r="G457" s="3" t="n">
        <f aca="false">SUMIFS('Futures Data'!$C$5:$C$3471,'Futures Data'!$A$5:$A$3471,A457,'Futures Data'!$B$5:$B$3471,E457)</f>
        <v>7191</v>
      </c>
      <c r="H457" s="13" t="n">
        <f aca="false">LN(D457/C457)</f>
        <v>0</v>
      </c>
      <c r="I457" s="13" t="n">
        <f aca="false">LN(G457/F457)</f>
        <v>-0.0054087920503163</v>
      </c>
      <c r="J457" s="3" t="str">
        <f aca="false">IF(A457&lt;='Results &amp; Charts'!$C$5,"In-sample","Out-of-sample")</f>
        <v>Out-of-sample</v>
      </c>
      <c r="K457" s="13" t="n">
        <f aca="false">H457-'Results &amp; Charts'!$C$9*I457</f>
        <v>0.00331865838042317</v>
      </c>
      <c r="L457" s="13" t="n">
        <f aca="false">H457-I457</f>
        <v>0.0054087920503163</v>
      </c>
      <c r="M457" s="15" t="n">
        <v>0.144363498544113</v>
      </c>
      <c r="N457" s="13" t="n">
        <f aca="false">H457-M457*I457</f>
        <v>0.000780832143281248</v>
      </c>
      <c r="O457" s="16" t="n">
        <f aca="false">'Results &amp; Charts'!$C$9</f>
        <v>0.613567382430444</v>
      </c>
    </row>
    <row r="458" customFormat="false" ht="15" hidden="false" customHeight="false" outlineLevel="0" collapsed="false">
      <c r="A458" s="14" t="n">
        <f aca="false">'Roll Schedule'!A742</f>
        <v>46224</v>
      </c>
      <c r="B458" s="14" t="n">
        <f aca="false">'Roll Schedule'!A741</f>
        <v>46223</v>
      </c>
      <c r="C458" s="3" t="n">
        <f aca="false">SUMIFS('Spot Data'!$E$5:$E$651,'Spot Data'!$A$5:$A$651,B458,'Spot Data'!$H$5:$H$651,"YES")</f>
        <v>10150</v>
      </c>
      <c r="D458" s="3" t="n">
        <f aca="false">SUMIFS('Spot Data'!$E$5:$E$651,'Spot Data'!$A$5:$A$651,A458,'Spot Data'!$H$5:$H$651,"YES")</f>
        <v>10050</v>
      </c>
      <c r="E458" s="14" t="n">
        <f aca="false">'Roll Schedule'!B742</f>
        <v>46254</v>
      </c>
      <c r="F458" s="3" t="n">
        <f aca="false">SUMIFS('Futures Data'!$C$5:$C$3471,'Futures Data'!$A$5:$A$3471,B458,'Futures Data'!$B$5:$B$3471,E458)</f>
        <v>7191</v>
      </c>
      <c r="G458" s="3" t="n">
        <f aca="false">SUMIFS('Futures Data'!$C$5:$C$3471,'Futures Data'!$A$5:$A$3471,A458,'Futures Data'!$B$5:$B$3471,E458)</f>
        <v>7170</v>
      </c>
      <c r="H458" s="13" t="n">
        <f aca="false">LN(D458/C458)</f>
        <v>-0.00990107098271157</v>
      </c>
      <c r="I458" s="13" t="n">
        <f aca="false">LN(G458/F458)</f>
        <v>-0.00292458950882804</v>
      </c>
      <c r="J458" s="3" t="str">
        <f aca="false">IF(A458&lt;='Results &amp; Charts'!$C$5,"In-sample","Out-of-sample")</f>
        <v>Out-of-sample</v>
      </c>
      <c r="K458" s="13" t="n">
        <f aca="false">H458-'Results &amp; Charts'!$C$9*I458</f>
        <v>-0.00810663825309641</v>
      </c>
      <c r="L458" s="13" t="n">
        <f aca="false">H458-I458</f>
        <v>-0.00697648147388353</v>
      </c>
      <c r="M458" s="15" t="n">
        <v>0.155591707113509</v>
      </c>
      <c r="N458" s="13" t="n">
        <f aca="false">H458-M458*I458</f>
        <v>-0.00944602910842676</v>
      </c>
      <c r="O458" s="16" t="n">
        <f aca="false">'Results &amp; Charts'!$C$9</f>
        <v>0.613567382430444</v>
      </c>
    </row>
    <row r="459" customFormat="false" ht="15" hidden="false" customHeight="false" outlineLevel="0" collapsed="false">
      <c r="A459" s="14" t="n">
        <f aca="false">'Roll Schedule'!A743</f>
        <v>46225</v>
      </c>
      <c r="B459" s="14" t="n">
        <f aca="false">'Roll Schedule'!A742</f>
        <v>46224</v>
      </c>
      <c r="C459" s="3" t="n">
        <f aca="false">SUMIFS('Spot Data'!$E$5:$E$651,'Spot Data'!$A$5:$A$651,B459,'Spot Data'!$H$5:$H$651,"YES")</f>
        <v>10050</v>
      </c>
      <c r="D459" s="3" t="n">
        <f aca="false">SUMIFS('Spot Data'!$E$5:$E$651,'Spot Data'!$A$5:$A$651,A459,'Spot Data'!$H$5:$H$651,"YES")</f>
        <v>10250</v>
      </c>
      <c r="E459" s="14" t="n">
        <f aca="false">'Roll Schedule'!B743</f>
        <v>46254</v>
      </c>
      <c r="F459" s="3" t="n">
        <f aca="false">SUMIFS('Futures Data'!$C$5:$C$3471,'Futures Data'!$A$5:$A$3471,B459,'Futures Data'!$B$5:$B$3471,E459)</f>
        <v>7170</v>
      </c>
      <c r="G459" s="3" t="n">
        <f aca="false">SUMIFS('Futures Data'!$C$5:$C$3471,'Futures Data'!$A$5:$A$3471,A459,'Futures Data'!$B$5:$B$3471,E459)</f>
        <v>7173</v>
      </c>
      <c r="H459" s="13" t="n">
        <f aca="false">LN(D459/C459)</f>
        <v>0.0197050710793323</v>
      </c>
      <c r="I459" s="13" t="n">
        <f aca="false">LN(G459/F459)</f>
        <v>0.000418322532768331</v>
      </c>
      <c r="J459" s="3" t="str">
        <f aca="false">IF(A459&lt;='Results &amp; Charts'!$C$5,"In-sample","Out-of-sample")</f>
        <v>Out-of-sample</v>
      </c>
      <c r="K459" s="13" t="n">
        <f aca="false">H459-'Results &amp; Charts'!$C$9*I459</f>
        <v>0.01944840201789</v>
      </c>
      <c r="L459" s="13" t="n">
        <f aca="false">H459-I459</f>
        <v>0.019286748546564</v>
      </c>
      <c r="M459" s="15" t="n">
        <v>0.180251756062403</v>
      </c>
      <c r="N459" s="13" t="n">
        <f aca="false">H459-M459*I459</f>
        <v>0.0196296677082004</v>
      </c>
      <c r="O459" s="16" t="n">
        <f aca="false">'Results &amp; Charts'!$C$9</f>
        <v>0.613567382430444</v>
      </c>
    </row>
    <row r="460" customFormat="false" ht="15" hidden="false" customHeight="false" outlineLevel="0" collapsed="false">
      <c r="A460" s="14" t="n">
        <f aca="false">'Roll Schedule'!A744</f>
        <v>46226</v>
      </c>
      <c r="B460" s="14" t="n">
        <f aca="false">'Roll Schedule'!A743</f>
        <v>46225</v>
      </c>
      <c r="C460" s="3" t="n">
        <f aca="false">SUMIFS('Spot Data'!$E$5:$E$651,'Spot Data'!$A$5:$A$651,B460,'Spot Data'!$H$5:$H$651,"YES")</f>
        <v>10250</v>
      </c>
      <c r="D460" s="3" t="n">
        <f aca="false">SUMIFS('Spot Data'!$E$5:$E$651,'Spot Data'!$A$5:$A$651,A460,'Spot Data'!$H$5:$H$651,"YES")</f>
        <v>10150</v>
      </c>
      <c r="E460" s="14" t="n">
        <f aca="false">'Roll Schedule'!B744</f>
        <v>46254</v>
      </c>
      <c r="F460" s="3" t="n">
        <f aca="false">SUMIFS('Futures Data'!$C$5:$C$3471,'Futures Data'!$A$5:$A$3471,B460,'Futures Data'!$B$5:$B$3471,E460)</f>
        <v>7173</v>
      </c>
      <c r="G460" s="3" t="n">
        <f aca="false">SUMIFS('Futures Data'!$C$5:$C$3471,'Futures Data'!$A$5:$A$3471,A460,'Futures Data'!$B$5:$B$3471,E460)</f>
        <v>7107</v>
      </c>
      <c r="H460" s="13" t="n">
        <f aca="false">LN(D460/C460)</f>
        <v>-0.00980400009662086</v>
      </c>
      <c r="I460" s="13" t="n">
        <f aca="false">LN(G460/F460)</f>
        <v>-0.00924376329953927</v>
      </c>
      <c r="J460" s="3" t="str">
        <f aca="false">IF(A460&lt;='Results &amp; Charts'!$C$5,"In-sample","Out-of-sample")</f>
        <v>Out-of-sample</v>
      </c>
      <c r="K460" s="13" t="n">
        <f aca="false">H460-'Results &amp; Charts'!$C$9*I460</f>
        <v>-0.00413232844511594</v>
      </c>
      <c r="L460" s="13" t="n">
        <f aca="false">H460-I460</f>
        <v>-0.000560236797081587</v>
      </c>
      <c r="M460" s="15" t="n">
        <v>0.205951190320678</v>
      </c>
      <c r="N460" s="13" t="n">
        <f aca="false">H460-M460*I460</f>
        <v>-0.00790023604203815</v>
      </c>
      <c r="O460" s="16" t="n">
        <f aca="false">'Results &amp; Charts'!$C$9</f>
        <v>0.613567382430444</v>
      </c>
    </row>
    <row r="461" customFormat="false" ht="15" hidden="false" customHeight="false" outlineLevel="0" collapsed="false">
      <c r="A461" s="14" t="n">
        <f aca="false">'Roll Schedule'!A745</f>
        <v>46227</v>
      </c>
      <c r="B461" s="14" t="n">
        <f aca="false">'Roll Schedule'!A744</f>
        <v>46226</v>
      </c>
      <c r="C461" s="3" t="n">
        <f aca="false">SUMIFS('Spot Data'!$E$5:$E$651,'Spot Data'!$A$5:$A$651,B461,'Spot Data'!$H$5:$H$651,"YES")</f>
        <v>10150</v>
      </c>
      <c r="D461" s="3" t="n">
        <f aca="false">SUMIFS('Spot Data'!$E$5:$E$651,'Spot Data'!$A$5:$A$651,A461,'Spot Data'!$H$5:$H$651,"YES")</f>
        <v>10050</v>
      </c>
      <c r="E461" s="14" t="n">
        <f aca="false">'Roll Schedule'!B745</f>
        <v>46254</v>
      </c>
      <c r="F461" s="3" t="n">
        <f aca="false">SUMIFS('Futures Data'!$C$5:$C$3471,'Futures Data'!$A$5:$A$3471,B461,'Futures Data'!$B$5:$B$3471,E461)</f>
        <v>7107</v>
      </c>
      <c r="G461" s="3" t="n">
        <f aca="false">SUMIFS('Futures Data'!$C$5:$C$3471,'Futures Data'!$A$5:$A$3471,A461,'Futures Data'!$B$5:$B$3471,E461)</f>
        <v>7126</v>
      </c>
      <c r="H461" s="13" t="n">
        <f aca="false">LN(D461/C461)</f>
        <v>-0.00990107098271157</v>
      </c>
      <c r="I461" s="13" t="n">
        <f aca="false">LN(G461/F461)</f>
        <v>0.00266985333888618</v>
      </c>
      <c r="J461" s="3" t="str">
        <f aca="false">IF(A461&lt;='Results &amp; Charts'!$C$5,"In-sample","Out-of-sample")</f>
        <v>Out-of-sample</v>
      </c>
      <c r="K461" s="13" t="n">
        <f aca="false">H461-'Results &amp; Charts'!$C$9*I461</f>
        <v>-0.0115392059073251</v>
      </c>
      <c r="L461" s="13" t="n">
        <f aca="false">H461-I461</f>
        <v>-0.0125709243215977</v>
      </c>
      <c r="M461" s="15" t="n">
        <v>0.22102234766682</v>
      </c>
      <c r="N461" s="13" t="n">
        <f aca="false">H461-M461*I461</f>
        <v>-0.0104911682355983</v>
      </c>
      <c r="O461" s="16" t="n">
        <f aca="false">'Results &amp; Charts'!$C$9</f>
        <v>0.613567382430444</v>
      </c>
    </row>
    <row r="462" customFormat="false" ht="15" hidden="false" customHeight="false" outlineLevel="0" collapsed="false">
      <c r="A462" s="14" t="n">
        <f aca="false">'Roll Schedule'!A746</f>
        <v>46230</v>
      </c>
      <c r="B462" s="14" t="n">
        <f aca="false">'Roll Schedule'!A745</f>
        <v>46227</v>
      </c>
      <c r="C462" s="3" t="n">
        <f aca="false">SUMIFS('Spot Data'!$E$5:$E$651,'Spot Data'!$A$5:$A$651,B462,'Spot Data'!$H$5:$H$651,"YES")</f>
        <v>10050</v>
      </c>
      <c r="D462" s="3" t="n">
        <f aca="false">SUMIFS('Spot Data'!$E$5:$E$651,'Spot Data'!$A$5:$A$651,A462,'Spot Data'!$H$5:$H$651,"YES")</f>
        <v>10150</v>
      </c>
      <c r="E462" s="14" t="n">
        <f aca="false">'Roll Schedule'!B746</f>
        <v>46254</v>
      </c>
      <c r="F462" s="3" t="n">
        <f aca="false">SUMIFS('Futures Data'!$C$5:$C$3471,'Futures Data'!$A$5:$A$3471,B462,'Futures Data'!$B$5:$B$3471,E462)</f>
        <v>7126</v>
      </c>
      <c r="G462" s="3" t="n">
        <f aca="false">SUMIFS('Futures Data'!$C$5:$C$3471,'Futures Data'!$A$5:$A$3471,A462,'Futures Data'!$B$5:$B$3471,E462)</f>
        <v>7013</v>
      </c>
      <c r="H462" s="13" t="n">
        <f aca="false">LN(D462/C462)</f>
        <v>0.00990107098271154</v>
      </c>
      <c r="I462" s="13" t="n">
        <f aca="false">LN(G462/F462)</f>
        <v>-0.0159844976288709</v>
      </c>
      <c r="J462" s="3" t="str">
        <f aca="false">IF(A462&lt;='Results &amp; Charts'!$C$5,"In-sample","Out-of-sample")</f>
        <v>Out-of-sample</v>
      </c>
      <c r="K462" s="13" t="n">
        <f aca="false">H462-'Results &amp; Charts'!$C$9*I462</f>
        <v>0.0197086373523235</v>
      </c>
      <c r="L462" s="13" t="n">
        <f aca="false">H462-I462</f>
        <v>0.0258855686115824</v>
      </c>
      <c r="M462" s="15" t="n">
        <v>0.228862371651919</v>
      </c>
      <c r="N462" s="13" t="n">
        <f aca="false">H462-M462*I462</f>
        <v>0.0135593210197194</v>
      </c>
      <c r="O462" s="16" t="n">
        <f aca="false">'Results &amp; Charts'!$C$9</f>
        <v>0.613567382430444</v>
      </c>
    </row>
    <row r="463" customFormat="false" ht="15" hidden="false" customHeight="false" outlineLevel="0" collapsed="false">
      <c r="A463" s="14" t="n">
        <f aca="false">'Roll Schedule'!A747</f>
        <v>46231</v>
      </c>
      <c r="B463" s="14" t="n">
        <f aca="false">'Roll Schedule'!A746</f>
        <v>46230</v>
      </c>
      <c r="C463" s="3" t="n">
        <f aca="false">SUMIFS('Spot Data'!$E$5:$E$651,'Spot Data'!$A$5:$A$651,B463,'Spot Data'!$H$5:$H$651,"YES")</f>
        <v>10150</v>
      </c>
      <c r="D463" s="3" t="n">
        <f aca="false">SUMIFS('Spot Data'!$E$5:$E$651,'Spot Data'!$A$5:$A$651,A463,'Spot Data'!$H$5:$H$651,"YES")</f>
        <v>10050</v>
      </c>
      <c r="E463" s="14" t="n">
        <f aca="false">'Roll Schedule'!B747</f>
        <v>46254</v>
      </c>
      <c r="F463" s="3" t="n">
        <f aca="false">SUMIFS('Futures Data'!$C$5:$C$3471,'Futures Data'!$A$5:$A$3471,B463,'Futures Data'!$B$5:$B$3471,E463)</f>
        <v>7013</v>
      </c>
      <c r="G463" s="3" t="n">
        <f aca="false">SUMIFS('Futures Data'!$C$5:$C$3471,'Futures Data'!$A$5:$A$3471,A463,'Futures Data'!$B$5:$B$3471,E463)</f>
        <v>7023</v>
      </c>
      <c r="H463" s="13" t="n">
        <f aca="false">LN(D463/C463)</f>
        <v>-0.00990107098271157</v>
      </c>
      <c r="I463" s="13" t="n">
        <f aca="false">LN(G463/F463)</f>
        <v>0.00142490762211007</v>
      </c>
      <c r="J463" s="3" t="str">
        <f aca="false">IF(A463&lt;='Results &amp; Charts'!$C$5,"In-sample","Out-of-sample")</f>
        <v>Out-of-sample</v>
      </c>
      <c r="K463" s="13" t="n">
        <f aca="false">H463-'Results &amp; Charts'!$C$9*I463</f>
        <v>-0.0107753478226148</v>
      </c>
      <c r="L463" s="13" t="n">
        <f aca="false">H463-I463</f>
        <v>-0.0113259786048216</v>
      </c>
      <c r="M463" s="15" t="n">
        <v>0.12500929492752</v>
      </c>
      <c r="N463" s="13" t="n">
        <f aca="false">H463-M463*I463</f>
        <v>-0.0100791976798884</v>
      </c>
      <c r="O463" s="16" t="n">
        <f aca="false">'Results &amp; Charts'!$C$9</f>
        <v>0.613567382430444</v>
      </c>
    </row>
    <row r="464" customFormat="false" ht="15" hidden="false" customHeight="false" outlineLevel="0" collapsed="false">
      <c r="A464" s="14" t="n">
        <f aca="false">'Roll Schedule'!A748</f>
        <v>46232</v>
      </c>
      <c r="B464" s="14" t="n">
        <f aca="false">'Roll Schedule'!A747</f>
        <v>46231</v>
      </c>
      <c r="C464" s="3" t="n">
        <f aca="false">SUMIFS('Spot Data'!$E$5:$E$651,'Spot Data'!$A$5:$A$651,B464,'Spot Data'!$H$5:$H$651,"YES")</f>
        <v>10050</v>
      </c>
      <c r="D464" s="3" t="n">
        <f aca="false">SUMIFS('Spot Data'!$E$5:$E$651,'Spot Data'!$A$5:$A$651,A464,'Spot Data'!$H$5:$H$651,"YES")</f>
        <v>10050</v>
      </c>
      <c r="E464" s="14" t="n">
        <f aca="false">'Roll Schedule'!B748</f>
        <v>46254</v>
      </c>
      <c r="F464" s="3" t="n">
        <f aca="false">SUMIFS('Futures Data'!$C$5:$C$3471,'Futures Data'!$A$5:$A$3471,B464,'Futures Data'!$B$5:$B$3471,E464)</f>
        <v>7023</v>
      </c>
      <c r="G464" s="3" t="n">
        <f aca="false">SUMIFS('Futures Data'!$C$5:$C$3471,'Futures Data'!$A$5:$A$3471,A464,'Futures Data'!$B$5:$B$3471,E464)</f>
        <v>7040</v>
      </c>
      <c r="H464" s="13" t="n">
        <f aca="false">LN(D464/C464)</f>
        <v>0</v>
      </c>
      <c r="I464" s="13" t="n">
        <f aca="false">LN(G464/F464)</f>
        <v>0.00241769299306769</v>
      </c>
      <c r="J464" s="3" t="str">
        <f aca="false">IF(A464&lt;='Results &amp; Charts'!$C$5,"In-sample","Out-of-sample")</f>
        <v>Out-of-sample</v>
      </c>
      <c r="K464" s="13" t="n">
        <f aca="false">H464-'Results &amp; Charts'!$C$9*I464</f>
        <v>-0.00148341756127697</v>
      </c>
      <c r="L464" s="13" t="n">
        <f aca="false">H464-I464</f>
        <v>-0.00241769299306769</v>
      </c>
      <c r="M464" s="15" t="n">
        <v>0.137207618881895</v>
      </c>
      <c r="N464" s="13" t="n">
        <f aca="false">H464-M464*I464</f>
        <v>-0.000331725898766258</v>
      </c>
      <c r="O464" s="16" t="n">
        <f aca="false">'Results &amp; Charts'!$C$9</f>
        <v>0.613567382430444</v>
      </c>
    </row>
    <row r="465" customFormat="false" ht="15" hidden="false" customHeight="false" outlineLevel="0" collapsed="false">
      <c r="A465" s="14" t="n">
        <f aca="false">'Roll Schedule'!A749</f>
        <v>46233</v>
      </c>
      <c r="B465" s="14" t="n">
        <f aca="false">'Roll Schedule'!A748</f>
        <v>46232</v>
      </c>
      <c r="C465" s="3" t="n">
        <f aca="false">SUMIFS('Spot Data'!$E$5:$E$651,'Spot Data'!$A$5:$A$651,B465,'Spot Data'!$H$5:$H$651,"YES")</f>
        <v>10050</v>
      </c>
      <c r="D465" s="3" t="n">
        <f aca="false">SUMIFS('Spot Data'!$E$5:$E$651,'Spot Data'!$A$5:$A$651,A465,'Spot Data'!$H$5:$H$651,"YES")</f>
        <v>10050</v>
      </c>
      <c r="E465" s="14" t="n">
        <f aca="false">'Roll Schedule'!B749</f>
        <v>46254</v>
      </c>
      <c r="F465" s="3" t="n">
        <f aca="false">SUMIFS('Futures Data'!$C$5:$C$3471,'Futures Data'!$A$5:$A$3471,B465,'Futures Data'!$B$5:$B$3471,E465)</f>
        <v>7040</v>
      </c>
      <c r="G465" s="3" t="n">
        <f aca="false">SUMIFS('Futures Data'!$C$5:$C$3471,'Futures Data'!$A$5:$A$3471,A465,'Futures Data'!$B$5:$B$3471,E465)</f>
        <v>7038</v>
      </c>
      <c r="H465" s="13" t="n">
        <f aca="false">LN(D465/C465)</f>
        <v>0</v>
      </c>
      <c r="I465" s="13" t="n">
        <f aca="false">LN(G465/F465)</f>
        <v>-0.000284131270557585</v>
      </c>
      <c r="J465" s="3" t="str">
        <f aca="false">IF(A465&lt;='Results &amp; Charts'!$C$5,"In-sample","Out-of-sample")</f>
        <v>Out-of-sample</v>
      </c>
      <c r="K465" s="13" t="n">
        <f aca="false">H465-'Results &amp; Charts'!$C$9*I465</f>
        <v>0.000174333679942654</v>
      </c>
      <c r="L465" s="13" t="n">
        <f aca="false">H465-I465</f>
        <v>0.000284131270557585</v>
      </c>
      <c r="M465" s="15" t="n">
        <v>0.153959976886111</v>
      </c>
      <c r="N465" s="13" t="n">
        <f aca="false">H465-M465*I465</f>
        <v>4.37448438476673E-005</v>
      </c>
      <c r="O465" s="16" t="n">
        <f aca="false">'Results &amp; Charts'!$C$9</f>
        <v>0.613567382430444</v>
      </c>
    </row>
    <row r="466" customFormat="false" ht="15" hidden="false" customHeight="false" outlineLevel="0" collapsed="false">
      <c r="A466" s="14" t="n">
        <f aca="false">'Roll Schedule'!A750</f>
        <v>46234</v>
      </c>
      <c r="B466" s="14" t="n">
        <f aca="false">'Roll Schedule'!A749</f>
        <v>46233</v>
      </c>
      <c r="C466" s="3" t="n">
        <f aca="false">SUMIFS('Spot Data'!$E$5:$E$651,'Spot Data'!$A$5:$A$651,B466,'Spot Data'!$H$5:$H$651,"YES")</f>
        <v>10050</v>
      </c>
      <c r="D466" s="3" t="n">
        <f aca="false">SUMIFS('Spot Data'!$E$5:$E$651,'Spot Data'!$A$5:$A$651,A466,'Spot Data'!$H$5:$H$651,"YES")</f>
        <v>10250</v>
      </c>
      <c r="E466" s="14" t="n">
        <f aca="false">'Roll Schedule'!B750</f>
        <v>46254</v>
      </c>
      <c r="F466" s="3" t="n">
        <f aca="false">SUMIFS('Futures Data'!$C$5:$C$3471,'Futures Data'!$A$5:$A$3471,B466,'Futures Data'!$B$5:$B$3471,E466)</f>
        <v>7038</v>
      </c>
      <c r="G466" s="3" t="n">
        <f aca="false">SUMIFS('Futures Data'!$C$5:$C$3471,'Futures Data'!$A$5:$A$3471,A466,'Futures Data'!$B$5:$B$3471,E466)</f>
        <v>7035</v>
      </c>
      <c r="H466" s="13" t="n">
        <f aca="false">LN(D466/C466)</f>
        <v>0.0197050710793323</v>
      </c>
      <c r="I466" s="13" t="n">
        <f aca="false">LN(G466/F466)</f>
        <v>-0.000426348333041021</v>
      </c>
      <c r="J466" s="3" t="str">
        <f aca="false">IF(A466&lt;='Results &amp; Charts'!$C$5,"In-sample","Out-of-sample")</f>
        <v>Out-of-sample</v>
      </c>
      <c r="K466" s="13" t="n">
        <f aca="false">H466-'Results &amp; Charts'!$C$9*I466</f>
        <v>0.0199666645100399</v>
      </c>
      <c r="L466" s="13" t="n">
        <f aca="false">H466-I466</f>
        <v>0.0201314194123734</v>
      </c>
      <c r="M466" s="15" t="n">
        <v>0.172962724386145</v>
      </c>
      <c r="N466" s="13" t="n">
        <f aca="false">H466-M466*I466</f>
        <v>0.0197788134485526</v>
      </c>
      <c r="O466" s="16" t="n">
        <f aca="false">'Results &amp; Charts'!$C$9</f>
        <v>0.613567382430444</v>
      </c>
    </row>
    <row r="467" customFormat="false" ht="15" hidden="false" customHeight="false" outlineLevel="0" collapsed="false">
      <c r="A467" s="14" t="n">
        <f aca="false">'Roll Schedule'!A751</f>
        <v>46237</v>
      </c>
      <c r="B467" s="14" t="n">
        <f aca="false">'Roll Schedule'!A750</f>
        <v>46234</v>
      </c>
      <c r="C467" s="3" t="n">
        <f aca="false">SUMIFS('Spot Data'!$E$5:$E$651,'Spot Data'!$A$5:$A$651,B467,'Spot Data'!$H$5:$H$651,"YES")</f>
        <v>10250</v>
      </c>
      <c r="D467" s="3" t="n">
        <f aca="false">SUMIFS('Spot Data'!$E$5:$E$651,'Spot Data'!$A$5:$A$651,A467,'Spot Data'!$H$5:$H$651,"YES")</f>
        <v>10150</v>
      </c>
      <c r="E467" s="14" t="n">
        <f aca="false">'Roll Schedule'!B751</f>
        <v>46254</v>
      </c>
      <c r="F467" s="3" t="n">
        <f aca="false">SUMIFS('Futures Data'!$C$5:$C$3471,'Futures Data'!$A$5:$A$3471,B467,'Futures Data'!$B$5:$B$3471,E467)</f>
        <v>7035</v>
      </c>
      <c r="G467" s="3" t="n">
        <f aca="false">SUMIFS('Futures Data'!$C$5:$C$3471,'Futures Data'!$A$5:$A$3471,A467,'Futures Data'!$B$5:$B$3471,E467)</f>
        <v>7065</v>
      </c>
      <c r="H467" s="13" t="n">
        <f aca="false">LN(D467/C467)</f>
        <v>-0.00980400009662086</v>
      </c>
      <c r="I467" s="13" t="n">
        <f aca="false">LN(G467/F467)</f>
        <v>0.00425532557013849</v>
      </c>
      <c r="J467" s="3" t="str">
        <f aca="false">IF(A467&lt;='Results &amp; Charts'!$C$5,"In-sample","Out-of-sample")</f>
        <v>Out-of-sample</v>
      </c>
      <c r="K467" s="13" t="n">
        <f aca="false">H467-'Results &amp; Charts'!$C$9*I467</f>
        <v>-0.0124149290680801</v>
      </c>
      <c r="L467" s="13" t="n">
        <f aca="false">H467-I467</f>
        <v>-0.0140593256667593</v>
      </c>
      <c r="M467" s="15" t="n">
        <v>0.192268232728759</v>
      </c>
      <c r="N467" s="13" t="n">
        <f aca="false">H467-M467*I467</f>
        <v>-0.0106221640236769</v>
      </c>
      <c r="O467" s="16" t="n">
        <f aca="false">'Results &amp; Charts'!$C$9</f>
        <v>0.613567382430444</v>
      </c>
    </row>
    <row r="468" customFormat="false" ht="15" hidden="false" customHeight="false" outlineLevel="0" collapsed="false">
      <c r="A468" s="14" t="n">
        <f aca="false">'Roll Schedule'!A752</f>
        <v>46238</v>
      </c>
      <c r="B468" s="14" t="n">
        <f aca="false">'Roll Schedule'!A751</f>
        <v>46237</v>
      </c>
      <c r="C468" s="3" t="n">
        <f aca="false">SUMIFS('Spot Data'!$E$5:$E$651,'Spot Data'!$A$5:$A$651,B468,'Spot Data'!$H$5:$H$651,"YES")</f>
        <v>10150</v>
      </c>
      <c r="D468" s="3" t="n">
        <f aca="false">SUMIFS('Spot Data'!$E$5:$E$651,'Spot Data'!$A$5:$A$651,A468,'Spot Data'!$H$5:$H$651,"YES")</f>
        <v>10250</v>
      </c>
      <c r="E468" s="14" t="n">
        <f aca="false">'Roll Schedule'!B752</f>
        <v>46254</v>
      </c>
      <c r="F468" s="3" t="n">
        <f aca="false">SUMIFS('Futures Data'!$C$5:$C$3471,'Futures Data'!$A$5:$A$3471,B468,'Futures Data'!$B$5:$B$3471,E468)</f>
        <v>7065</v>
      </c>
      <c r="G468" s="3" t="n">
        <f aca="false">SUMIFS('Futures Data'!$C$5:$C$3471,'Futures Data'!$A$5:$A$3471,A468,'Futures Data'!$B$5:$B$3471,E468)</f>
        <v>7094</v>
      </c>
      <c r="H468" s="13" t="n">
        <f aca="false">LN(D468/C468)</f>
        <v>0.00980400009662084</v>
      </c>
      <c r="I468" s="13" t="n">
        <f aca="false">LN(G468/F468)</f>
        <v>0.0040963402149394</v>
      </c>
      <c r="J468" s="3" t="str">
        <f aca="false">IF(A468&lt;='Results &amp; Charts'!$C$5,"In-sample","Out-of-sample")</f>
        <v>Out-of-sample</v>
      </c>
      <c r="K468" s="13" t="n">
        <f aca="false">H468-'Results &amp; Charts'!$C$9*I468</f>
        <v>0.0072906193533959</v>
      </c>
      <c r="L468" s="13" t="n">
        <f aca="false">H468-I468</f>
        <v>0.00570765988168144</v>
      </c>
      <c r="M468" s="15" t="n">
        <v>0.186439089099916</v>
      </c>
      <c r="N468" s="13" t="n">
        <f aca="false">H468-M468*I468</f>
        <v>0.00904028215830418</v>
      </c>
      <c r="O468" s="16" t="n">
        <f aca="false">'Results &amp; Charts'!$C$9</f>
        <v>0.613567382430444</v>
      </c>
    </row>
    <row r="469" customFormat="false" ht="15" hidden="false" customHeight="false" outlineLevel="0" collapsed="false">
      <c r="A469" s="14" t="n">
        <f aca="false">'Roll Schedule'!A753</f>
        <v>46239</v>
      </c>
      <c r="B469" s="14" t="n">
        <f aca="false">'Roll Schedule'!A752</f>
        <v>46238</v>
      </c>
      <c r="C469" s="3" t="n">
        <f aca="false">SUMIFS('Spot Data'!$E$5:$E$651,'Spot Data'!$A$5:$A$651,B469,'Spot Data'!$H$5:$H$651,"YES")</f>
        <v>10250</v>
      </c>
      <c r="D469" s="3" t="n">
        <f aca="false">SUMIFS('Spot Data'!$E$5:$E$651,'Spot Data'!$A$5:$A$651,A469,'Spot Data'!$H$5:$H$651,"YES")</f>
        <v>10250</v>
      </c>
      <c r="E469" s="14" t="n">
        <f aca="false">'Roll Schedule'!B753</f>
        <v>46254</v>
      </c>
      <c r="F469" s="3" t="n">
        <f aca="false">SUMIFS('Futures Data'!$C$5:$C$3471,'Futures Data'!$A$5:$A$3471,B469,'Futures Data'!$B$5:$B$3471,E469)</f>
        <v>7094</v>
      </c>
      <c r="G469" s="3" t="n">
        <f aca="false">SUMIFS('Futures Data'!$C$5:$C$3471,'Futures Data'!$A$5:$A$3471,A469,'Futures Data'!$B$5:$B$3471,E469)</f>
        <v>7135</v>
      </c>
      <c r="H469" s="13" t="n">
        <f aca="false">LN(D469/C469)</f>
        <v>0</v>
      </c>
      <c r="I469" s="13" t="n">
        <f aca="false">LN(G469/F469)</f>
        <v>0.00576289457736963</v>
      </c>
      <c r="J469" s="3" t="str">
        <f aca="false">IF(A469&lt;='Results &amp; Charts'!$C$5,"In-sample","Out-of-sample")</f>
        <v>Out-of-sample</v>
      </c>
      <c r="K469" s="13" t="n">
        <f aca="false">H469-'Results &amp; Charts'!$C$9*I469</f>
        <v>-0.00353592414105929</v>
      </c>
      <c r="L469" s="13" t="n">
        <f aca="false">H469-I469</f>
        <v>-0.00576289457736963</v>
      </c>
      <c r="M469" s="15" t="n">
        <v>0.214989128280612</v>
      </c>
      <c r="N469" s="13" t="n">
        <f aca="false">H469-M469*I469</f>
        <v>-0.00123895968156176</v>
      </c>
      <c r="O469" s="16" t="n">
        <f aca="false">'Results &amp; Charts'!$C$9</f>
        <v>0.613567382430444</v>
      </c>
    </row>
    <row r="470" customFormat="false" ht="15" hidden="false" customHeight="false" outlineLevel="0" collapsed="false">
      <c r="A470" s="14" t="n">
        <f aca="false">'Roll Schedule'!A754</f>
        <v>46240</v>
      </c>
      <c r="B470" s="14" t="n">
        <f aca="false">'Roll Schedule'!A753</f>
        <v>46239</v>
      </c>
      <c r="C470" s="3" t="n">
        <f aca="false">SUMIFS('Spot Data'!$E$5:$E$651,'Spot Data'!$A$5:$A$651,B470,'Spot Data'!$H$5:$H$651,"YES")</f>
        <v>10250</v>
      </c>
      <c r="D470" s="3" t="n">
        <f aca="false">SUMIFS('Spot Data'!$E$5:$E$651,'Spot Data'!$A$5:$A$651,A470,'Spot Data'!$H$5:$H$651,"YES")</f>
        <v>10150</v>
      </c>
      <c r="E470" s="14" t="n">
        <f aca="false">'Roll Schedule'!B754</f>
        <v>46254</v>
      </c>
      <c r="F470" s="3" t="n">
        <f aca="false">SUMIFS('Futures Data'!$C$5:$C$3471,'Futures Data'!$A$5:$A$3471,B470,'Futures Data'!$B$5:$B$3471,E470)</f>
        <v>7135</v>
      </c>
      <c r="G470" s="3" t="n">
        <f aca="false">SUMIFS('Futures Data'!$C$5:$C$3471,'Futures Data'!$A$5:$A$3471,A470,'Futures Data'!$B$5:$B$3471,E470)</f>
        <v>7131</v>
      </c>
      <c r="H470" s="13" t="n">
        <f aca="false">LN(D470/C470)</f>
        <v>-0.00980400009662086</v>
      </c>
      <c r="I470" s="13" t="n">
        <f aca="false">LN(G470/F470)</f>
        <v>-0.000560773882633167</v>
      </c>
      <c r="J470" s="3" t="str">
        <f aca="false">IF(A470&lt;='Results &amp; Charts'!$C$5,"In-sample","Out-of-sample")</f>
        <v>Out-of-sample</v>
      </c>
      <c r="K470" s="13" t="n">
        <f aca="false">H470-'Results &amp; Charts'!$C$9*I470</f>
        <v>-0.00945992753331827</v>
      </c>
      <c r="L470" s="13" t="n">
        <f aca="false">H470-I470</f>
        <v>-0.00924322621398769</v>
      </c>
      <c r="M470" s="15" t="n">
        <v>0.217532175158034</v>
      </c>
      <c r="N470" s="13" t="n">
        <f aca="false">H470-M470*I470</f>
        <v>-0.00968201373415985</v>
      </c>
      <c r="O470" s="16" t="n">
        <f aca="false">'Results &amp; Charts'!$C$9</f>
        <v>0.613567382430444</v>
      </c>
    </row>
    <row r="471" customFormat="false" ht="15" hidden="false" customHeight="false" outlineLevel="0" collapsed="false">
      <c r="A471" s="14" t="n">
        <f aca="false">'Roll Schedule'!A755</f>
        <v>46241</v>
      </c>
      <c r="B471" s="14" t="n">
        <f aca="false">'Roll Schedule'!A754</f>
        <v>46240</v>
      </c>
      <c r="C471" s="3" t="n">
        <f aca="false">SUMIFS('Spot Data'!$E$5:$E$651,'Spot Data'!$A$5:$A$651,B471,'Spot Data'!$H$5:$H$651,"YES")</f>
        <v>10150</v>
      </c>
      <c r="D471" s="3" t="n">
        <f aca="false">SUMIFS('Spot Data'!$E$5:$E$651,'Spot Data'!$A$5:$A$651,A471,'Spot Data'!$H$5:$H$651,"YES")</f>
        <v>10150</v>
      </c>
      <c r="E471" s="14" t="n">
        <f aca="false">'Roll Schedule'!B755</f>
        <v>46283</v>
      </c>
      <c r="F471" s="3" t="n">
        <f aca="false">SUMIFS('Futures Data'!$C$5:$C$3471,'Futures Data'!$A$5:$A$3471,B471,'Futures Data'!$B$5:$B$3471,E471)</f>
        <v>7212</v>
      </c>
      <c r="G471" s="3" t="n">
        <f aca="false">SUMIFS('Futures Data'!$C$5:$C$3471,'Futures Data'!$A$5:$A$3471,A471,'Futures Data'!$B$5:$B$3471,E471)</f>
        <v>7193</v>
      </c>
      <c r="H471" s="13" t="n">
        <f aca="false">LN(D471/C471)</f>
        <v>0</v>
      </c>
      <c r="I471" s="13" t="n">
        <f aca="false">LN(G471/F471)</f>
        <v>-0.00263797445585167</v>
      </c>
      <c r="J471" s="3" t="str">
        <f aca="false">IF(A471&lt;='Results &amp; Charts'!$C$5,"In-sample","Out-of-sample")</f>
        <v>Out-of-sample</v>
      </c>
      <c r="K471" s="13" t="n">
        <f aca="false">H471-'Results &amp; Charts'!$C$9*I471</f>
        <v>0.00161857508179528</v>
      </c>
      <c r="L471" s="13" t="n">
        <f aca="false">H471-I471</f>
        <v>0.00263797445585167</v>
      </c>
      <c r="M471" s="15" t="n">
        <v>0.238224066109069</v>
      </c>
      <c r="N471" s="13" t="n">
        <f aca="false">H471-M471*I471</f>
        <v>0.000628429001164844</v>
      </c>
      <c r="O471" s="16" t="n">
        <f aca="false">'Results &amp; Charts'!$C$9</f>
        <v>0.613567382430444</v>
      </c>
    </row>
    <row r="472" customFormat="false" ht="15" hidden="false" customHeight="false" outlineLevel="0" collapsed="false">
      <c r="A472" s="14" t="n">
        <f aca="false">'Roll Schedule'!A756</f>
        <v>46244</v>
      </c>
      <c r="B472" s="14" t="n">
        <f aca="false">'Roll Schedule'!A755</f>
        <v>46241</v>
      </c>
      <c r="C472" s="3" t="n">
        <f aca="false">SUMIFS('Spot Data'!$E$5:$E$651,'Spot Data'!$A$5:$A$651,B472,'Spot Data'!$H$5:$H$651,"YES")</f>
        <v>10150</v>
      </c>
      <c r="D472" s="3" t="n">
        <f aca="false">SUMIFS('Spot Data'!$E$5:$E$651,'Spot Data'!$A$5:$A$651,A472,'Spot Data'!$H$5:$H$651,"YES")</f>
        <v>10150</v>
      </c>
      <c r="E472" s="14" t="n">
        <f aca="false">'Roll Schedule'!B756</f>
        <v>46283</v>
      </c>
      <c r="F472" s="3" t="n">
        <f aca="false">SUMIFS('Futures Data'!$C$5:$C$3471,'Futures Data'!$A$5:$A$3471,B472,'Futures Data'!$B$5:$B$3471,E472)</f>
        <v>7193</v>
      </c>
      <c r="G472" s="3" t="n">
        <f aca="false">SUMIFS('Futures Data'!$C$5:$C$3471,'Futures Data'!$A$5:$A$3471,A472,'Futures Data'!$B$5:$B$3471,E472)</f>
        <v>7198</v>
      </c>
      <c r="H472" s="13" t="n">
        <f aca="false">LN(D472/C472)</f>
        <v>0</v>
      </c>
      <c r="I472" s="13" t="n">
        <f aca="false">LN(G472/F472)</f>
        <v>0.000694878771619853</v>
      </c>
      <c r="J472" s="3" t="str">
        <f aca="false">IF(A472&lt;='Results &amp; Charts'!$C$5,"In-sample","Out-of-sample")</f>
        <v>Out-of-sample</v>
      </c>
      <c r="K472" s="13" t="n">
        <f aca="false">H472-'Results &amp; Charts'!$C$9*I472</f>
        <v>-0.000426354949009276</v>
      </c>
      <c r="L472" s="13" t="n">
        <f aca="false">H472-I472</f>
        <v>-0.000694878771619853</v>
      </c>
      <c r="M472" s="15" t="n">
        <v>0.254228945525494</v>
      </c>
      <c r="N472" s="13" t="n">
        <f aca="false">H472-M472*I472</f>
        <v>-0.000176658297376966</v>
      </c>
      <c r="O472" s="16" t="n">
        <f aca="false">'Results &amp; Charts'!$C$9</f>
        <v>0.613567382430444</v>
      </c>
    </row>
    <row r="473" customFormat="false" ht="15" hidden="false" customHeight="false" outlineLevel="0" collapsed="false">
      <c r="A473" s="14" t="n">
        <f aca="false">'Roll Schedule'!A757</f>
        <v>46245</v>
      </c>
      <c r="B473" s="14" t="n">
        <f aca="false">'Roll Schedule'!A756</f>
        <v>46244</v>
      </c>
      <c r="C473" s="3" t="n">
        <f aca="false">SUMIFS('Spot Data'!$E$5:$E$651,'Spot Data'!$A$5:$A$651,B473,'Spot Data'!$H$5:$H$651,"YES")</f>
        <v>10150</v>
      </c>
      <c r="D473" s="3" t="n">
        <f aca="false">SUMIFS('Spot Data'!$E$5:$E$651,'Spot Data'!$A$5:$A$651,A473,'Spot Data'!$H$5:$H$651,"YES")</f>
        <v>10250</v>
      </c>
      <c r="E473" s="14" t="n">
        <f aca="false">'Roll Schedule'!B757</f>
        <v>46283</v>
      </c>
      <c r="F473" s="3" t="n">
        <f aca="false">SUMIFS('Futures Data'!$C$5:$C$3471,'Futures Data'!$A$5:$A$3471,B473,'Futures Data'!$B$5:$B$3471,E473)</f>
        <v>7198</v>
      </c>
      <c r="G473" s="3" t="n">
        <f aca="false">SUMIFS('Futures Data'!$C$5:$C$3471,'Futures Data'!$A$5:$A$3471,A473,'Futures Data'!$B$5:$B$3471,E473)</f>
        <v>7223</v>
      </c>
      <c r="H473" s="13" t="n">
        <f aca="false">LN(D473/C473)</f>
        <v>0.00980400009662084</v>
      </c>
      <c r="I473" s="13" t="n">
        <f aca="false">LN(G473/F473)</f>
        <v>0.00346716941187091</v>
      </c>
      <c r="J473" s="3" t="str">
        <f aca="false">IF(A473&lt;='Results &amp; Charts'!$C$5,"In-sample","Out-of-sample")</f>
        <v>Out-of-sample</v>
      </c>
      <c r="K473" s="13" t="n">
        <f aca="false">H473-'Results &amp; Charts'!$C$9*I473</f>
        <v>0.0076766580361363</v>
      </c>
      <c r="L473" s="13" t="n">
        <f aca="false">H473-I473</f>
        <v>0.00633683068474993</v>
      </c>
      <c r="M473" s="15" t="n">
        <v>0.273022479224717</v>
      </c>
      <c r="N473" s="13" t="n">
        <f aca="false">H473-M473*I473</f>
        <v>0.00885738490789974</v>
      </c>
      <c r="O473" s="16" t="n">
        <f aca="false">'Results &amp; Charts'!$C$9</f>
        <v>0.613567382430444</v>
      </c>
    </row>
    <row r="474" customFormat="false" ht="15" hidden="false" customHeight="false" outlineLevel="0" collapsed="false">
      <c r="A474" s="14" t="n">
        <f aca="false">'Roll Schedule'!A758</f>
        <v>46246</v>
      </c>
      <c r="B474" s="14" t="n">
        <f aca="false">'Roll Schedule'!A757</f>
        <v>46245</v>
      </c>
      <c r="C474" s="3" t="n">
        <f aca="false">SUMIFS('Spot Data'!$E$5:$E$651,'Spot Data'!$A$5:$A$651,B474,'Spot Data'!$H$5:$H$651,"YES")</f>
        <v>10250</v>
      </c>
      <c r="D474" s="3" t="n">
        <f aca="false">SUMIFS('Spot Data'!$E$5:$E$651,'Spot Data'!$A$5:$A$651,A474,'Spot Data'!$H$5:$H$651,"YES")</f>
        <v>10200</v>
      </c>
      <c r="E474" s="14" t="n">
        <f aca="false">'Roll Schedule'!B758</f>
        <v>46283</v>
      </c>
      <c r="F474" s="3" t="n">
        <f aca="false">SUMIFS('Futures Data'!$C$5:$C$3471,'Futures Data'!$A$5:$A$3471,B474,'Futures Data'!$B$5:$B$3471,E474)</f>
        <v>7223</v>
      </c>
      <c r="G474" s="3" t="n">
        <f aca="false">SUMIFS('Futures Data'!$C$5:$C$3471,'Futures Data'!$A$5:$A$3471,A474,'Futures Data'!$B$5:$B$3471,E474)</f>
        <v>7181</v>
      </c>
      <c r="H474" s="13" t="n">
        <f aca="false">LN(D474/C474)</f>
        <v>-0.00488998529419179</v>
      </c>
      <c r="I474" s="13" t="n">
        <f aca="false">LN(G474/F474)</f>
        <v>-0.00583172994052931</v>
      </c>
      <c r="J474" s="3" t="str">
        <f aca="false">IF(A474&lt;='Results &amp; Charts'!$C$5,"In-sample","Out-of-sample")</f>
        <v>Out-of-sample</v>
      </c>
      <c r="K474" s="13" t="n">
        <f aca="false">H474-'Results &amp; Charts'!$C$9*I474</f>
        <v>-0.00131182601953998</v>
      </c>
      <c r="L474" s="13" t="n">
        <f aca="false">H474-I474</f>
        <v>0.000941744646337514</v>
      </c>
      <c r="M474" s="15" t="n">
        <v>0.299199427495688</v>
      </c>
      <c r="N474" s="13" t="n">
        <f aca="false">H474-M474*I474</f>
        <v>-0.00314513503467596</v>
      </c>
      <c r="O474" s="16" t="n">
        <f aca="false">'Results &amp; Charts'!$C$9</f>
        <v>0.613567382430444</v>
      </c>
    </row>
    <row r="475" customFormat="false" ht="15" hidden="false" customHeight="false" outlineLevel="0" collapsed="false">
      <c r="A475" s="14" t="n">
        <f aca="false">'Roll Schedule'!A759</f>
        <v>46247</v>
      </c>
      <c r="B475" s="14" t="n">
        <f aca="false">'Roll Schedule'!A758</f>
        <v>46246</v>
      </c>
      <c r="C475" s="3" t="n">
        <f aca="false">SUMIFS('Spot Data'!$E$5:$E$651,'Spot Data'!$A$5:$A$651,B475,'Spot Data'!$H$5:$H$651,"YES")</f>
        <v>10200</v>
      </c>
      <c r="D475" s="3" t="n">
        <f aca="false">SUMIFS('Spot Data'!$E$5:$E$651,'Spot Data'!$A$5:$A$651,A475,'Spot Data'!$H$5:$H$651,"YES")</f>
        <v>10200</v>
      </c>
      <c r="E475" s="14" t="n">
        <f aca="false">'Roll Schedule'!B759</f>
        <v>46283</v>
      </c>
      <c r="F475" s="3" t="n">
        <f aca="false">SUMIFS('Futures Data'!$C$5:$C$3471,'Futures Data'!$A$5:$A$3471,B475,'Futures Data'!$B$5:$B$3471,E475)</f>
        <v>7181</v>
      </c>
      <c r="G475" s="3" t="n">
        <f aca="false">SUMIFS('Futures Data'!$C$5:$C$3471,'Futures Data'!$A$5:$A$3471,A475,'Futures Data'!$B$5:$B$3471,E475)</f>
        <v>7164</v>
      </c>
      <c r="H475" s="13" t="n">
        <f aca="false">LN(D475/C475)</f>
        <v>0</v>
      </c>
      <c r="I475" s="13" t="n">
        <f aca="false">LN(G475/F475)</f>
        <v>-0.00237016492971508</v>
      </c>
      <c r="J475" s="3" t="str">
        <f aca="false">IF(A475&lt;='Results &amp; Charts'!$C$5,"In-sample","Out-of-sample")</f>
        <v>Out-of-sample</v>
      </c>
      <c r="K475" s="13" t="n">
        <f aca="false">H475-'Results &amp; Charts'!$C$9*I475</f>
        <v>0.00145425589185372</v>
      </c>
      <c r="L475" s="13" t="n">
        <f aca="false">H475-I475</f>
        <v>0.00237016492971508</v>
      </c>
      <c r="M475" s="15" t="n">
        <v>0.304561993242032</v>
      </c>
      <c r="N475" s="13" t="n">
        <f aca="false">H475-M475*I475</f>
        <v>0.000721862155306385</v>
      </c>
      <c r="O475" s="16" t="n">
        <f aca="false">'Results &amp; Charts'!$C$9</f>
        <v>0.613567382430444</v>
      </c>
    </row>
    <row r="476" customFormat="false" ht="15" hidden="false" customHeight="false" outlineLevel="0" collapsed="false">
      <c r="A476" s="14" t="n">
        <f aca="false">'Roll Schedule'!A760</f>
        <v>46248</v>
      </c>
      <c r="B476" s="14" t="n">
        <f aca="false">'Roll Schedule'!A759</f>
        <v>46247</v>
      </c>
      <c r="C476" s="3" t="n">
        <f aca="false">SUMIFS('Spot Data'!$E$5:$E$651,'Spot Data'!$A$5:$A$651,B476,'Spot Data'!$H$5:$H$651,"YES")</f>
        <v>10200</v>
      </c>
      <c r="D476" s="3" t="n">
        <f aca="false">SUMIFS('Spot Data'!$E$5:$E$651,'Spot Data'!$A$5:$A$651,A476,'Spot Data'!$H$5:$H$651,"YES")</f>
        <v>10250</v>
      </c>
      <c r="E476" s="14" t="n">
        <f aca="false">'Roll Schedule'!B760</f>
        <v>46283</v>
      </c>
      <c r="F476" s="3" t="n">
        <f aca="false">SUMIFS('Futures Data'!$C$5:$C$3471,'Futures Data'!$A$5:$A$3471,B476,'Futures Data'!$B$5:$B$3471,E476)</f>
        <v>7164</v>
      </c>
      <c r="G476" s="3" t="n">
        <f aca="false">SUMIFS('Futures Data'!$C$5:$C$3471,'Futures Data'!$A$5:$A$3471,A476,'Futures Data'!$B$5:$B$3471,E476)</f>
        <v>7170</v>
      </c>
      <c r="H476" s="13" t="n">
        <f aca="false">LN(D476/C476)</f>
        <v>0.00488998529419177</v>
      </c>
      <c r="I476" s="13" t="n">
        <f aca="false">LN(G476/F476)</f>
        <v>0.000837170413063557</v>
      </c>
      <c r="J476" s="3" t="str">
        <f aca="false">IF(A476&lt;='Results &amp; Charts'!$C$5,"In-sample","Out-of-sample")</f>
        <v>Out-of-sample</v>
      </c>
      <c r="K476" s="13" t="n">
        <f aca="false">H476-'Results &amp; Charts'!$C$9*I476</f>
        <v>0.00437632483520015</v>
      </c>
      <c r="L476" s="13" t="n">
        <f aca="false">H476-I476</f>
        <v>0.00405281488112821</v>
      </c>
      <c r="M476" s="15" t="n">
        <v>0.319850884956616</v>
      </c>
      <c r="N476" s="13" t="n">
        <f aca="false">H476-M476*I476</f>
        <v>0.0046222155967139</v>
      </c>
      <c r="O476" s="16" t="n">
        <f aca="false">'Results &amp; Charts'!$C$9</f>
        <v>0.613567382430444</v>
      </c>
    </row>
    <row r="477" customFormat="false" ht="15" hidden="false" customHeight="false" outlineLevel="0" collapsed="false">
      <c r="A477" s="14" t="n">
        <f aca="false">'Roll Schedule'!A761</f>
        <v>46251</v>
      </c>
      <c r="B477" s="14" t="n">
        <f aca="false">'Roll Schedule'!A760</f>
        <v>46248</v>
      </c>
      <c r="C477" s="3" t="n">
        <f aca="false">SUMIFS('Spot Data'!$E$5:$E$651,'Spot Data'!$A$5:$A$651,B477,'Spot Data'!$H$5:$H$651,"YES")</f>
        <v>10250</v>
      </c>
      <c r="D477" s="3" t="n">
        <f aca="false">SUMIFS('Spot Data'!$E$5:$E$651,'Spot Data'!$A$5:$A$651,A477,'Spot Data'!$H$5:$H$651,"YES")</f>
        <v>10250</v>
      </c>
      <c r="E477" s="14" t="n">
        <f aca="false">'Roll Schedule'!B761</f>
        <v>46283</v>
      </c>
      <c r="F477" s="3" t="n">
        <f aca="false">SUMIFS('Futures Data'!$C$5:$C$3471,'Futures Data'!$A$5:$A$3471,B477,'Futures Data'!$B$5:$B$3471,E477)</f>
        <v>7170</v>
      </c>
      <c r="G477" s="3" t="n">
        <f aca="false">SUMIFS('Futures Data'!$C$5:$C$3471,'Futures Data'!$A$5:$A$3471,A477,'Futures Data'!$B$5:$B$3471,E477)</f>
        <v>7159</v>
      </c>
      <c r="H477" s="13" t="n">
        <f aca="false">LN(D477/C477)</f>
        <v>0</v>
      </c>
      <c r="I477" s="13" t="n">
        <f aca="false">LN(G477/F477)</f>
        <v>-0.00153534819748107</v>
      </c>
      <c r="J477" s="3" t="str">
        <f aca="false">IF(A477&lt;='Results &amp; Charts'!$C$5,"In-sample","Out-of-sample")</f>
        <v>Out-of-sample</v>
      </c>
      <c r="K477" s="13" t="n">
        <f aca="false">H477-'Results &amp; Charts'!$C$9*I477</f>
        <v>0.000942039574647762</v>
      </c>
      <c r="L477" s="13" t="n">
        <f aca="false">H477-I477</f>
        <v>0.00153534819748107</v>
      </c>
      <c r="M477" s="15" t="n">
        <v>0.340143621740048</v>
      </c>
      <c r="N477" s="13" t="n">
        <f aca="false">H477-M477*I477</f>
        <v>0.000522238896523266</v>
      </c>
      <c r="O477" s="16" t="n">
        <f aca="false">'Results &amp; Charts'!$C$9</f>
        <v>0.613567382430444</v>
      </c>
    </row>
    <row r="478" customFormat="false" ht="15" hidden="false" customHeight="false" outlineLevel="0" collapsed="false">
      <c r="A478" s="14" t="n">
        <f aca="false">'Roll Schedule'!A762</f>
        <v>46252</v>
      </c>
      <c r="B478" s="14" t="n">
        <f aca="false">'Roll Schedule'!A761</f>
        <v>46251</v>
      </c>
      <c r="C478" s="3" t="n">
        <f aca="false">SUMIFS('Spot Data'!$E$5:$E$651,'Spot Data'!$A$5:$A$651,B478,'Spot Data'!$H$5:$H$651,"YES")</f>
        <v>10250</v>
      </c>
      <c r="D478" s="3" t="n">
        <f aca="false">SUMIFS('Spot Data'!$E$5:$E$651,'Spot Data'!$A$5:$A$651,A478,'Spot Data'!$H$5:$H$651,"YES")</f>
        <v>10250</v>
      </c>
      <c r="E478" s="14" t="n">
        <f aca="false">'Roll Schedule'!B762</f>
        <v>46283</v>
      </c>
      <c r="F478" s="3" t="n">
        <f aca="false">SUMIFS('Futures Data'!$C$5:$C$3471,'Futures Data'!$A$5:$A$3471,B478,'Futures Data'!$B$5:$B$3471,E478)</f>
        <v>7159</v>
      </c>
      <c r="G478" s="3" t="n">
        <f aca="false">SUMIFS('Futures Data'!$C$5:$C$3471,'Futures Data'!$A$5:$A$3471,A478,'Futures Data'!$B$5:$B$3471,E478)</f>
        <v>7204</v>
      </c>
      <c r="H478" s="13" t="n">
        <f aca="false">LN(D478/C478)</f>
        <v>0</v>
      </c>
      <c r="I478" s="13" t="n">
        <f aca="false">LN(G478/F478)</f>
        <v>0.00626612089966175</v>
      </c>
      <c r="J478" s="3" t="str">
        <f aca="false">IF(A478&lt;='Results &amp; Charts'!$C$5,"In-sample","Out-of-sample")</f>
        <v>Out-of-sample</v>
      </c>
      <c r="K478" s="13" t="n">
        <f aca="false">H478-'Results &amp; Charts'!$C$9*I478</f>
        <v>-0.00384468739839816</v>
      </c>
      <c r="L478" s="13" t="n">
        <f aca="false">H478-I478</f>
        <v>-0.00626612089966175</v>
      </c>
      <c r="M478" s="15" t="n">
        <v>0.355588584066606</v>
      </c>
      <c r="N478" s="13" t="n">
        <f aca="false">H478-M478*I478</f>
        <v>-0.00222816105830089</v>
      </c>
      <c r="O478" s="16" t="n">
        <f aca="false">'Results &amp; Charts'!$C$9</f>
        <v>0.613567382430444</v>
      </c>
    </row>
    <row r="479" customFormat="false" ht="15" hidden="false" customHeight="false" outlineLevel="0" collapsed="false">
      <c r="A479" s="14" t="n">
        <f aca="false">'Roll Schedule'!A763</f>
        <v>46253</v>
      </c>
      <c r="B479" s="14" t="n">
        <f aca="false">'Roll Schedule'!A762</f>
        <v>46252</v>
      </c>
      <c r="C479" s="3" t="n">
        <f aca="false">SUMIFS('Spot Data'!$E$5:$E$651,'Spot Data'!$A$5:$A$651,B479,'Spot Data'!$H$5:$H$651,"YES")</f>
        <v>10250</v>
      </c>
      <c r="D479" s="3" t="n">
        <f aca="false">SUMIFS('Spot Data'!$E$5:$E$651,'Spot Data'!$A$5:$A$651,A479,'Spot Data'!$H$5:$H$651,"YES")</f>
        <v>10150</v>
      </c>
      <c r="E479" s="14" t="n">
        <f aca="false">'Roll Schedule'!B763</f>
        <v>46283</v>
      </c>
      <c r="F479" s="3" t="n">
        <f aca="false">SUMIFS('Futures Data'!$C$5:$C$3471,'Futures Data'!$A$5:$A$3471,B479,'Futures Data'!$B$5:$B$3471,E479)</f>
        <v>7204</v>
      </c>
      <c r="G479" s="3" t="n">
        <f aca="false">SUMIFS('Futures Data'!$C$5:$C$3471,'Futures Data'!$A$5:$A$3471,A479,'Futures Data'!$B$5:$B$3471,E479)</f>
        <v>7192</v>
      </c>
      <c r="H479" s="13" t="n">
        <f aca="false">LN(D479/C479)</f>
        <v>-0.00980400009662086</v>
      </c>
      <c r="I479" s="13" t="n">
        <f aca="false">LN(G479/F479)</f>
        <v>-0.00166713014439049</v>
      </c>
      <c r="J479" s="3" t="str">
        <f aca="false">IF(A479&lt;='Results &amp; Charts'!$C$5,"In-sample","Out-of-sample")</f>
        <v>Out-of-sample</v>
      </c>
      <c r="K479" s="13" t="n">
        <f aca="false">H479-'Results &amp; Charts'!$C$9*I479</f>
        <v>-0.00878110341775629</v>
      </c>
      <c r="L479" s="13" t="n">
        <f aca="false">H479-I479</f>
        <v>-0.00813686995223036</v>
      </c>
      <c r="M479" s="15" t="n">
        <v>0.330210505371497</v>
      </c>
      <c r="N479" s="13" t="n">
        <f aca="false">H479-M479*I479</f>
        <v>-0.00925349620912161</v>
      </c>
      <c r="O479" s="16" t="n">
        <f aca="false">'Results &amp; Charts'!$C$9</f>
        <v>0.613567382430444</v>
      </c>
    </row>
    <row r="480" customFormat="false" ht="15" hidden="false" customHeight="false" outlineLevel="0" collapsed="false">
      <c r="A480" s="14" t="n">
        <f aca="false">'Roll Schedule'!A764</f>
        <v>46254</v>
      </c>
      <c r="B480" s="14" t="n">
        <f aca="false">'Roll Schedule'!A763</f>
        <v>46253</v>
      </c>
      <c r="C480" s="3" t="n">
        <f aca="false">SUMIFS('Spot Data'!$E$5:$E$651,'Spot Data'!$A$5:$A$651,B480,'Spot Data'!$H$5:$H$651,"YES")</f>
        <v>10150</v>
      </c>
      <c r="D480" s="3" t="n">
        <f aca="false">SUMIFS('Spot Data'!$E$5:$E$651,'Spot Data'!$A$5:$A$651,A480,'Spot Data'!$H$5:$H$651,"YES")</f>
        <v>10050</v>
      </c>
      <c r="E480" s="14" t="n">
        <f aca="false">'Roll Schedule'!B764</f>
        <v>46283</v>
      </c>
      <c r="F480" s="3" t="n">
        <f aca="false">SUMIFS('Futures Data'!$C$5:$C$3471,'Futures Data'!$A$5:$A$3471,B480,'Futures Data'!$B$5:$B$3471,E480)</f>
        <v>7192</v>
      </c>
      <c r="G480" s="3" t="n">
        <f aca="false">SUMIFS('Futures Data'!$C$5:$C$3471,'Futures Data'!$A$5:$A$3471,A480,'Futures Data'!$B$5:$B$3471,E480)</f>
        <v>7223</v>
      </c>
      <c r="H480" s="13" t="n">
        <f aca="false">LN(D480/C480)</f>
        <v>-0.00990107098271157</v>
      </c>
      <c r="I480" s="13" t="n">
        <f aca="false">LN(G480/F480)</f>
        <v>0.0043010818993907</v>
      </c>
      <c r="J480" s="3" t="str">
        <f aca="false">IF(A480&lt;='Results &amp; Charts'!$C$5,"In-sample","Out-of-sample")</f>
        <v>Out-of-sample</v>
      </c>
      <c r="K480" s="13" t="n">
        <f aca="false">H480-'Results &amp; Charts'!$C$9*I480</f>
        <v>-0.0125400745453397</v>
      </c>
      <c r="L480" s="13" t="n">
        <f aca="false">H480-I480</f>
        <v>-0.0142021528821023</v>
      </c>
      <c r="M480" s="15" t="n">
        <v>0.35282946911383</v>
      </c>
      <c r="N480" s="13" t="n">
        <f aca="false">H480-M480*I480</f>
        <v>-0.0114186194258887</v>
      </c>
      <c r="O480" s="16" t="n">
        <f aca="false">'Results &amp; Charts'!$C$9</f>
        <v>0.613567382430444</v>
      </c>
    </row>
    <row r="481" customFormat="false" ht="15" hidden="false" customHeight="false" outlineLevel="0" collapsed="false">
      <c r="A481" s="14" t="n">
        <f aca="false">'Roll Schedule'!A765</f>
        <v>46255</v>
      </c>
      <c r="B481" s="14" t="n">
        <f aca="false">'Roll Schedule'!A764</f>
        <v>46254</v>
      </c>
      <c r="C481" s="3" t="n">
        <f aca="false">SUMIFS('Spot Data'!$E$5:$E$651,'Spot Data'!$A$5:$A$651,B481,'Spot Data'!$H$5:$H$651,"YES")</f>
        <v>10050</v>
      </c>
      <c r="D481" s="3" t="n">
        <f aca="false">SUMIFS('Spot Data'!$E$5:$E$651,'Spot Data'!$A$5:$A$651,A481,'Spot Data'!$H$5:$H$651,"YES")</f>
        <v>10050</v>
      </c>
      <c r="E481" s="14" t="n">
        <f aca="false">'Roll Schedule'!B765</f>
        <v>46283</v>
      </c>
      <c r="F481" s="3" t="n">
        <f aca="false">SUMIFS('Futures Data'!$C$5:$C$3471,'Futures Data'!$A$5:$A$3471,B481,'Futures Data'!$B$5:$B$3471,E481)</f>
        <v>7223</v>
      </c>
      <c r="G481" s="3" t="n">
        <f aca="false">SUMIFS('Futures Data'!$C$5:$C$3471,'Futures Data'!$A$5:$A$3471,A481,'Futures Data'!$B$5:$B$3471,E481)</f>
        <v>7295</v>
      </c>
      <c r="H481" s="13" t="n">
        <f aca="false">LN(D481/C481)</f>
        <v>0</v>
      </c>
      <c r="I481" s="13" t="n">
        <f aca="false">LN(G481/F481)</f>
        <v>0.00991880290603913</v>
      </c>
      <c r="J481" s="3" t="str">
        <f aca="false">IF(A481&lt;='Results &amp; Charts'!$C$5,"In-sample","Out-of-sample")</f>
        <v>Out-of-sample</v>
      </c>
      <c r="K481" s="13" t="n">
        <f aca="false">H481-'Results &amp; Charts'!$C$9*I481</f>
        <v>-0.00608585393590191</v>
      </c>
      <c r="L481" s="13" t="n">
        <f aca="false">H481-I481</f>
        <v>-0.00991880290603913</v>
      </c>
      <c r="M481" s="15" t="n">
        <v>0.32679802724164</v>
      </c>
      <c r="N481" s="13" t="n">
        <f aca="false">H481-M481*I481</f>
        <v>-0.00324144522229223</v>
      </c>
      <c r="O481" s="16" t="n">
        <f aca="false">'Results &amp; Charts'!$C$9</f>
        <v>0.613567382430444</v>
      </c>
    </row>
    <row r="482" customFormat="false" ht="15" hidden="false" customHeight="false" outlineLevel="0" collapsed="false">
      <c r="A482" s="14" t="n">
        <f aca="false">'Roll Schedule'!A766</f>
        <v>46258</v>
      </c>
      <c r="B482" s="14" t="n">
        <f aca="false">'Roll Schedule'!A765</f>
        <v>46255</v>
      </c>
      <c r="C482" s="3" t="n">
        <f aca="false">SUMIFS('Spot Data'!$E$5:$E$651,'Spot Data'!$A$5:$A$651,B482,'Spot Data'!$H$5:$H$651,"YES")</f>
        <v>10050</v>
      </c>
      <c r="D482" s="3" t="n">
        <f aca="false">SUMIFS('Spot Data'!$E$5:$E$651,'Spot Data'!$A$5:$A$651,A482,'Spot Data'!$H$5:$H$651,"YES")</f>
        <v>10150</v>
      </c>
      <c r="E482" s="14" t="n">
        <f aca="false">'Roll Schedule'!B766</f>
        <v>46283</v>
      </c>
      <c r="F482" s="3" t="n">
        <f aca="false">SUMIFS('Futures Data'!$C$5:$C$3471,'Futures Data'!$A$5:$A$3471,B482,'Futures Data'!$B$5:$B$3471,E482)</f>
        <v>7295</v>
      </c>
      <c r="G482" s="3" t="n">
        <f aca="false">SUMIFS('Futures Data'!$C$5:$C$3471,'Futures Data'!$A$5:$A$3471,A482,'Futures Data'!$B$5:$B$3471,E482)</f>
        <v>7362</v>
      </c>
      <c r="H482" s="13" t="n">
        <f aca="false">LN(D482/C482)</f>
        <v>0.00990107098271154</v>
      </c>
      <c r="I482" s="13" t="n">
        <f aca="false">LN(G482/F482)</f>
        <v>0.00914245298208043</v>
      </c>
      <c r="J482" s="3" t="str">
        <f aca="false">IF(A482&lt;='Results &amp; Charts'!$C$5,"In-sample","Out-of-sample")</f>
        <v>Out-of-sample</v>
      </c>
      <c r="K482" s="13" t="n">
        <f aca="false">H482-'Results &amp; Charts'!$C$9*I482</f>
        <v>0.00429156003750304</v>
      </c>
      <c r="L482" s="13" t="n">
        <f aca="false">H482-I482</f>
        <v>0.000758618000631107</v>
      </c>
      <c r="M482" s="15" t="n">
        <v>0.267425401971137</v>
      </c>
      <c r="N482" s="13" t="n">
        <f aca="false">H482-M482*I482</f>
        <v>0.00745614681897646</v>
      </c>
      <c r="O482" s="16" t="n">
        <f aca="false">'Results &amp; Charts'!$C$9</f>
        <v>0.613567382430444</v>
      </c>
    </row>
    <row r="483" customFormat="false" ht="15" hidden="false" customHeight="false" outlineLevel="0" collapsed="false">
      <c r="A483" s="14" t="n">
        <f aca="false">'Roll Schedule'!A767</f>
        <v>46259</v>
      </c>
      <c r="B483" s="14" t="n">
        <f aca="false">'Roll Schedule'!A766</f>
        <v>46258</v>
      </c>
      <c r="C483" s="3" t="n">
        <f aca="false">SUMIFS('Spot Data'!$E$5:$E$651,'Spot Data'!$A$5:$A$651,B483,'Spot Data'!$H$5:$H$651,"YES")</f>
        <v>10150</v>
      </c>
      <c r="D483" s="3" t="n">
        <f aca="false">SUMIFS('Spot Data'!$E$5:$E$651,'Spot Data'!$A$5:$A$651,A483,'Spot Data'!$H$5:$H$651,"YES")</f>
        <v>10250</v>
      </c>
      <c r="E483" s="14" t="n">
        <f aca="false">'Roll Schedule'!B767</f>
        <v>46283</v>
      </c>
      <c r="F483" s="3" t="n">
        <f aca="false">SUMIFS('Futures Data'!$C$5:$C$3471,'Futures Data'!$A$5:$A$3471,B483,'Futures Data'!$B$5:$B$3471,E483)</f>
        <v>7362</v>
      </c>
      <c r="G483" s="3" t="n">
        <f aca="false">SUMIFS('Futures Data'!$C$5:$C$3471,'Futures Data'!$A$5:$A$3471,A483,'Futures Data'!$B$5:$B$3471,E483)</f>
        <v>7346</v>
      </c>
      <c r="H483" s="13" t="n">
        <f aca="false">LN(D483/C483)</f>
        <v>0.00980400009662084</v>
      </c>
      <c r="I483" s="13" t="n">
        <f aca="false">LN(G483/F483)</f>
        <v>-0.00217568755935379</v>
      </c>
      <c r="J483" s="3" t="str">
        <f aca="false">IF(A483&lt;='Results &amp; Charts'!$C$5,"In-sample","Out-of-sample")</f>
        <v>Out-of-sample</v>
      </c>
      <c r="K483" s="13" t="n">
        <f aca="false">H483-'Results &amp; Charts'!$C$9*I483</f>
        <v>0.0111389310174</v>
      </c>
      <c r="L483" s="13" t="n">
        <f aca="false">H483-I483</f>
        <v>0.0119796876559746</v>
      </c>
      <c r="M483" s="15" t="n">
        <v>0.273202616136388</v>
      </c>
      <c r="N483" s="13" t="n">
        <f aca="false">H483-M483*I483</f>
        <v>0.0103984036297317</v>
      </c>
      <c r="O483" s="16" t="n">
        <f aca="false">'Results &amp; Charts'!$C$9</f>
        <v>0.613567382430444</v>
      </c>
    </row>
    <row r="484" customFormat="false" ht="15" hidden="false" customHeight="false" outlineLevel="0" collapsed="false">
      <c r="A484" s="14" t="n">
        <f aca="false">'Roll Schedule'!A768</f>
        <v>46260</v>
      </c>
      <c r="B484" s="14" t="n">
        <f aca="false">'Roll Schedule'!A767</f>
        <v>46259</v>
      </c>
      <c r="C484" s="3" t="n">
        <f aca="false">SUMIFS('Spot Data'!$E$5:$E$651,'Spot Data'!$A$5:$A$651,B484,'Spot Data'!$H$5:$H$651,"YES")</f>
        <v>10250</v>
      </c>
      <c r="D484" s="3" t="n">
        <f aca="false">SUMIFS('Spot Data'!$E$5:$E$651,'Spot Data'!$A$5:$A$651,A484,'Spot Data'!$H$5:$H$651,"YES")</f>
        <v>10250</v>
      </c>
      <c r="E484" s="14" t="n">
        <f aca="false">'Roll Schedule'!B768</f>
        <v>46283</v>
      </c>
      <c r="F484" s="3" t="n">
        <f aca="false">SUMIFS('Futures Data'!$C$5:$C$3471,'Futures Data'!$A$5:$A$3471,B484,'Futures Data'!$B$5:$B$3471,E484)</f>
        <v>7346</v>
      </c>
      <c r="G484" s="3" t="n">
        <f aca="false">SUMIFS('Futures Data'!$C$5:$C$3471,'Futures Data'!$A$5:$A$3471,A484,'Futures Data'!$B$5:$B$3471,E484)</f>
        <v>7340</v>
      </c>
      <c r="H484" s="13" t="n">
        <f aca="false">LN(D484/C484)</f>
        <v>0</v>
      </c>
      <c r="I484" s="13" t="n">
        <f aca="false">LN(G484/F484)</f>
        <v>-0.000817104771051354</v>
      </c>
      <c r="J484" s="3" t="str">
        <f aca="false">IF(A484&lt;='Results &amp; Charts'!$C$5,"In-sample","Out-of-sample")</f>
        <v>Out-of-sample</v>
      </c>
      <c r="K484" s="13" t="n">
        <f aca="false">H484-'Results &amp; Charts'!$C$9*I484</f>
        <v>0.000501348835545407</v>
      </c>
      <c r="L484" s="13" t="n">
        <f aca="false">H484-I484</f>
        <v>0.000817104771051354</v>
      </c>
      <c r="M484" s="15" t="n">
        <v>0.28784840516382</v>
      </c>
      <c r="N484" s="13" t="n">
        <f aca="false">H484-M484*I484</f>
        <v>0.00023520230519888</v>
      </c>
      <c r="O484" s="16" t="n">
        <f aca="false">'Results &amp; Charts'!$C$9</f>
        <v>0.613567382430444</v>
      </c>
    </row>
    <row r="485" customFormat="false" ht="15" hidden="false" customHeight="false" outlineLevel="0" collapsed="false">
      <c r="A485" s="14" t="n">
        <f aca="false">'Roll Schedule'!A769</f>
        <v>46261</v>
      </c>
      <c r="B485" s="14" t="n">
        <f aca="false">'Roll Schedule'!A768</f>
        <v>46260</v>
      </c>
      <c r="C485" s="3" t="n">
        <f aca="false">SUMIFS('Spot Data'!$E$5:$E$651,'Spot Data'!$A$5:$A$651,B485,'Spot Data'!$H$5:$H$651,"YES")</f>
        <v>10250</v>
      </c>
      <c r="D485" s="3" t="n">
        <f aca="false">SUMIFS('Spot Data'!$E$5:$E$651,'Spot Data'!$A$5:$A$651,A485,'Spot Data'!$H$5:$H$651,"YES")</f>
        <v>10250</v>
      </c>
      <c r="E485" s="14" t="n">
        <f aca="false">'Roll Schedule'!B769</f>
        <v>46283</v>
      </c>
      <c r="F485" s="3" t="n">
        <f aca="false">SUMIFS('Futures Data'!$C$5:$C$3471,'Futures Data'!$A$5:$A$3471,B485,'Futures Data'!$B$5:$B$3471,E485)</f>
        <v>7340</v>
      </c>
      <c r="G485" s="3" t="n">
        <f aca="false">SUMIFS('Futures Data'!$C$5:$C$3471,'Futures Data'!$A$5:$A$3471,A485,'Futures Data'!$B$5:$B$3471,E485)</f>
        <v>7384</v>
      </c>
      <c r="H485" s="13" t="n">
        <f aca="false">LN(D485/C485)</f>
        <v>0</v>
      </c>
      <c r="I485" s="13" t="n">
        <f aca="false">LN(G485/F485)</f>
        <v>0.0059766545741268</v>
      </c>
      <c r="J485" s="3" t="str">
        <f aca="false">IF(A485&lt;='Results &amp; Charts'!$C$5,"In-sample","Out-of-sample")</f>
        <v>Out-of-sample</v>
      </c>
      <c r="K485" s="13" t="n">
        <f aca="false">H485-'Results &amp; Charts'!$C$9*I485</f>
        <v>-0.00366708030273792</v>
      </c>
      <c r="L485" s="13" t="n">
        <f aca="false">H485-I485</f>
        <v>-0.0059766545741268</v>
      </c>
      <c r="M485" s="15" t="n">
        <v>0.31043928136189</v>
      </c>
      <c r="N485" s="13" t="n">
        <f aca="false">H485-M485*I485</f>
        <v>-0.00185538835094018</v>
      </c>
      <c r="O485" s="16" t="n">
        <f aca="false">'Results &amp; Charts'!$C$9</f>
        <v>0.613567382430444</v>
      </c>
    </row>
    <row r="486" customFormat="false" ht="15" hidden="false" customHeight="false" outlineLevel="0" collapsed="false">
      <c r="A486" s="14" t="n">
        <f aca="false">'Roll Schedule'!A772</f>
        <v>46266</v>
      </c>
      <c r="B486" s="14" t="n">
        <f aca="false">'Roll Schedule'!A771</f>
        <v>46265</v>
      </c>
      <c r="C486" s="3" t="n">
        <f aca="false">SUMIFS('Spot Data'!$E$5:$E$651,'Spot Data'!$A$5:$A$651,B486,'Spot Data'!$H$5:$H$651,"YES")</f>
        <v>10150</v>
      </c>
      <c r="D486" s="3" t="n">
        <f aca="false">SUMIFS('Spot Data'!$E$5:$E$651,'Spot Data'!$A$5:$A$651,A486,'Spot Data'!$H$5:$H$651,"YES")</f>
        <v>10150</v>
      </c>
      <c r="E486" s="14" t="n">
        <f aca="false">'Roll Schedule'!B772</f>
        <v>46283</v>
      </c>
      <c r="F486" s="3" t="n">
        <f aca="false">SUMIFS('Futures Data'!$C$5:$C$3471,'Futures Data'!$A$5:$A$3471,B486,'Futures Data'!$B$5:$B$3471,E486)</f>
        <v>7475</v>
      </c>
      <c r="G486" s="3" t="n">
        <f aca="false">SUMIFS('Futures Data'!$C$5:$C$3471,'Futures Data'!$A$5:$A$3471,A486,'Futures Data'!$B$5:$B$3471,E486)</f>
        <v>7428</v>
      </c>
      <c r="H486" s="13" t="n">
        <f aca="false">LN(D486/C486)</f>
        <v>0</v>
      </c>
      <c r="I486" s="13" t="n">
        <f aca="false">LN(G486/F486)</f>
        <v>-0.00630747578629072</v>
      </c>
      <c r="J486" s="3" t="str">
        <f aca="false">IF(A486&lt;='Results &amp; Charts'!$C$5,"In-sample","Out-of-sample")</f>
        <v>Out-of-sample</v>
      </c>
      <c r="K486" s="13" t="n">
        <f aca="false">H486-'Results &amp; Charts'!$C$9*I486</f>
        <v>0.00387006140793781</v>
      </c>
      <c r="L486" s="13" t="n">
        <f aca="false">H486-I486</f>
        <v>0.00630747578629072</v>
      </c>
      <c r="M486" s="15" t="n">
        <v>0.304613431969561</v>
      </c>
      <c r="N486" s="13" t="n">
        <f aca="false">H486-M486*I486</f>
        <v>0.00192134184632692</v>
      </c>
      <c r="O486" s="16" t="n">
        <f aca="false">'Results &amp; Charts'!$C$9</f>
        <v>0.613567382430444</v>
      </c>
    </row>
    <row r="487" customFormat="false" ht="15" hidden="false" customHeight="false" outlineLevel="0" collapsed="false">
      <c r="A487" s="14" t="n">
        <f aca="false">'Roll Schedule'!A773</f>
        <v>46267</v>
      </c>
      <c r="B487" s="14" t="n">
        <f aca="false">'Roll Schedule'!A772</f>
        <v>46266</v>
      </c>
      <c r="C487" s="3" t="n">
        <f aca="false">SUMIFS('Spot Data'!$E$5:$E$651,'Spot Data'!$A$5:$A$651,B487,'Spot Data'!$H$5:$H$651,"YES")</f>
        <v>10150</v>
      </c>
      <c r="D487" s="3" t="n">
        <f aca="false">SUMIFS('Spot Data'!$E$5:$E$651,'Spot Data'!$A$5:$A$651,A487,'Spot Data'!$H$5:$H$651,"YES")</f>
        <v>10150</v>
      </c>
      <c r="E487" s="14" t="n">
        <f aca="false">'Roll Schedule'!B773</f>
        <v>46283</v>
      </c>
      <c r="F487" s="3" t="n">
        <f aca="false">SUMIFS('Futures Data'!$C$5:$C$3471,'Futures Data'!$A$5:$A$3471,B487,'Futures Data'!$B$5:$B$3471,E487)</f>
        <v>7428</v>
      </c>
      <c r="G487" s="3" t="n">
        <f aca="false">SUMIFS('Futures Data'!$C$5:$C$3471,'Futures Data'!$A$5:$A$3471,A487,'Futures Data'!$B$5:$B$3471,E487)</f>
        <v>7497</v>
      </c>
      <c r="H487" s="13" t="n">
        <f aca="false">LN(D487/C487)</f>
        <v>0</v>
      </c>
      <c r="I487" s="13" t="n">
        <f aca="false">LN(G487/F487)</f>
        <v>0.0092462970304657</v>
      </c>
      <c r="J487" s="3" t="str">
        <f aca="false">IF(A487&lt;='Results &amp; Charts'!$C$5,"In-sample","Out-of-sample")</f>
        <v>Out-of-sample</v>
      </c>
      <c r="K487" s="13" t="n">
        <f aca="false">H487-'Results &amp; Charts'!$C$9*I487</f>
        <v>-0.00567322626615723</v>
      </c>
      <c r="L487" s="13" t="n">
        <f aca="false">H487-I487</f>
        <v>-0.0092462970304657</v>
      </c>
      <c r="M487" s="15" t="n">
        <v>0.300735918546799</v>
      </c>
      <c r="N487" s="13" t="n">
        <f aca="false">H487-M487*I487</f>
        <v>-0.00278069363061364</v>
      </c>
      <c r="O487" s="16" t="n">
        <f aca="false">'Results &amp; Charts'!$C$9</f>
        <v>0.613567382430444</v>
      </c>
    </row>
    <row r="488" customFormat="false" ht="15" hidden="false" customHeight="false" outlineLevel="0" collapsed="false">
      <c r="A488" s="14" t="n">
        <f aca="false">'Roll Schedule'!A774</f>
        <v>46268</v>
      </c>
      <c r="B488" s="14" t="n">
        <f aca="false">'Roll Schedule'!A773</f>
        <v>46267</v>
      </c>
      <c r="C488" s="3" t="n">
        <f aca="false">SUMIFS('Spot Data'!$E$5:$E$651,'Spot Data'!$A$5:$A$651,B488,'Spot Data'!$H$5:$H$651,"YES")</f>
        <v>10150</v>
      </c>
      <c r="D488" s="3" t="n">
        <f aca="false">SUMIFS('Spot Data'!$E$5:$E$651,'Spot Data'!$A$5:$A$651,A488,'Spot Data'!$H$5:$H$651,"YES")</f>
        <v>10150</v>
      </c>
      <c r="E488" s="14" t="n">
        <f aca="false">'Roll Schedule'!B774</f>
        <v>46283</v>
      </c>
      <c r="F488" s="3" t="n">
        <f aca="false">SUMIFS('Futures Data'!$C$5:$C$3471,'Futures Data'!$A$5:$A$3471,B488,'Futures Data'!$B$5:$B$3471,E488)</f>
        <v>7497</v>
      </c>
      <c r="G488" s="3" t="n">
        <f aca="false">SUMIFS('Futures Data'!$C$5:$C$3471,'Futures Data'!$A$5:$A$3471,A488,'Futures Data'!$B$5:$B$3471,E488)</f>
        <v>7542</v>
      </c>
      <c r="H488" s="13" t="n">
        <f aca="false">LN(D488/C488)</f>
        <v>0</v>
      </c>
      <c r="I488" s="13" t="n">
        <f aca="false">LN(G488/F488)</f>
        <v>0.00598445831524027</v>
      </c>
      <c r="J488" s="3" t="str">
        <f aca="false">IF(A488&lt;='Results &amp; Charts'!$C$5,"In-sample","Out-of-sample")</f>
        <v>Out-of-sample</v>
      </c>
      <c r="K488" s="13" t="n">
        <f aca="false">H488-'Results &amp; Charts'!$C$9*I488</f>
        <v>-0.00367186842374608</v>
      </c>
      <c r="L488" s="13" t="n">
        <f aca="false">H488-I488</f>
        <v>-0.00598445831524027</v>
      </c>
      <c r="M488" s="15" t="n">
        <v>0.267895950040613</v>
      </c>
      <c r="N488" s="13" t="n">
        <f aca="false">H488-M488*I488</f>
        <v>-0.00160321214583974</v>
      </c>
      <c r="O488" s="16" t="n">
        <f aca="false">'Results &amp; Charts'!$C$9</f>
        <v>0.613567382430444</v>
      </c>
    </row>
    <row r="489" customFormat="false" ht="15" hidden="false" customHeight="false" outlineLevel="0" collapsed="false">
      <c r="A489" s="14" t="n">
        <f aca="false">'Roll Schedule'!A777</f>
        <v>46273</v>
      </c>
      <c r="B489" s="14" t="n">
        <f aca="false">'Roll Schedule'!A776</f>
        <v>46272</v>
      </c>
      <c r="C489" s="3" t="n">
        <f aca="false">SUMIFS('Spot Data'!$E$5:$E$651,'Spot Data'!$A$5:$A$651,B489,'Spot Data'!$H$5:$H$651,"YES")</f>
        <v>10250</v>
      </c>
      <c r="D489" s="3" t="n">
        <f aca="false">SUMIFS('Spot Data'!$E$5:$E$651,'Spot Data'!$A$5:$A$651,A489,'Spot Data'!$H$5:$H$651,"YES")</f>
        <v>10150</v>
      </c>
      <c r="E489" s="14" t="n">
        <f aca="false">'Roll Schedule'!B777</f>
        <v>46311</v>
      </c>
      <c r="F489" s="3" t="n">
        <f aca="false">SUMIFS('Futures Data'!$C$5:$C$3471,'Futures Data'!$A$5:$A$3471,B489,'Futures Data'!$B$5:$B$3471,E489)</f>
        <v>7620</v>
      </c>
      <c r="G489" s="3" t="n">
        <f aca="false">SUMIFS('Futures Data'!$C$5:$C$3471,'Futures Data'!$A$5:$A$3471,A489,'Futures Data'!$B$5:$B$3471,E489)</f>
        <v>7562</v>
      </c>
      <c r="H489" s="13" t="n">
        <f aca="false">LN(D489/C489)</f>
        <v>-0.00980400009662086</v>
      </c>
      <c r="I489" s="13" t="n">
        <f aca="false">LN(G489/F489)</f>
        <v>-0.00764066422981377</v>
      </c>
      <c r="J489" s="3" t="str">
        <f aca="false">IF(A489&lt;='Results &amp; Charts'!$C$5,"In-sample","Out-of-sample")</f>
        <v>Out-of-sample</v>
      </c>
      <c r="K489" s="13" t="n">
        <f aca="false">H489-'Results &amp; Charts'!$C$9*I489</f>
        <v>-0.00511593774510409</v>
      </c>
      <c r="L489" s="13" t="n">
        <f aca="false">H489-I489</f>
        <v>-0.00216333586680708</v>
      </c>
      <c r="M489" s="15" t="n">
        <v>0.270045804011355</v>
      </c>
      <c r="N489" s="13" t="n">
        <f aca="false">H489-M489*I489</f>
        <v>-0.0077406707815</v>
      </c>
      <c r="O489" s="16" t="n">
        <f aca="false">'Results &amp; Charts'!$C$9</f>
        <v>0.613567382430444</v>
      </c>
    </row>
    <row r="490" customFormat="false" ht="15" hidden="false" customHeight="false" outlineLevel="0" collapsed="false">
      <c r="A490" s="14" t="n">
        <f aca="false">'Roll Schedule'!A778</f>
        <v>46274</v>
      </c>
      <c r="B490" s="14" t="n">
        <f aca="false">'Roll Schedule'!A777</f>
        <v>46273</v>
      </c>
      <c r="C490" s="3" t="n">
        <f aca="false">SUMIFS('Spot Data'!$E$5:$E$651,'Spot Data'!$A$5:$A$651,B490,'Spot Data'!$H$5:$H$651,"YES")</f>
        <v>10150</v>
      </c>
      <c r="D490" s="3" t="n">
        <f aca="false">SUMIFS('Spot Data'!$E$5:$E$651,'Spot Data'!$A$5:$A$651,A490,'Spot Data'!$H$5:$H$651,"YES")</f>
        <v>10250</v>
      </c>
      <c r="E490" s="14" t="n">
        <f aca="false">'Roll Schedule'!B778</f>
        <v>46311</v>
      </c>
      <c r="F490" s="3" t="n">
        <f aca="false">SUMIFS('Futures Data'!$C$5:$C$3471,'Futures Data'!$A$5:$A$3471,B490,'Futures Data'!$B$5:$B$3471,E490)</f>
        <v>7562</v>
      </c>
      <c r="G490" s="3" t="n">
        <f aca="false">SUMIFS('Futures Data'!$C$5:$C$3471,'Futures Data'!$A$5:$A$3471,A490,'Futures Data'!$B$5:$B$3471,E490)</f>
        <v>7564</v>
      </c>
      <c r="H490" s="13" t="n">
        <f aca="false">LN(D490/C490)</f>
        <v>0.00980400009662084</v>
      </c>
      <c r="I490" s="13" t="n">
        <f aca="false">LN(G490/F490)</f>
        <v>0.000264445327469967</v>
      </c>
      <c r="J490" s="3" t="str">
        <f aca="false">IF(A490&lt;='Results &amp; Charts'!$C$5,"In-sample","Out-of-sample")</f>
        <v>Out-of-sample</v>
      </c>
      <c r="K490" s="13" t="n">
        <f aca="false">H490-'Results &amp; Charts'!$C$9*I490</f>
        <v>0.00964174506924913</v>
      </c>
      <c r="L490" s="13" t="n">
        <f aca="false">H490-I490</f>
        <v>0.00953955476915087</v>
      </c>
      <c r="M490" s="15" t="n">
        <v>0.287045426529406</v>
      </c>
      <c r="N490" s="13" t="n">
        <f aca="false">H490-M490*I490</f>
        <v>0.00972809227480351</v>
      </c>
      <c r="O490" s="16" t="n">
        <f aca="false">'Results &amp; Charts'!$C$9</f>
        <v>0.613567382430444</v>
      </c>
    </row>
    <row r="491" customFormat="false" ht="15" hidden="false" customHeight="false" outlineLevel="0" collapsed="false">
      <c r="A491" s="14" t="n">
        <f aca="false">'Roll Schedule'!A779</f>
        <v>46275</v>
      </c>
      <c r="B491" s="14" t="n">
        <f aca="false">'Roll Schedule'!A778</f>
        <v>46274</v>
      </c>
      <c r="C491" s="3" t="n">
        <f aca="false">SUMIFS('Spot Data'!$E$5:$E$651,'Spot Data'!$A$5:$A$651,B491,'Spot Data'!$H$5:$H$651,"YES")</f>
        <v>10250</v>
      </c>
      <c r="D491" s="3" t="n">
        <f aca="false">SUMIFS('Spot Data'!$E$5:$E$651,'Spot Data'!$A$5:$A$651,A491,'Spot Data'!$H$5:$H$651,"YES")</f>
        <v>10250</v>
      </c>
      <c r="E491" s="14" t="n">
        <f aca="false">'Roll Schedule'!B779</f>
        <v>46311</v>
      </c>
      <c r="F491" s="3" t="n">
        <f aca="false">SUMIFS('Futures Data'!$C$5:$C$3471,'Futures Data'!$A$5:$A$3471,B491,'Futures Data'!$B$5:$B$3471,E491)</f>
        <v>7564</v>
      </c>
      <c r="G491" s="3" t="n">
        <f aca="false">SUMIFS('Futures Data'!$C$5:$C$3471,'Futures Data'!$A$5:$A$3471,A491,'Futures Data'!$B$5:$B$3471,E491)</f>
        <v>7593</v>
      </c>
      <c r="H491" s="13" t="n">
        <f aca="false">LN(D491/C491)</f>
        <v>0</v>
      </c>
      <c r="I491" s="13" t="n">
        <f aca="false">LN(G491/F491)</f>
        <v>0.00382661943488555</v>
      </c>
      <c r="J491" s="3" t="str">
        <f aca="false">IF(A491&lt;='Results &amp; Charts'!$C$5,"In-sample","Out-of-sample")</f>
        <v>Out-of-sample</v>
      </c>
      <c r="K491" s="13" t="n">
        <f aca="false">H491-'Results &amp; Charts'!$C$9*I491</f>
        <v>-0.00234788887022019</v>
      </c>
      <c r="L491" s="13" t="n">
        <f aca="false">H491-I491</f>
        <v>-0.00382661943488555</v>
      </c>
      <c r="M491" s="15" t="n">
        <v>0.313906432191646</v>
      </c>
      <c r="N491" s="13" t="n">
        <f aca="false">H491-M491*I491</f>
        <v>-0.00120120045416014</v>
      </c>
      <c r="O491" s="16" t="n">
        <f aca="false">'Results &amp; Charts'!$C$9</f>
        <v>0.613567382430444</v>
      </c>
    </row>
    <row r="492" customFormat="false" ht="15" hidden="false" customHeight="false" outlineLevel="0" collapsed="false">
      <c r="A492" s="14" t="n">
        <f aca="false">'Roll Schedule'!A780</f>
        <v>46276</v>
      </c>
      <c r="B492" s="14" t="n">
        <f aca="false">'Roll Schedule'!A779</f>
        <v>46275</v>
      </c>
      <c r="C492" s="3" t="n">
        <f aca="false">SUMIFS('Spot Data'!$E$5:$E$651,'Spot Data'!$A$5:$A$651,B492,'Spot Data'!$H$5:$H$651,"YES")</f>
        <v>10250</v>
      </c>
      <c r="D492" s="3" t="n">
        <f aca="false">SUMIFS('Spot Data'!$E$5:$E$651,'Spot Data'!$A$5:$A$651,A492,'Spot Data'!$H$5:$H$651,"YES")</f>
        <v>10450</v>
      </c>
      <c r="E492" s="14" t="n">
        <f aca="false">'Roll Schedule'!B780</f>
        <v>46311</v>
      </c>
      <c r="F492" s="3" t="n">
        <f aca="false">SUMIFS('Futures Data'!$C$5:$C$3471,'Futures Data'!$A$5:$A$3471,B492,'Futures Data'!$B$5:$B$3471,E492)</f>
        <v>7593</v>
      </c>
      <c r="G492" s="3" t="n">
        <f aca="false">SUMIFS('Futures Data'!$C$5:$C$3471,'Futures Data'!$A$5:$A$3471,A492,'Futures Data'!$B$5:$B$3471,E492)</f>
        <v>7711</v>
      </c>
      <c r="H492" s="13" t="n">
        <f aca="false">LN(D492/C492)</f>
        <v>0.0193242728264028</v>
      </c>
      <c r="I492" s="13" t="n">
        <f aca="false">LN(G492/F492)</f>
        <v>0.0154211106197268</v>
      </c>
      <c r="J492" s="3" t="str">
        <f aca="false">IF(A492&lt;='Results &amp; Charts'!$C$5,"In-sample","Out-of-sample")</f>
        <v>Out-of-sample</v>
      </c>
      <c r="K492" s="13" t="n">
        <f aca="false">H492-'Results &amp; Charts'!$C$9*I492</f>
        <v>0.00986238234928672</v>
      </c>
      <c r="L492" s="13" t="n">
        <f aca="false">H492-I492</f>
        <v>0.00390316220667602</v>
      </c>
      <c r="M492" s="15" t="n">
        <v>0.326261671026539</v>
      </c>
      <c r="N492" s="13" t="n">
        <f aca="false">H492-M492*I492</f>
        <v>0.0142929555065257</v>
      </c>
      <c r="O492" s="16" t="n">
        <f aca="false">'Results &amp; Charts'!$C$9</f>
        <v>0.613567382430444</v>
      </c>
    </row>
    <row r="493" customFormat="false" ht="15" hidden="false" customHeight="false" outlineLevel="0" collapsed="false">
      <c r="A493" s="14" t="n">
        <f aca="false">'Roll Schedule'!A781</f>
        <v>46280</v>
      </c>
      <c r="B493" s="14" t="n">
        <f aca="false">'Roll Schedule'!A780</f>
        <v>46276</v>
      </c>
      <c r="C493" s="3" t="n">
        <f aca="false">SUMIFS('Spot Data'!$E$5:$E$651,'Spot Data'!$A$5:$A$651,B493,'Spot Data'!$H$5:$H$651,"YES")</f>
        <v>10450</v>
      </c>
      <c r="D493" s="3" t="n">
        <f aca="false">SUMIFS('Spot Data'!$E$5:$E$651,'Spot Data'!$A$5:$A$651,A493,'Spot Data'!$H$5:$H$651,"YES")</f>
        <v>10250</v>
      </c>
      <c r="E493" s="14" t="n">
        <f aca="false">'Roll Schedule'!B781</f>
        <v>46311</v>
      </c>
      <c r="F493" s="3" t="n">
        <f aca="false">SUMIFS('Futures Data'!$C$5:$C$3471,'Futures Data'!$A$5:$A$3471,B493,'Futures Data'!$B$5:$B$3471,E493)</f>
        <v>7711</v>
      </c>
      <c r="G493" s="3" t="n">
        <f aca="false">SUMIFS('Futures Data'!$C$5:$C$3471,'Futures Data'!$A$5:$A$3471,A493,'Futures Data'!$B$5:$B$3471,E493)</f>
        <v>7561</v>
      </c>
      <c r="H493" s="13" t="n">
        <f aca="false">LN(D493/C493)</f>
        <v>-0.0193242728264028</v>
      </c>
      <c r="I493" s="13" t="n">
        <f aca="false">LN(G493/F493)</f>
        <v>-0.0196444242746907</v>
      </c>
      <c r="J493" s="3" t="str">
        <f aca="false">IF(A493&lt;='Results &amp; Charts'!$C$5,"In-sample","Out-of-sample")</f>
        <v>Out-of-sample</v>
      </c>
      <c r="K493" s="13" t="n">
        <f aca="false">H493-'Results &amp; Charts'!$C$9*I493</f>
        <v>-0.00727109484482776</v>
      </c>
      <c r="L493" s="13" t="n">
        <f aca="false">H493-I493</f>
        <v>0.000320151448287887</v>
      </c>
      <c r="M493" s="15" t="n">
        <v>0.305598104310247</v>
      </c>
      <c r="N493" s="13" t="n">
        <f aca="false">H493-M493*I493</f>
        <v>-0.0133209740077911</v>
      </c>
      <c r="O493" s="16" t="n">
        <f aca="false">'Results &amp; Charts'!$C$9</f>
        <v>0.613567382430444</v>
      </c>
    </row>
    <row r="494" customFormat="false" ht="15" hidden="false" customHeight="false" outlineLevel="0" collapsed="false">
      <c r="A494" s="14" t="n">
        <f aca="false">'Roll Schedule'!A782</f>
        <v>46281</v>
      </c>
      <c r="B494" s="14" t="n">
        <f aca="false">'Roll Schedule'!A781</f>
        <v>46280</v>
      </c>
      <c r="C494" s="3" t="n">
        <f aca="false">SUMIFS('Spot Data'!$E$5:$E$651,'Spot Data'!$A$5:$A$651,B494,'Spot Data'!$H$5:$H$651,"YES")</f>
        <v>10250</v>
      </c>
      <c r="D494" s="3" t="n">
        <f aca="false">SUMIFS('Spot Data'!$E$5:$E$651,'Spot Data'!$A$5:$A$651,A494,'Spot Data'!$H$5:$H$651,"YES")</f>
        <v>10350</v>
      </c>
      <c r="E494" s="14" t="n">
        <f aca="false">'Roll Schedule'!B782</f>
        <v>46311</v>
      </c>
      <c r="F494" s="3" t="n">
        <f aca="false">SUMIFS('Futures Data'!$C$5:$C$3471,'Futures Data'!$A$5:$A$3471,B494,'Futures Data'!$B$5:$B$3471,E494)</f>
        <v>7561</v>
      </c>
      <c r="G494" s="3" t="n">
        <f aca="false">SUMIFS('Futures Data'!$C$5:$C$3471,'Futures Data'!$A$5:$A$3471,A494,'Futures Data'!$B$5:$B$3471,E494)</f>
        <v>7628</v>
      </c>
      <c r="H494" s="13" t="n">
        <f aca="false">LN(D494/C494)</f>
        <v>0.0097088141269609</v>
      </c>
      <c r="I494" s="13" t="n">
        <f aca="false">LN(G494/F494)</f>
        <v>0.00882223116203982</v>
      </c>
      <c r="J494" s="3" t="str">
        <f aca="false">IF(A494&lt;='Results &amp; Charts'!$C$5,"In-sample","Out-of-sample")</f>
        <v>Out-of-sample</v>
      </c>
      <c r="K494" s="13" t="n">
        <f aca="false">H494-'Results &amp; Charts'!$C$9*I494</f>
        <v>0.00429578084567183</v>
      </c>
      <c r="L494" s="13" t="n">
        <f aca="false">H494-I494</f>
        <v>0.000886582964921079</v>
      </c>
      <c r="M494" s="15" t="n">
        <v>0.275256590899377</v>
      </c>
      <c r="N494" s="13" t="n">
        <f aca="false">H494-M494*I494</f>
        <v>0.00728043685317157</v>
      </c>
      <c r="O494" s="16" t="n">
        <f aca="false">'Results &amp; Charts'!$C$9</f>
        <v>0.613567382430444</v>
      </c>
    </row>
    <row r="495" customFormat="false" ht="15" hidden="false" customHeight="false" outlineLevel="0" collapsed="false">
      <c r="A495" s="14" t="n">
        <f aca="false">'Roll Schedule'!A783</f>
        <v>46282</v>
      </c>
      <c r="B495" s="14" t="n">
        <f aca="false">'Roll Schedule'!A782</f>
        <v>46281</v>
      </c>
      <c r="C495" s="3" t="n">
        <f aca="false">SUMIFS('Spot Data'!$E$5:$E$651,'Spot Data'!$A$5:$A$651,B495,'Spot Data'!$H$5:$H$651,"YES")</f>
        <v>10350</v>
      </c>
      <c r="D495" s="3" t="n">
        <f aca="false">SUMIFS('Spot Data'!$E$5:$E$651,'Spot Data'!$A$5:$A$651,A495,'Spot Data'!$H$5:$H$651,"YES")</f>
        <v>10550</v>
      </c>
      <c r="E495" s="14" t="n">
        <f aca="false">'Roll Schedule'!B783</f>
        <v>46311</v>
      </c>
      <c r="F495" s="3" t="n">
        <f aca="false">SUMIFS('Futures Data'!$C$5:$C$3471,'Futures Data'!$A$5:$A$3471,B495,'Futures Data'!$B$5:$B$3471,E495)</f>
        <v>7628</v>
      </c>
      <c r="G495" s="3" t="n">
        <f aca="false">SUMIFS('Futures Data'!$C$5:$C$3471,'Futures Data'!$A$5:$A$3471,A495,'Futures Data'!$B$5:$B$3471,E495)</f>
        <v>7668</v>
      </c>
      <c r="H495" s="13" t="n">
        <f aca="false">LN(D495/C495)</f>
        <v>0.0191393402106975</v>
      </c>
      <c r="I495" s="13" t="n">
        <f aca="false">LN(G495/F495)</f>
        <v>0.00523013744522552</v>
      </c>
      <c r="J495" s="3" t="str">
        <f aca="false">IF(A495&lt;='Results &amp; Charts'!$C$5,"In-sample","Out-of-sample")</f>
        <v>Out-of-sample</v>
      </c>
      <c r="K495" s="13" t="n">
        <f aca="false">H495-'Results &amp; Charts'!$C$9*I495</f>
        <v>0.015930298468679</v>
      </c>
      <c r="L495" s="13" t="n">
        <f aca="false">H495-I495</f>
        <v>0.013909202765472</v>
      </c>
      <c r="M495" s="15" t="n">
        <v>0.297650937368036</v>
      </c>
      <c r="N495" s="13" t="n">
        <f aca="false">H495-M495*I495</f>
        <v>0.0175825848975625</v>
      </c>
      <c r="O495" s="16" t="n">
        <f aca="false">'Results &amp; Charts'!$C$9</f>
        <v>0.613567382430444</v>
      </c>
    </row>
    <row r="496" customFormat="false" ht="15" hidden="false" customHeight="false" outlineLevel="0" collapsed="false">
      <c r="A496" s="14" t="n">
        <f aca="false">'Roll Schedule'!A784</f>
        <v>46283</v>
      </c>
      <c r="B496" s="14" t="n">
        <f aca="false">'Roll Schedule'!A783</f>
        <v>46282</v>
      </c>
      <c r="C496" s="3" t="n">
        <f aca="false">SUMIFS('Spot Data'!$E$5:$E$651,'Spot Data'!$A$5:$A$651,B496,'Spot Data'!$H$5:$H$651,"YES")</f>
        <v>10550</v>
      </c>
      <c r="D496" s="3" t="n">
        <f aca="false">SUMIFS('Spot Data'!$E$5:$E$651,'Spot Data'!$A$5:$A$651,A496,'Spot Data'!$H$5:$H$651,"YES")</f>
        <v>10250</v>
      </c>
      <c r="E496" s="14" t="n">
        <f aca="false">'Roll Schedule'!B784</f>
        <v>46311</v>
      </c>
      <c r="F496" s="3" t="n">
        <f aca="false">SUMIFS('Futures Data'!$C$5:$C$3471,'Futures Data'!$A$5:$A$3471,B496,'Futures Data'!$B$5:$B$3471,E496)</f>
        <v>7668</v>
      </c>
      <c r="G496" s="3" t="n">
        <f aca="false">SUMIFS('Futures Data'!$C$5:$C$3471,'Futures Data'!$A$5:$A$3471,A496,'Futures Data'!$B$5:$B$3471,E496)</f>
        <v>7675</v>
      </c>
      <c r="H496" s="13" t="n">
        <f aca="false">LN(D496/C496)</f>
        <v>-0.0288481543376583</v>
      </c>
      <c r="I496" s="13" t="n">
        <f aca="false">LN(G496/F496)</f>
        <v>0.000912468289862783</v>
      </c>
      <c r="J496" s="3" t="str">
        <f aca="false">IF(A496&lt;='Results &amp; Charts'!$C$5,"In-sample","Out-of-sample")</f>
        <v>Out-of-sample</v>
      </c>
      <c r="K496" s="13" t="n">
        <f aca="false">H496-'Results &amp; Charts'!$C$9*I496</f>
        <v>-0.0294080151178202</v>
      </c>
      <c r="L496" s="13" t="n">
        <f aca="false">H496-I496</f>
        <v>-0.0297606226275211</v>
      </c>
      <c r="M496" s="15" t="n">
        <v>0.341997444190095</v>
      </c>
      <c r="N496" s="13" t="n">
        <f aca="false">H496-M496*I496</f>
        <v>-0.0291602161606959</v>
      </c>
      <c r="O496" s="16" t="n">
        <f aca="false">'Results &amp; Charts'!$C$9</f>
        <v>0.613567382430444</v>
      </c>
    </row>
    <row r="497" customFormat="false" ht="15" hidden="false" customHeight="false" outlineLevel="0" collapsed="false">
      <c r="A497" s="14" t="n">
        <f aca="false">'Roll Schedule'!A785</f>
        <v>46286</v>
      </c>
      <c r="B497" s="14" t="n">
        <f aca="false">'Roll Schedule'!A784</f>
        <v>46283</v>
      </c>
      <c r="C497" s="3" t="n">
        <f aca="false">SUMIFS('Spot Data'!$E$5:$E$651,'Spot Data'!$A$5:$A$651,B497,'Spot Data'!$H$5:$H$651,"YES")</f>
        <v>10250</v>
      </c>
      <c r="D497" s="3" t="n">
        <f aca="false">SUMIFS('Spot Data'!$E$5:$E$651,'Spot Data'!$A$5:$A$651,A497,'Spot Data'!$H$5:$H$651,"YES")</f>
        <v>10350</v>
      </c>
      <c r="E497" s="14" t="n">
        <f aca="false">'Roll Schedule'!B785</f>
        <v>46311</v>
      </c>
      <c r="F497" s="3" t="n">
        <f aca="false">SUMIFS('Futures Data'!$C$5:$C$3471,'Futures Data'!$A$5:$A$3471,B497,'Futures Data'!$B$5:$B$3471,E497)</f>
        <v>7675</v>
      </c>
      <c r="G497" s="3" t="n">
        <f aca="false">SUMIFS('Futures Data'!$C$5:$C$3471,'Futures Data'!$A$5:$A$3471,A497,'Futures Data'!$B$5:$B$3471,E497)</f>
        <v>7714</v>
      </c>
      <c r="H497" s="13" t="n">
        <f aca="false">LN(D497/C497)</f>
        <v>0.0097088141269609</v>
      </c>
      <c r="I497" s="13" t="n">
        <f aca="false">LN(G497/F497)</f>
        <v>0.00506856631277524</v>
      </c>
      <c r="J497" s="3" t="str">
        <f aca="false">IF(A497&lt;='Results &amp; Charts'!$C$5,"In-sample","Out-of-sample")</f>
        <v>Out-of-sample</v>
      </c>
      <c r="K497" s="13" t="n">
        <f aca="false">H497-'Results &amp; Charts'!$C$9*I497</f>
        <v>0.00659890716175627</v>
      </c>
      <c r="L497" s="13" t="n">
        <f aca="false">H497-I497</f>
        <v>0.00464024781418567</v>
      </c>
      <c r="M497" s="15" t="n">
        <v>0.368566477681857</v>
      </c>
      <c r="N497" s="13" t="n">
        <f aca="false">H497-M497*I497</f>
        <v>0.00784071049416442</v>
      </c>
      <c r="O497" s="16" t="n">
        <f aca="false">'Results &amp; Charts'!$C$9</f>
        <v>0.613567382430444</v>
      </c>
    </row>
    <row r="498" customFormat="false" ht="15" hidden="false" customHeight="false" outlineLevel="0" collapsed="false">
      <c r="A498" s="14" t="n">
        <f aca="false">'Roll Schedule'!A788</f>
        <v>46289</v>
      </c>
      <c r="B498" s="14" t="n">
        <f aca="false">'Roll Schedule'!A787</f>
        <v>46288</v>
      </c>
      <c r="C498" s="3" t="n">
        <f aca="false">SUMIFS('Spot Data'!$E$5:$E$651,'Spot Data'!$A$5:$A$651,B498,'Spot Data'!$H$5:$H$651,"YES")</f>
        <v>10450</v>
      </c>
      <c r="D498" s="3" t="n">
        <f aca="false">SUMIFS('Spot Data'!$E$5:$E$651,'Spot Data'!$A$5:$A$651,A498,'Spot Data'!$H$5:$H$651,"YES")</f>
        <v>10250</v>
      </c>
      <c r="E498" s="14" t="n">
        <f aca="false">'Roll Schedule'!B788</f>
        <v>46311</v>
      </c>
      <c r="F498" s="3" t="n">
        <f aca="false">SUMIFS('Futures Data'!$C$5:$C$3471,'Futures Data'!$A$5:$A$3471,B498,'Futures Data'!$B$5:$B$3471,E498)</f>
        <v>7728</v>
      </c>
      <c r="G498" s="3" t="n">
        <f aca="false">SUMIFS('Futures Data'!$C$5:$C$3471,'Futures Data'!$A$5:$A$3471,A498,'Futures Data'!$B$5:$B$3471,E498)</f>
        <v>7695</v>
      </c>
      <c r="H498" s="13" t="n">
        <f aca="false">LN(D498/C498)</f>
        <v>-0.0193242728264028</v>
      </c>
      <c r="I498" s="13" t="n">
        <f aca="false">LN(G498/F498)</f>
        <v>-0.00427932961937437</v>
      </c>
      <c r="J498" s="3" t="str">
        <f aca="false">IF(A498&lt;='Results &amp; Charts'!$C$5,"In-sample","Out-of-sample")</f>
        <v>Out-of-sample</v>
      </c>
      <c r="K498" s="13" t="n">
        <f aca="false">H498-'Results &amp; Charts'!$C$9*I498</f>
        <v>-0.0166986157532862</v>
      </c>
      <c r="L498" s="13" t="n">
        <f aca="false">H498-I498</f>
        <v>-0.0150449432070284</v>
      </c>
      <c r="M498" s="15" t="n">
        <v>0.402206690435083</v>
      </c>
      <c r="N498" s="13" t="n">
        <f aca="false">H498-M498*I498</f>
        <v>-0.0176030978229134</v>
      </c>
      <c r="O498" s="16" t="n">
        <f aca="false">'Results &amp; Charts'!$C$9</f>
        <v>0.613567382430444</v>
      </c>
    </row>
    <row r="499" customFormat="false" ht="15" hidden="false" customHeight="false" outlineLevel="0" collapsed="false">
      <c r="A499" s="14" t="n">
        <f aca="false">'Roll Schedule'!A789</f>
        <v>46290</v>
      </c>
      <c r="B499" s="14" t="n">
        <f aca="false">'Roll Schedule'!A788</f>
        <v>46289</v>
      </c>
      <c r="C499" s="3" t="n">
        <f aca="false">SUMIFS('Spot Data'!$E$5:$E$651,'Spot Data'!$A$5:$A$651,B499,'Spot Data'!$H$5:$H$651,"YES")</f>
        <v>10250</v>
      </c>
      <c r="D499" s="3" t="n">
        <f aca="false">SUMIFS('Spot Data'!$E$5:$E$651,'Spot Data'!$A$5:$A$651,A499,'Spot Data'!$H$5:$H$651,"YES")</f>
        <v>10150</v>
      </c>
      <c r="E499" s="14" t="n">
        <f aca="false">'Roll Schedule'!B789</f>
        <v>46311</v>
      </c>
      <c r="F499" s="3" t="n">
        <f aca="false">SUMIFS('Futures Data'!$C$5:$C$3471,'Futures Data'!$A$5:$A$3471,B499,'Futures Data'!$B$5:$B$3471,E499)</f>
        <v>7695</v>
      </c>
      <c r="G499" s="3" t="n">
        <f aca="false">SUMIFS('Futures Data'!$C$5:$C$3471,'Futures Data'!$A$5:$A$3471,A499,'Futures Data'!$B$5:$B$3471,E499)</f>
        <v>7665</v>
      </c>
      <c r="H499" s="13" t="n">
        <f aca="false">LN(D499/C499)</f>
        <v>-0.00980400009662086</v>
      </c>
      <c r="I499" s="13" t="n">
        <f aca="false">LN(G499/F499)</f>
        <v>-0.0039062549670651</v>
      </c>
      <c r="J499" s="3" t="str">
        <f aca="false">IF(A499&lt;='Results &amp; Charts'!$C$5,"In-sample","Out-of-sample")</f>
        <v>Out-of-sample</v>
      </c>
      <c r="K499" s="13" t="n">
        <f aca="false">H499-'Results &amp; Charts'!$C$9*I499</f>
        <v>-0.0074072494613728</v>
      </c>
      <c r="L499" s="13" t="n">
        <f aca="false">H499-I499</f>
        <v>-0.00589774512955576</v>
      </c>
      <c r="M499" s="15" t="n">
        <v>0.449223495868422</v>
      </c>
      <c r="N499" s="13" t="n">
        <f aca="false">H499-M499*I499</f>
        <v>-0.00804921858456249</v>
      </c>
      <c r="O499" s="16" t="n">
        <f aca="false">'Results &amp; Charts'!$C$9</f>
        <v>0.613567382430444</v>
      </c>
    </row>
    <row r="500" customFormat="false" ht="15" hidden="false" customHeight="false" outlineLevel="0" collapsed="false">
      <c r="A500" s="14" t="n">
        <f aca="false">'Roll Schedule'!A790</f>
        <v>46293</v>
      </c>
      <c r="B500" s="14" t="n">
        <f aca="false">'Roll Schedule'!A789</f>
        <v>46290</v>
      </c>
      <c r="C500" s="3" t="n">
        <f aca="false">SUMIFS('Spot Data'!$E$5:$E$651,'Spot Data'!$A$5:$A$651,B500,'Spot Data'!$H$5:$H$651,"YES")</f>
        <v>10150</v>
      </c>
      <c r="D500" s="3" t="n">
        <f aca="false">SUMIFS('Spot Data'!$E$5:$E$651,'Spot Data'!$A$5:$A$651,A500,'Spot Data'!$H$5:$H$651,"YES")</f>
        <v>10250</v>
      </c>
      <c r="E500" s="14" t="n">
        <f aca="false">'Roll Schedule'!B790</f>
        <v>46311</v>
      </c>
      <c r="F500" s="3" t="n">
        <f aca="false">SUMIFS('Futures Data'!$C$5:$C$3471,'Futures Data'!$A$5:$A$3471,B500,'Futures Data'!$B$5:$B$3471,E500)</f>
        <v>7665</v>
      </c>
      <c r="G500" s="3" t="n">
        <f aca="false">SUMIFS('Futures Data'!$C$5:$C$3471,'Futures Data'!$A$5:$A$3471,A500,'Futures Data'!$B$5:$B$3471,E500)</f>
        <v>7661</v>
      </c>
      <c r="H500" s="13" t="n">
        <f aca="false">LN(D500/C500)</f>
        <v>0.00980400009662084</v>
      </c>
      <c r="I500" s="13" t="n">
        <f aca="false">LN(G500/F500)</f>
        <v>-0.000521988789093535</v>
      </c>
      <c r="J500" s="3" t="str">
        <f aca="false">IF(A500&lt;='Results &amp; Charts'!$C$5,"In-sample","Out-of-sample")</f>
        <v>Out-of-sample</v>
      </c>
      <c r="K500" s="13" t="n">
        <f aca="false">H500-'Results &amp; Charts'!$C$9*I500</f>
        <v>0.010124275391603</v>
      </c>
      <c r="L500" s="13" t="n">
        <f aca="false">H500-I500</f>
        <v>0.0103259888857144</v>
      </c>
      <c r="M500" s="15" t="n">
        <v>0.48723568754331</v>
      </c>
      <c r="N500" s="13" t="n">
        <f aca="false">H500-M500*I500</f>
        <v>0.0100583316631647</v>
      </c>
      <c r="O500" s="16" t="n">
        <f aca="false">'Results &amp; Charts'!$C$9</f>
        <v>0.613567382430444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9" min="3" style="0" width="14"/>
  </cols>
  <sheetData>
    <row r="1" customFormat="false" ht="16.15" hidden="false" customHeight="false" outlineLevel="0" collapsed="false">
      <c r="A1" s="1" t="s">
        <v>3003</v>
      </c>
    </row>
    <row r="2" customFormat="false" ht="15" hidden="false" customHeight="false" outlineLevel="0" collapsed="false">
      <c r="K2" s="3" t="s">
        <v>3004</v>
      </c>
    </row>
    <row r="3" customFormat="false" ht="15" hidden="false" customHeight="false" outlineLevel="0" collapsed="false">
      <c r="A3" s="2" t="s">
        <v>3005</v>
      </c>
    </row>
    <row r="5" customFormat="false" ht="15" hidden="false" customHeight="false" outlineLevel="0" collapsed="false">
      <c r="A5" s="3" t="s">
        <v>3006</v>
      </c>
      <c r="C5" s="17" t="n">
        <v>45930</v>
      </c>
    </row>
    <row r="6" customFormat="false" ht="15" hidden="false" customHeight="false" outlineLevel="0" collapsed="false">
      <c r="A6" s="3" t="s">
        <v>3007</v>
      </c>
      <c r="C6" s="9" t="b">
        <f aca="false">AND(COUNTIF('Daily Analysis'!J5:J279,"In-sample")=275,COUNTIF('Daily Analysis'!J280:J500,"Out-of-sample")=221)</f>
        <v>1</v>
      </c>
    </row>
    <row r="8" customFormat="false" ht="15" hidden="false" customHeight="false" outlineLevel="0" collapsed="false">
      <c r="A8" s="2" t="s">
        <v>3008</v>
      </c>
    </row>
    <row r="9" customFormat="false" ht="15" hidden="false" customHeight="false" outlineLevel="0" collapsed="false">
      <c r="A9" s="3" t="s">
        <v>3009</v>
      </c>
      <c r="C9" s="16" t="n">
        <f aca="false">SLOPE('Daily Analysis'!H5:H279,'Daily Analysis'!I5:I279)</f>
        <v>0.613567382430444</v>
      </c>
    </row>
    <row r="10" customFormat="false" ht="15" hidden="false" customHeight="false" outlineLevel="0" collapsed="false">
      <c r="A10" s="3" t="s">
        <v>3010</v>
      </c>
      <c r="C10" s="13" t="n">
        <f aca="false">INTERCEPT('Daily Analysis'!H5:H279,'Daily Analysis'!I5:I279)</f>
        <v>-0.000326355269228816</v>
      </c>
    </row>
    <row r="11" customFormat="false" ht="15" hidden="false" customHeight="false" outlineLevel="0" collapsed="false">
      <c r="A11" s="3" t="s">
        <v>3011</v>
      </c>
      <c r="C11" s="16" t="n">
        <f aca="false">INDEX(LINEST('Daily Analysis'!H5:H279,'Daily Analysis'!I5:I279,TRUE(),TRUE()),2,1)</f>
        <v>0.1375554834665</v>
      </c>
    </row>
    <row r="12" customFormat="false" ht="15" hidden="false" customHeight="false" outlineLevel="0" collapsed="false">
      <c r="A12" s="3" t="s">
        <v>3012</v>
      </c>
      <c r="C12" s="18" t="n">
        <f aca="false">C9/C11</f>
        <v>4.46050834883561</v>
      </c>
    </row>
    <row r="13" customFormat="false" ht="15" hidden="false" customHeight="false" outlineLevel="0" collapsed="false">
      <c r="A13" s="3" t="s">
        <v>3013</v>
      </c>
      <c r="C13" s="16" t="n">
        <f aca="false">RSQ('Daily Analysis'!H5:H279,'Daily Analysis'!I5:I279)</f>
        <v>0.0679289767629431</v>
      </c>
    </row>
    <row r="14" customFormat="false" ht="15" hidden="false" customHeight="false" outlineLevel="0" collapsed="false">
      <c r="A14" s="3" t="s">
        <v>3014</v>
      </c>
      <c r="C14" s="16" t="n">
        <f aca="false">CORREL('Daily Analysis'!H5:H279,'Daily Analysis'!I5:I279)</f>
        <v>0.260631879790142</v>
      </c>
    </row>
    <row r="16" customFormat="false" ht="15" hidden="false" customHeight="false" outlineLevel="0" collapsed="false">
      <c r="A16" s="2" t="s">
        <v>3015</v>
      </c>
    </row>
    <row r="17" customFormat="false" ht="15" hidden="false" customHeight="false" outlineLevel="0" collapsed="false">
      <c r="A17" s="2" t="s">
        <v>3016</v>
      </c>
      <c r="B17" s="2" t="s">
        <v>3017</v>
      </c>
      <c r="C17" s="2" t="s">
        <v>2997</v>
      </c>
      <c r="D17" s="2" t="s">
        <v>3018</v>
      </c>
      <c r="E17" s="2" t="s">
        <v>3019</v>
      </c>
      <c r="F17" s="2" t="s">
        <v>3020</v>
      </c>
      <c r="G17" s="2" t="s">
        <v>3021</v>
      </c>
      <c r="H17" s="2" t="s">
        <v>3022</v>
      </c>
      <c r="I17" s="2" t="s">
        <v>3023</v>
      </c>
    </row>
    <row r="18" customFormat="false" ht="15" hidden="false" customHeight="false" outlineLevel="0" collapsed="false">
      <c r="A18" s="3" t="s">
        <v>3024</v>
      </c>
      <c r="B18" s="16" t="n">
        <f aca="false">C9</f>
        <v>0.613567382430444</v>
      </c>
      <c r="C18" s="3" t="s">
        <v>3025</v>
      </c>
      <c r="D18" s="11" t="n">
        <f aca="false">MIN('Daily Analysis'!A5:A279)</f>
        <v>45195</v>
      </c>
      <c r="E18" s="11" t="n">
        <f aca="false">MAX('Daily Analysis'!A5:A279)</f>
        <v>45926</v>
      </c>
      <c r="F18" s="3" t="n">
        <f aca="false">COUNT('Daily Analysis'!H5:H279)</f>
        <v>275</v>
      </c>
      <c r="G18" s="19" t="n">
        <f aca="false">VAR('Daily Analysis'!H5:H279)</f>
        <v>0.000258563725033792</v>
      </c>
      <c r="H18" s="19" t="n">
        <f aca="false">VAR('Daily Analysis'!K5:K279)</f>
        <v>0.000240999755764232</v>
      </c>
      <c r="I18" s="12" t="n">
        <f aca="false">1-H18/G18</f>
        <v>0.0679289767629413</v>
      </c>
    </row>
    <row r="19" customFormat="false" ht="15" hidden="false" customHeight="false" outlineLevel="0" collapsed="false">
      <c r="A19" s="3" t="s">
        <v>3024</v>
      </c>
      <c r="B19" s="16" t="n">
        <f aca="false">C9</f>
        <v>0.613567382430444</v>
      </c>
      <c r="C19" s="3" t="s">
        <v>3026</v>
      </c>
      <c r="D19" s="11" t="n">
        <f aca="false">MIN('Daily Analysis'!A280:A500)</f>
        <v>45931</v>
      </c>
      <c r="E19" s="11" t="n">
        <f aca="false">MAX('Daily Analysis'!A280:A500)</f>
        <v>46293</v>
      </c>
      <c r="F19" s="3" t="n">
        <f aca="false">COUNT('Daily Analysis'!H280:H500)</f>
        <v>221</v>
      </c>
      <c r="G19" s="19" t="n">
        <f aca="false">VAR('Daily Analysis'!H280:H500)</f>
        <v>0.000250651509043365</v>
      </c>
      <c r="H19" s="19" t="n">
        <f aca="false">VAR('Daily Analysis'!K280:K500)</f>
        <v>0.000234138943376216</v>
      </c>
      <c r="I19" s="12" t="n">
        <f aca="false">1-H19/G19</f>
        <v>0.0658785807042261</v>
      </c>
    </row>
    <row r="20" customFormat="false" ht="15" hidden="false" customHeight="false" outlineLevel="0" collapsed="false">
      <c r="A20" s="3" t="s">
        <v>3027</v>
      </c>
      <c r="B20" s="15" t="n">
        <v>1</v>
      </c>
      <c r="C20" s="3" t="s">
        <v>3025</v>
      </c>
      <c r="D20" s="11" t="n">
        <f aca="false">MIN('Daily Analysis'!A5:A279)</f>
        <v>45195</v>
      </c>
      <c r="E20" s="11" t="n">
        <f aca="false">MAX('Daily Analysis'!A5:A279)</f>
        <v>45926</v>
      </c>
      <c r="F20" s="3" t="n">
        <f aca="false">COUNT('Daily Analysis'!H5:H279)</f>
        <v>275</v>
      </c>
      <c r="G20" s="19" t="n">
        <f aca="false">VAR('Daily Analysis'!H5:H279)</f>
        <v>0.000258563725033792</v>
      </c>
      <c r="H20" s="19" t="n">
        <f aca="false">VAR('Daily Analysis'!L5:L279)</f>
        <v>0.00024796675388809</v>
      </c>
      <c r="I20" s="12" t="n">
        <f aca="false">1-H20/G20</f>
        <v>0.0409839823599275</v>
      </c>
    </row>
    <row r="21" customFormat="false" ht="15" hidden="false" customHeight="false" outlineLevel="0" collapsed="false">
      <c r="A21" s="3" t="s">
        <v>3027</v>
      </c>
      <c r="B21" s="15" t="n">
        <v>1</v>
      </c>
      <c r="C21" s="3" t="s">
        <v>3026</v>
      </c>
      <c r="D21" s="11" t="n">
        <f aca="false">MIN('Daily Analysis'!A280:A500)</f>
        <v>45931</v>
      </c>
      <c r="E21" s="11" t="n">
        <f aca="false">MAX('Daily Analysis'!A280:A500)</f>
        <v>46293</v>
      </c>
      <c r="F21" s="3" t="n">
        <f aca="false">COUNT('Daily Analysis'!H280:H500)</f>
        <v>221</v>
      </c>
      <c r="G21" s="19" t="n">
        <f aca="false">VAR('Daily Analysis'!H280:H500)</f>
        <v>0.000250651509043365</v>
      </c>
      <c r="H21" s="19" t="n">
        <f aca="false">VAR('Daily Analysis'!L280:L500)</f>
        <v>0.000239974241968659</v>
      </c>
      <c r="I21" s="12" t="n">
        <f aca="false">1-H21/G21</f>
        <v>0.0425980562233861</v>
      </c>
    </row>
    <row r="22" customFormat="false" ht="15" hidden="false" customHeight="false" outlineLevel="0" collapsed="false">
      <c r="A22" s="3" t="s">
        <v>3028</v>
      </c>
      <c r="B22" s="15" t="s">
        <v>3029</v>
      </c>
      <c r="C22" s="3" t="s">
        <v>3025</v>
      </c>
      <c r="D22" s="11" t="n">
        <f aca="false">MIN('Daily Analysis'!A5:A279)</f>
        <v>45195</v>
      </c>
      <c r="E22" s="11" t="n">
        <f aca="false">MAX('Daily Analysis'!A5:A279)</f>
        <v>45926</v>
      </c>
      <c r="F22" s="3" t="n">
        <f aca="false">COUNT('Daily Analysis'!H5:H279)</f>
        <v>275</v>
      </c>
      <c r="G22" s="19" t="n">
        <f aca="false">VAR('Daily Analysis'!H5:H279)</f>
        <v>0.000258563725033792</v>
      </c>
      <c r="H22" s="19" t="n">
        <f aca="false">VAR('Daily Analysis'!N5:N279)</f>
        <v>0.000240489142592292</v>
      </c>
      <c r="I22" s="12" t="n">
        <f aca="false">1-H22/G22</f>
        <v>0.0699037826715174</v>
      </c>
    </row>
    <row r="23" customFormat="false" ht="15" hidden="false" customHeight="false" outlineLevel="0" collapsed="false">
      <c r="A23" s="3" t="s">
        <v>3028</v>
      </c>
      <c r="B23" s="15" t="s">
        <v>3029</v>
      </c>
      <c r="C23" s="3" t="s">
        <v>3026</v>
      </c>
      <c r="D23" s="11" t="n">
        <f aca="false">MIN('Daily Analysis'!A280:A500)</f>
        <v>45931</v>
      </c>
      <c r="E23" s="11" t="n">
        <f aca="false">MAX('Daily Analysis'!A280:A500)</f>
        <v>46293</v>
      </c>
      <c r="F23" s="3" t="n">
        <f aca="false">COUNT('Daily Analysis'!H280:H500)</f>
        <v>221</v>
      </c>
      <c r="G23" s="19" t="n">
        <f aca="false">VAR('Daily Analysis'!H280:H500)</f>
        <v>0.000250651509043365</v>
      </c>
      <c r="H23" s="19" t="n">
        <f aca="false">VAR('Daily Analysis'!N280:N500)</f>
        <v>0.000233050595888566</v>
      </c>
      <c r="I23" s="12" t="n">
        <f aca="false">1-H23/G23</f>
        <v>0.070220655052004</v>
      </c>
    </row>
    <row r="25" customFormat="false" ht="15" hidden="false" customHeight="false" outlineLevel="0" collapsed="false">
      <c r="A25" s="2" t="s">
        <v>3030</v>
      </c>
      <c r="B25" s="2" t="s">
        <v>3025</v>
      </c>
      <c r="C25" s="2" t="s">
        <v>3026</v>
      </c>
    </row>
    <row r="26" customFormat="false" ht="15" hidden="false" customHeight="false" outlineLevel="0" collapsed="false">
      <c r="A26" s="3" t="s">
        <v>3031</v>
      </c>
      <c r="B26" s="12" t="n">
        <f aca="false">I18</f>
        <v>0.0679289767629413</v>
      </c>
      <c r="C26" s="12" t="n">
        <f aca="false">I19</f>
        <v>0.0658785807042261</v>
      </c>
    </row>
    <row r="27" customFormat="false" ht="15" hidden="false" customHeight="false" outlineLevel="0" collapsed="false">
      <c r="A27" s="3" t="s">
        <v>3032</v>
      </c>
      <c r="B27" s="12" t="n">
        <f aca="false">I20</f>
        <v>0.0409839823599275</v>
      </c>
      <c r="C27" s="12" t="n">
        <f aca="false">I21</f>
        <v>0.0425980562233861</v>
      </c>
    </row>
    <row r="28" customFormat="false" ht="15" hidden="false" customHeight="false" outlineLevel="0" collapsed="false">
      <c r="A28" s="3" t="s">
        <v>3033</v>
      </c>
      <c r="B28" s="12" t="n">
        <f aca="false">I22</f>
        <v>0.0699037826715174</v>
      </c>
      <c r="C28" s="12" t="n">
        <f aca="false">I23</f>
        <v>0.070220655052004</v>
      </c>
    </row>
    <row r="30" customFormat="false" ht="15" hidden="false" customHeight="false" outlineLevel="0" collapsed="false">
      <c r="A30" s="2" t="s">
        <v>3034</v>
      </c>
    </row>
    <row r="31" customFormat="false" ht="15" hidden="false" customHeight="false" outlineLevel="0" collapsed="false">
      <c r="A31" s="2" t="s">
        <v>3035</v>
      </c>
      <c r="B31" s="2"/>
      <c r="C31" s="2" t="s">
        <v>3036</v>
      </c>
      <c r="D31" s="2" t="s">
        <v>3037</v>
      </c>
    </row>
    <row r="32" customFormat="false" ht="15" hidden="false" customHeight="false" outlineLevel="0" collapsed="false">
      <c r="A32" s="3" t="s">
        <v>3038</v>
      </c>
      <c r="C32" s="16" t="n">
        <f aca="false">AVERAGE('Daily Analysis'!H5:H279)/STDEV('Daily Analysis'!H5:H279)</f>
        <v>-0.0437611883670086</v>
      </c>
      <c r="D32" s="16" t="n">
        <f aca="false">AVERAGE('Daily Analysis'!H280:H500)/STDEV('Daily Analysis'!H280:H500)</f>
        <v>0.0587793337069458</v>
      </c>
    </row>
    <row r="33" customFormat="false" ht="15" hidden="false" customHeight="false" outlineLevel="0" collapsed="false">
      <c r="A33" s="3" t="s">
        <v>3039</v>
      </c>
      <c r="C33" s="16" t="n">
        <f aca="false">AVERAGE('Daily Analysis'!K5:K279)/STDEV('Daily Analysis'!K5:K279)</f>
        <v>-0.0210224015757882</v>
      </c>
      <c r="D33" s="16" t="n">
        <f aca="false">AVERAGE('Daily Analysis'!K280:K500)/STDEV('Daily Analysis'!K280:K500)</f>
        <v>0.057260751261164</v>
      </c>
    </row>
    <row r="34" customFormat="false" ht="15" hidden="false" customHeight="false" outlineLevel="0" collapsed="false">
      <c r="A34" s="3" t="s">
        <v>3040</v>
      </c>
      <c r="C34" s="16" t="n">
        <f aca="false">AVERAGE('Daily Analysis'!L5:L279)/STDEV('Daily Analysis'!L5:L279)</f>
        <v>-0.00563370052096632</v>
      </c>
      <c r="D34" s="16" t="n">
        <f aca="false">AVERAGE('Daily Analysis'!L280:L500)/STDEV('Daily Analysis'!L280:L500)</f>
        <v>0.0543480826914154</v>
      </c>
    </row>
    <row r="35" customFormat="false" ht="15" hidden="false" customHeight="false" outlineLevel="0" collapsed="false">
      <c r="A35" s="3" t="s">
        <v>3041</v>
      </c>
      <c r="C35" s="16" t="n">
        <f aca="false">AVERAGE('Daily Analysis'!N5:N279)/STDEV('Daily Analysis'!N5:N279)</f>
        <v>-0.0296539558895078</v>
      </c>
      <c r="D35" s="16" t="n">
        <f aca="false">AVERAGE('Daily Analysis'!N280:N500)/STDEV('Daily Analysis'!N280:N500)</f>
        <v>0.0647426138664033</v>
      </c>
    </row>
    <row r="37" customFormat="false" ht="15" hidden="false" customHeight="false" outlineLevel="0" collapsed="false">
      <c r="A37" s="2" t="s">
        <v>3042</v>
      </c>
    </row>
    <row r="38" customFormat="false" ht="15" hidden="false" customHeight="false" outlineLevel="0" collapsed="false">
      <c r="A38" s="3" t="s">
        <v>3043</v>
      </c>
    </row>
    <row r="39" customFormat="false" ht="15" hidden="false" customHeight="false" outlineLevel="0" collapsed="false">
      <c r="A39" s="2" t="s">
        <v>3044</v>
      </c>
      <c r="B39" s="2"/>
      <c r="C39" s="2" t="s">
        <v>3045</v>
      </c>
      <c r="D39" s="2" t="s">
        <v>3046</v>
      </c>
    </row>
    <row r="40" customFormat="false" ht="15" hidden="false" customHeight="false" outlineLevel="0" collapsed="false">
      <c r="A40" s="3" t="s">
        <v>3047</v>
      </c>
      <c r="C40" s="15" t="n">
        <v>-0.0672429957444077</v>
      </c>
      <c r="D40" s="15" t="n">
        <v>0.0943783046856987</v>
      </c>
    </row>
    <row r="41" customFormat="false" ht="15" hidden="false" customHeight="false" outlineLevel="0" collapsed="false">
      <c r="A41" s="3" t="s">
        <v>3048</v>
      </c>
      <c r="C41" s="15" t="n">
        <v>-0.040081539539138</v>
      </c>
      <c r="D41" s="15" t="n">
        <v>0.0397924683495083</v>
      </c>
    </row>
    <row r="42" customFormat="false" ht="15" hidden="false" customHeight="false" outlineLevel="0" collapsed="false">
      <c r="A42" s="3" t="s">
        <v>3049</v>
      </c>
      <c r="C42" s="15" t="n">
        <v>0.316252541839269</v>
      </c>
      <c r="D42" s="15" t="n">
        <v>0.200474047882455</v>
      </c>
    </row>
    <row r="43" customFormat="false" ht="15" hidden="false" customHeight="false" outlineLevel="0" collapsed="false">
      <c r="A43" s="3" t="s">
        <v>3050</v>
      </c>
      <c r="C43" s="15" t="n">
        <v>0.00467601040747859</v>
      </c>
      <c r="D43" s="15" t="n">
        <v>0.00685932611429041</v>
      </c>
    </row>
    <row r="44" customFormat="false" ht="15" hidden="false" customHeight="false" outlineLevel="0" collapsed="false">
      <c r="A44" s="3" t="s">
        <v>3051</v>
      </c>
      <c r="C44" s="15" t="n">
        <v>0.0369539352342671</v>
      </c>
      <c r="D44" s="15" t="n">
        <v>0.0413003677384906</v>
      </c>
    </row>
    <row r="45" customFormat="false" ht="15" hidden="false" customHeight="false" outlineLevel="0" collapsed="false">
      <c r="A45" s="3" t="s">
        <v>3052</v>
      </c>
      <c r="C45" s="15" t="n">
        <v>0.0855898378665148</v>
      </c>
      <c r="D45" s="15" t="n">
        <v>0.0414821148963048</v>
      </c>
    </row>
    <row r="46" customFormat="false" ht="15" hidden="false" customHeight="false" outlineLevel="0" collapsed="false">
      <c r="A46" s="3" t="s">
        <v>3053</v>
      </c>
      <c r="C46" s="15" t="n">
        <v>0.0149416381787806</v>
      </c>
      <c r="D46" s="15" t="n">
        <v>0.0125623135053431</v>
      </c>
    </row>
    <row r="47" customFormat="false" ht="15" hidden="false" customHeight="false" outlineLevel="0" collapsed="false">
      <c r="A47" s="3" t="s">
        <v>3054</v>
      </c>
      <c r="C47" s="15" t="n">
        <v>0.0827985450342862</v>
      </c>
      <c r="D47" s="15" t="n">
        <v>0.0472557116124063</v>
      </c>
    </row>
    <row r="48" customFormat="false" ht="15" hidden="false" customHeight="false" outlineLevel="0" collapsed="false">
      <c r="A48" s="3" t="s">
        <v>3055</v>
      </c>
      <c r="C48" s="15" t="n">
        <v>0.795595204771156</v>
      </c>
      <c r="D48" s="15" t="n">
        <v>0.0930463994001689</v>
      </c>
    </row>
    <row r="49" customFormat="false" ht="15" hidden="false" customHeight="false" outlineLevel="0" collapsed="false">
      <c r="A49" s="3" t="s">
        <v>3056</v>
      </c>
      <c r="C49" s="15" t="n">
        <v>0.959970408245454</v>
      </c>
      <c r="D49" s="15" t="n">
        <v>0.0322737183725225</v>
      </c>
    </row>
    <row r="50" customFormat="false" ht="15" hidden="false" customHeight="false" outlineLevel="0" collapsed="false">
      <c r="A50" s="3" t="s">
        <v>3057</v>
      </c>
      <c r="C50" s="15" t="n">
        <v>0.834486111733834</v>
      </c>
      <c r="D50" s="15" t="n">
        <v>0.123289524352684</v>
      </c>
    </row>
    <row r="51" customFormat="false" ht="15" hidden="false" customHeight="false" outlineLevel="0" collapsed="false">
      <c r="A51" s="3" t="s">
        <v>3058</v>
      </c>
    </row>
    <row r="53" customFormat="false" ht="15" hidden="false" customHeight="false" outlineLevel="0" collapsed="false">
      <c r="A53" s="2" t="s">
        <v>3059</v>
      </c>
    </row>
    <row r="54" customFormat="false" ht="15" hidden="false" customHeight="false" outlineLevel="0" collapsed="false">
      <c r="A54" s="2" t="s">
        <v>3060</v>
      </c>
      <c r="B54" s="2"/>
      <c r="C54" s="2" t="s">
        <v>3061</v>
      </c>
      <c r="D54" s="2" t="s">
        <v>3062</v>
      </c>
      <c r="E54" s="2" t="s">
        <v>6</v>
      </c>
    </row>
    <row r="55" customFormat="false" ht="15" hidden="false" customHeight="false" outlineLevel="0" collapsed="false">
      <c r="A55" s="3" t="s">
        <v>3063</v>
      </c>
      <c r="C55" s="20" t="n">
        <f aca="false">COUNT('Daily Analysis'!H5:H500)</f>
        <v>496</v>
      </c>
      <c r="D55" s="20" t="n">
        <f aca="false">COUNT('Daily Analysis'!I5:I500)</f>
        <v>496</v>
      </c>
      <c r="E55" s="3" t="s">
        <v>3064</v>
      </c>
    </row>
    <row r="56" customFormat="false" ht="15" hidden="false" customHeight="false" outlineLevel="0" collapsed="false">
      <c r="A56" s="3" t="s">
        <v>3065</v>
      </c>
      <c r="C56" s="16" t="n">
        <f aca="false">STDEV('Daily Analysis'!H5:H500)</f>
        <v>0.0159745410372764</v>
      </c>
      <c r="D56" s="16" t="n">
        <f aca="false">STDEV('Daily Analysis'!I5:I500)</f>
        <v>0.00667982877392964</v>
      </c>
      <c r="E56" s="3" t="s">
        <v>3064</v>
      </c>
    </row>
    <row r="57" customFormat="false" ht="15" hidden="false" customHeight="false" outlineLevel="0" collapsed="false">
      <c r="A57" s="3" t="s">
        <v>3066</v>
      </c>
      <c r="C57" s="18" t="n">
        <f aca="false">SKEW('Daily Analysis'!H5:H500)</f>
        <v>0.317905790756507</v>
      </c>
      <c r="D57" s="18" t="n">
        <f aca="false">SKEW('Daily Analysis'!I5:I500)</f>
        <v>0.0147538691029558</v>
      </c>
      <c r="E57" s="3" t="s">
        <v>3064</v>
      </c>
    </row>
    <row r="58" customFormat="false" ht="15" hidden="false" customHeight="false" outlineLevel="0" collapsed="false">
      <c r="A58" s="3" t="s">
        <v>3067</v>
      </c>
      <c r="C58" s="18" t="n">
        <f aca="false">KURT('Daily Analysis'!H5:H500)</f>
        <v>4.88209116875081</v>
      </c>
      <c r="D58" s="18" t="n">
        <f aca="false">KURT('Daily Analysis'!I5:I500)</f>
        <v>1.23707700421616</v>
      </c>
      <c r="E58" s="3" t="s">
        <v>3064</v>
      </c>
    </row>
    <row r="59" customFormat="false" ht="15" hidden="false" customHeight="false" outlineLevel="0" collapsed="false">
      <c r="A59" s="3" t="s">
        <v>3068</v>
      </c>
      <c r="C59" s="21" t="n">
        <f aca="false">COUNTIF('Daily Analysis'!H5:H500,0)/COUNT('Daily Analysis'!H5:H500)</f>
        <v>0.324596774193548</v>
      </c>
      <c r="D59" s="21" t="n">
        <f aca="false">COUNTIF('Daily Analysis'!I5:I500,0)/COUNT('Daily Analysis'!I5:I500)</f>
        <v>0.0120967741935484</v>
      </c>
      <c r="E59" s="3" t="s">
        <v>3064</v>
      </c>
    </row>
    <row r="60" customFormat="false" ht="15" hidden="false" customHeight="false" outlineLevel="0" collapsed="false">
      <c r="A60" s="3" t="s">
        <v>3069</v>
      </c>
      <c r="C60" s="22" t="n">
        <f aca="false">C55/6*(C57^2+C58^2/4)</f>
        <v>500.940791308402</v>
      </c>
      <c r="D60" s="22" t="n">
        <f aca="false">D55/6*(D57^2+D58^2/4)</f>
        <v>31.6454245668056</v>
      </c>
    </row>
    <row r="61" customFormat="false" ht="15" hidden="false" customHeight="false" outlineLevel="0" collapsed="false">
      <c r="A61" s="3" t="s">
        <v>3070</v>
      </c>
      <c r="C61" s="16" t="n">
        <f aca="false">CHIDIST(C60,2)</f>
        <v>1.66759001965333E-109</v>
      </c>
      <c r="D61" s="16" t="n">
        <f aca="false">CHIDIST(D60,2)</f>
        <v>1.34364136846789E-007</v>
      </c>
    </row>
    <row r="62" customFormat="false" ht="15" hidden="false" customHeight="false" outlineLevel="0" collapsed="false">
      <c r="A62" s="3" t="s">
        <v>3071</v>
      </c>
      <c r="C62" s="15" t="n">
        <v>0.0454542780454257</v>
      </c>
      <c r="D62" s="15" t="n">
        <v>0.24776153586291</v>
      </c>
      <c r="E62" s="3" t="s">
        <v>3072</v>
      </c>
    </row>
    <row r="63" customFormat="false" ht="15" hidden="false" customHeight="false" outlineLevel="0" collapsed="false">
      <c r="A63" s="3" t="s">
        <v>3073</v>
      </c>
      <c r="C63" s="15" t="n">
        <v>1.19339378499525E-012</v>
      </c>
      <c r="D63" s="15" t="n">
        <v>0</v>
      </c>
      <c r="E63" s="3" t="s">
        <v>3072</v>
      </c>
    </row>
    <row r="64" customFormat="false" ht="15" hidden="false" customHeight="false" outlineLevel="0" collapsed="false">
      <c r="A64" s="3" t="s">
        <v>3074</v>
      </c>
      <c r="C64" s="15" t="n">
        <v>0.614679954769673</v>
      </c>
      <c r="D64" s="15" t="n">
        <v>0.135380096362138</v>
      </c>
      <c r="E64" s="3" t="s">
        <v>3072</v>
      </c>
    </row>
    <row r="65" customFormat="false" ht="15" hidden="false" customHeight="false" outlineLevel="0" collapsed="false">
      <c r="A65" s="3" t="s">
        <v>3075</v>
      </c>
      <c r="C65" s="15" t="n">
        <v>0.811992230167813</v>
      </c>
      <c r="E65" s="3" t="s">
        <v>3076</v>
      </c>
    </row>
    <row r="67" customFormat="false" ht="15" hidden="false" customHeight="false" outlineLevel="0" collapsed="false">
      <c r="A67" s="2" t="s">
        <v>3077</v>
      </c>
    </row>
    <row r="68" customFormat="false" ht="15" hidden="false" customHeight="false" outlineLevel="0" collapsed="false">
      <c r="A68" s="2" t="s">
        <v>3078</v>
      </c>
      <c r="B68" s="2" t="s">
        <v>3079</v>
      </c>
      <c r="C68" s="2" t="s">
        <v>3080</v>
      </c>
      <c r="D68" s="2" t="s">
        <v>3081</v>
      </c>
      <c r="E68" s="2" t="s">
        <v>3082</v>
      </c>
      <c r="F68" s="2" t="s">
        <v>3083</v>
      </c>
    </row>
    <row r="69" customFormat="false" ht="15" hidden="false" customHeight="false" outlineLevel="0" collapsed="false">
      <c r="A69" s="3" t="s">
        <v>3084</v>
      </c>
      <c r="B69" s="23" t="n">
        <v>36</v>
      </c>
      <c r="C69" s="15" t="n">
        <v>0.613567382430444</v>
      </c>
      <c r="D69" s="24" t="n">
        <v>0.0679289767629433</v>
      </c>
      <c r="E69" s="24" t="n">
        <v>0.0658785807042258</v>
      </c>
      <c r="F69" s="23" t="n">
        <v>0</v>
      </c>
    </row>
    <row r="70" customFormat="false" ht="15" hidden="false" customHeight="false" outlineLevel="0" collapsed="false">
      <c r="A70" s="3" t="s">
        <v>3085</v>
      </c>
      <c r="B70" s="23" t="n">
        <v>36</v>
      </c>
      <c r="C70" s="15" t="n">
        <v>0.615929789796086</v>
      </c>
      <c r="D70" s="24" t="n">
        <v>0.065378194198021</v>
      </c>
      <c r="E70" s="24" t="n">
        <v>0.0656147449744869</v>
      </c>
      <c r="F70" s="23" t="n">
        <v>0</v>
      </c>
    </row>
    <row r="71" customFormat="false" ht="15" hidden="false" customHeight="false" outlineLevel="0" collapsed="false">
      <c r="A71" s="3" t="s">
        <v>3086</v>
      </c>
      <c r="B71" s="23" t="n">
        <v>36</v>
      </c>
      <c r="C71" s="15" t="n">
        <v>0.554778012346466</v>
      </c>
      <c r="D71" s="24" t="n">
        <v>0.060218917685308</v>
      </c>
      <c r="E71" s="24" t="n">
        <v>0.065118699510301</v>
      </c>
      <c r="F71" s="23" t="n">
        <v>1</v>
      </c>
    </row>
    <row r="72" customFormat="false" ht="15" hidden="false" customHeight="false" outlineLevel="0" collapsed="false">
      <c r="A72" s="3" t="s">
        <v>3087</v>
      </c>
      <c r="B72" s="23" t="n">
        <v>36</v>
      </c>
      <c r="C72" s="15" t="n">
        <v>0.606066753561013</v>
      </c>
      <c r="D72" s="24" t="n">
        <v>0.0641651322565814</v>
      </c>
      <c r="E72" s="24" t="n">
        <v>0.0652492985501829</v>
      </c>
      <c r="F72" s="23" t="n">
        <v>0</v>
      </c>
    </row>
    <row r="73" customFormat="false" ht="15" hidden="false" customHeight="false" outlineLevel="0" collapsed="false">
      <c r="A73" s="3" t="s">
        <v>3088</v>
      </c>
      <c r="B73" s="23" t="n">
        <v>36</v>
      </c>
      <c r="C73" s="15" t="n">
        <v>0.39733371697132</v>
      </c>
      <c r="D73" s="24" t="n">
        <v>0.0402589466533339</v>
      </c>
      <c r="E73" s="24" t="n">
        <v>0.0302417003189874</v>
      </c>
      <c r="F73" s="23" t="n">
        <v>108</v>
      </c>
    </row>
    <row r="75" customFormat="false" ht="15" hidden="false" customHeight="false" outlineLevel="0" collapsed="false">
      <c r="A75" s="2" t="s">
        <v>3089</v>
      </c>
    </row>
    <row r="76" customFormat="false" ht="15" hidden="false" customHeight="false" outlineLevel="0" collapsed="false">
      <c r="A76" s="2" t="s">
        <v>3090</v>
      </c>
      <c r="B76" s="2"/>
      <c r="C76" s="2" t="s">
        <v>3091</v>
      </c>
      <c r="D76" s="2" t="s">
        <v>3092</v>
      </c>
      <c r="E76" s="2" t="s">
        <v>3093</v>
      </c>
    </row>
    <row r="77" customFormat="false" ht="15" hidden="false" customHeight="false" outlineLevel="0" collapsed="false">
      <c r="A77" s="3" t="s">
        <v>3094</v>
      </c>
      <c r="C77" s="3" t="n">
        <f aca="false">COUNTIF('Spot Data'!$H$5:$H$651,"YES")</f>
        <v>546</v>
      </c>
      <c r="D77" s="8" t="n">
        <v>546</v>
      </c>
      <c r="E77" s="3" t="str">
        <f aca="false">IF(C77=D77,"PASS",IF(ISNUMBER(C77),IF(ABS(C77-D77)&lt;0.000000001,"PASS","FAIL"),"FAIL"))</f>
        <v>PASS</v>
      </c>
    </row>
    <row r="78" customFormat="false" ht="15" hidden="false" customHeight="false" outlineLevel="0" collapsed="false">
      <c r="A78" s="3" t="s">
        <v>3095</v>
      </c>
      <c r="C78" s="3" t="n">
        <f aca="false">COUNTIF('Spot Data'!$J$5:$J$651,"matches*")+COUNTIF('Spot Data'!$J$5:$J$651,"fetched*")</f>
        <v>647</v>
      </c>
      <c r="D78" s="8" t="n">
        <v>647</v>
      </c>
      <c r="E78" s="3" t="str">
        <f aca="false">IF(C78=D78,"PASS",IF(ISNUMBER(C78),IF(ABS(C78-D78)&lt;0.000000001,"PASS","FAIL"),"FAIL"))</f>
        <v>PASS</v>
      </c>
    </row>
    <row r="79" customFormat="false" ht="15" hidden="false" customHeight="false" outlineLevel="0" collapsed="false">
      <c r="A79" s="3" t="s">
        <v>3096</v>
      </c>
      <c r="C79" s="3" t="n">
        <f aca="false">COUNT('Roll Schedule'!A47:A790)</f>
        <v>744</v>
      </c>
      <c r="D79" s="8" t="n">
        <v>744</v>
      </c>
      <c r="E79" s="3" t="str">
        <f aca="false">IF(C79=D79,"PASS",IF(ISNUMBER(C79),IF(ABS(C79-D79)&lt;0.000000001,"PASS","FAIL"),"FAIL"))</f>
        <v>PASS</v>
      </c>
    </row>
    <row r="80" customFormat="false" ht="15" hidden="false" customHeight="false" outlineLevel="0" collapsed="false">
      <c r="A80" s="3" t="s">
        <v>3097</v>
      </c>
      <c r="C80" s="3" t="n">
        <f aca="false">COUNTIF('Roll Schedule'!S47:S790,FALSE())</f>
        <v>0</v>
      </c>
      <c r="D80" s="8" t="n">
        <v>0</v>
      </c>
      <c r="E80" s="3" t="str">
        <f aca="false">IF(C80=D80,"PASS",IF(ISNUMBER(C80),IF(ABS(C80-D80)&lt;0.000000001,"PASS","FAIL"),"FAIL"))</f>
        <v>PASS</v>
      </c>
    </row>
    <row r="81" customFormat="false" ht="15" hidden="false" customHeight="false" outlineLevel="0" collapsed="false">
      <c r="A81" s="3" t="s">
        <v>3079</v>
      </c>
      <c r="C81" s="3" t="n">
        <f aca="false">COUNTIF('Roll Schedule'!I47:I790,TRUE())</f>
        <v>36</v>
      </c>
      <c r="D81" s="8" t="n">
        <v>36</v>
      </c>
      <c r="E81" s="3" t="str">
        <f aca="false">IF(C81=D81,"PASS",IF(ISNUMBER(C81),IF(ABS(C81-D81)&lt;0.000000001,"PASS","FAIL"),"FAIL"))</f>
        <v>PASS</v>
      </c>
    </row>
    <row r="82" customFormat="false" ht="15" hidden="false" customHeight="false" outlineLevel="0" collapsed="false">
      <c r="A82" s="3" t="s">
        <v>3098</v>
      </c>
      <c r="C82" s="3" t="n">
        <f aca="false">COUNTIF('Roll Schedule'!T48:T790,FALSE())</f>
        <v>0</v>
      </c>
      <c r="D82" s="8" t="n">
        <v>0</v>
      </c>
      <c r="E82" s="3" t="str">
        <f aca="false">IF(C82=D82,"PASS",IF(ISNUMBER(C82),IF(ABS(C82-D82)&lt;0.000000001,"PASS","FAIL"),"FAIL"))</f>
        <v>PASS</v>
      </c>
    </row>
    <row r="83" customFormat="false" ht="15" hidden="false" customHeight="false" outlineLevel="0" collapsed="false">
      <c r="A83" s="3" t="s">
        <v>3099</v>
      </c>
      <c r="C83" s="3" t="n">
        <f aca="false">COUNTIF('Roll Schedule'!D48:D790,"&lt;=2")</f>
        <v>0</v>
      </c>
      <c r="D83" s="8" t="n">
        <v>0</v>
      </c>
      <c r="E83" s="3" t="str">
        <f aca="false">IF(C83=D83,"PASS",IF(ISNUMBER(C83),IF(ABS(C83-D83)&lt;0.000000001,"PASS","FAIL"),"FAIL"))</f>
        <v>PASS</v>
      </c>
    </row>
    <row r="84" customFormat="false" ht="15" hidden="false" customHeight="false" outlineLevel="0" collapsed="false">
      <c r="A84" s="3" t="s">
        <v>3100</v>
      </c>
      <c r="C84" s="3" t="n">
        <f aca="false">COUNTIF('Roll Schedule'!Q48:Q790,0)</f>
        <v>0</v>
      </c>
      <c r="D84" s="8" t="n">
        <v>0</v>
      </c>
      <c r="E84" s="3" t="str">
        <f aca="false">IF(C84=D84,"PASS",IF(ISNUMBER(C84),IF(ABS(C84-D84)&lt;0.000000001,"PASS","FAIL"),"FAIL"))</f>
        <v>PASS</v>
      </c>
    </row>
    <row r="85" customFormat="false" ht="15" hidden="false" customHeight="false" outlineLevel="0" collapsed="false">
      <c r="A85" s="3" t="s">
        <v>3101</v>
      </c>
      <c r="C85" s="3" t="n">
        <f aca="false">COUNT('Daily Analysis'!H5:H500)</f>
        <v>496</v>
      </c>
      <c r="D85" s="8" t="n">
        <v>496</v>
      </c>
      <c r="E85" s="3" t="str">
        <f aca="false">IF(C85=D85,"PASS",IF(ISNUMBER(C85),IF(ABS(C85-D85)&lt;0.000000001,"PASS","FAIL"),"FAIL"))</f>
        <v>PASS</v>
      </c>
    </row>
    <row r="86" customFormat="false" ht="15" hidden="false" customHeight="false" outlineLevel="0" collapsed="false">
      <c r="A86" s="3" t="s">
        <v>3102</v>
      </c>
      <c r="C86" s="3" t="n">
        <f aca="false">COUNTIF('Daily Analysis'!C5:D500,0)</f>
        <v>0</v>
      </c>
      <c r="D86" s="8" t="n">
        <v>0</v>
      </c>
      <c r="E86" s="3" t="str">
        <f aca="false">IF(C86=D86,"PASS",IF(ISNUMBER(C86),IF(ABS(C86-D86)&lt;0.000000001,"PASS","FAIL"),"FAIL"))</f>
        <v>PASS</v>
      </c>
    </row>
    <row r="87" customFormat="false" ht="15" hidden="false" customHeight="false" outlineLevel="0" collapsed="false">
      <c r="A87" s="3" t="s">
        <v>3103</v>
      </c>
      <c r="C87" s="3" t="n">
        <f aca="false">SUMPRODUCT(--(ABS('Roll Schedule'!P48:P790-'Roll Schedule'!O48:O790)&gt;0.000001))</f>
        <v>715</v>
      </c>
      <c r="D87" s="8" t="n">
        <v>715</v>
      </c>
      <c r="E87" s="3" t="str">
        <f aca="false">IF(C87=D87,"PASS",IF(ISNUMBER(C87),IF(ABS(C87-D87)&lt;0.000000001,"PASS","FAIL"),"FAIL"))</f>
        <v>PASS</v>
      </c>
    </row>
    <row r="88" customFormat="false" ht="15" hidden="false" customHeight="false" outlineLevel="0" collapsed="false">
      <c r="A88" s="3" t="s">
        <v>3104</v>
      </c>
      <c r="C88" s="3" t="n">
        <f aca="false">C9-0.613567382430444</f>
        <v>0</v>
      </c>
      <c r="D88" s="8" t="n">
        <v>0</v>
      </c>
      <c r="E88" s="3" t="str">
        <f aca="false">IF(C88=D88,"PASS",IF(ISNUMBER(C88),IF(ABS(C88-D88)&lt;0.000000001,"PASS","FAIL"),"FAIL"))</f>
        <v>PASS</v>
      </c>
    </row>
    <row r="89" customFormat="false" ht="15" hidden="false" customHeight="false" outlineLevel="0" collapsed="false">
      <c r="A89" s="3" t="s">
        <v>3105</v>
      </c>
      <c r="C89" s="12" t="n">
        <f aca="false">I18-0.0679289767629433</f>
        <v>-1.99840144432528E-015</v>
      </c>
      <c r="D89" s="8" t="n">
        <v>0</v>
      </c>
      <c r="E89" s="3" t="str">
        <f aca="false">IF(C89=D89,"PASS",IF(ISNUMBER(C89),IF(ABS(C89-D89)&lt;0.000000001,"PASS","FAIL"),"FAIL"))</f>
        <v>PASS</v>
      </c>
    </row>
    <row r="90" customFormat="false" ht="15" hidden="false" customHeight="false" outlineLevel="0" collapsed="false">
      <c r="A90" s="3" t="s">
        <v>3106</v>
      </c>
      <c r="C90" s="12" t="n">
        <f aca="false">I19-0.0658785807042258</f>
        <v>3.33066907387547E-016</v>
      </c>
      <c r="D90" s="8" t="n">
        <v>0</v>
      </c>
      <c r="E90" s="3" t="str">
        <f aca="false">IF(C90=D90,"PASS",IF(ISNUMBER(C90),IF(ABS(C90-D90)&lt;0.000000001,"PASS","FAIL"),"FAIL"))</f>
        <v>PASS</v>
      </c>
    </row>
    <row r="91" customFormat="false" ht="15" hidden="false" customHeight="false" outlineLevel="0" collapsed="false">
      <c r="A91" s="3" t="s">
        <v>3107</v>
      </c>
      <c r="C91" s="12" t="n">
        <f aca="false">I23-0.0702206550520033</f>
        <v>7.7715611723761E-016</v>
      </c>
      <c r="D91" s="8" t="n">
        <v>0</v>
      </c>
      <c r="E91" s="3" t="str">
        <f aca="false">IF(C91=D91,"PASS",IF(ISNUMBER(C91),IF(ABS(C91-D91)&lt;0.000000001,"PASS","FAIL"),"FAIL"))</f>
        <v>PASS</v>
      </c>
    </row>
    <row r="92" customFormat="false" ht="15" hidden="false" customHeight="false" outlineLevel="0" collapsed="false">
      <c r="A92" s="3" t="s">
        <v>3108</v>
      </c>
      <c r="C92" s="9" t="b">
        <f aca="false">C6</f>
        <v>1</v>
      </c>
      <c r="D92" s="25" t="b">
        <f aca="false">TRUE()</f>
        <v>1</v>
      </c>
      <c r="E92" s="3" t="str">
        <f aca="false">IF(C92=D92,"PASS",IF(ISNUMBER(C92),IF(ABS(C92-D92)&lt;0.000000001,"PASS","FAIL"),"FAIL"))</f>
        <v>PASS</v>
      </c>
    </row>
    <row r="93" customFormat="false" ht="15" hidden="false" customHeight="false" outlineLevel="0" collapsed="false">
      <c r="A93" s="2" t="s">
        <v>3109</v>
      </c>
      <c r="C93" s="2" t="str">
        <f aca="false">IF(COUNTIF(E77:E92,"FAIL")=0,"YES","NO")</f>
        <v>YES</v>
      </c>
    </row>
    <row r="95" customFormat="false" ht="15" hidden="false" customHeight="false" outlineLevel="0" collapsed="false">
      <c r="A95" s="2" t="s">
        <v>3110</v>
      </c>
    </row>
    <row r="96" customFormat="false" ht="15" hidden="false" customHeight="false" outlineLevel="0" collapsed="false">
      <c r="A96" s="3" t="s">
        <v>3111</v>
      </c>
    </row>
    <row r="97" customFormat="false" ht="15" hidden="false" customHeight="false" outlineLevel="0" collapsed="false">
      <c r="A97" s="3" t="s">
        <v>3112</v>
      </c>
    </row>
    <row r="98" customFormat="false" ht="15" hidden="false" customHeight="false" outlineLevel="0" collapsed="false">
      <c r="A98" s="3" t="s">
        <v>3113</v>
      </c>
    </row>
    <row r="99" customFormat="false" ht="15" hidden="false" customHeight="false" outlineLevel="0" collapsed="false">
      <c r="A99" s="3" t="s">
        <v>3114</v>
      </c>
    </row>
    <row r="100" customFormat="false" ht="15" hidden="false" customHeight="false" outlineLevel="0" collapsed="false">
      <c r="A100" s="3" t="s">
        <v>3115</v>
      </c>
    </row>
    <row r="101" customFormat="false" ht="15" hidden="false" customHeight="false" outlineLevel="0" collapsed="false">
      <c r="A101" s="3" t="s">
        <v>3116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2026-09-29T12:38:06Z</dcterms:created>
  <dc:creator>openpyxl</dc:creator>
  <dc:description/>
  <dc:language>en-US</dc:language>
  <cp:lastModifiedBy/>
  <dcterms:modified xsi:type="dcterms:W3CDTF">2026-09-29T12:38:15Z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